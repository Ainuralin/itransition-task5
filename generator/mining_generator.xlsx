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5"/>
    <sheet state="visible" name="Controls" sheetId="2" r:id="rId6"/>
    <sheet state="visible" name="Smooth" sheetId="3" r:id="rId7"/>
    <sheet state="visible" name="Random" sheetId="4" r:id="rId8"/>
  </sheets>
  <definedNames/>
  <calcPr/>
</workbook>
</file>

<file path=xl/sharedStrings.xml><?xml version="1.0" encoding="utf-8"?>
<sst xmlns="http://schemas.openxmlformats.org/spreadsheetml/2006/main" count="93" uniqueCount="90">
  <si>
    <t>Date</t>
  </si>
  <si>
    <t>Weyland-Yutani Corporation</t>
  </si>
  <si>
    <t>U state 1</t>
  </si>
  <si>
    <t>U state 2</t>
  </si>
  <si>
    <t>U state 3</t>
  </si>
  <si>
    <t>U state 4</t>
  </si>
  <si>
    <t>Mining output generator</t>
  </si>
  <si>
    <t>U state 5</t>
  </si>
  <si>
    <t>U state 6</t>
  </si>
  <si>
    <t>U state 7</t>
  </si>
  <si>
    <t>U state 8</t>
  </si>
  <si>
    <t>U state 9</t>
  </si>
  <si>
    <t>U state 10</t>
  </si>
  <si>
    <t>V state 1</t>
  </si>
  <si>
    <t>V state 2</t>
  </si>
  <si>
    <t>V state 3</t>
  </si>
  <si>
    <t>Start date</t>
  </si>
  <si>
    <t>V state 4</t>
  </si>
  <si>
    <t>V state 5</t>
  </si>
  <si>
    <t>V state 6</t>
  </si>
  <si>
    <t>V state 7</t>
  </si>
  <si>
    <t>V state 8</t>
  </si>
  <si>
    <t>V state 9</t>
  </si>
  <si>
    <t>V state 10</t>
  </si>
  <si>
    <t>Base 1 (t)</t>
  </si>
  <si>
    <t>Base 2 (t)</t>
  </si>
  <si>
    <t>Base 3 (t)</t>
  </si>
  <si>
    <t>Base 4 (t)</t>
  </si>
  <si>
    <t>Base 5 (t)</t>
  </si>
  <si>
    <t>Base 6 (t)</t>
  </si>
  <si>
    <t>Base 7 (t)</t>
  </si>
  <si>
    <t>Base 8 (t)</t>
  </si>
  <si>
    <t>Base 9 (t)</t>
  </si>
  <si>
    <t>Base 10 (t)</t>
  </si>
  <si>
    <t>Days (5–366)</t>
  </si>
  <si>
    <t>Mines (1–10)</t>
  </si>
  <si>
    <t>Event 1 change</t>
  </si>
  <si>
    <t>Event 2 change</t>
  </si>
  <si>
    <t>Event 3 change</t>
  </si>
  <si>
    <t>Event 4 change</t>
  </si>
  <si>
    <t>Distribution</t>
  </si>
  <si>
    <t>Date label</t>
  </si>
  <si>
    <t>Normal</t>
  </si>
  <si>
    <t>Distribution inputs</t>
  </si>
  <si>
    <t>Normal mean (t)</t>
  </si>
  <si>
    <t>Normal deviation (t)</t>
  </si>
  <si>
    <t>Correlation (0–0.99)</t>
  </si>
  <si>
    <t>Uniform minimum (t)</t>
  </si>
  <si>
    <t>Daily growth</t>
  </si>
  <si>
    <t>Uniform maximum (t)</t>
  </si>
  <si>
    <t>Seed</t>
  </si>
  <si>
    <t>Mine settings</t>
  </si>
  <si>
    <t>Name and multiplier apply to the first selected number of mines.</t>
  </si>
  <si>
    <t>Mine name</t>
  </si>
  <si>
    <t>LV-426</t>
  </si>
  <si>
    <t>Origae-6</t>
  </si>
  <si>
    <t>Fiorina 151</t>
  </si>
  <si>
    <t>Mine 4</t>
  </si>
  <si>
    <t>Mine 5</t>
  </si>
  <si>
    <t>Mine 6</t>
  </si>
  <si>
    <t>Mine 7</t>
  </si>
  <si>
    <t>Mine 8</t>
  </si>
  <si>
    <t>Mine 9</t>
  </si>
  <si>
    <t>Mine 10</t>
  </si>
  <si>
    <t>Capacity multiplier</t>
  </si>
  <si>
    <t>Day-of-week factors</t>
  </si>
  <si>
    <t>Weekday</t>
  </si>
  <si>
    <t>Mon</t>
  </si>
  <si>
    <t>Tue</t>
  </si>
  <si>
    <t>Wed</t>
  </si>
  <si>
    <t>Thu</t>
  </si>
  <si>
    <t>Fri</t>
  </si>
  <si>
    <t>Sat</t>
  </si>
  <si>
    <t>Sun</t>
  </si>
  <si>
    <t>Output factor</t>
  </si>
  <si>
    <t>Events</t>
  </si>
  <si>
    <t>Event activation by mine (calculated)</t>
  </si>
  <si>
    <t>Event</t>
  </si>
  <si>
    <t>Duration (days)</t>
  </si>
  <si>
    <t>Peak factor</t>
  </si>
  <si>
    <t>Probability</t>
  </si>
  <si>
    <t>Equipment failure</t>
  </si>
  <si>
    <t>High-grade deposit</t>
  </si>
  <si>
    <t>Shutdown</t>
  </si>
  <si>
    <t>Extra shift</t>
  </si>
  <si>
    <t>Units: tonnes per day. Amber cells are inputs. Change the seed to generate a new scenario.</t>
  </si>
  <si>
    <t>Output = smoothed base × mine capacity × weekday factor × growth × active event factors.</t>
  </si>
  <si>
    <t>Probability applies once per event and mine. Peak factor 0.4 means a 60% drop; 1.4 means a 40% rise.</t>
  </si>
  <si>
    <t>Seeded formula generator. Normal/uniform describes the daily innovations before smoothing and other effects.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</si>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</sst>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1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rgb="FF24353D"/>
      <name val="Arial"/>
    </font>
    <font>
      <b/>
      <sz val="16.0"/>
      <color rgb="FF213C4A"/>
      <name val="Arial"/>
    </font>
    <font>
      <sz val="10.0"/>
      <color rgb="FF647680"/>
      <name val="Arial"/>
    </font>
    <font>
      <b/>
      <sz val="10.0"/>
      <color rgb="FF24353D"/>
      <name val="Arial"/>
    </font>
    <font>
      <sz val="10.0"/>
      <color rgb="FF217C83"/>
      <name val="Arial"/>
    </font>
    <font>
      <sz val="10.0"/>
      <color rgb="FFD49A3B"/>
      <name val="Arial"/>
    </font>
    <font>
      <sz val="10.0"/>
      <color rgb="FF695D99"/>
      <name val="Arial"/>
    </font>
    <font>
      <sz val="10.0"/>
      <color rgb="FF578658"/>
      <name val="Arial"/>
    </font>
    <font>
      <sz val="10.0"/>
      <color rgb="FFC16A5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13C4A"/>
        <bgColor rgb="FF213C4A"/>
      </patternFill>
    </fill>
    <fill>
      <patternFill patternType="solid">
        <fgColor rgb="FFFFF0CD"/>
        <bgColor rgb="FFFFF0CD"/>
      </patternFill>
    </fill>
    <fill>
      <patternFill patternType="solid">
        <fgColor rgb="FFEDF1F4"/>
        <bgColor rgb="FFEDF1F4"/>
      </patternFill>
    </fill>
    <fill>
      <patternFill patternType="solid">
        <fgColor rgb="FFEDF2F5"/>
        <bgColor rgb="FFEDF2F5"/>
      </patternFill>
    </fill>
  </fills>
  <borders count="5">
    <border/>
    <border>
      <left style="thin">
        <color rgb="FF93A7B1"/>
      </left>
      <right style="thin">
        <color rgb="FF93A7B1"/>
      </right>
      <top style="thin">
        <color rgb="FF93A7B1"/>
      </top>
      <bottom style="thin">
        <color rgb="FF93A7B1"/>
      </bottom>
    </border>
    <border>
      <left style="thin">
        <color rgb="FFBDC8CF"/>
      </left>
      <right style="thin">
        <color rgb="FFBDC8CF"/>
      </right>
      <top style="thin">
        <color rgb="FFBDC8CF"/>
      </top>
      <bottom style="thin">
        <color rgb="FFBDC8CF"/>
      </bottom>
    </border>
    <border>
      <left style="thin">
        <color rgb="FFB8A876"/>
      </left>
      <right style="thin">
        <color rgb="FFB8A876"/>
      </right>
      <top style="thin">
        <color rgb="FFB8A876"/>
      </top>
      <bottom style="thin">
        <color rgb="FFB8A87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2" fillId="0" fontId="2" numFmtId="0" xfId="0" applyBorder="1" applyFont="1"/>
    <xf borderId="3" fillId="3" fontId="2" numFmtId="164" xfId="0" applyBorder="1" applyFill="1" applyFont="1" applyNumberFormat="1"/>
    <xf borderId="3" fillId="3" fontId="2" numFmtId="0" xfId="0" applyBorder="1" applyFill="1" applyFont="1"/>
    <xf borderId="2" fillId="0" fontId="2" numFmtId="164" xfId="0" applyBorder="1" applyFont="1" applyNumberFormat="1"/>
    <xf borderId="1" fillId="0" fontId="2" numFmtId="0" xfId="0" applyBorder="1" applyFont="1"/>
    <xf borderId="2" fillId="4" fontId="2" numFmtId="0" xfId="0" applyBorder="1" applyFill="1" applyFont="1"/>
    <xf borderId="2" fillId="0" fontId="2" numFmtId="4" xfId="0" applyBorder="1" applyFont="1" applyNumberFormat="1"/>
    <xf borderId="3" fillId="3" fontId="2" numFmtId="165" xfId="0" applyBorder="1" applyFill="1" applyFont="1" applyNumberFormat="1"/>
    <xf borderId="3" fillId="3" fontId="2" numFmtId="0" xfId="0" applyAlignment="1" applyBorder="1" applyFill="1" applyFont="1">
      <alignment readingOrder="0"/>
    </xf>
    <xf borderId="4" fillId="2" fontId="1" numFmtId="0" xfId="0" applyBorder="1" applyFill="1" applyFont="1"/>
    <xf borderId="1" fillId="2" fontId="1" numFmtId="1" xfId="0" applyBorder="1" applyFill="1" applyFont="1" applyNumberFormat="1"/>
    <xf borderId="3" fillId="3" fontId="2" numFmtId="9" xfId="0" applyBorder="1" applyFill="1" applyFont="1" applyNumberFormat="1"/>
    <xf borderId="2" fillId="0" fontId="2" numFmtId="1" xfId="0" applyBorder="1" applyFont="1" applyNumberFormat="1"/>
    <xf borderId="0" fillId="0" fontId="4" numFmtId="0" xfId="0" applyFont="1"/>
    <xf borderId="2" fillId="5" fontId="5" numFmtId="4" xfId="0" applyBorder="1" applyFill="1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mining output (tonnes)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LV-426</c:v>
          </c:tx>
          <c:spPr>
            <a:ln cmpd="sng" w="19050">
              <a:solidFill>
                <a:srgbClr val="217C83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Output!$B$2:$B$367</c:f>
              <c:numCache/>
            </c:numRef>
          </c:val>
          <c:smooth val="0"/>
        </c:ser>
        <c:ser>
          <c:idx val="1"/>
          <c:order val="1"/>
          <c:tx>
            <c:v>Origae-6</c:v>
          </c:tx>
          <c:spPr>
            <a:ln cmpd="sng" w="19050">
              <a:solidFill>
                <a:srgbClr val="D49A3B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Output!$C$2:$C$367</c:f>
              <c:numCache/>
            </c:numRef>
          </c:val>
          <c:smooth val="0"/>
        </c:ser>
        <c:ser>
          <c:idx val="2"/>
          <c:order val="2"/>
          <c:tx>
            <c:v>Fiorina 151</c:v>
          </c:tx>
          <c:spPr>
            <a:ln cmpd="sng" w="19050">
              <a:solidFill>
                <a:srgbClr val="695D99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Output!$D$2:$D$367</c:f>
              <c:numCache/>
            </c:numRef>
          </c:val>
          <c:smooth val="0"/>
        </c:ser>
        <c:axId val="1826304976"/>
        <c:axId val="1928733256"/>
      </c:lineChart>
      <c:catAx>
        <c:axId val="182630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yyyy-mm-dd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Arial"/>
              </a:defRPr>
            </a:pPr>
          </a:p>
        </c:txPr>
        <c:crossAx val="1928733256"/>
      </c:catAx>
      <c:valAx>
        <c:axId val="1928733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700">
                <a:solidFill>
                  <a:srgbClr val="000000"/>
                </a:solidFill>
                <a:latin typeface="Arial"/>
              </a:defRPr>
            </a:pPr>
          </a:p>
        </c:txPr>
        <c:crossAx val="182630497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13716000" cy="5600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3C4A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0"/>
    <col customWidth="1" min="2" max="31" width="15.0"/>
  </cols>
  <sheetData>
    <row r="1" ht="27.0" customHeight="1">
      <c r="A1" s="1" t="s">
        <v>0</v>
      </c>
      <c r="B1" s="1" t="str">
        <f>IF(1&lt;=Controls!$B$6,Controls!B$16,"")</f>
        <v>LV-426</v>
      </c>
      <c r="C1" s="1" t="str">
        <f>IF(2&lt;=Controls!$B$6,Controls!C$16,"")</f>
        <v>Origae-6</v>
      </c>
      <c r="D1" s="1" t="str">
        <f>IF(3&lt;=Controls!$B$6,Controls!D$16,"")</f>
        <v>Fiorina 151</v>
      </c>
      <c r="E1" s="1" t="str">
        <f>IF(4&lt;=Controls!$B$6,Controls!E$16,"")</f>
        <v/>
      </c>
      <c r="F1" s="1" t="str">
        <f>IF(5&lt;=Controls!$B$6,Controls!F$16,"")</f>
        <v/>
      </c>
      <c r="G1" s="1" t="str">
        <f>IF(6&lt;=Controls!$B$6,Controls!G$16,"")</f>
        <v/>
      </c>
      <c r="H1" s="1" t="str">
        <f>IF(7&lt;=Controls!$B$6,Controls!H$16,"")</f>
        <v/>
      </c>
      <c r="I1" s="1" t="str">
        <f>IF(8&lt;=Controls!$B$6,Controls!I$16,"")</f>
        <v/>
      </c>
      <c r="J1" s="1" t="str">
        <f>IF(9&lt;=Controls!$B$6,Controls!J$16,"")</f>
        <v/>
      </c>
      <c r="K1" s="1" t="str">
        <f>IF(10&lt;=Controls!$B$6,Controls!K$16,"")</f>
        <v/>
      </c>
      <c r="L1" s="1" t="s">
        <v>89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1.0" customHeight="1">
      <c r="A2" s="7">
        <f>IF(1&lt;=Controls!$B$5,Controls!$B$4+0,"")</f>
        <v>72991</v>
      </c>
      <c r="B2" s="10">
        <f t="array" ref="B2">IF(OR($A2="",1&gt;Controls!$B$6),"",ROUND(MAX(0,Smooth!B2*Controls!B$17*INDEX(Controls!$B$21:$H$21,1,WEEKDAY($A2,2))*(1+Controls!$B$11)^0*(1+Controls!G$25*Smooth!$L2)*(1+Controls!G$26*Smooth!$M2)*(1+Controls!G$27*Smooth!$N2)*(1+Controls!G$28*Smooth!$O2)),2))</f>
        <v>61.38</v>
      </c>
      <c r="C2" s="10">
        <f t="array" ref="C2">IF(OR($A2="",2&gt;Controls!$B$6),"",ROUND(MAX(0,Smooth!C2*Controls!C$17*INDEX(Controls!$B$21:$H$21,1,WEEKDAY($A2,2))*(1+Controls!$B$11)^0*(1+Controls!H$25*Smooth!$L2)*(1+Controls!H$26*Smooth!$M2)*(1+Controls!H$27*Smooth!$N2)*(1+Controls!H$28*Smooth!$O2)),2))</f>
        <v>35.59</v>
      </c>
      <c r="D2" s="10">
        <f t="array" ref="D2">IF(OR($A2="",3&gt;Controls!$B$6),"",ROUND(MAX(0,Smooth!D2*Controls!D$17*INDEX(Controls!$B$21:$H$21,1,WEEKDAY($A2,2))*(1+Controls!$B$11)^0*(1+Controls!I$25*Smooth!$L2)*(1+Controls!I$26*Smooth!$M2)*(1+Controls!I$27*Smooth!$N2)*(1+Controls!I$28*Smooth!$O2)),2))</f>
        <v>70.74</v>
      </c>
      <c r="E2" s="10" t="str">
        <f t="array" ref="E2">IF(OR($A2="",4&gt;Controls!$B$6),"",ROUND(MAX(0,Smooth!E2*Controls!E$17*INDEX(Controls!$B$21:$H$21,1,WEEKDAY($A2,2))*(1+Controls!$B$11)^0*(1+Controls!J$25*Smooth!$L2)*(1+Controls!J$26*Smooth!$M2)*(1+Controls!J$27*Smooth!$N2)*(1+Controls!J$28*Smooth!$O2)),2))</f>
        <v/>
      </c>
      <c r="F2" s="10" t="str">
        <f t="array" ref="F2">IF(OR($A2="",5&gt;Controls!$B$6),"",ROUND(MAX(0,Smooth!F2*Controls!F$17*INDEX(Controls!$B$21:$H$21,1,WEEKDAY($A2,2))*(1+Controls!$B$11)^0*(1+Controls!K$25*Smooth!$L2)*(1+Controls!K$26*Smooth!$M2)*(1+Controls!K$27*Smooth!$N2)*(1+Controls!K$28*Smooth!$O2)),2))</f>
        <v/>
      </c>
      <c r="G2" s="10" t="str">
        <f t="array" ref="G2">IF(OR($A2="",6&gt;Controls!$B$6),"",ROUND(MAX(0,Smooth!G2*Controls!G$17*INDEX(Controls!$B$21:$H$21,1,WEEKDAY($A2,2))*(1+Controls!$B$11)^0*(1+Controls!L$25*Smooth!$L2)*(1+Controls!L$26*Smooth!$M2)*(1+Controls!L$27*Smooth!$N2)*(1+Controls!L$28*Smooth!$O2)),2))</f>
        <v/>
      </c>
      <c r="H2" s="10" t="str">
        <f t="array" ref="H2">IF(OR($A2="",7&gt;Controls!$B$6),"",ROUND(MAX(0,Smooth!H2*Controls!H$17*INDEX(Controls!$B$21:$H$21,1,WEEKDAY($A2,2))*(1+Controls!$B$11)^0*(1+Controls!M$25*Smooth!$L2)*(1+Controls!M$26*Smooth!$M2)*(1+Controls!M$27*Smooth!$N2)*(1+Controls!M$28*Smooth!$O2)),2))</f>
        <v/>
      </c>
      <c r="I2" s="10" t="str">
        <f t="array" ref="I2">IF(OR($A2="",8&gt;Controls!$B$6),"",ROUND(MAX(0,Smooth!I2*Controls!I$17*INDEX(Controls!$B$21:$H$21,1,WEEKDAY($A2,2))*(1+Controls!$B$11)^0*(1+Controls!N$25*Smooth!$L2)*(1+Controls!N$26*Smooth!$M2)*(1+Controls!N$27*Smooth!$N2)*(1+Controls!N$28*Smooth!$O2)),2))</f>
        <v/>
      </c>
      <c r="J2" s="10" t="str">
        <f t="array" ref="J2">IF(OR($A2="",9&gt;Controls!$B$6),"",ROUND(MAX(0,Smooth!J2*Controls!J$17*INDEX(Controls!$B$21:$H$21,1,WEEKDAY($A2,2))*(1+Controls!$B$11)^0*(1+Controls!O$25*Smooth!$L2)*(1+Controls!O$26*Smooth!$M2)*(1+Controls!O$27*Smooth!$N2)*(1+Controls!O$28*Smooth!$O2)),2))</f>
        <v/>
      </c>
      <c r="K2" s="10" t="str">
        <f t="array" ref="K2">IF(OR($A2="",10&gt;Controls!$B$6),"",ROUND(MAX(0,Smooth!K2*Controls!K$17*INDEX(Controls!$B$21:$H$21,1,WEEKDAY($A2,2))*(1+Controls!$B$11)^0*(1+Controls!P$25*Smooth!$L2)*(1+Controls!P$26*Smooth!$M2)*(1+Controls!P$27*Smooth!$N2)*(1+Controls!P$28*Smooth!$O2)),2))</f>
        <v/>
      </c>
      <c r="L2" s="18">
        <f t="shared" ref="L2:L367" si="1">IF(A2="","",SUM(B2:K2))</f>
        <v>167.71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7">
        <f>IF(2&lt;=Controls!$B$5,Controls!$B$4+1,"")</f>
        <v>72992</v>
      </c>
      <c r="B3" s="10">
        <f t="array" ref="B3">IF(OR($A3="",1&gt;Controls!$B$6),"",ROUND(MAX(0,Smooth!B3*Controls!B$17*INDEX(Controls!$B$21:$H$21,1,WEEKDAY($A3,2))*(1+Controls!$B$11)^1*(1+Controls!G$25*Smooth!$L3)*(1+Controls!G$26*Smooth!$M3)*(1+Controls!G$27*Smooth!$N3)*(1+Controls!G$28*Smooth!$O3)),2))</f>
        <v>60.22</v>
      </c>
      <c r="C3" s="10">
        <f t="array" ref="C3">IF(OR($A3="",2&gt;Controls!$B$6),"",ROUND(MAX(0,Smooth!C3*Controls!C$17*INDEX(Controls!$B$21:$H$21,1,WEEKDAY($A3,2))*(1+Controls!$B$11)^1*(1+Controls!H$25*Smooth!$L3)*(1+Controls!H$26*Smooth!$M3)*(1+Controls!H$27*Smooth!$N3)*(1+Controls!H$28*Smooth!$O3)),2))</f>
        <v>34.07</v>
      </c>
      <c r="D3" s="10">
        <f t="array" ref="D3">IF(OR($A3="",3&gt;Controls!$B$6),"",ROUND(MAX(0,Smooth!D3*Controls!D$17*INDEX(Controls!$B$21:$H$21,1,WEEKDAY($A3,2))*(1+Controls!$B$11)^1*(1+Controls!I$25*Smooth!$L3)*(1+Controls!I$26*Smooth!$M3)*(1+Controls!I$27*Smooth!$N3)*(1+Controls!I$28*Smooth!$O3)),2))</f>
        <v>73.47</v>
      </c>
      <c r="E3" s="10" t="str">
        <f t="array" ref="E3">IF(OR($A3="",4&gt;Controls!$B$6),"",ROUND(MAX(0,Smooth!E3*Controls!E$17*INDEX(Controls!$B$21:$H$21,1,WEEKDAY($A3,2))*(1+Controls!$B$11)^1*(1+Controls!J$25*Smooth!$L3)*(1+Controls!J$26*Smooth!$M3)*(1+Controls!J$27*Smooth!$N3)*(1+Controls!J$28*Smooth!$O3)),2))</f>
        <v/>
      </c>
      <c r="F3" s="10" t="str">
        <f t="array" ref="F3">IF(OR($A3="",5&gt;Controls!$B$6),"",ROUND(MAX(0,Smooth!F3*Controls!F$17*INDEX(Controls!$B$21:$H$21,1,WEEKDAY($A3,2))*(1+Controls!$B$11)^1*(1+Controls!K$25*Smooth!$L3)*(1+Controls!K$26*Smooth!$M3)*(1+Controls!K$27*Smooth!$N3)*(1+Controls!K$28*Smooth!$O3)),2))</f>
        <v/>
      </c>
      <c r="G3" s="10" t="str">
        <f t="array" ref="G3">IF(OR($A3="",6&gt;Controls!$B$6),"",ROUND(MAX(0,Smooth!G3*Controls!G$17*INDEX(Controls!$B$21:$H$21,1,WEEKDAY($A3,2))*(1+Controls!$B$11)^1*(1+Controls!L$25*Smooth!$L3)*(1+Controls!L$26*Smooth!$M3)*(1+Controls!L$27*Smooth!$N3)*(1+Controls!L$28*Smooth!$O3)),2))</f>
        <v/>
      </c>
      <c r="H3" s="10" t="str">
        <f t="array" ref="H3">IF(OR($A3="",7&gt;Controls!$B$6),"",ROUND(MAX(0,Smooth!H3*Controls!H$17*INDEX(Controls!$B$21:$H$21,1,WEEKDAY($A3,2))*(1+Controls!$B$11)^1*(1+Controls!M$25*Smooth!$L3)*(1+Controls!M$26*Smooth!$M3)*(1+Controls!M$27*Smooth!$N3)*(1+Controls!M$28*Smooth!$O3)),2))</f>
        <v/>
      </c>
      <c r="I3" s="10" t="str">
        <f t="array" ref="I3">IF(OR($A3="",8&gt;Controls!$B$6),"",ROUND(MAX(0,Smooth!I3*Controls!I$17*INDEX(Controls!$B$21:$H$21,1,WEEKDAY($A3,2))*(1+Controls!$B$11)^1*(1+Controls!N$25*Smooth!$L3)*(1+Controls!N$26*Smooth!$M3)*(1+Controls!N$27*Smooth!$N3)*(1+Controls!N$28*Smooth!$O3)),2))</f>
        <v/>
      </c>
      <c r="J3" s="10" t="str">
        <f t="array" ref="J3">IF(OR($A3="",9&gt;Controls!$B$6),"",ROUND(MAX(0,Smooth!J3*Controls!J$17*INDEX(Controls!$B$21:$H$21,1,WEEKDAY($A3,2))*(1+Controls!$B$11)^1*(1+Controls!O$25*Smooth!$L3)*(1+Controls!O$26*Smooth!$M3)*(1+Controls!O$27*Smooth!$N3)*(1+Controls!O$28*Smooth!$O3)),2))</f>
        <v/>
      </c>
      <c r="K3" s="10" t="str">
        <f t="array" ref="K3">IF(OR($A3="",10&gt;Controls!$B$6),"",ROUND(MAX(0,Smooth!K3*Controls!K$17*INDEX(Controls!$B$21:$H$21,1,WEEKDAY($A3,2))*(1+Controls!$B$11)^1*(1+Controls!P$25*Smooth!$L3)*(1+Controls!P$26*Smooth!$M3)*(1+Controls!P$27*Smooth!$N3)*(1+Controls!P$28*Smooth!$O3)),2))</f>
        <v/>
      </c>
      <c r="L3" s="18">
        <f t="shared" si="1"/>
        <v>167.76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1.0" customHeight="1">
      <c r="A4" s="7">
        <f>IF(3&lt;=Controls!$B$5,Controls!$B$4+2,"")</f>
        <v>72993</v>
      </c>
      <c r="B4" s="10">
        <f t="array" ref="B4">IF(OR($A4="",1&gt;Controls!$B$6),"",ROUND(MAX(0,Smooth!B4*Controls!B$17*INDEX(Controls!$B$21:$H$21,1,WEEKDAY($A4,2))*(1+Controls!$B$11)^2*(1+Controls!G$25*Smooth!$L4)*(1+Controls!G$26*Smooth!$M4)*(1+Controls!G$27*Smooth!$N4)*(1+Controls!G$28*Smooth!$O4)),2))</f>
        <v>52.97</v>
      </c>
      <c r="C4" s="10">
        <f t="array" ref="C4">IF(OR($A4="",2&gt;Controls!$B$6),"",ROUND(MAX(0,Smooth!C4*Controls!C$17*INDEX(Controls!$B$21:$H$21,1,WEEKDAY($A4,2))*(1+Controls!$B$11)^2*(1+Controls!H$25*Smooth!$L4)*(1+Controls!H$26*Smooth!$M4)*(1+Controls!H$27*Smooth!$N4)*(1+Controls!H$28*Smooth!$O4)),2))</f>
        <v>32.41</v>
      </c>
      <c r="D4" s="10">
        <f t="array" ref="D4">IF(OR($A4="",3&gt;Controls!$B$6),"",ROUND(MAX(0,Smooth!D4*Controls!D$17*INDEX(Controls!$B$21:$H$21,1,WEEKDAY($A4,2))*(1+Controls!$B$11)^2*(1+Controls!I$25*Smooth!$L4)*(1+Controls!I$26*Smooth!$M4)*(1+Controls!I$27*Smooth!$N4)*(1+Controls!I$28*Smooth!$O4)),2))</f>
        <v>63.4</v>
      </c>
      <c r="E4" s="10" t="str">
        <f t="array" ref="E4">IF(OR($A4="",4&gt;Controls!$B$6),"",ROUND(MAX(0,Smooth!E4*Controls!E$17*INDEX(Controls!$B$21:$H$21,1,WEEKDAY($A4,2))*(1+Controls!$B$11)^2*(1+Controls!J$25*Smooth!$L4)*(1+Controls!J$26*Smooth!$M4)*(1+Controls!J$27*Smooth!$N4)*(1+Controls!J$28*Smooth!$O4)),2))</f>
        <v/>
      </c>
      <c r="F4" s="10" t="str">
        <f t="array" ref="F4">IF(OR($A4="",5&gt;Controls!$B$6),"",ROUND(MAX(0,Smooth!F4*Controls!F$17*INDEX(Controls!$B$21:$H$21,1,WEEKDAY($A4,2))*(1+Controls!$B$11)^2*(1+Controls!K$25*Smooth!$L4)*(1+Controls!K$26*Smooth!$M4)*(1+Controls!K$27*Smooth!$N4)*(1+Controls!K$28*Smooth!$O4)),2))</f>
        <v/>
      </c>
      <c r="G4" s="10" t="str">
        <f t="array" ref="G4">IF(OR($A4="",6&gt;Controls!$B$6),"",ROUND(MAX(0,Smooth!G4*Controls!G$17*INDEX(Controls!$B$21:$H$21,1,WEEKDAY($A4,2))*(1+Controls!$B$11)^2*(1+Controls!L$25*Smooth!$L4)*(1+Controls!L$26*Smooth!$M4)*(1+Controls!L$27*Smooth!$N4)*(1+Controls!L$28*Smooth!$O4)),2))</f>
        <v/>
      </c>
      <c r="H4" s="10" t="str">
        <f t="array" ref="H4">IF(OR($A4="",7&gt;Controls!$B$6),"",ROUND(MAX(0,Smooth!H4*Controls!H$17*INDEX(Controls!$B$21:$H$21,1,WEEKDAY($A4,2))*(1+Controls!$B$11)^2*(1+Controls!M$25*Smooth!$L4)*(1+Controls!M$26*Smooth!$M4)*(1+Controls!M$27*Smooth!$N4)*(1+Controls!M$28*Smooth!$O4)),2))</f>
        <v/>
      </c>
      <c r="I4" s="10" t="str">
        <f t="array" ref="I4">IF(OR($A4="",8&gt;Controls!$B$6),"",ROUND(MAX(0,Smooth!I4*Controls!I$17*INDEX(Controls!$B$21:$H$21,1,WEEKDAY($A4,2))*(1+Controls!$B$11)^2*(1+Controls!N$25*Smooth!$L4)*(1+Controls!N$26*Smooth!$M4)*(1+Controls!N$27*Smooth!$N4)*(1+Controls!N$28*Smooth!$O4)),2))</f>
        <v/>
      </c>
      <c r="J4" s="10" t="str">
        <f t="array" ref="J4">IF(OR($A4="",9&gt;Controls!$B$6),"",ROUND(MAX(0,Smooth!J4*Controls!J$17*INDEX(Controls!$B$21:$H$21,1,WEEKDAY($A4,2))*(1+Controls!$B$11)^2*(1+Controls!O$25*Smooth!$L4)*(1+Controls!O$26*Smooth!$M4)*(1+Controls!O$27*Smooth!$N4)*(1+Controls!O$28*Smooth!$O4)),2))</f>
        <v/>
      </c>
      <c r="K4" s="10" t="str">
        <f t="array" ref="K4">IF(OR($A4="",10&gt;Controls!$B$6),"",ROUND(MAX(0,Smooth!K4*Controls!K$17*INDEX(Controls!$B$21:$H$21,1,WEEKDAY($A4,2))*(1+Controls!$B$11)^2*(1+Controls!P$25*Smooth!$L4)*(1+Controls!P$26*Smooth!$M4)*(1+Controls!P$27*Smooth!$N4)*(1+Controls!P$28*Smooth!$O4)),2))</f>
        <v/>
      </c>
      <c r="L4" s="18">
        <f t="shared" si="1"/>
        <v>148.78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1.0" customHeight="1">
      <c r="A5" s="7">
        <f>IF(4&lt;=Controls!$B$5,Controls!$B$4+3,"")</f>
        <v>72994</v>
      </c>
      <c r="B5" s="10">
        <f t="array" ref="B5">IF(OR($A5="",1&gt;Controls!$B$6),"",ROUND(MAX(0,Smooth!B5*Controls!B$17*INDEX(Controls!$B$21:$H$21,1,WEEKDAY($A5,2))*(1+Controls!$B$11)^3*(1+Controls!G$25*Smooth!$L5)*(1+Controls!G$26*Smooth!$M5)*(1+Controls!G$27*Smooth!$N5)*(1+Controls!G$28*Smooth!$O5)),2))</f>
        <v>44.96</v>
      </c>
      <c r="C5" s="10">
        <f t="array" ref="C5">IF(OR($A5="",2&gt;Controls!$B$6),"",ROUND(MAX(0,Smooth!C5*Controls!C$17*INDEX(Controls!$B$21:$H$21,1,WEEKDAY($A5,2))*(1+Controls!$B$11)^3*(1+Controls!H$25*Smooth!$L5)*(1+Controls!H$26*Smooth!$M5)*(1+Controls!H$27*Smooth!$N5)*(1+Controls!H$28*Smooth!$O5)),2))</f>
        <v>28.42</v>
      </c>
      <c r="D5" s="10">
        <f t="array" ref="D5">IF(OR($A5="",3&gt;Controls!$B$6),"",ROUND(MAX(0,Smooth!D5*Controls!D$17*INDEX(Controls!$B$21:$H$21,1,WEEKDAY($A5,2))*(1+Controls!$B$11)^3*(1+Controls!I$25*Smooth!$L5)*(1+Controls!I$26*Smooth!$M5)*(1+Controls!I$27*Smooth!$N5)*(1+Controls!I$28*Smooth!$O5)),2))</f>
        <v>51.79</v>
      </c>
      <c r="E5" s="10" t="str">
        <f t="array" ref="E5">IF(OR($A5="",4&gt;Controls!$B$6),"",ROUND(MAX(0,Smooth!E5*Controls!E$17*INDEX(Controls!$B$21:$H$21,1,WEEKDAY($A5,2))*(1+Controls!$B$11)^3*(1+Controls!J$25*Smooth!$L5)*(1+Controls!J$26*Smooth!$M5)*(1+Controls!J$27*Smooth!$N5)*(1+Controls!J$28*Smooth!$O5)),2))</f>
        <v/>
      </c>
      <c r="F5" s="10" t="str">
        <f t="array" ref="F5">IF(OR($A5="",5&gt;Controls!$B$6),"",ROUND(MAX(0,Smooth!F5*Controls!F$17*INDEX(Controls!$B$21:$H$21,1,WEEKDAY($A5,2))*(1+Controls!$B$11)^3*(1+Controls!K$25*Smooth!$L5)*(1+Controls!K$26*Smooth!$M5)*(1+Controls!K$27*Smooth!$N5)*(1+Controls!K$28*Smooth!$O5)),2))</f>
        <v/>
      </c>
      <c r="G5" s="10" t="str">
        <f t="array" ref="G5">IF(OR($A5="",6&gt;Controls!$B$6),"",ROUND(MAX(0,Smooth!G5*Controls!G$17*INDEX(Controls!$B$21:$H$21,1,WEEKDAY($A5,2))*(1+Controls!$B$11)^3*(1+Controls!L$25*Smooth!$L5)*(1+Controls!L$26*Smooth!$M5)*(1+Controls!L$27*Smooth!$N5)*(1+Controls!L$28*Smooth!$O5)),2))</f>
        <v/>
      </c>
      <c r="H5" s="10" t="str">
        <f t="array" ref="H5">IF(OR($A5="",7&gt;Controls!$B$6),"",ROUND(MAX(0,Smooth!H5*Controls!H$17*INDEX(Controls!$B$21:$H$21,1,WEEKDAY($A5,2))*(1+Controls!$B$11)^3*(1+Controls!M$25*Smooth!$L5)*(1+Controls!M$26*Smooth!$M5)*(1+Controls!M$27*Smooth!$N5)*(1+Controls!M$28*Smooth!$O5)),2))</f>
        <v/>
      </c>
      <c r="I5" s="10" t="str">
        <f t="array" ref="I5">IF(OR($A5="",8&gt;Controls!$B$6),"",ROUND(MAX(0,Smooth!I5*Controls!I$17*INDEX(Controls!$B$21:$H$21,1,WEEKDAY($A5,2))*(1+Controls!$B$11)^3*(1+Controls!N$25*Smooth!$L5)*(1+Controls!N$26*Smooth!$M5)*(1+Controls!N$27*Smooth!$N5)*(1+Controls!N$28*Smooth!$O5)),2))</f>
        <v/>
      </c>
      <c r="J5" s="10" t="str">
        <f t="array" ref="J5">IF(OR($A5="",9&gt;Controls!$B$6),"",ROUND(MAX(0,Smooth!J5*Controls!J$17*INDEX(Controls!$B$21:$H$21,1,WEEKDAY($A5,2))*(1+Controls!$B$11)^3*(1+Controls!O$25*Smooth!$L5)*(1+Controls!O$26*Smooth!$M5)*(1+Controls!O$27*Smooth!$N5)*(1+Controls!O$28*Smooth!$O5)),2))</f>
        <v/>
      </c>
      <c r="K5" s="10" t="str">
        <f t="array" ref="K5">IF(OR($A5="",10&gt;Controls!$B$6),"",ROUND(MAX(0,Smooth!K5*Controls!K$17*INDEX(Controls!$B$21:$H$21,1,WEEKDAY($A5,2))*(1+Controls!$B$11)^3*(1+Controls!P$25*Smooth!$L5)*(1+Controls!P$26*Smooth!$M5)*(1+Controls!P$27*Smooth!$N5)*(1+Controls!P$28*Smooth!$O5)),2))</f>
        <v/>
      </c>
      <c r="L5" s="18">
        <f t="shared" si="1"/>
        <v>125.17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1.0" customHeight="1">
      <c r="A6" s="7">
        <f>IF(5&lt;=Controls!$B$5,Controls!$B$4+4,"")</f>
        <v>72995</v>
      </c>
      <c r="B6" s="10">
        <f t="array" ref="B6">IF(OR($A6="",1&gt;Controls!$B$6),"",ROUND(MAX(0,Smooth!B6*Controls!B$17*INDEX(Controls!$B$21:$H$21,1,WEEKDAY($A6,2))*(1+Controls!$B$11)^4*(1+Controls!G$25*Smooth!$L6)*(1+Controls!G$26*Smooth!$M6)*(1+Controls!G$27*Smooth!$N6)*(1+Controls!G$28*Smooth!$O6)),2))</f>
        <v>55.02</v>
      </c>
      <c r="C6" s="10">
        <f t="array" ref="C6">IF(OR($A6="",2&gt;Controls!$B$6),"",ROUND(MAX(0,Smooth!C6*Controls!C$17*INDEX(Controls!$B$21:$H$21,1,WEEKDAY($A6,2))*(1+Controls!$B$11)^4*(1+Controls!H$25*Smooth!$L6)*(1+Controls!H$26*Smooth!$M6)*(1+Controls!H$27*Smooth!$N6)*(1+Controls!H$28*Smooth!$O6)),2))</f>
        <v>27.74</v>
      </c>
      <c r="D6" s="10">
        <f t="array" ref="D6">IF(OR($A6="",3&gt;Controls!$B$6),"",ROUND(MAX(0,Smooth!D6*Controls!D$17*INDEX(Controls!$B$21:$H$21,1,WEEKDAY($A6,2))*(1+Controls!$B$11)^4*(1+Controls!I$25*Smooth!$L6)*(1+Controls!I$26*Smooth!$M6)*(1+Controls!I$27*Smooth!$N6)*(1+Controls!I$28*Smooth!$O6)),2))</f>
        <v>46.67</v>
      </c>
      <c r="E6" s="10" t="str">
        <f t="array" ref="E6">IF(OR($A6="",4&gt;Controls!$B$6),"",ROUND(MAX(0,Smooth!E6*Controls!E$17*INDEX(Controls!$B$21:$H$21,1,WEEKDAY($A6,2))*(1+Controls!$B$11)^4*(1+Controls!J$25*Smooth!$L6)*(1+Controls!J$26*Smooth!$M6)*(1+Controls!J$27*Smooth!$N6)*(1+Controls!J$28*Smooth!$O6)),2))</f>
        <v/>
      </c>
      <c r="F6" s="10" t="str">
        <f t="array" ref="F6">IF(OR($A6="",5&gt;Controls!$B$6),"",ROUND(MAX(0,Smooth!F6*Controls!F$17*INDEX(Controls!$B$21:$H$21,1,WEEKDAY($A6,2))*(1+Controls!$B$11)^4*(1+Controls!K$25*Smooth!$L6)*(1+Controls!K$26*Smooth!$M6)*(1+Controls!K$27*Smooth!$N6)*(1+Controls!K$28*Smooth!$O6)),2))</f>
        <v/>
      </c>
      <c r="G6" s="10" t="str">
        <f t="array" ref="G6">IF(OR($A6="",6&gt;Controls!$B$6),"",ROUND(MAX(0,Smooth!G6*Controls!G$17*INDEX(Controls!$B$21:$H$21,1,WEEKDAY($A6,2))*(1+Controls!$B$11)^4*(1+Controls!L$25*Smooth!$L6)*(1+Controls!L$26*Smooth!$M6)*(1+Controls!L$27*Smooth!$N6)*(1+Controls!L$28*Smooth!$O6)),2))</f>
        <v/>
      </c>
      <c r="H6" s="10" t="str">
        <f t="array" ref="H6">IF(OR($A6="",7&gt;Controls!$B$6),"",ROUND(MAX(0,Smooth!H6*Controls!H$17*INDEX(Controls!$B$21:$H$21,1,WEEKDAY($A6,2))*(1+Controls!$B$11)^4*(1+Controls!M$25*Smooth!$L6)*(1+Controls!M$26*Smooth!$M6)*(1+Controls!M$27*Smooth!$N6)*(1+Controls!M$28*Smooth!$O6)),2))</f>
        <v/>
      </c>
      <c r="I6" s="10" t="str">
        <f t="array" ref="I6">IF(OR($A6="",8&gt;Controls!$B$6),"",ROUND(MAX(0,Smooth!I6*Controls!I$17*INDEX(Controls!$B$21:$H$21,1,WEEKDAY($A6,2))*(1+Controls!$B$11)^4*(1+Controls!N$25*Smooth!$L6)*(1+Controls!N$26*Smooth!$M6)*(1+Controls!N$27*Smooth!$N6)*(1+Controls!N$28*Smooth!$O6)),2))</f>
        <v/>
      </c>
      <c r="J6" s="10" t="str">
        <f t="array" ref="J6">IF(OR($A6="",9&gt;Controls!$B$6),"",ROUND(MAX(0,Smooth!J6*Controls!J$17*INDEX(Controls!$B$21:$H$21,1,WEEKDAY($A6,2))*(1+Controls!$B$11)^4*(1+Controls!O$25*Smooth!$L6)*(1+Controls!O$26*Smooth!$M6)*(1+Controls!O$27*Smooth!$N6)*(1+Controls!O$28*Smooth!$O6)),2))</f>
        <v/>
      </c>
      <c r="K6" s="10" t="str">
        <f t="array" ref="K6">IF(OR($A6="",10&gt;Controls!$B$6),"",ROUND(MAX(0,Smooth!K6*Controls!K$17*INDEX(Controls!$B$21:$H$21,1,WEEKDAY($A6,2))*(1+Controls!$B$11)^4*(1+Controls!P$25*Smooth!$L6)*(1+Controls!P$26*Smooth!$M6)*(1+Controls!P$27*Smooth!$N6)*(1+Controls!P$28*Smooth!$O6)),2))</f>
        <v/>
      </c>
      <c r="L6" s="18">
        <f t="shared" si="1"/>
        <v>129.43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1.0" customHeight="1">
      <c r="A7" s="7">
        <f>IF(6&lt;=Controls!$B$5,Controls!$B$4+5,"")</f>
        <v>72996</v>
      </c>
      <c r="B7" s="10">
        <f t="array" ref="B7">IF(OR($A7="",1&gt;Controls!$B$6),"",ROUND(MAX(0,Smooth!B7*Controls!B$17*INDEX(Controls!$B$21:$H$21,1,WEEKDAY($A7,2))*(1+Controls!$B$11)^5*(1+Controls!G$25*Smooth!$L7)*(1+Controls!G$26*Smooth!$M7)*(1+Controls!G$27*Smooth!$N7)*(1+Controls!G$28*Smooth!$O7)),2))</f>
        <v>42.04</v>
      </c>
      <c r="C7" s="10">
        <f t="array" ref="C7">IF(OR($A7="",2&gt;Controls!$B$6),"",ROUND(MAX(0,Smooth!C7*Controls!C$17*INDEX(Controls!$B$21:$H$21,1,WEEKDAY($A7,2))*(1+Controls!$B$11)^5*(1+Controls!H$25*Smooth!$L7)*(1+Controls!H$26*Smooth!$M7)*(1+Controls!H$27*Smooth!$N7)*(1+Controls!H$28*Smooth!$O7)),2))</f>
        <v>27.91</v>
      </c>
      <c r="D7" s="10">
        <f t="array" ref="D7">IF(OR($A7="",3&gt;Controls!$B$6),"",ROUND(MAX(0,Smooth!D7*Controls!D$17*INDEX(Controls!$B$21:$H$21,1,WEEKDAY($A7,2))*(1+Controls!$B$11)^5*(1+Controls!I$25*Smooth!$L7)*(1+Controls!I$26*Smooth!$M7)*(1+Controls!I$27*Smooth!$N7)*(1+Controls!I$28*Smooth!$O7)),2))</f>
        <v>44.21</v>
      </c>
      <c r="E7" s="10" t="str">
        <f t="array" ref="E7">IF(OR($A7="",4&gt;Controls!$B$6),"",ROUND(MAX(0,Smooth!E7*Controls!E$17*INDEX(Controls!$B$21:$H$21,1,WEEKDAY($A7,2))*(1+Controls!$B$11)^5*(1+Controls!J$25*Smooth!$L7)*(1+Controls!J$26*Smooth!$M7)*(1+Controls!J$27*Smooth!$N7)*(1+Controls!J$28*Smooth!$O7)),2))</f>
        <v/>
      </c>
      <c r="F7" s="10" t="str">
        <f t="array" ref="F7">IF(OR($A7="",5&gt;Controls!$B$6),"",ROUND(MAX(0,Smooth!F7*Controls!F$17*INDEX(Controls!$B$21:$H$21,1,WEEKDAY($A7,2))*(1+Controls!$B$11)^5*(1+Controls!K$25*Smooth!$L7)*(1+Controls!K$26*Smooth!$M7)*(1+Controls!K$27*Smooth!$N7)*(1+Controls!K$28*Smooth!$O7)),2))</f>
        <v/>
      </c>
      <c r="G7" s="10" t="str">
        <f t="array" ref="G7">IF(OR($A7="",6&gt;Controls!$B$6),"",ROUND(MAX(0,Smooth!G7*Controls!G$17*INDEX(Controls!$B$21:$H$21,1,WEEKDAY($A7,2))*(1+Controls!$B$11)^5*(1+Controls!L$25*Smooth!$L7)*(1+Controls!L$26*Smooth!$M7)*(1+Controls!L$27*Smooth!$N7)*(1+Controls!L$28*Smooth!$O7)),2))</f>
        <v/>
      </c>
      <c r="H7" s="10" t="str">
        <f t="array" ref="H7">IF(OR($A7="",7&gt;Controls!$B$6),"",ROUND(MAX(0,Smooth!H7*Controls!H$17*INDEX(Controls!$B$21:$H$21,1,WEEKDAY($A7,2))*(1+Controls!$B$11)^5*(1+Controls!M$25*Smooth!$L7)*(1+Controls!M$26*Smooth!$M7)*(1+Controls!M$27*Smooth!$N7)*(1+Controls!M$28*Smooth!$O7)),2))</f>
        <v/>
      </c>
      <c r="I7" s="10" t="str">
        <f t="array" ref="I7">IF(OR($A7="",8&gt;Controls!$B$6),"",ROUND(MAX(0,Smooth!I7*Controls!I$17*INDEX(Controls!$B$21:$H$21,1,WEEKDAY($A7,2))*(1+Controls!$B$11)^5*(1+Controls!N$25*Smooth!$L7)*(1+Controls!N$26*Smooth!$M7)*(1+Controls!N$27*Smooth!$N7)*(1+Controls!N$28*Smooth!$O7)),2))</f>
        <v/>
      </c>
      <c r="J7" s="10" t="str">
        <f t="array" ref="J7">IF(OR($A7="",9&gt;Controls!$B$6),"",ROUND(MAX(0,Smooth!J7*Controls!J$17*INDEX(Controls!$B$21:$H$21,1,WEEKDAY($A7,2))*(1+Controls!$B$11)^5*(1+Controls!O$25*Smooth!$L7)*(1+Controls!O$26*Smooth!$M7)*(1+Controls!O$27*Smooth!$N7)*(1+Controls!O$28*Smooth!$O7)),2))</f>
        <v/>
      </c>
      <c r="K7" s="10" t="str">
        <f t="array" ref="K7">IF(OR($A7="",10&gt;Controls!$B$6),"",ROUND(MAX(0,Smooth!K7*Controls!K$17*INDEX(Controls!$B$21:$H$21,1,WEEKDAY($A7,2))*(1+Controls!$B$11)^5*(1+Controls!P$25*Smooth!$L7)*(1+Controls!P$26*Smooth!$M7)*(1+Controls!P$27*Smooth!$N7)*(1+Controls!P$28*Smooth!$O7)),2))</f>
        <v/>
      </c>
      <c r="L7" s="18">
        <f t="shared" si="1"/>
        <v>114.16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1.0" customHeight="1">
      <c r="A8" s="7">
        <f>IF(7&lt;=Controls!$B$5,Controls!$B$4+6,"")</f>
        <v>72997</v>
      </c>
      <c r="B8" s="10">
        <f t="array" ref="B8">IF(OR($A8="",1&gt;Controls!$B$6),"",ROUND(MAX(0,Smooth!B8*Controls!B$17*INDEX(Controls!$B$21:$H$21,1,WEEKDAY($A8,2))*(1+Controls!$B$11)^6*(1+Controls!G$25*Smooth!$L8)*(1+Controls!G$26*Smooth!$M8)*(1+Controls!G$27*Smooth!$N8)*(1+Controls!G$28*Smooth!$O8)),2))</f>
        <v>20.7</v>
      </c>
      <c r="C8" s="10">
        <f t="array" ref="C8">IF(OR($A8="",2&gt;Controls!$B$6),"",ROUND(MAX(0,Smooth!C8*Controls!C$17*INDEX(Controls!$B$21:$H$21,1,WEEKDAY($A8,2))*(1+Controls!$B$11)^6*(1+Controls!H$25*Smooth!$L8)*(1+Controls!H$26*Smooth!$M8)*(1+Controls!H$27*Smooth!$N8)*(1+Controls!H$28*Smooth!$O8)),2))</f>
        <v>16.77</v>
      </c>
      <c r="D8" s="10">
        <f t="array" ref="D8">IF(OR($A8="",3&gt;Controls!$B$6),"",ROUND(MAX(0,Smooth!D8*Controls!D$17*INDEX(Controls!$B$21:$H$21,1,WEEKDAY($A8,2))*(1+Controls!$B$11)^6*(1+Controls!I$25*Smooth!$L8)*(1+Controls!I$26*Smooth!$M8)*(1+Controls!I$27*Smooth!$N8)*(1+Controls!I$28*Smooth!$O8)),2))</f>
        <v>25.4</v>
      </c>
      <c r="E8" s="10" t="str">
        <f t="array" ref="E8">IF(OR($A8="",4&gt;Controls!$B$6),"",ROUND(MAX(0,Smooth!E8*Controls!E$17*INDEX(Controls!$B$21:$H$21,1,WEEKDAY($A8,2))*(1+Controls!$B$11)^6*(1+Controls!J$25*Smooth!$L8)*(1+Controls!J$26*Smooth!$M8)*(1+Controls!J$27*Smooth!$N8)*(1+Controls!J$28*Smooth!$O8)),2))</f>
        <v/>
      </c>
      <c r="F8" s="10" t="str">
        <f t="array" ref="F8">IF(OR($A8="",5&gt;Controls!$B$6),"",ROUND(MAX(0,Smooth!F8*Controls!F$17*INDEX(Controls!$B$21:$H$21,1,WEEKDAY($A8,2))*(1+Controls!$B$11)^6*(1+Controls!K$25*Smooth!$L8)*(1+Controls!K$26*Smooth!$M8)*(1+Controls!K$27*Smooth!$N8)*(1+Controls!K$28*Smooth!$O8)),2))</f>
        <v/>
      </c>
      <c r="G8" s="10" t="str">
        <f t="array" ref="G8">IF(OR($A8="",6&gt;Controls!$B$6),"",ROUND(MAX(0,Smooth!G8*Controls!G$17*INDEX(Controls!$B$21:$H$21,1,WEEKDAY($A8,2))*(1+Controls!$B$11)^6*(1+Controls!L$25*Smooth!$L8)*(1+Controls!L$26*Smooth!$M8)*(1+Controls!L$27*Smooth!$N8)*(1+Controls!L$28*Smooth!$O8)),2))</f>
        <v/>
      </c>
      <c r="H8" s="10" t="str">
        <f t="array" ref="H8">IF(OR($A8="",7&gt;Controls!$B$6),"",ROUND(MAX(0,Smooth!H8*Controls!H$17*INDEX(Controls!$B$21:$H$21,1,WEEKDAY($A8,2))*(1+Controls!$B$11)^6*(1+Controls!M$25*Smooth!$L8)*(1+Controls!M$26*Smooth!$M8)*(1+Controls!M$27*Smooth!$N8)*(1+Controls!M$28*Smooth!$O8)),2))</f>
        <v/>
      </c>
      <c r="I8" s="10" t="str">
        <f t="array" ref="I8">IF(OR($A8="",8&gt;Controls!$B$6),"",ROUND(MAX(0,Smooth!I8*Controls!I$17*INDEX(Controls!$B$21:$H$21,1,WEEKDAY($A8,2))*(1+Controls!$B$11)^6*(1+Controls!N$25*Smooth!$L8)*(1+Controls!N$26*Smooth!$M8)*(1+Controls!N$27*Smooth!$N8)*(1+Controls!N$28*Smooth!$O8)),2))</f>
        <v/>
      </c>
      <c r="J8" s="10" t="str">
        <f t="array" ref="J8">IF(OR($A8="",9&gt;Controls!$B$6),"",ROUND(MAX(0,Smooth!J8*Controls!J$17*INDEX(Controls!$B$21:$H$21,1,WEEKDAY($A8,2))*(1+Controls!$B$11)^6*(1+Controls!O$25*Smooth!$L8)*(1+Controls!O$26*Smooth!$M8)*(1+Controls!O$27*Smooth!$N8)*(1+Controls!O$28*Smooth!$O8)),2))</f>
        <v/>
      </c>
      <c r="K8" s="10" t="str">
        <f t="array" ref="K8">IF(OR($A8="",10&gt;Controls!$B$6),"",ROUND(MAX(0,Smooth!K8*Controls!K$17*INDEX(Controls!$B$21:$H$21,1,WEEKDAY($A8,2))*(1+Controls!$B$11)^6*(1+Controls!P$25*Smooth!$L8)*(1+Controls!P$26*Smooth!$M8)*(1+Controls!P$27*Smooth!$N8)*(1+Controls!P$28*Smooth!$O8)),2))</f>
        <v/>
      </c>
      <c r="L8" s="18">
        <f t="shared" si="1"/>
        <v>62.87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21.0" customHeight="1">
      <c r="A9" s="7">
        <f>IF(8&lt;=Controls!$B$5,Controls!$B$4+7,"")</f>
        <v>72998</v>
      </c>
      <c r="B9" s="10">
        <f t="array" ref="B9">IF(OR($A9="",1&gt;Controls!$B$6),"",ROUND(MAX(0,Smooth!B9*Controls!B$17*INDEX(Controls!$B$21:$H$21,1,WEEKDAY($A9,2))*(1+Controls!$B$11)^7*(1+Controls!G$25*Smooth!$L9)*(1+Controls!G$26*Smooth!$M9)*(1+Controls!G$27*Smooth!$N9)*(1+Controls!G$28*Smooth!$O9)),2))</f>
        <v>43.51</v>
      </c>
      <c r="C9" s="10">
        <f t="array" ref="C9">IF(OR($A9="",2&gt;Controls!$B$6),"",ROUND(MAX(0,Smooth!C9*Controls!C$17*INDEX(Controls!$B$21:$H$21,1,WEEKDAY($A9,2))*(1+Controls!$B$11)^7*(1+Controls!H$25*Smooth!$L9)*(1+Controls!H$26*Smooth!$M9)*(1+Controls!H$27*Smooth!$N9)*(1+Controls!H$28*Smooth!$O9)),2))</f>
        <v>46.01</v>
      </c>
      <c r="D9" s="10">
        <f t="array" ref="D9">IF(OR($A9="",3&gt;Controls!$B$6),"",ROUND(MAX(0,Smooth!D9*Controls!D$17*INDEX(Controls!$B$21:$H$21,1,WEEKDAY($A9,2))*(1+Controls!$B$11)^7*(1+Controls!I$25*Smooth!$L9)*(1+Controls!I$26*Smooth!$M9)*(1+Controls!I$27*Smooth!$N9)*(1+Controls!I$28*Smooth!$O9)),2))</f>
        <v>75.22</v>
      </c>
      <c r="E9" s="10" t="str">
        <f t="array" ref="E9">IF(OR($A9="",4&gt;Controls!$B$6),"",ROUND(MAX(0,Smooth!E9*Controls!E$17*INDEX(Controls!$B$21:$H$21,1,WEEKDAY($A9,2))*(1+Controls!$B$11)^7*(1+Controls!J$25*Smooth!$L9)*(1+Controls!J$26*Smooth!$M9)*(1+Controls!J$27*Smooth!$N9)*(1+Controls!J$28*Smooth!$O9)),2))</f>
        <v/>
      </c>
      <c r="F9" s="10" t="str">
        <f t="array" ref="F9">IF(OR($A9="",5&gt;Controls!$B$6),"",ROUND(MAX(0,Smooth!F9*Controls!F$17*INDEX(Controls!$B$21:$H$21,1,WEEKDAY($A9,2))*(1+Controls!$B$11)^7*(1+Controls!K$25*Smooth!$L9)*(1+Controls!K$26*Smooth!$M9)*(1+Controls!K$27*Smooth!$N9)*(1+Controls!K$28*Smooth!$O9)),2))</f>
        <v/>
      </c>
      <c r="G9" s="10" t="str">
        <f t="array" ref="G9">IF(OR($A9="",6&gt;Controls!$B$6),"",ROUND(MAX(0,Smooth!G9*Controls!G$17*INDEX(Controls!$B$21:$H$21,1,WEEKDAY($A9,2))*(1+Controls!$B$11)^7*(1+Controls!L$25*Smooth!$L9)*(1+Controls!L$26*Smooth!$M9)*(1+Controls!L$27*Smooth!$N9)*(1+Controls!L$28*Smooth!$O9)),2))</f>
        <v/>
      </c>
      <c r="H9" s="10" t="str">
        <f t="array" ref="H9">IF(OR($A9="",7&gt;Controls!$B$6),"",ROUND(MAX(0,Smooth!H9*Controls!H$17*INDEX(Controls!$B$21:$H$21,1,WEEKDAY($A9,2))*(1+Controls!$B$11)^7*(1+Controls!M$25*Smooth!$L9)*(1+Controls!M$26*Smooth!$M9)*(1+Controls!M$27*Smooth!$N9)*(1+Controls!M$28*Smooth!$O9)),2))</f>
        <v/>
      </c>
      <c r="I9" s="10" t="str">
        <f t="array" ref="I9">IF(OR($A9="",8&gt;Controls!$B$6),"",ROUND(MAX(0,Smooth!I9*Controls!I$17*INDEX(Controls!$B$21:$H$21,1,WEEKDAY($A9,2))*(1+Controls!$B$11)^7*(1+Controls!N$25*Smooth!$L9)*(1+Controls!N$26*Smooth!$M9)*(1+Controls!N$27*Smooth!$N9)*(1+Controls!N$28*Smooth!$O9)),2))</f>
        <v/>
      </c>
      <c r="J9" s="10" t="str">
        <f t="array" ref="J9">IF(OR($A9="",9&gt;Controls!$B$6),"",ROUND(MAX(0,Smooth!J9*Controls!J$17*INDEX(Controls!$B$21:$H$21,1,WEEKDAY($A9,2))*(1+Controls!$B$11)^7*(1+Controls!O$25*Smooth!$L9)*(1+Controls!O$26*Smooth!$M9)*(1+Controls!O$27*Smooth!$N9)*(1+Controls!O$28*Smooth!$O9)),2))</f>
        <v/>
      </c>
      <c r="K9" s="10" t="str">
        <f t="array" ref="K9">IF(OR($A9="",10&gt;Controls!$B$6),"",ROUND(MAX(0,Smooth!K9*Controls!K$17*INDEX(Controls!$B$21:$H$21,1,WEEKDAY($A9,2))*(1+Controls!$B$11)^7*(1+Controls!P$25*Smooth!$L9)*(1+Controls!P$26*Smooth!$M9)*(1+Controls!P$27*Smooth!$N9)*(1+Controls!P$28*Smooth!$O9)),2))</f>
        <v/>
      </c>
      <c r="L9" s="18">
        <f t="shared" si="1"/>
        <v>164.74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21.0" customHeight="1">
      <c r="A10" s="7">
        <f>IF(9&lt;=Controls!$B$5,Controls!$B$4+8,"")</f>
        <v>72999</v>
      </c>
      <c r="B10" s="10">
        <f t="array" ref="B10">IF(OR($A10="",1&gt;Controls!$B$6),"",ROUND(MAX(0,Smooth!B10*Controls!B$17*INDEX(Controls!$B$21:$H$21,1,WEEKDAY($A10,2))*(1+Controls!$B$11)^8*(1+Controls!G$25*Smooth!$L10)*(1+Controls!G$26*Smooth!$M10)*(1+Controls!G$27*Smooth!$N10)*(1+Controls!G$28*Smooth!$O10)),2))</f>
        <v>53.16</v>
      </c>
      <c r="C10" s="10">
        <f t="array" ref="C10">IF(OR($A10="",2&gt;Controls!$B$6),"",ROUND(MAX(0,Smooth!C10*Controls!C$17*INDEX(Controls!$B$21:$H$21,1,WEEKDAY($A10,2))*(1+Controls!$B$11)^8*(1+Controls!H$25*Smooth!$L10)*(1+Controls!H$26*Smooth!$M10)*(1+Controls!H$27*Smooth!$N10)*(1+Controls!H$28*Smooth!$O10)),2))</f>
        <v>47.18</v>
      </c>
      <c r="D10" s="10">
        <f t="array" ref="D10">IF(OR($A10="",3&gt;Controls!$B$6),"",ROUND(MAX(0,Smooth!D10*Controls!D$17*INDEX(Controls!$B$21:$H$21,1,WEEKDAY($A10,2))*(1+Controls!$B$11)^8*(1+Controls!I$25*Smooth!$L10)*(1+Controls!I$26*Smooth!$M10)*(1+Controls!I$27*Smooth!$N10)*(1+Controls!I$28*Smooth!$O10)),2))</f>
        <v>63.03</v>
      </c>
      <c r="E10" s="10" t="str">
        <f t="array" ref="E10">IF(OR($A10="",4&gt;Controls!$B$6),"",ROUND(MAX(0,Smooth!E10*Controls!E$17*INDEX(Controls!$B$21:$H$21,1,WEEKDAY($A10,2))*(1+Controls!$B$11)^8*(1+Controls!J$25*Smooth!$L10)*(1+Controls!J$26*Smooth!$M10)*(1+Controls!J$27*Smooth!$N10)*(1+Controls!J$28*Smooth!$O10)),2))</f>
        <v/>
      </c>
      <c r="F10" s="10" t="str">
        <f t="array" ref="F10">IF(OR($A10="",5&gt;Controls!$B$6),"",ROUND(MAX(0,Smooth!F10*Controls!F$17*INDEX(Controls!$B$21:$H$21,1,WEEKDAY($A10,2))*(1+Controls!$B$11)^8*(1+Controls!K$25*Smooth!$L10)*(1+Controls!K$26*Smooth!$M10)*(1+Controls!K$27*Smooth!$N10)*(1+Controls!K$28*Smooth!$O10)),2))</f>
        <v/>
      </c>
      <c r="G10" s="10" t="str">
        <f t="array" ref="G10">IF(OR($A10="",6&gt;Controls!$B$6),"",ROUND(MAX(0,Smooth!G10*Controls!G$17*INDEX(Controls!$B$21:$H$21,1,WEEKDAY($A10,2))*(1+Controls!$B$11)^8*(1+Controls!L$25*Smooth!$L10)*(1+Controls!L$26*Smooth!$M10)*(1+Controls!L$27*Smooth!$N10)*(1+Controls!L$28*Smooth!$O10)),2))</f>
        <v/>
      </c>
      <c r="H10" s="10" t="str">
        <f t="array" ref="H10">IF(OR($A10="",7&gt;Controls!$B$6),"",ROUND(MAX(0,Smooth!H10*Controls!H$17*INDEX(Controls!$B$21:$H$21,1,WEEKDAY($A10,2))*(1+Controls!$B$11)^8*(1+Controls!M$25*Smooth!$L10)*(1+Controls!M$26*Smooth!$M10)*(1+Controls!M$27*Smooth!$N10)*(1+Controls!M$28*Smooth!$O10)),2))</f>
        <v/>
      </c>
      <c r="I10" s="10" t="str">
        <f t="array" ref="I10">IF(OR($A10="",8&gt;Controls!$B$6),"",ROUND(MAX(0,Smooth!I10*Controls!I$17*INDEX(Controls!$B$21:$H$21,1,WEEKDAY($A10,2))*(1+Controls!$B$11)^8*(1+Controls!N$25*Smooth!$L10)*(1+Controls!N$26*Smooth!$M10)*(1+Controls!N$27*Smooth!$N10)*(1+Controls!N$28*Smooth!$O10)),2))</f>
        <v/>
      </c>
      <c r="J10" s="10" t="str">
        <f t="array" ref="J10">IF(OR($A10="",9&gt;Controls!$B$6),"",ROUND(MAX(0,Smooth!J10*Controls!J$17*INDEX(Controls!$B$21:$H$21,1,WEEKDAY($A10,2))*(1+Controls!$B$11)^8*(1+Controls!O$25*Smooth!$L10)*(1+Controls!O$26*Smooth!$M10)*(1+Controls!O$27*Smooth!$N10)*(1+Controls!O$28*Smooth!$O10)),2))</f>
        <v/>
      </c>
      <c r="K10" s="10" t="str">
        <f t="array" ref="K10">IF(OR($A10="",10&gt;Controls!$B$6),"",ROUND(MAX(0,Smooth!K10*Controls!K$17*INDEX(Controls!$B$21:$H$21,1,WEEKDAY($A10,2))*(1+Controls!$B$11)^8*(1+Controls!P$25*Smooth!$L10)*(1+Controls!P$26*Smooth!$M10)*(1+Controls!P$27*Smooth!$N10)*(1+Controls!P$28*Smooth!$O10)),2))</f>
        <v/>
      </c>
      <c r="L10" s="18">
        <f t="shared" si="1"/>
        <v>163.37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1.0" customHeight="1">
      <c r="A11" s="7">
        <f>IF(10&lt;=Controls!$B$5,Controls!$B$4+9,"")</f>
        <v>73000</v>
      </c>
      <c r="B11" s="10">
        <f t="array" ref="B11">IF(OR($A11="",1&gt;Controls!$B$6),"",ROUND(MAX(0,Smooth!B11*Controls!B$17*INDEX(Controls!$B$21:$H$21,1,WEEKDAY($A11,2))*(1+Controls!$B$11)^9*(1+Controls!G$25*Smooth!$L11)*(1+Controls!G$26*Smooth!$M11)*(1+Controls!G$27*Smooth!$N11)*(1+Controls!G$28*Smooth!$O11)),2))</f>
        <v>53.97</v>
      </c>
      <c r="C11" s="10">
        <f t="array" ref="C11">IF(OR($A11="",2&gt;Controls!$B$6),"",ROUND(MAX(0,Smooth!C11*Controls!C$17*INDEX(Controls!$B$21:$H$21,1,WEEKDAY($A11,2))*(1+Controls!$B$11)^9*(1+Controls!H$25*Smooth!$L11)*(1+Controls!H$26*Smooth!$M11)*(1+Controls!H$27*Smooth!$N11)*(1+Controls!H$28*Smooth!$O11)),2))</f>
        <v>50.03</v>
      </c>
      <c r="D11" s="10">
        <f t="array" ref="D11">IF(OR($A11="",3&gt;Controls!$B$6),"",ROUND(MAX(0,Smooth!D11*Controls!D$17*INDEX(Controls!$B$21:$H$21,1,WEEKDAY($A11,2))*(1+Controls!$B$11)^9*(1+Controls!I$25*Smooth!$L11)*(1+Controls!I$26*Smooth!$M11)*(1+Controls!I$27*Smooth!$N11)*(1+Controls!I$28*Smooth!$O11)),2))</f>
        <v>61.42</v>
      </c>
      <c r="E11" s="10" t="str">
        <f t="array" ref="E11">IF(OR($A11="",4&gt;Controls!$B$6),"",ROUND(MAX(0,Smooth!E11*Controls!E$17*INDEX(Controls!$B$21:$H$21,1,WEEKDAY($A11,2))*(1+Controls!$B$11)^9*(1+Controls!J$25*Smooth!$L11)*(1+Controls!J$26*Smooth!$M11)*(1+Controls!J$27*Smooth!$N11)*(1+Controls!J$28*Smooth!$O11)),2))</f>
        <v/>
      </c>
      <c r="F11" s="10" t="str">
        <f t="array" ref="F11">IF(OR($A11="",5&gt;Controls!$B$6),"",ROUND(MAX(0,Smooth!F11*Controls!F$17*INDEX(Controls!$B$21:$H$21,1,WEEKDAY($A11,2))*(1+Controls!$B$11)^9*(1+Controls!K$25*Smooth!$L11)*(1+Controls!K$26*Smooth!$M11)*(1+Controls!K$27*Smooth!$N11)*(1+Controls!K$28*Smooth!$O11)),2))</f>
        <v/>
      </c>
      <c r="G11" s="10" t="str">
        <f t="array" ref="G11">IF(OR($A11="",6&gt;Controls!$B$6),"",ROUND(MAX(0,Smooth!G11*Controls!G$17*INDEX(Controls!$B$21:$H$21,1,WEEKDAY($A11,2))*(1+Controls!$B$11)^9*(1+Controls!L$25*Smooth!$L11)*(1+Controls!L$26*Smooth!$M11)*(1+Controls!L$27*Smooth!$N11)*(1+Controls!L$28*Smooth!$O11)),2))</f>
        <v/>
      </c>
      <c r="H11" s="10" t="str">
        <f t="array" ref="H11">IF(OR($A11="",7&gt;Controls!$B$6),"",ROUND(MAX(0,Smooth!H11*Controls!H$17*INDEX(Controls!$B$21:$H$21,1,WEEKDAY($A11,2))*(1+Controls!$B$11)^9*(1+Controls!M$25*Smooth!$L11)*(1+Controls!M$26*Smooth!$M11)*(1+Controls!M$27*Smooth!$N11)*(1+Controls!M$28*Smooth!$O11)),2))</f>
        <v/>
      </c>
      <c r="I11" s="10" t="str">
        <f t="array" ref="I11">IF(OR($A11="",8&gt;Controls!$B$6),"",ROUND(MAX(0,Smooth!I11*Controls!I$17*INDEX(Controls!$B$21:$H$21,1,WEEKDAY($A11,2))*(1+Controls!$B$11)^9*(1+Controls!N$25*Smooth!$L11)*(1+Controls!N$26*Smooth!$M11)*(1+Controls!N$27*Smooth!$N11)*(1+Controls!N$28*Smooth!$O11)),2))</f>
        <v/>
      </c>
      <c r="J11" s="10" t="str">
        <f t="array" ref="J11">IF(OR($A11="",9&gt;Controls!$B$6),"",ROUND(MAX(0,Smooth!J11*Controls!J$17*INDEX(Controls!$B$21:$H$21,1,WEEKDAY($A11,2))*(1+Controls!$B$11)^9*(1+Controls!O$25*Smooth!$L11)*(1+Controls!O$26*Smooth!$M11)*(1+Controls!O$27*Smooth!$N11)*(1+Controls!O$28*Smooth!$O11)),2))</f>
        <v/>
      </c>
      <c r="K11" s="10" t="str">
        <f t="array" ref="K11">IF(OR($A11="",10&gt;Controls!$B$6),"",ROUND(MAX(0,Smooth!K11*Controls!K$17*INDEX(Controls!$B$21:$H$21,1,WEEKDAY($A11,2))*(1+Controls!$B$11)^9*(1+Controls!P$25*Smooth!$L11)*(1+Controls!P$26*Smooth!$M11)*(1+Controls!P$27*Smooth!$N11)*(1+Controls!P$28*Smooth!$O11)),2))</f>
        <v/>
      </c>
      <c r="L11" s="18">
        <f t="shared" si="1"/>
        <v>165.42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21.0" customHeight="1">
      <c r="A12" s="7">
        <f>IF(11&lt;=Controls!$B$5,Controls!$B$4+10,"")</f>
        <v>73001</v>
      </c>
      <c r="B12" s="10">
        <f t="array" ref="B12">IF(OR($A12="",1&gt;Controls!$B$6),"",ROUND(MAX(0,Smooth!B12*Controls!B$17*INDEX(Controls!$B$21:$H$21,1,WEEKDAY($A12,2))*(1+Controls!$B$11)^10*(1+Controls!G$25*Smooth!$L12)*(1+Controls!G$26*Smooth!$M12)*(1+Controls!G$27*Smooth!$N12)*(1+Controls!G$28*Smooth!$O12)),2))</f>
        <v>45.39</v>
      </c>
      <c r="C12" s="10">
        <f t="array" ref="C12">IF(OR($A12="",2&gt;Controls!$B$6),"",ROUND(MAX(0,Smooth!C12*Controls!C$17*INDEX(Controls!$B$21:$H$21,1,WEEKDAY($A12,2))*(1+Controls!$B$11)^10*(1+Controls!H$25*Smooth!$L12)*(1+Controls!H$26*Smooth!$M12)*(1+Controls!H$27*Smooth!$N12)*(1+Controls!H$28*Smooth!$O12)),2))</f>
        <v>41.45</v>
      </c>
      <c r="D12" s="10">
        <f t="array" ref="D12">IF(OR($A12="",3&gt;Controls!$B$6),"",ROUND(MAX(0,Smooth!D12*Controls!D$17*INDEX(Controls!$B$21:$H$21,1,WEEKDAY($A12,2))*(1+Controls!$B$11)^10*(1+Controls!I$25*Smooth!$L12)*(1+Controls!I$26*Smooth!$M12)*(1+Controls!I$27*Smooth!$N12)*(1+Controls!I$28*Smooth!$O12)),2))</f>
        <v>56.39</v>
      </c>
      <c r="E12" s="10" t="str">
        <f t="array" ref="E12">IF(OR($A12="",4&gt;Controls!$B$6),"",ROUND(MAX(0,Smooth!E12*Controls!E$17*INDEX(Controls!$B$21:$H$21,1,WEEKDAY($A12,2))*(1+Controls!$B$11)^10*(1+Controls!J$25*Smooth!$L12)*(1+Controls!J$26*Smooth!$M12)*(1+Controls!J$27*Smooth!$N12)*(1+Controls!J$28*Smooth!$O12)),2))</f>
        <v/>
      </c>
      <c r="F12" s="10" t="str">
        <f t="array" ref="F12">IF(OR($A12="",5&gt;Controls!$B$6),"",ROUND(MAX(0,Smooth!F12*Controls!F$17*INDEX(Controls!$B$21:$H$21,1,WEEKDAY($A12,2))*(1+Controls!$B$11)^10*(1+Controls!K$25*Smooth!$L12)*(1+Controls!K$26*Smooth!$M12)*(1+Controls!K$27*Smooth!$N12)*(1+Controls!K$28*Smooth!$O12)),2))</f>
        <v/>
      </c>
      <c r="G12" s="10" t="str">
        <f t="array" ref="G12">IF(OR($A12="",6&gt;Controls!$B$6),"",ROUND(MAX(0,Smooth!G12*Controls!G$17*INDEX(Controls!$B$21:$H$21,1,WEEKDAY($A12,2))*(1+Controls!$B$11)^10*(1+Controls!L$25*Smooth!$L12)*(1+Controls!L$26*Smooth!$M12)*(1+Controls!L$27*Smooth!$N12)*(1+Controls!L$28*Smooth!$O12)),2))</f>
        <v/>
      </c>
      <c r="H12" s="10" t="str">
        <f t="array" ref="H12">IF(OR($A12="",7&gt;Controls!$B$6),"",ROUND(MAX(0,Smooth!H12*Controls!H$17*INDEX(Controls!$B$21:$H$21,1,WEEKDAY($A12,2))*(1+Controls!$B$11)^10*(1+Controls!M$25*Smooth!$L12)*(1+Controls!M$26*Smooth!$M12)*(1+Controls!M$27*Smooth!$N12)*(1+Controls!M$28*Smooth!$O12)),2))</f>
        <v/>
      </c>
      <c r="I12" s="10" t="str">
        <f t="array" ref="I12">IF(OR($A12="",8&gt;Controls!$B$6),"",ROUND(MAX(0,Smooth!I12*Controls!I$17*INDEX(Controls!$B$21:$H$21,1,WEEKDAY($A12,2))*(1+Controls!$B$11)^10*(1+Controls!N$25*Smooth!$L12)*(1+Controls!N$26*Smooth!$M12)*(1+Controls!N$27*Smooth!$N12)*(1+Controls!N$28*Smooth!$O12)),2))</f>
        <v/>
      </c>
      <c r="J12" s="10" t="str">
        <f t="array" ref="J12">IF(OR($A12="",9&gt;Controls!$B$6),"",ROUND(MAX(0,Smooth!J12*Controls!J$17*INDEX(Controls!$B$21:$H$21,1,WEEKDAY($A12,2))*(1+Controls!$B$11)^10*(1+Controls!O$25*Smooth!$L12)*(1+Controls!O$26*Smooth!$M12)*(1+Controls!O$27*Smooth!$N12)*(1+Controls!O$28*Smooth!$O12)),2))</f>
        <v/>
      </c>
      <c r="K12" s="10" t="str">
        <f t="array" ref="K12">IF(OR($A12="",10&gt;Controls!$B$6),"",ROUND(MAX(0,Smooth!K12*Controls!K$17*INDEX(Controls!$B$21:$H$21,1,WEEKDAY($A12,2))*(1+Controls!$B$11)^10*(1+Controls!P$25*Smooth!$L12)*(1+Controls!P$26*Smooth!$M12)*(1+Controls!P$27*Smooth!$N12)*(1+Controls!P$28*Smooth!$O12)),2))</f>
        <v/>
      </c>
      <c r="L12" s="18">
        <f t="shared" si="1"/>
        <v>143.23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21.0" customHeight="1">
      <c r="A13" s="7">
        <f>IF(12&lt;=Controls!$B$5,Controls!$B$4+11,"")</f>
        <v>73002</v>
      </c>
      <c r="B13" s="10">
        <f t="array" ref="B13">IF(OR($A13="",1&gt;Controls!$B$6),"",ROUND(MAX(0,Smooth!B13*Controls!B$17*INDEX(Controls!$B$21:$H$21,1,WEEKDAY($A13,2))*(1+Controls!$B$11)^11*(1+Controls!G$25*Smooth!$L13)*(1+Controls!G$26*Smooth!$M13)*(1+Controls!G$27*Smooth!$N13)*(1+Controls!G$28*Smooth!$O13)),2))</f>
        <v>36.32</v>
      </c>
      <c r="C13" s="10">
        <f t="array" ref="C13">IF(OR($A13="",2&gt;Controls!$B$6),"",ROUND(MAX(0,Smooth!C13*Controls!C$17*INDEX(Controls!$B$21:$H$21,1,WEEKDAY($A13,2))*(1+Controls!$B$11)^11*(1+Controls!H$25*Smooth!$L13)*(1+Controls!H$26*Smooth!$M13)*(1+Controls!H$27*Smooth!$N13)*(1+Controls!H$28*Smooth!$O13)),2))</f>
        <v>35.82</v>
      </c>
      <c r="D13" s="10">
        <f t="array" ref="D13">IF(OR($A13="",3&gt;Controls!$B$6),"",ROUND(MAX(0,Smooth!D13*Controls!D$17*INDEX(Controls!$B$21:$H$21,1,WEEKDAY($A13,2))*(1+Controls!$B$11)^11*(1+Controls!I$25*Smooth!$L13)*(1+Controls!I$26*Smooth!$M13)*(1+Controls!I$27*Smooth!$N13)*(1+Controls!I$28*Smooth!$O13)),2))</f>
        <v>38.95</v>
      </c>
      <c r="E13" s="10" t="str">
        <f t="array" ref="E13">IF(OR($A13="",4&gt;Controls!$B$6),"",ROUND(MAX(0,Smooth!E13*Controls!E$17*INDEX(Controls!$B$21:$H$21,1,WEEKDAY($A13,2))*(1+Controls!$B$11)^11*(1+Controls!J$25*Smooth!$L13)*(1+Controls!J$26*Smooth!$M13)*(1+Controls!J$27*Smooth!$N13)*(1+Controls!J$28*Smooth!$O13)),2))</f>
        <v/>
      </c>
      <c r="F13" s="10" t="str">
        <f t="array" ref="F13">IF(OR($A13="",5&gt;Controls!$B$6),"",ROUND(MAX(0,Smooth!F13*Controls!F$17*INDEX(Controls!$B$21:$H$21,1,WEEKDAY($A13,2))*(1+Controls!$B$11)^11*(1+Controls!K$25*Smooth!$L13)*(1+Controls!K$26*Smooth!$M13)*(1+Controls!K$27*Smooth!$N13)*(1+Controls!K$28*Smooth!$O13)),2))</f>
        <v/>
      </c>
      <c r="G13" s="10" t="str">
        <f t="array" ref="G13">IF(OR($A13="",6&gt;Controls!$B$6),"",ROUND(MAX(0,Smooth!G13*Controls!G$17*INDEX(Controls!$B$21:$H$21,1,WEEKDAY($A13,2))*(1+Controls!$B$11)^11*(1+Controls!L$25*Smooth!$L13)*(1+Controls!L$26*Smooth!$M13)*(1+Controls!L$27*Smooth!$N13)*(1+Controls!L$28*Smooth!$O13)),2))</f>
        <v/>
      </c>
      <c r="H13" s="10" t="str">
        <f t="array" ref="H13">IF(OR($A13="",7&gt;Controls!$B$6),"",ROUND(MAX(0,Smooth!H13*Controls!H$17*INDEX(Controls!$B$21:$H$21,1,WEEKDAY($A13,2))*(1+Controls!$B$11)^11*(1+Controls!M$25*Smooth!$L13)*(1+Controls!M$26*Smooth!$M13)*(1+Controls!M$27*Smooth!$N13)*(1+Controls!M$28*Smooth!$O13)),2))</f>
        <v/>
      </c>
      <c r="I13" s="10" t="str">
        <f t="array" ref="I13">IF(OR($A13="",8&gt;Controls!$B$6),"",ROUND(MAX(0,Smooth!I13*Controls!I$17*INDEX(Controls!$B$21:$H$21,1,WEEKDAY($A13,2))*(1+Controls!$B$11)^11*(1+Controls!N$25*Smooth!$L13)*(1+Controls!N$26*Smooth!$M13)*(1+Controls!N$27*Smooth!$N13)*(1+Controls!N$28*Smooth!$O13)),2))</f>
        <v/>
      </c>
      <c r="J13" s="10" t="str">
        <f t="array" ref="J13">IF(OR($A13="",9&gt;Controls!$B$6),"",ROUND(MAX(0,Smooth!J13*Controls!J$17*INDEX(Controls!$B$21:$H$21,1,WEEKDAY($A13,2))*(1+Controls!$B$11)^11*(1+Controls!O$25*Smooth!$L13)*(1+Controls!O$26*Smooth!$M13)*(1+Controls!O$27*Smooth!$N13)*(1+Controls!O$28*Smooth!$O13)),2))</f>
        <v/>
      </c>
      <c r="K13" s="10" t="str">
        <f t="array" ref="K13">IF(OR($A13="",10&gt;Controls!$B$6),"",ROUND(MAX(0,Smooth!K13*Controls!K$17*INDEX(Controls!$B$21:$H$21,1,WEEKDAY($A13,2))*(1+Controls!$B$11)^11*(1+Controls!P$25*Smooth!$L13)*(1+Controls!P$26*Smooth!$M13)*(1+Controls!P$27*Smooth!$N13)*(1+Controls!P$28*Smooth!$O13)),2))</f>
        <v/>
      </c>
      <c r="L13" s="18">
        <f t="shared" si="1"/>
        <v>111.09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1.0" customHeight="1">
      <c r="A14" s="7">
        <f>IF(13&lt;=Controls!$B$5,Controls!$B$4+12,"")</f>
        <v>73003</v>
      </c>
      <c r="B14" s="10">
        <f t="array" ref="B14">IF(OR($A14="",1&gt;Controls!$B$6),"",ROUND(MAX(0,Smooth!B14*Controls!B$17*INDEX(Controls!$B$21:$H$21,1,WEEKDAY($A14,2))*(1+Controls!$B$11)^12*(1+Controls!G$25*Smooth!$L14)*(1+Controls!G$26*Smooth!$M14)*(1+Controls!G$27*Smooth!$N14)*(1+Controls!G$28*Smooth!$O14)),2))</f>
        <v>20.78</v>
      </c>
      <c r="C14" s="10">
        <f t="array" ref="C14">IF(OR($A14="",2&gt;Controls!$B$6),"",ROUND(MAX(0,Smooth!C14*Controls!C$17*INDEX(Controls!$B$21:$H$21,1,WEEKDAY($A14,2))*(1+Controls!$B$11)^12*(1+Controls!H$25*Smooth!$L14)*(1+Controls!H$26*Smooth!$M14)*(1+Controls!H$27*Smooth!$N14)*(1+Controls!H$28*Smooth!$O14)),2))</f>
        <v>24.98</v>
      </c>
      <c r="D14" s="10">
        <f t="array" ref="D14">IF(OR($A14="",3&gt;Controls!$B$6),"",ROUND(MAX(0,Smooth!D14*Controls!D$17*INDEX(Controls!$B$21:$H$21,1,WEEKDAY($A14,2))*(1+Controls!$B$11)^12*(1+Controls!I$25*Smooth!$L14)*(1+Controls!I$26*Smooth!$M14)*(1+Controls!I$27*Smooth!$N14)*(1+Controls!I$28*Smooth!$O14)),2))</f>
        <v>11.86</v>
      </c>
      <c r="E14" s="10" t="str">
        <f t="array" ref="E14">IF(OR($A14="",4&gt;Controls!$B$6),"",ROUND(MAX(0,Smooth!E14*Controls!E$17*INDEX(Controls!$B$21:$H$21,1,WEEKDAY($A14,2))*(1+Controls!$B$11)^12*(1+Controls!J$25*Smooth!$L14)*(1+Controls!J$26*Smooth!$M14)*(1+Controls!J$27*Smooth!$N14)*(1+Controls!J$28*Smooth!$O14)),2))</f>
        <v/>
      </c>
      <c r="F14" s="10" t="str">
        <f t="array" ref="F14">IF(OR($A14="",5&gt;Controls!$B$6),"",ROUND(MAX(0,Smooth!F14*Controls!F$17*INDEX(Controls!$B$21:$H$21,1,WEEKDAY($A14,2))*(1+Controls!$B$11)^12*(1+Controls!K$25*Smooth!$L14)*(1+Controls!K$26*Smooth!$M14)*(1+Controls!K$27*Smooth!$N14)*(1+Controls!K$28*Smooth!$O14)),2))</f>
        <v/>
      </c>
      <c r="G14" s="10" t="str">
        <f t="array" ref="G14">IF(OR($A14="",6&gt;Controls!$B$6),"",ROUND(MAX(0,Smooth!G14*Controls!G$17*INDEX(Controls!$B$21:$H$21,1,WEEKDAY($A14,2))*(1+Controls!$B$11)^12*(1+Controls!L$25*Smooth!$L14)*(1+Controls!L$26*Smooth!$M14)*(1+Controls!L$27*Smooth!$N14)*(1+Controls!L$28*Smooth!$O14)),2))</f>
        <v/>
      </c>
      <c r="H14" s="10" t="str">
        <f t="array" ref="H14">IF(OR($A14="",7&gt;Controls!$B$6),"",ROUND(MAX(0,Smooth!H14*Controls!H$17*INDEX(Controls!$B$21:$H$21,1,WEEKDAY($A14,2))*(1+Controls!$B$11)^12*(1+Controls!M$25*Smooth!$L14)*(1+Controls!M$26*Smooth!$M14)*(1+Controls!M$27*Smooth!$N14)*(1+Controls!M$28*Smooth!$O14)),2))</f>
        <v/>
      </c>
      <c r="I14" s="10" t="str">
        <f t="array" ref="I14">IF(OR($A14="",8&gt;Controls!$B$6),"",ROUND(MAX(0,Smooth!I14*Controls!I$17*INDEX(Controls!$B$21:$H$21,1,WEEKDAY($A14,2))*(1+Controls!$B$11)^12*(1+Controls!N$25*Smooth!$L14)*(1+Controls!N$26*Smooth!$M14)*(1+Controls!N$27*Smooth!$N14)*(1+Controls!N$28*Smooth!$O14)),2))</f>
        <v/>
      </c>
      <c r="J14" s="10" t="str">
        <f t="array" ref="J14">IF(OR($A14="",9&gt;Controls!$B$6),"",ROUND(MAX(0,Smooth!J14*Controls!J$17*INDEX(Controls!$B$21:$H$21,1,WEEKDAY($A14,2))*(1+Controls!$B$11)^12*(1+Controls!O$25*Smooth!$L14)*(1+Controls!O$26*Smooth!$M14)*(1+Controls!O$27*Smooth!$N14)*(1+Controls!O$28*Smooth!$O14)),2))</f>
        <v/>
      </c>
      <c r="K14" s="10" t="str">
        <f t="array" ref="K14">IF(OR($A14="",10&gt;Controls!$B$6),"",ROUND(MAX(0,Smooth!K14*Controls!K$17*INDEX(Controls!$B$21:$H$21,1,WEEKDAY($A14,2))*(1+Controls!$B$11)^12*(1+Controls!P$25*Smooth!$L14)*(1+Controls!P$26*Smooth!$M14)*(1+Controls!P$27*Smooth!$N14)*(1+Controls!P$28*Smooth!$O14)),2))</f>
        <v/>
      </c>
      <c r="L14" s="18">
        <f t="shared" si="1"/>
        <v>57.62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21.0" customHeight="1">
      <c r="A15" s="7">
        <f>IF(14&lt;=Controls!$B$5,Controls!$B$4+13,"")</f>
        <v>73004</v>
      </c>
      <c r="B15" s="10">
        <f t="array" ref="B15">IF(OR($A15="",1&gt;Controls!$B$6),"",ROUND(MAX(0,Smooth!B15*Controls!B$17*INDEX(Controls!$B$21:$H$21,1,WEEKDAY($A15,2))*(1+Controls!$B$11)^13*(1+Controls!G$25*Smooth!$L15)*(1+Controls!G$26*Smooth!$M15)*(1+Controls!G$27*Smooth!$N15)*(1+Controls!G$28*Smooth!$O15)),2))</f>
        <v>4.34</v>
      </c>
      <c r="C15" s="10">
        <f t="array" ref="C15">IF(OR($A15="",2&gt;Controls!$B$6),"",ROUND(MAX(0,Smooth!C15*Controls!C$17*INDEX(Controls!$B$21:$H$21,1,WEEKDAY($A15,2))*(1+Controls!$B$11)^13*(1+Controls!H$25*Smooth!$L15)*(1+Controls!H$26*Smooth!$M15)*(1+Controls!H$27*Smooth!$N15)*(1+Controls!H$28*Smooth!$O15)),2))</f>
        <v>4.42</v>
      </c>
      <c r="D15" s="10">
        <f t="array" ref="D15">IF(OR($A15="",3&gt;Controls!$B$6),"",ROUND(MAX(0,Smooth!D15*Controls!D$17*INDEX(Controls!$B$21:$H$21,1,WEEKDAY($A15,2))*(1+Controls!$B$11)^13*(1+Controls!I$25*Smooth!$L15)*(1+Controls!I$26*Smooth!$M15)*(1+Controls!I$27*Smooth!$N15)*(1+Controls!I$28*Smooth!$O15)),2))</f>
        <v>2.9</v>
      </c>
      <c r="E15" s="10" t="str">
        <f t="array" ref="E15">IF(OR($A15="",4&gt;Controls!$B$6),"",ROUND(MAX(0,Smooth!E15*Controls!E$17*INDEX(Controls!$B$21:$H$21,1,WEEKDAY($A15,2))*(1+Controls!$B$11)^13*(1+Controls!J$25*Smooth!$L15)*(1+Controls!J$26*Smooth!$M15)*(1+Controls!J$27*Smooth!$N15)*(1+Controls!J$28*Smooth!$O15)),2))</f>
        <v/>
      </c>
      <c r="F15" s="10" t="str">
        <f t="array" ref="F15">IF(OR($A15="",5&gt;Controls!$B$6),"",ROUND(MAX(0,Smooth!F15*Controls!F$17*INDEX(Controls!$B$21:$H$21,1,WEEKDAY($A15,2))*(1+Controls!$B$11)^13*(1+Controls!K$25*Smooth!$L15)*(1+Controls!K$26*Smooth!$M15)*(1+Controls!K$27*Smooth!$N15)*(1+Controls!K$28*Smooth!$O15)),2))</f>
        <v/>
      </c>
      <c r="G15" s="10" t="str">
        <f t="array" ref="G15">IF(OR($A15="",6&gt;Controls!$B$6),"",ROUND(MAX(0,Smooth!G15*Controls!G$17*INDEX(Controls!$B$21:$H$21,1,WEEKDAY($A15,2))*(1+Controls!$B$11)^13*(1+Controls!L$25*Smooth!$L15)*(1+Controls!L$26*Smooth!$M15)*(1+Controls!L$27*Smooth!$N15)*(1+Controls!L$28*Smooth!$O15)),2))</f>
        <v/>
      </c>
      <c r="H15" s="10" t="str">
        <f t="array" ref="H15">IF(OR($A15="",7&gt;Controls!$B$6),"",ROUND(MAX(0,Smooth!H15*Controls!H$17*INDEX(Controls!$B$21:$H$21,1,WEEKDAY($A15,2))*(1+Controls!$B$11)^13*(1+Controls!M$25*Smooth!$L15)*(1+Controls!M$26*Smooth!$M15)*(1+Controls!M$27*Smooth!$N15)*(1+Controls!M$28*Smooth!$O15)),2))</f>
        <v/>
      </c>
      <c r="I15" s="10" t="str">
        <f t="array" ref="I15">IF(OR($A15="",8&gt;Controls!$B$6),"",ROUND(MAX(0,Smooth!I15*Controls!I$17*INDEX(Controls!$B$21:$H$21,1,WEEKDAY($A15,2))*(1+Controls!$B$11)^13*(1+Controls!N$25*Smooth!$L15)*(1+Controls!N$26*Smooth!$M15)*(1+Controls!N$27*Smooth!$N15)*(1+Controls!N$28*Smooth!$O15)),2))</f>
        <v/>
      </c>
      <c r="J15" s="10" t="str">
        <f t="array" ref="J15">IF(OR($A15="",9&gt;Controls!$B$6),"",ROUND(MAX(0,Smooth!J15*Controls!J$17*INDEX(Controls!$B$21:$H$21,1,WEEKDAY($A15,2))*(1+Controls!$B$11)^13*(1+Controls!O$25*Smooth!$L15)*(1+Controls!O$26*Smooth!$M15)*(1+Controls!O$27*Smooth!$N15)*(1+Controls!O$28*Smooth!$O15)),2))</f>
        <v/>
      </c>
      <c r="K15" s="10" t="str">
        <f t="array" ref="K15">IF(OR($A15="",10&gt;Controls!$B$6),"",ROUND(MAX(0,Smooth!K15*Controls!K$17*INDEX(Controls!$B$21:$H$21,1,WEEKDAY($A15,2))*(1+Controls!$B$11)^13*(1+Controls!P$25*Smooth!$L15)*(1+Controls!P$26*Smooth!$M15)*(1+Controls!P$27*Smooth!$N15)*(1+Controls!P$28*Smooth!$O15)),2))</f>
        <v/>
      </c>
      <c r="L15" s="18">
        <f t="shared" si="1"/>
        <v>11.66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21.0" customHeight="1">
      <c r="A16" s="7">
        <f>IF(15&lt;=Controls!$B$5,Controls!$B$4+14,"")</f>
        <v>73005</v>
      </c>
      <c r="B16" s="10">
        <f t="array" ref="B16">IF(OR($A16="",1&gt;Controls!$B$6),"",ROUND(MAX(0,Smooth!B16*Controls!B$17*INDEX(Controls!$B$21:$H$21,1,WEEKDAY($A16,2))*(1+Controls!$B$11)^14*(1+Controls!G$25*Smooth!$L16)*(1+Controls!G$26*Smooth!$M16)*(1+Controls!G$27*Smooth!$N16)*(1+Controls!G$28*Smooth!$O16)),2))</f>
        <v>36.94</v>
      </c>
      <c r="C16" s="10">
        <f t="array" ref="C16">IF(OR($A16="",2&gt;Controls!$B$6),"",ROUND(MAX(0,Smooth!C16*Controls!C$17*INDEX(Controls!$B$21:$H$21,1,WEEKDAY($A16,2))*(1+Controls!$B$11)^14*(1+Controls!H$25*Smooth!$L16)*(1+Controls!H$26*Smooth!$M16)*(1+Controls!H$27*Smooth!$N16)*(1+Controls!H$28*Smooth!$O16)),2))</f>
        <v>35.77</v>
      </c>
      <c r="D16" s="10">
        <f t="array" ref="D16">IF(OR($A16="",3&gt;Controls!$B$6),"",ROUND(MAX(0,Smooth!D16*Controls!D$17*INDEX(Controls!$B$21:$H$21,1,WEEKDAY($A16,2))*(1+Controls!$B$11)^14*(1+Controls!I$25*Smooth!$L16)*(1+Controls!I$26*Smooth!$M16)*(1+Controls!I$27*Smooth!$N16)*(1+Controls!I$28*Smooth!$O16)),2))</f>
        <v>30.76</v>
      </c>
      <c r="E16" s="10" t="str">
        <f t="array" ref="E16">IF(OR($A16="",4&gt;Controls!$B$6),"",ROUND(MAX(0,Smooth!E16*Controls!E$17*INDEX(Controls!$B$21:$H$21,1,WEEKDAY($A16,2))*(1+Controls!$B$11)^14*(1+Controls!J$25*Smooth!$L16)*(1+Controls!J$26*Smooth!$M16)*(1+Controls!J$27*Smooth!$N16)*(1+Controls!J$28*Smooth!$O16)),2))</f>
        <v/>
      </c>
      <c r="F16" s="10" t="str">
        <f t="array" ref="F16">IF(OR($A16="",5&gt;Controls!$B$6),"",ROUND(MAX(0,Smooth!F16*Controls!F$17*INDEX(Controls!$B$21:$H$21,1,WEEKDAY($A16,2))*(1+Controls!$B$11)^14*(1+Controls!K$25*Smooth!$L16)*(1+Controls!K$26*Smooth!$M16)*(1+Controls!K$27*Smooth!$N16)*(1+Controls!K$28*Smooth!$O16)),2))</f>
        <v/>
      </c>
      <c r="G16" s="10" t="str">
        <f t="array" ref="G16">IF(OR($A16="",6&gt;Controls!$B$6),"",ROUND(MAX(0,Smooth!G16*Controls!G$17*INDEX(Controls!$B$21:$H$21,1,WEEKDAY($A16,2))*(1+Controls!$B$11)^14*(1+Controls!L$25*Smooth!$L16)*(1+Controls!L$26*Smooth!$M16)*(1+Controls!L$27*Smooth!$N16)*(1+Controls!L$28*Smooth!$O16)),2))</f>
        <v/>
      </c>
      <c r="H16" s="10" t="str">
        <f t="array" ref="H16">IF(OR($A16="",7&gt;Controls!$B$6),"",ROUND(MAX(0,Smooth!H16*Controls!H$17*INDEX(Controls!$B$21:$H$21,1,WEEKDAY($A16,2))*(1+Controls!$B$11)^14*(1+Controls!M$25*Smooth!$L16)*(1+Controls!M$26*Smooth!$M16)*(1+Controls!M$27*Smooth!$N16)*(1+Controls!M$28*Smooth!$O16)),2))</f>
        <v/>
      </c>
      <c r="I16" s="10" t="str">
        <f t="array" ref="I16">IF(OR($A16="",8&gt;Controls!$B$6),"",ROUND(MAX(0,Smooth!I16*Controls!I$17*INDEX(Controls!$B$21:$H$21,1,WEEKDAY($A16,2))*(1+Controls!$B$11)^14*(1+Controls!N$25*Smooth!$L16)*(1+Controls!N$26*Smooth!$M16)*(1+Controls!N$27*Smooth!$N16)*(1+Controls!N$28*Smooth!$O16)),2))</f>
        <v/>
      </c>
      <c r="J16" s="10" t="str">
        <f t="array" ref="J16">IF(OR($A16="",9&gt;Controls!$B$6),"",ROUND(MAX(0,Smooth!J16*Controls!J$17*INDEX(Controls!$B$21:$H$21,1,WEEKDAY($A16,2))*(1+Controls!$B$11)^14*(1+Controls!O$25*Smooth!$L16)*(1+Controls!O$26*Smooth!$M16)*(1+Controls!O$27*Smooth!$N16)*(1+Controls!O$28*Smooth!$O16)),2))</f>
        <v/>
      </c>
      <c r="K16" s="10" t="str">
        <f t="array" ref="K16">IF(OR($A16="",10&gt;Controls!$B$6),"",ROUND(MAX(0,Smooth!K16*Controls!K$17*INDEX(Controls!$B$21:$H$21,1,WEEKDAY($A16,2))*(1+Controls!$B$11)^14*(1+Controls!P$25*Smooth!$L16)*(1+Controls!P$26*Smooth!$M16)*(1+Controls!P$27*Smooth!$N16)*(1+Controls!P$28*Smooth!$O16)),2))</f>
        <v/>
      </c>
      <c r="L16" s="18">
        <f t="shared" si="1"/>
        <v>103.47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21.0" customHeight="1">
      <c r="A17" s="7">
        <f>IF(16&lt;=Controls!$B$5,Controls!$B$4+15,"")</f>
        <v>73006</v>
      </c>
      <c r="B17" s="10">
        <f t="array" ref="B17">IF(OR($A17="",1&gt;Controls!$B$6),"",ROUND(MAX(0,Smooth!B17*Controls!B$17*INDEX(Controls!$B$21:$H$21,1,WEEKDAY($A17,2))*(1+Controls!$B$11)^15*(1+Controls!G$25*Smooth!$L17)*(1+Controls!G$26*Smooth!$M17)*(1+Controls!G$27*Smooth!$N17)*(1+Controls!G$28*Smooth!$O17)),2))</f>
        <v>37.25</v>
      </c>
      <c r="C17" s="10">
        <f t="array" ref="C17">IF(OR($A17="",2&gt;Controls!$B$6),"",ROUND(MAX(0,Smooth!C17*Controls!C$17*INDEX(Controls!$B$21:$H$21,1,WEEKDAY($A17,2))*(1+Controls!$B$11)^15*(1+Controls!H$25*Smooth!$L17)*(1+Controls!H$26*Smooth!$M17)*(1+Controls!H$27*Smooth!$N17)*(1+Controls!H$28*Smooth!$O17)),2))</f>
        <v>52.08</v>
      </c>
      <c r="D17" s="10">
        <f t="array" ref="D17">IF(OR($A17="",3&gt;Controls!$B$6),"",ROUND(MAX(0,Smooth!D17*Controls!D$17*INDEX(Controls!$B$21:$H$21,1,WEEKDAY($A17,2))*(1+Controls!$B$11)^15*(1+Controls!I$25*Smooth!$L17)*(1+Controls!I$26*Smooth!$M17)*(1+Controls!I$27*Smooth!$N17)*(1+Controls!I$28*Smooth!$O17)),2))</f>
        <v>51.82</v>
      </c>
      <c r="E17" s="10" t="str">
        <f t="array" ref="E17">IF(OR($A17="",4&gt;Controls!$B$6),"",ROUND(MAX(0,Smooth!E17*Controls!E$17*INDEX(Controls!$B$21:$H$21,1,WEEKDAY($A17,2))*(1+Controls!$B$11)^15*(1+Controls!J$25*Smooth!$L17)*(1+Controls!J$26*Smooth!$M17)*(1+Controls!J$27*Smooth!$N17)*(1+Controls!J$28*Smooth!$O17)),2))</f>
        <v/>
      </c>
      <c r="F17" s="10" t="str">
        <f t="array" ref="F17">IF(OR($A17="",5&gt;Controls!$B$6),"",ROUND(MAX(0,Smooth!F17*Controls!F$17*INDEX(Controls!$B$21:$H$21,1,WEEKDAY($A17,2))*(1+Controls!$B$11)^15*(1+Controls!K$25*Smooth!$L17)*(1+Controls!K$26*Smooth!$M17)*(1+Controls!K$27*Smooth!$N17)*(1+Controls!K$28*Smooth!$O17)),2))</f>
        <v/>
      </c>
      <c r="G17" s="10" t="str">
        <f t="array" ref="G17">IF(OR($A17="",6&gt;Controls!$B$6),"",ROUND(MAX(0,Smooth!G17*Controls!G$17*INDEX(Controls!$B$21:$H$21,1,WEEKDAY($A17,2))*(1+Controls!$B$11)^15*(1+Controls!L$25*Smooth!$L17)*(1+Controls!L$26*Smooth!$M17)*(1+Controls!L$27*Smooth!$N17)*(1+Controls!L$28*Smooth!$O17)),2))</f>
        <v/>
      </c>
      <c r="H17" s="10" t="str">
        <f t="array" ref="H17">IF(OR($A17="",7&gt;Controls!$B$6),"",ROUND(MAX(0,Smooth!H17*Controls!H$17*INDEX(Controls!$B$21:$H$21,1,WEEKDAY($A17,2))*(1+Controls!$B$11)^15*(1+Controls!M$25*Smooth!$L17)*(1+Controls!M$26*Smooth!$M17)*(1+Controls!M$27*Smooth!$N17)*(1+Controls!M$28*Smooth!$O17)),2))</f>
        <v/>
      </c>
      <c r="I17" s="10" t="str">
        <f t="array" ref="I17">IF(OR($A17="",8&gt;Controls!$B$6),"",ROUND(MAX(0,Smooth!I17*Controls!I$17*INDEX(Controls!$B$21:$H$21,1,WEEKDAY($A17,2))*(1+Controls!$B$11)^15*(1+Controls!N$25*Smooth!$L17)*(1+Controls!N$26*Smooth!$M17)*(1+Controls!N$27*Smooth!$N17)*(1+Controls!N$28*Smooth!$O17)),2))</f>
        <v/>
      </c>
      <c r="J17" s="10" t="str">
        <f t="array" ref="J17">IF(OR($A17="",9&gt;Controls!$B$6),"",ROUND(MAX(0,Smooth!J17*Controls!J$17*INDEX(Controls!$B$21:$H$21,1,WEEKDAY($A17,2))*(1+Controls!$B$11)^15*(1+Controls!O$25*Smooth!$L17)*(1+Controls!O$26*Smooth!$M17)*(1+Controls!O$27*Smooth!$N17)*(1+Controls!O$28*Smooth!$O17)),2))</f>
        <v/>
      </c>
      <c r="K17" s="10" t="str">
        <f t="array" ref="K17">IF(OR($A17="",10&gt;Controls!$B$6),"",ROUND(MAX(0,Smooth!K17*Controls!K$17*INDEX(Controls!$B$21:$H$21,1,WEEKDAY($A17,2))*(1+Controls!$B$11)^15*(1+Controls!P$25*Smooth!$L17)*(1+Controls!P$26*Smooth!$M17)*(1+Controls!P$27*Smooth!$N17)*(1+Controls!P$28*Smooth!$O17)),2))</f>
        <v/>
      </c>
      <c r="L17" s="18">
        <f t="shared" si="1"/>
        <v>141.15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1.0" customHeight="1">
      <c r="A18" s="7">
        <f>IF(17&lt;=Controls!$B$5,Controls!$B$4+16,"")</f>
        <v>73007</v>
      </c>
      <c r="B18" s="10">
        <f t="array" ref="B18">IF(OR($A18="",1&gt;Controls!$B$6),"",ROUND(MAX(0,Smooth!B18*Controls!B$17*INDEX(Controls!$B$21:$H$21,1,WEEKDAY($A18,2))*(1+Controls!$B$11)^16*(1+Controls!G$25*Smooth!$L18)*(1+Controls!G$26*Smooth!$M18)*(1+Controls!G$27*Smooth!$N18)*(1+Controls!G$28*Smooth!$O18)),2))</f>
        <v>43.15</v>
      </c>
      <c r="C18" s="10">
        <f t="array" ref="C18">IF(OR($A18="",2&gt;Controls!$B$6),"",ROUND(MAX(0,Smooth!C18*Controls!C$17*INDEX(Controls!$B$21:$H$21,1,WEEKDAY($A18,2))*(1+Controls!$B$11)^16*(1+Controls!H$25*Smooth!$L18)*(1+Controls!H$26*Smooth!$M18)*(1+Controls!H$27*Smooth!$N18)*(1+Controls!H$28*Smooth!$O18)),2))</f>
        <v>57.7</v>
      </c>
      <c r="D18" s="10">
        <f t="array" ref="D18">IF(OR($A18="",3&gt;Controls!$B$6),"",ROUND(MAX(0,Smooth!D18*Controls!D$17*INDEX(Controls!$B$21:$H$21,1,WEEKDAY($A18,2))*(1+Controls!$B$11)^16*(1+Controls!I$25*Smooth!$L18)*(1+Controls!I$26*Smooth!$M18)*(1+Controls!I$27*Smooth!$N18)*(1+Controls!I$28*Smooth!$O18)),2))</f>
        <v>51.17</v>
      </c>
      <c r="E18" s="10" t="str">
        <f t="array" ref="E18">IF(OR($A18="",4&gt;Controls!$B$6),"",ROUND(MAX(0,Smooth!E18*Controls!E$17*INDEX(Controls!$B$21:$H$21,1,WEEKDAY($A18,2))*(1+Controls!$B$11)^16*(1+Controls!J$25*Smooth!$L18)*(1+Controls!J$26*Smooth!$M18)*(1+Controls!J$27*Smooth!$N18)*(1+Controls!J$28*Smooth!$O18)),2))</f>
        <v/>
      </c>
      <c r="F18" s="10" t="str">
        <f t="array" ref="F18">IF(OR($A18="",5&gt;Controls!$B$6),"",ROUND(MAX(0,Smooth!F18*Controls!F$17*INDEX(Controls!$B$21:$H$21,1,WEEKDAY($A18,2))*(1+Controls!$B$11)^16*(1+Controls!K$25*Smooth!$L18)*(1+Controls!K$26*Smooth!$M18)*(1+Controls!K$27*Smooth!$N18)*(1+Controls!K$28*Smooth!$O18)),2))</f>
        <v/>
      </c>
      <c r="G18" s="10" t="str">
        <f t="array" ref="G18">IF(OR($A18="",6&gt;Controls!$B$6),"",ROUND(MAX(0,Smooth!G18*Controls!G$17*INDEX(Controls!$B$21:$H$21,1,WEEKDAY($A18,2))*(1+Controls!$B$11)^16*(1+Controls!L$25*Smooth!$L18)*(1+Controls!L$26*Smooth!$M18)*(1+Controls!L$27*Smooth!$N18)*(1+Controls!L$28*Smooth!$O18)),2))</f>
        <v/>
      </c>
      <c r="H18" s="10" t="str">
        <f t="array" ref="H18">IF(OR($A18="",7&gt;Controls!$B$6),"",ROUND(MAX(0,Smooth!H18*Controls!H$17*INDEX(Controls!$B$21:$H$21,1,WEEKDAY($A18,2))*(1+Controls!$B$11)^16*(1+Controls!M$25*Smooth!$L18)*(1+Controls!M$26*Smooth!$M18)*(1+Controls!M$27*Smooth!$N18)*(1+Controls!M$28*Smooth!$O18)),2))</f>
        <v/>
      </c>
      <c r="I18" s="10" t="str">
        <f t="array" ref="I18">IF(OR($A18="",8&gt;Controls!$B$6),"",ROUND(MAX(0,Smooth!I18*Controls!I$17*INDEX(Controls!$B$21:$H$21,1,WEEKDAY($A18,2))*(1+Controls!$B$11)^16*(1+Controls!N$25*Smooth!$L18)*(1+Controls!N$26*Smooth!$M18)*(1+Controls!N$27*Smooth!$N18)*(1+Controls!N$28*Smooth!$O18)),2))</f>
        <v/>
      </c>
      <c r="J18" s="10" t="str">
        <f t="array" ref="J18">IF(OR($A18="",9&gt;Controls!$B$6),"",ROUND(MAX(0,Smooth!J18*Controls!J$17*INDEX(Controls!$B$21:$H$21,1,WEEKDAY($A18,2))*(1+Controls!$B$11)^16*(1+Controls!O$25*Smooth!$L18)*(1+Controls!O$26*Smooth!$M18)*(1+Controls!O$27*Smooth!$N18)*(1+Controls!O$28*Smooth!$O18)),2))</f>
        <v/>
      </c>
      <c r="K18" s="10" t="str">
        <f t="array" ref="K18">IF(OR($A18="",10&gt;Controls!$B$6),"",ROUND(MAX(0,Smooth!K18*Controls!K$17*INDEX(Controls!$B$21:$H$21,1,WEEKDAY($A18,2))*(1+Controls!$B$11)^16*(1+Controls!P$25*Smooth!$L18)*(1+Controls!P$26*Smooth!$M18)*(1+Controls!P$27*Smooth!$N18)*(1+Controls!P$28*Smooth!$O18)),2))</f>
        <v/>
      </c>
      <c r="L18" s="18">
        <f t="shared" si="1"/>
        <v>152.02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21.0" customHeight="1">
      <c r="A19" s="7">
        <f>IF(18&lt;=Controls!$B$5,Controls!$B$4+17,"")</f>
        <v>73008</v>
      </c>
      <c r="B19" s="10">
        <f t="array" ref="B19">IF(OR($A19="",1&gt;Controls!$B$6),"",ROUND(MAX(0,Smooth!B19*Controls!B$17*INDEX(Controls!$B$21:$H$21,1,WEEKDAY($A19,2))*(1+Controls!$B$11)^17*(1+Controls!G$25*Smooth!$L19)*(1+Controls!G$26*Smooth!$M19)*(1+Controls!G$27*Smooth!$N19)*(1+Controls!G$28*Smooth!$O19)),2))</f>
        <v>54.09</v>
      </c>
      <c r="C19" s="10">
        <f t="array" ref="C19">IF(OR($A19="",2&gt;Controls!$B$6),"",ROUND(MAX(0,Smooth!C19*Controls!C$17*INDEX(Controls!$B$21:$H$21,1,WEEKDAY($A19,2))*(1+Controls!$B$11)^17*(1+Controls!H$25*Smooth!$L19)*(1+Controls!H$26*Smooth!$M19)*(1+Controls!H$27*Smooth!$N19)*(1+Controls!H$28*Smooth!$O19)),2))</f>
        <v>45.45</v>
      </c>
      <c r="D19" s="10">
        <f t="array" ref="D19">IF(OR($A19="",3&gt;Controls!$B$6),"",ROUND(MAX(0,Smooth!D19*Controls!D$17*INDEX(Controls!$B$21:$H$21,1,WEEKDAY($A19,2))*(1+Controls!$B$11)^17*(1+Controls!I$25*Smooth!$L19)*(1+Controls!I$26*Smooth!$M19)*(1+Controls!I$27*Smooth!$N19)*(1+Controls!I$28*Smooth!$O19)),2))</f>
        <v>56.28</v>
      </c>
      <c r="E19" s="10" t="str">
        <f t="array" ref="E19">IF(OR($A19="",4&gt;Controls!$B$6),"",ROUND(MAX(0,Smooth!E19*Controls!E$17*INDEX(Controls!$B$21:$H$21,1,WEEKDAY($A19,2))*(1+Controls!$B$11)^17*(1+Controls!J$25*Smooth!$L19)*(1+Controls!J$26*Smooth!$M19)*(1+Controls!J$27*Smooth!$N19)*(1+Controls!J$28*Smooth!$O19)),2))</f>
        <v/>
      </c>
      <c r="F19" s="10" t="str">
        <f t="array" ref="F19">IF(OR($A19="",5&gt;Controls!$B$6),"",ROUND(MAX(0,Smooth!F19*Controls!F$17*INDEX(Controls!$B$21:$H$21,1,WEEKDAY($A19,2))*(1+Controls!$B$11)^17*(1+Controls!K$25*Smooth!$L19)*(1+Controls!K$26*Smooth!$M19)*(1+Controls!K$27*Smooth!$N19)*(1+Controls!K$28*Smooth!$O19)),2))</f>
        <v/>
      </c>
      <c r="G19" s="10" t="str">
        <f t="array" ref="G19">IF(OR($A19="",6&gt;Controls!$B$6),"",ROUND(MAX(0,Smooth!G19*Controls!G$17*INDEX(Controls!$B$21:$H$21,1,WEEKDAY($A19,2))*(1+Controls!$B$11)^17*(1+Controls!L$25*Smooth!$L19)*(1+Controls!L$26*Smooth!$M19)*(1+Controls!L$27*Smooth!$N19)*(1+Controls!L$28*Smooth!$O19)),2))</f>
        <v/>
      </c>
      <c r="H19" s="10" t="str">
        <f t="array" ref="H19">IF(OR($A19="",7&gt;Controls!$B$6),"",ROUND(MAX(0,Smooth!H19*Controls!H$17*INDEX(Controls!$B$21:$H$21,1,WEEKDAY($A19,2))*(1+Controls!$B$11)^17*(1+Controls!M$25*Smooth!$L19)*(1+Controls!M$26*Smooth!$M19)*(1+Controls!M$27*Smooth!$N19)*(1+Controls!M$28*Smooth!$O19)),2))</f>
        <v/>
      </c>
      <c r="I19" s="10" t="str">
        <f t="array" ref="I19">IF(OR($A19="",8&gt;Controls!$B$6),"",ROUND(MAX(0,Smooth!I19*Controls!I$17*INDEX(Controls!$B$21:$H$21,1,WEEKDAY($A19,2))*(1+Controls!$B$11)^17*(1+Controls!N$25*Smooth!$L19)*(1+Controls!N$26*Smooth!$M19)*(1+Controls!N$27*Smooth!$N19)*(1+Controls!N$28*Smooth!$O19)),2))</f>
        <v/>
      </c>
      <c r="J19" s="10" t="str">
        <f t="array" ref="J19">IF(OR($A19="",9&gt;Controls!$B$6),"",ROUND(MAX(0,Smooth!J19*Controls!J$17*INDEX(Controls!$B$21:$H$21,1,WEEKDAY($A19,2))*(1+Controls!$B$11)^17*(1+Controls!O$25*Smooth!$L19)*(1+Controls!O$26*Smooth!$M19)*(1+Controls!O$27*Smooth!$N19)*(1+Controls!O$28*Smooth!$O19)),2))</f>
        <v/>
      </c>
      <c r="K19" s="10" t="str">
        <f t="array" ref="K19">IF(OR($A19="",10&gt;Controls!$B$6),"",ROUND(MAX(0,Smooth!K19*Controls!K$17*INDEX(Controls!$B$21:$H$21,1,WEEKDAY($A19,2))*(1+Controls!$B$11)^17*(1+Controls!P$25*Smooth!$L19)*(1+Controls!P$26*Smooth!$M19)*(1+Controls!P$27*Smooth!$N19)*(1+Controls!P$28*Smooth!$O19)),2))</f>
        <v/>
      </c>
      <c r="L19" s="18">
        <f t="shared" si="1"/>
        <v>155.82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21.0" customHeight="1">
      <c r="A20" s="7">
        <f>IF(19&lt;=Controls!$B$5,Controls!$B$4+18,"")</f>
        <v>73009</v>
      </c>
      <c r="B20" s="10">
        <f t="array" ref="B20">IF(OR($A20="",1&gt;Controls!$B$6),"",ROUND(MAX(0,Smooth!B20*Controls!B$17*INDEX(Controls!$B$21:$H$21,1,WEEKDAY($A20,2))*(1+Controls!$B$11)^18*(1+Controls!G$25*Smooth!$L20)*(1+Controls!G$26*Smooth!$M20)*(1+Controls!G$27*Smooth!$N20)*(1+Controls!G$28*Smooth!$O20)),2))</f>
        <v>61.49</v>
      </c>
      <c r="C20" s="10">
        <f t="array" ref="C20">IF(OR($A20="",2&gt;Controls!$B$6),"",ROUND(MAX(0,Smooth!C20*Controls!C$17*INDEX(Controls!$B$21:$H$21,1,WEEKDAY($A20,2))*(1+Controls!$B$11)^18*(1+Controls!H$25*Smooth!$L20)*(1+Controls!H$26*Smooth!$M20)*(1+Controls!H$27*Smooth!$N20)*(1+Controls!H$28*Smooth!$O20)),2))</f>
        <v>45.56</v>
      </c>
      <c r="D20" s="10">
        <f t="array" ref="D20">IF(OR($A20="",3&gt;Controls!$B$6),"",ROUND(MAX(0,Smooth!D20*Controls!D$17*INDEX(Controls!$B$21:$H$21,1,WEEKDAY($A20,2))*(1+Controls!$B$11)^18*(1+Controls!I$25*Smooth!$L20)*(1+Controls!I$26*Smooth!$M20)*(1+Controls!I$27*Smooth!$N20)*(1+Controls!I$28*Smooth!$O20)),2))</f>
        <v>50.85</v>
      </c>
      <c r="E20" s="10" t="str">
        <f t="array" ref="E20">IF(OR($A20="",4&gt;Controls!$B$6),"",ROUND(MAX(0,Smooth!E20*Controls!E$17*INDEX(Controls!$B$21:$H$21,1,WEEKDAY($A20,2))*(1+Controls!$B$11)^18*(1+Controls!J$25*Smooth!$L20)*(1+Controls!J$26*Smooth!$M20)*(1+Controls!J$27*Smooth!$N20)*(1+Controls!J$28*Smooth!$O20)),2))</f>
        <v/>
      </c>
      <c r="F20" s="10" t="str">
        <f t="array" ref="F20">IF(OR($A20="",5&gt;Controls!$B$6),"",ROUND(MAX(0,Smooth!F20*Controls!F$17*INDEX(Controls!$B$21:$H$21,1,WEEKDAY($A20,2))*(1+Controls!$B$11)^18*(1+Controls!K$25*Smooth!$L20)*(1+Controls!K$26*Smooth!$M20)*(1+Controls!K$27*Smooth!$N20)*(1+Controls!K$28*Smooth!$O20)),2))</f>
        <v/>
      </c>
      <c r="G20" s="10" t="str">
        <f t="array" ref="G20">IF(OR($A20="",6&gt;Controls!$B$6),"",ROUND(MAX(0,Smooth!G20*Controls!G$17*INDEX(Controls!$B$21:$H$21,1,WEEKDAY($A20,2))*(1+Controls!$B$11)^18*(1+Controls!L$25*Smooth!$L20)*(1+Controls!L$26*Smooth!$M20)*(1+Controls!L$27*Smooth!$N20)*(1+Controls!L$28*Smooth!$O20)),2))</f>
        <v/>
      </c>
      <c r="H20" s="10" t="str">
        <f t="array" ref="H20">IF(OR($A20="",7&gt;Controls!$B$6),"",ROUND(MAX(0,Smooth!H20*Controls!H$17*INDEX(Controls!$B$21:$H$21,1,WEEKDAY($A20,2))*(1+Controls!$B$11)^18*(1+Controls!M$25*Smooth!$L20)*(1+Controls!M$26*Smooth!$M20)*(1+Controls!M$27*Smooth!$N20)*(1+Controls!M$28*Smooth!$O20)),2))</f>
        <v/>
      </c>
      <c r="I20" s="10" t="str">
        <f t="array" ref="I20">IF(OR($A20="",8&gt;Controls!$B$6),"",ROUND(MAX(0,Smooth!I20*Controls!I$17*INDEX(Controls!$B$21:$H$21,1,WEEKDAY($A20,2))*(1+Controls!$B$11)^18*(1+Controls!N$25*Smooth!$L20)*(1+Controls!N$26*Smooth!$M20)*(1+Controls!N$27*Smooth!$N20)*(1+Controls!N$28*Smooth!$O20)),2))</f>
        <v/>
      </c>
      <c r="J20" s="10" t="str">
        <f t="array" ref="J20">IF(OR($A20="",9&gt;Controls!$B$6),"",ROUND(MAX(0,Smooth!J20*Controls!J$17*INDEX(Controls!$B$21:$H$21,1,WEEKDAY($A20,2))*(1+Controls!$B$11)^18*(1+Controls!O$25*Smooth!$L20)*(1+Controls!O$26*Smooth!$M20)*(1+Controls!O$27*Smooth!$N20)*(1+Controls!O$28*Smooth!$O20)),2))</f>
        <v/>
      </c>
      <c r="K20" s="10" t="str">
        <f t="array" ref="K20">IF(OR($A20="",10&gt;Controls!$B$6),"",ROUND(MAX(0,Smooth!K20*Controls!K$17*INDEX(Controls!$B$21:$H$21,1,WEEKDAY($A20,2))*(1+Controls!$B$11)^18*(1+Controls!P$25*Smooth!$L20)*(1+Controls!P$26*Smooth!$M20)*(1+Controls!P$27*Smooth!$N20)*(1+Controls!P$28*Smooth!$O20)),2))</f>
        <v/>
      </c>
      <c r="L20" s="18">
        <f t="shared" si="1"/>
        <v>157.9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21.0" customHeight="1">
      <c r="A21" s="7">
        <f>IF(20&lt;=Controls!$B$5,Controls!$B$4+19,"")</f>
        <v>73010</v>
      </c>
      <c r="B21" s="10">
        <f t="array" ref="B21">IF(OR($A21="",1&gt;Controls!$B$6),"",ROUND(MAX(0,Smooth!B21*Controls!B$17*INDEX(Controls!$B$21:$H$21,1,WEEKDAY($A21,2))*(1+Controls!$B$11)^19*(1+Controls!G$25*Smooth!$L21)*(1+Controls!G$26*Smooth!$M21)*(1+Controls!G$27*Smooth!$N21)*(1+Controls!G$28*Smooth!$O21)),2))</f>
        <v>53.98</v>
      </c>
      <c r="C21" s="10">
        <f t="array" ref="C21">IF(OR($A21="",2&gt;Controls!$B$6),"",ROUND(MAX(0,Smooth!C21*Controls!C$17*INDEX(Controls!$B$21:$H$21,1,WEEKDAY($A21,2))*(1+Controls!$B$11)^19*(1+Controls!H$25*Smooth!$L21)*(1+Controls!H$26*Smooth!$M21)*(1+Controls!H$27*Smooth!$N21)*(1+Controls!H$28*Smooth!$O21)),2))</f>
        <v>32.99</v>
      </c>
      <c r="D21" s="10">
        <f t="array" ref="D21">IF(OR($A21="",3&gt;Controls!$B$6),"",ROUND(MAX(0,Smooth!D21*Controls!D$17*INDEX(Controls!$B$21:$H$21,1,WEEKDAY($A21,2))*(1+Controls!$B$11)^19*(1+Controls!I$25*Smooth!$L21)*(1+Controls!I$26*Smooth!$M21)*(1+Controls!I$27*Smooth!$N21)*(1+Controls!I$28*Smooth!$O21)),2))</f>
        <v>38.24</v>
      </c>
      <c r="E21" s="10" t="str">
        <f t="array" ref="E21">IF(OR($A21="",4&gt;Controls!$B$6),"",ROUND(MAX(0,Smooth!E21*Controls!E$17*INDEX(Controls!$B$21:$H$21,1,WEEKDAY($A21,2))*(1+Controls!$B$11)^19*(1+Controls!J$25*Smooth!$L21)*(1+Controls!J$26*Smooth!$M21)*(1+Controls!J$27*Smooth!$N21)*(1+Controls!J$28*Smooth!$O21)),2))</f>
        <v/>
      </c>
      <c r="F21" s="10" t="str">
        <f t="array" ref="F21">IF(OR($A21="",5&gt;Controls!$B$6),"",ROUND(MAX(0,Smooth!F21*Controls!F$17*INDEX(Controls!$B$21:$H$21,1,WEEKDAY($A21,2))*(1+Controls!$B$11)^19*(1+Controls!K$25*Smooth!$L21)*(1+Controls!K$26*Smooth!$M21)*(1+Controls!K$27*Smooth!$N21)*(1+Controls!K$28*Smooth!$O21)),2))</f>
        <v/>
      </c>
      <c r="G21" s="10" t="str">
        <f t="array" ref="G21">IF(OR($A21="",6&gt;Controls!$B$6),"",ROUND(MAX(0,Smooth!G21*Controls!G$17*INDEX(Controls!$B$21:$H$21,1,WEEKDAY($A21,2))*(1+Controls!$B$11)^19*(1+Controls!L$25*Smooth!$L21)*(1+Controls!L$26*Smooth!$M21)*(1+Controls!L$27*Smooth!$N21)*(1+Controls!L$28*Smooth!$O21)),2))</f>
        <v/>
      </c>
      <c r="H21" s="10" t="str">
        <f t="array" ref="H21">IF(OR($A21="",7&gt;Controls!$B$6),"",ROUND(MAX(0,Smooth!H21*Controls!H$17*INDEX(Controls!$B$21:$H$21,1,WEEKDAY($A21,2))*(1+Controls!$B$11)^19*(1+Controls!M$25*Smooth!$L21)*(1+Controls!M$26*Smooth!$M21)*(1+Controls!M$27*Smooth!$N21)*(1+Controls!M$28*Smooth!$O21)),2))</f>
        <v/>
      </c>
      <c r="I21" s="10" t="str">
        <f t="array" ref="I21">IF(OR($A21="",8&gt;Controls!$B$6),"",ROUND(MAX(0,Smooth!I21*Controls!I$17*INDEX(Controls!$B$21:$H$21,1,WEEKDAY($A21,2))*(1+Controls!$B$11)^19*(1+Controls!N$25*Smooth!$L21)*(1+Controls!N$26*Smooth!$M21)*(1+Controls!N$27*Smooth!$N21)*(1+Controls!N$28*Smooth!$O21)),2))</f>
        <v/>
      </c>
      <c r="J21" s="10" t="str">
        <f t="array" ref="J21">IF(OR($A21="",9&gt;Controls!$B$6),"",ROUND(MAX(0,Smooth!J21*Controls!J$17*INDEX(Controls!$B$21:$H$21,1,WEEKDAY($A21,2))*(1+Controls!$B$11)^19*(1+Controls!O$25*Smooth!$L21)*(1+Controls!O$26*Smooth!$M21)*(1+Controls!O$27*Smooth!$N21)*(1+Controls!O$28*Smooth!$O21)),2))</f>
        <v/>
      </c>
      <c r="K21" s="10" t="str">
        <f t="array" ref="K21">IF(OR($A21="",10&gt;Controls!$B$6),"",ROUND(MAX(0,Smooth!K21*Controls!K$17*INDEX(Controls!$B$21:$H$21,1,WEEKDAY($A21,2))*(1+Controls!$B$11)^19*(1+Controls!P$25*Smooth!$L21)*(1+Controls!P$26*Smooth!$M21)*(1+Controls!P$27*Smooth!$N21)*(1+Controls!P$28*Smooth!$O21)),2))</f>
        <v/>
      </c>
      <c r="L21" s="18">
        <f t="shared" si="1"/>
        <v>125.21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21.0" customHeight="1">
      <c r="A22" s="7">
        <f>IF(21&lt;=Controls!$B$5,Controls!$B$4+20,"")</f>
        <v>73011</v>
      </c>
      <c r="B22" s="10">
        <f t="array" ref="B22">IF(OR($A22="",1&gt;Controls!$B$6),"",ROUND(MAX(0,Smooth!B22*Controls!B$17*INDEX(Controls!$B$21:$H$21,1,WEEKDAY($A22,2))*(1+Controls!$B$11)^20*(1+Controls!G$25*Smooth!$L22)*(1+Controls!G$26*Smooth!$M22)*(1+Controls!G$27*Smooth!$N22)*(1+Controls!G$28*Smooth!$O22)),2))</f>
        <v>27.56</v>
      </c>
      <c r="C22" s="10">
        <f t="array" ref="C22">IF(OR($A22="",2&gt;Controls!$B$6),"",ROUND(MAX(0,Smooth!C22*Controls!C$17*INDEX(Controls!$B$21:$H$21,1,WEEKDAY($A22,2))*(1+Controls!$B$11)^20*(1+Controls!H$25*Smooth!$L22)*(1+Controls!H$26*Smooth!$M22)*(1+Controls!H$27*Smooth!$N22)*(1+Controls!H$28*Smooth!$O22)),2))</f>
        <v>17.24</v>
      </c>
      <c r="D22" s="10">
        <f t="array" ref="D22">IF(OR($A22="",3&gt;Controls!$B$6),"",ROUND(MAX(0,Smooth!D22*Controls!D$17*INDEX(Controls!$B$21:$H$21,1,WEEKDAY($A22,2))*(1+Controls!$B$11)^20*(1+Controls!I$25*Smooth!$L22)*(1+Controls!I$26*Smooth!$M22)*(1+Controls!I$27*Smooth!$N22)*(1+Controls!I$28*Smooth!$O22)),2))</f>
        <v>19.99</v>
      </c>
      <c r="E22" s="10" t="str">
        <f t="array" ref="E22">IF(OR($A22="",4&gt;Controls!$B$6),"",ROUND(MAX(0,Smooth!E22*Controls!E$17*INDEX(Controls!$B$21:$H$21,1,WEEKDAY($A22,2))*(1+Controls!$B$11)^20*(1+Controls!J$25*Smooth!$L22)*(1+Controls!J$26*Smooth!$M22)*(1+Controls!J$27*Smooth!$N22)*(1+Controls!J$28*Smooth!$O22)),2))</f>
        <v/>
      </c>
      <c r="F22" s="10" t="str">
        <f t="array" ref="F22">IF(OR($A22="",5&gt;Controls!$B$6),"",ROUND(MAX(0,Smooth!F22*Controls!F$17*INDEX(Controls!$B$21:$H$21,1,WEEKDAY($A22,2))*(1+Controls!$B$11)^20*(1+Controls!K$25*Smooth!$L22)*(1+Controls!K$26*Smooth!$M22)*(1+Controls!K$27*Smooth!$N22)*(1+Controls!K$28*Smooth!$O22)),2))</f>
        <v/>
      </c>
      <c r="G22" s="10" t="str">
        <f t="array" ref="G22">IF(OR($A22="",6&gt;Controls!$B$6),"",ROUND(MAX(0,Smooth!G22*Controls!G$17*INDEX(Controls!$B$21:$H$21,1,WEEKDAY($A22,2))*(1+Controls!$B$11)^20*(1+Controls!L$25*Smooth!$L22)*(1+Controls!L$26*Smooth!$M22)*(1+Controls!L$27*Smooth!$N22)*(1+Controls!L$28*Smooth!$O22)),2))</f>
        <v/>
      </c>
      <c r="H22" s="10" t="str">
        <f t="array" ref="H22">IF(OR($A22="",7&gt;Controls!$B$6),"",ROUND(MAX(0,Smooth!H22*Controls!H$17*INDEX(Controls!$B$21:$H$21,1,WEEKDAY($A22,2))*(1+Controls!$B$11)^20*(1+Controls!M$25*Smooth!$L22)*(1+Controls!M$26*Smooth!$M22)*(1+Controls!M$27*Smooth!$N22)*(1+Controls!M$28*Smooth!$O22)),2))</f>
        <v/>
      </c>
      <c r="I22" s="10" t="str">
        <f t="array" ref="I22">IF(OR($A22="",8&gt;Controls!$B$6),"",ROUND(MAX(0,Smooth!I22*Controls!I$17*INDEX(Controls!$B$21:$H$21,1,WEEKDAY($A22,2))*(1+Controls!$B$11)^20*(1+Controls!N$25*Smooth!$L22)*(1+Controls!N$26*Smooth!$M22)*(1+Controls!N$27*Smooth!$N22)*(1+Controls!N$28*Smooth!$O22)),2))</f>
        <v/>
      </c>
      <c r="J22" s="10" t="str">
        <f t="array" ref="J22">IF(OR($A22="",9&gt;Controls!$B$6),"",ROUND(MAX(0,Smooth!J22*Controls!J$17*INDEX(Controls!$B$21:$H$21,1,WEEKDAY($A22,2))*(1+Controls!$B$11)^20*(1+Controls!O$25*Smooth!$L22)*(1+Controls!O$26*Smooth!$M22)*(1+Controls!O$27*Smooth!$N22)*(1+Controls!O$28*Smooth!$O22)),2))</f>
        <v/>
      </c>
      <c r="K22" s="10" t="str">
        <f t="array" ref="K22">IF(OR($A22="",10&gt;Controls!$B$6),"",ROUND(MAX(0,Smooth!K22*Controls!K$17*INDEX(Controls!$B$21:$H$21,1,WEEKDAY($A22,2))*(1+Controls!$B$11)^20*(1+Controls!P$25*Smooth!$L22)*(1+Controls!P$26*Smooth!$M22)*(1+Controls!P$27*Smooth!$N22)*(1+Controls!P$28*Smooth!$O22)),2))</f>
        <v/>
      </c>
      <c r="L22" s="18">
        <f t="shared" si="1"/>
        <v>64.79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21.0" customHeight="1">
      <c r="A23" s="7">
        <f>IF(22&lt;=Controls!$B$5,Controls!$B$4+21,"")</f>
        <v>73012</v>
      </c>
      <c r="B23" s="10">
        <f t="array" ref="B23">IF(OR($A23="",1&gt;Controls!$B$6),"",ROUND(MAX(0,Smooth!B23*Controls!B$17*INDEX(Controls!$B$21:$H$21,1,WEEKDAY($A23,2))*(1+Controls!$B$11)^21*(1+Controls!G$25*Smooth!$L23)*(1+Controls!G$26*Smooth!$M23)*(1+Controls!G$27*Smooth!$N23)*(1+Controls!G$28*Smooth!$O23)),2))</f>
        <v>57.75</v>
      </c>
      <c r="C23" s="10">
        <f t="array" ref="C23">IF(OR($A23="",2&gt;Controls!$B$6),"",ROUND(MAX(0,Smooth!C23*Controls!C$17*INDEX(Controls!$B$21:$H$21,1,WEEKDAY($A23,2))*(1+Controls!$B$11)^21*(1+Controls!H$25*Smooth!$L23)*(1+Controls!H$26*Smooth!$M23)*(1+Controls!H$27*Smooth!$N23)*(1+Controls!H$28*Smooth!$O23)),2))</f>
        <v>47.82</v>
      </c>
      <c r="D23" s="10">
        <f t="array" ref="D23">IF(OR($A23="",3&gt;Controls!$B$6),"",ROUND(MAX(0,Smooth!D23*Controls!D$17*INDEX(Controls!$B$21:$H$21,1,WEEKDAY($A23,2))*(1+Controls!$B$11)^21*(1+Controls!I$25*Smooth!$L23)*(1+Controls!I$26*Smooth!$M23)*(1+Controls!I$27*Smooth!$N23)*(1+Controls!I$28*Smooth!$O23)),2))</f>
        <v>51.55</v>
      </c>
      <c r="E23" s="10" t="str">
        <f t="array" ref="E23">IF(OR($A23="",4&gt;Controls!$B$6),"",ROUND(MAX(0,Smooth!E23*Controls!E$17*INDEX(Controls!$B$21:$H$21,1,WEEKDAY($A23,2))*(1+Controls!$B$11)^21*(1+Controls!J$25*Smooth!$L23)*(1+Controls!J$26*Smooth!$M23)*(1+Controls!J$27*Smooth!$N23)*(1+Controls!J$28*Smooth!$O23)),2))</f>
        <v/>
      </c>
      <c r="F23" s="10" t="str">
        <f t="array" ref="F23">IF(OR($A23="",5&gt;Controls!$B$6),"",ROUND(MAX(0,Smooth!F23*Controls!F$17*INDEX(Controls!$B$21:$H$21,1,WEEKDAY($A23,2))*(1+Controls!$B$11)^21*(1+Controls!K$25*Smooth!$L23)*(1+Controls!K$26*Smooth!$M23)*(1+Controls!K$27*Smooth!$N23)*(1+Controls!K$28*Smooth!$O23)),2))</f>
        <v/>
      </c>
      <c r="G23" s="10" t="str">
        <f t="array" ref="G23">IF(OR($A23="",6&gt;Controls!$B$6),"",ROUND(MAX(0,Smooth!G23*Controls!G$17*INDEX(Controls!$B$21:$H$21,1,WEEKDAY($A23,2))*(1+Controls!$B$11)^21*(1+Controls!L$25*Smooth!$L23)*(1+Controls!L$26*Smooth!$M23)*(1+Controls!L$27*Smooth!$N23)*(1+Controls!L$28*Smooth!$O23)),2))</f>
        <v/>
      </c>
      <c r="H23" s="10" t="str">
        <f t="array" ref="H23">IF(OR($A23="",7&gt;Controls!$B$6),"",ROUND(MAX(0,Smooth!H23*Controls!H$17*INDEX(Controls!$B$21:$H$21,1,WEEKDAY($A23,2))*(1+Controls!$B$11)^21*(1+Controls!M$25*Smooth!$L23)*(1+Controls!M$26*Smooth!$M23)*(1+Controls!M$27*Smooth!$N23)*(1+Controls!M$28*Smooth!$O23)),2))</f>
        <v/>
      </c>
      <c r="I23" s="10" t="str">
        <f t="array" ref="I23">IF(OR($A23="",8&gt;Controls!$B$6),"",ROUND(MAX(0,Smooth!I23*Controls!I$17*INDEX(Controls!$B$21:$H$21,1,WEEKDAY($A23,2))*(1+Controls!$B$11)^21*(1+Controls!N$25*Smooth!$L23)*(1+Controls!N$26*Smooth!$M23)*(1+Controls!N$27*Smooth!$N23)*(1+Controls!N$28*Smooth!$O23)),2))</f>
        <v/>
      </c>
      <c r="J23" s="10" t="str">
        <f t="array" ref="J23">IF(OR($A23="",9&gt;Controls!$B$6),"",ROUND(MAX(0,Smooth!J23*Controls!J$17*INDEX(Controls!$B$21:$H$21,1,WEEKDAY($A23,2))*(1+Controls!$B$11)^21*(1+Controls!O$25*Smooth!$L23)*(1+Controls!O$26*Smooth!$M23)*(1+Controls!O$27*Smooth!$N23)*(1+Controls!O$28*Smooth!$O23)),2))</f>
        <v/>
      </c>
      <c r="K23" s="10" t="str">
        <f t="array" ref="K23">IF(OR($A23="",10&gt;Controls!$B$6),"",ROUND(MAX(0,Smooth!K23*Controls!K$17*INDEX(Controls!$B$21:$H$21,1,WEEKDAY($A23,2))*(1+Controls!$B$11)^21*(1+Controls!P$25*Smooth!$L23)*(1+Controls!P$26*Smooth!$M23)*(1+Controls!P$27*Smooth!$N23)*(1+Controls!P$28*Smooth!$O23)),2))</f>
        <v/>
      </c>
      <c r="L23" s="18">
        <f t="shared" si="1"/>
        <v>157.12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21.0" customHeight="1">
      <c r="A24" s="7">
        <f>IF(23&lt;=Controls!$B$5,Controls!$B$4+22,"")</f>
        <v>73013</v>
      </c>
      <c r="B24" s="10">
        <f t="array" ref="B24">IF(OR($A24="",1&gt;Controls!$B$6),"",ROUND(MAX(0,Smooth!B24*Controls!B$17*INDEX(Controls!$B$21:$H$21,1,WEEKDAY($A24,2))*(1+Controls!$B$11)^22*(1+Controls!G$25*Smooth!$L24)*(1+Controls!G$26*Smooth!$M24)*(1+Controls!G$27*Smooth!$N24)*(1+Controls!G$28*Smooth!$O24)),2))</f>
        <v>46.35</v>
      </c>
      <c r="C24" s="10">
        <f t="array" ref="C24">IF(OR($A24="",2&gt;Controls!$B$6),"",ROUND(MAX(0,Smooth!C24*Controls!C$17*INDEX(Controls!$B$21:$H$21,1,WEEKDAY($A24,2))*(1+Controls!$B$11)^22*(1+Controls!H$25*Smooth!$L24)*(1+Controls!H$26*Smooth!$M24)*(1+Controls!H$27*Smooth!$N24)*(1+Controls!H$28*Smooth!$O24)),2))</f>
        <v>59.53</v>
      </c>
      <c r="D24" s="10">
        <f t="array" ref="D24">IF(OR($A24="",3&gt;Controls!$B$6),"",ROUND(MAX(0,Smooth!D24*Controls!D$17*INDEX(Controls!$B$21:$H$21,1,WEEKDAY($A24,2))*(1+Controls!$B$11)^22*(1+Controls!I$25*Smooth!$L24)*(1+Controls!I$26*Smooth!$M24)*(1+Controls!I$27*Smooth!$N24)*(1+Controls!I$28*Smooth!$O24)),2))</f>
        <v>51.11</v>
      </c>
      <c r="E24" s="10" t="str">
        <f t="array" ref="E24">IF(OR($A24="",4&gt;Controls!$B$6),"",ROUND(MAX(0,Smooth!E24*Controls!E$17*INDEX(Controls!$B$21:$H$21,1,WEEKDAY($A24,2))*(1+Controls!$B$11)^22*(1+Controls!J$25*Smooth!$L24)*(1+Controls!J$26*Smooth!$M24)*(1+Controls!J$27*Smooth!$N24)*(1+Controls!J$28*Smooth!$O24)),2))</f>
        <v/>
      </c>
      <c r="F24" s="10" t="str">
        <f t="array" ref="F24">IF(OR($A24="",5&gt;Controls!$B$6),"",ROUND(MAX(0,Smooth!F24*Controls!F$17*INDEX(Controls!$B$21:$H$21,1,WEEKDAY($A24,2))*(1+Controls!$B$11)^22*(1+Controls!K$25*Smooth!$L24)*(1+Controls!K$26*Smooth!$M24)*(1+Controls!K$27*Smooth!$N24)*(1+Controls!K$28*Smooth!$O24)),2))</f>
        <v/>
      </c>
      <c r="G24" s="10" t="str">
        <f t="array" ref="G24">IF(OR($A24="",6&gt;Controls!$B$6),"",ROUND(MAX(0,Smooth!G24*Controls!G$17*INDEX(Controls!$B$21:$H$21,1,WEEKDAY($A24,2))*(1+Controls!$B$11)^22*(1+Controls!L$25*Smooth!$L24)*(1+Controls!L$26*Smooth!$M24)*(1+Controls!L$27*Smooth!$N24)*(1+Controls!L$28*Smooth!$O24)),2))</f>
        <v/>
      </c>
      <c r="H24" s="10" t="str">
        <f t="array" ref="H24">IF(OR($A24="",7&gt;Controls!$B$6),"",ROUND(MAX(0,Smooth!H24*Controls!H$17*INDEX(Controls!$B$21:$H$21,1,WEEKDAY($A24,2))*(1+Controls!$B$11)^22*(1+Controls!M$25*Smooth!$L24)*(1+Controls!M$26*Smooth!$M24)*(1+Controls!M$27*Smooth!$N24)*(1+Controls!M$28*Smooth!$O24)),2))</f>
        <v/>
      </c>
      <c r="I24" s="10" t="str">
        <f t="array" ref="I24">IF(OR($A24="",8&gt;Controls!$B$6),"",ROUND(MAX(0,Smooth!I24*Controls!I$17*INDEX(Controls!$B$21:$H$21,1,WEEKDAY($A24,2))*(1+Controls!$B$11)^22*(1+Controls!N$25*Smooth!$L24)*(1+Controls!N$26*Smooth!$M24)*(1+Controls!N$27*Smooth!$N24)*(1+Controls!N$28*Smooth!$O24)),2))</f>
        <v/>
      </c>
      <c r="J24" s="10" t="str">
        <f t="array" ref="J24">IF(OR($A24="",9&gt;Controls!$B$6),"",ROUND(MAX(0,Smooth!J24*Controls!J$17*INDEX(Controls!$B$21:$H$21,1,WEEKDAY($A24,2))*(1+Controls!$B$11)^22*(1+Controls!O$25*Smooth!$L24)*(1+Controls!O$26*Smooth!$M24)*(1+Controls!O$27*Smooth!$N24)*(1+Controls!O$28*Smooth!$O24)),2))</f>
        <v/>
      </c>
      <c r="K24" s="10" t="str">
        <f t="array" ref="K24">IF(OR($A24="",10&gt;Controls!$B$6),"",ROUND(MAX(0,Smooth!K24*Controls!K$17*INDEX(Controls!$B$21:$H$21,1,WEEKDAY($A24,2))*(1+Controls!$B$11)^22*(1+Controls!P$25*Smooth!$L24)*(1+Controls!P$26*Smooth!$M24)*(1+Controls!P$27*Smooth!$N24)*(1+Controls!P$28*Smooth!$O24)),2))</f>
        <v/>
      </c>
      <c r="L24" s="18">
        <f t="shared" si="1"/>
        <v>156.99</v>
      </c>
      <c r="M24" s="2"/>
      <c r="N24" s="19" t="str">
        <f t="shared" ref="N24:W24" si="2">IF(B1="","",B1)</f>
        <v>LV-426</v>
      </c>
      <c r="O24" s="20" t="str">
        <f t="shared" si="2"/>
        <v>Origae-6</v>
      </c>
      <c r="P24" s="21" t="str">
        <f t="shared" si="2"/>
        <v>Fiorina 151</v>
      </c>
      <c r="Q24" s="22" t="str">
        <f t="shared" si="2"/>
        <v/>
      </c>
      <c r="R24" s="23" t="str">
        <f t="shared" si="2"/>
        <v/>
      </c>
      <c r="S24" s="19" t="str">
        <f t="shared" si="2"/>
        <v/>
      </c>
      <c r="T24" s="20" t="str">
        <f t="shared" si="2"/>
        <v/>
      </c>
      <c r="U24" s="21" t="str">
        <f t="shared" si="2"/>
        <v/>
      </c>
      <c r="V24" s="22" t="str">
        <f t="shared" si="2"/>
        <v/>
      </c>
      <c r="W24" s="23" t="str">
        <f t="shared" si="2"/>
        <v/>
      </c>
      <c r="X24" s="2"/>
      <c r="Y24" s="2"/>
      <c r="Z24" s="2"/>
      <c r="AA24" s="2"/>
      <c r="AB24" s="2"/>
      <c r="AC24" s="2"/>
      <c r="AD24" s="2"/>
      <c r="AE24" s="2"/>
    </row>
    <row r="25" ht="21.0" customHeight="1">
      <c r="A25" s="7">
        <f>IF(24&lt;=Controls!$B$5,Controls!$B$4+23,"")</f>
        <v>73014</v>
      </c>
      <c r="B25" s="10">
        <f t="array" ref="B25">IF(OR($A25="",1&gt;Controls!$B$6),"",ROUND(MAX(0,Smooth!B25*Controls!B$17*INDEX(Controls!$B$21:$H$21,1,WEEKDAY($A25,2))*(1+Controls!$B$11)^23*(1+Controls!G$25*Smooth!$L25)*(1+Controls!G$26*Smooth!$M25)*(1+Controls!G$27*Smooth!$N25)*(1+Controls!G$28*Smooth!$O25)),2))</f>
        <v>40.09</v>
      </c>
      <c r="C25" s="10">
        <f t="array" ref="C25">IF(OR($A25="",2&gt;Controls!$B$6),"",ROUND(MAX(0,Smooth!C25*Controls!C$17*INDEX(Controls!$B$21:$H$21,1,WEEKDAY($A25,2))*(1+Controls!$B$11)^23*(1+Controls!H$25*Smooth!$L25)*(1+Controls!H$26*Smooth!$M25)*(1+Controls!H$27*Smooth!$N25)*(1+Controls!H$28*Smooth!$O25)),2))</f>
        <v>60.19</v>
      </c>
      <c r="D25" s="10">
        <f t="array" ref="D25">IF(OR($A25="",3&gt;Controls!$B$6),"",ROUND(MAX(0,Smooth!D25*Controls!D$17*INDEX(Controls!$B$21:$H$21,1,WEEKDAY($A25,2))*(1+Controls!$B$11)^23*(1+Controls!I$25*Smooth!$L25)*(1+Controls!I$26*Smooth!$M25)*(1+Controls!I$27*Smooth!$N25)*(1+Controls!I$28*Smooth!$O25)),2))</f>
        <v>64.94</v>
      </c>
      <c r="E25" s="10" t="str">
        <f t="array" ref="E25">IF(OR($A25="",4&gt;Controls!$B$6),"",ROUND(MAX(0,Smooth!E25*Controls!E$17*INDEX(Controls!$B$21:$H$21,1,WEEKDAY($A25,2))*(1+Controls!$B$11)^23*(1+Controls!J$25*Smooth!$L25)*(1+Controls!J$26*Smooth!$M25)*(1+Controls!J$27*Smooth!$N25)*(1+Controls!J$28*Smooth!$O25)),2))</f>
        <v/>
      </c>
      <c r="F25" s="10" t="str">
        <f t="array" ref="F25">IF(OR($A25="",5&gt;Controls!$B$6),"",ROUND(MAX(0,Smooth!F25*Controls!F$17*INDEX(Controls!$B$21:$H$21,1,WEEKDAY($A25,2))*(1+Controls!$B$11)^23*(1+Controls!K$25*Smooth!$L25)*(1+Controls!K$26*Smooth!$M25)*(1+Controls!K$27*Smooth!$N25)*(1+Controls!K$28*Smooth!$O25)),2))</f>
        <v/>
      </c>
      <c r="G25" s="10" t="str">
        <f t="array" ref="G25">IF(OR($A25="",6&gt;Controls!$B$6),"",ROUND(MAX(0,Smooth!G25*Controls!G$17*INDEX(Controls!$B$21:$H$21,1,WEEKDAY($A25,2))*(1+Controls!$B$11)^23*(1+Controls!L$25*Smooth!$L25)*(1+Controls!L$26*Smooth!$M25)*(1+Controls!L$27*Smooth!$N25)*(1+Controls!L$28*Smooth!$O25)),2))</f>
        <v/>
      </c>
      <c r="H25" s="10" t="str">
        <f t="array" ref="H25">IF(OR($A25="",7&gt;Controls!$B$6),"",ROUND(MAX(0,Smooth!H25*Controls!H$17*INDEX(Controls!$B$21:$H$21,1,WEEKDAY($A25,2))*(1+Controls!$B$11)^23*(1+Controls!M$25*Smooth!$L25)*(1+Controls!M$26*Smooth!$M25)*(1+Controls!M$27*Smooth!$N25)*(1+Controls!M$28*Smooth!$O25)),2))</f>
        <v/>
      </c>
      <c r="I25" s="10" t="str">
        <f t="array" ref="I25">IF(OR($A25="",8&gt;Controls!$B$6),"",ROUND(MAX(0,Smooth!I25*Controls!I$17*INDEX(Controls!$B$21:$H$21,1,WEEKDAY($A25,2))*(1+Controls!$B$11)^23*(1+Controls!N$25*Smooth!$L25)*(1+Controls!N$26*Smooth!$M25)*(1+Controls!N$27*Smooth!$N25)*(1+Controls!N$28*Smooth!$O25)),2))</f>
        <v/>
      </c>
      <c r="J25" s="10" t="str">
        <f t="array" ref="J25">IF(OR($A25="",9&gt;Controls!$B$6),"",ROUND(MAX(0,Smooth!J25*Controls!J$17*INDEX(Controls!$B$21:$H$21,1,WEEKDAY($A25,2))*(1+Controls!$B$11)^23*(1+Controls!O$25*Smooth!$L25)*(1+Controls!O$26*Smooth!$M25)*(1+Controls!O$27*Smooth!$N25)*(1+Controls!O$28*Smooth!$O25)),2))</f>
        <v/>
      </c>
      <c r="K25" s="10" t="str">
        <f t="array" ref="K25">IF(OR($A25="",10&gt;Controls!$B$6),"",ROUND(MAX(0,Smooth!K25*Controls!K$17*INDEX(Controls!$B$21:$H$21,1,WEEKDAY($A25,2))*(1+Controls!$B$11)^23*(1+Controls!P$25*Smooth!$L25)*(1+Controls!P$26*Smooth!$M25)*(1+Controls!P$27*Smooth!$N25)*(1+Controls!P$28*Smooth!$O25)),2))</f>
        <v/>
      </c>
      <c r="L25" s="18">
        <f t="shared" si="1"/>
        <v>165.22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21.0" customHeight="1">
      <c r="A26" s="7">
        <f>IF(25&lt;=Controls!$B$5,Controls!$B$4+24,"")</f>
        <v>73015</v>
      </c>
      <c r="B26" s="10">
        <f t="array" ref="B26">IF(OR($A26="",1&gt;Controls!$B$6),"",ROUND(MAX(0,Smooth!B26*Controls!B$17*INDEX(Controls!$B$21:$H$21,1,WEEKDAY($A26,2))*(1+Controls!$B$11)^24*(1+Controls!G$25*Smooth!$L26)*(1+Controls!G$26*Smooth!$M26)*(1+Controls!G$27*Smooth!$N26)*(1+Controls!G$28*Smooth!$O26)),2))</f>
        <v>32.6</v>
      </c>
      <c r="C26" s="10">
        <f t="array" ref="C26">IF(OR($A26="",2&gt;Controls!$B$6),"",ROUND(MAX(0,Smooth!C26*Controls!C$17*INDEX(Controls!$B$21:$H$21,1,WEEKDAY($A26,2))*(1+Controls!$B$11)^24*(1+Controls!H$25*Smooth!$L26)*(1+Controls!H$26*Smooth!$M26)*(1+Controls!H$27*Smooth!$N26)*(1+Controls!H$28*Smooth!$O26)),2))</f>
        <v>48.41</v>
      </c>
      <c r="D26" s="10">
        <f t="array" ref="D26">IF(OR($A26="",3&gt;Controls!$B$6),"",ROUND(MAX(0,Smooth!D26*Controls!D$17*INDEX(Controls!$B$21:$H$21,1,WEEKDAY($A26,2))*(1+Controls!$B$11)^24*(1+Controls!I$25*Smooth!$L26)*(1+Controls!I$26*Smooth!$M26)*(1+Controls!I$27*Smooth!$N26)*(1+Controls!I$28*Smooth!$O26)),2))</f>
        <v>55.59</v>
      </c>
      <c r="E26" s="10" t="str">
        <f t="array" ref="E26">IF(OR($A26="",4&gt;Controls!$B$6),"",ROUND(MAX(0,Smooth!E26*Controls!E$17*INDEX(Controls!$B$21:$H$21,1,WEEKDAY($A26,2))*(1+Controls!$B$11)^24*(1+Controls!J$25*Smooth!$L26)*(1+Controls!J$26*Smooth!$M26)*(1+Controls!J$27*Smooth!$N26)*(1+Controls!J$28*Smooth!$O26)),2))</f>
        <v/>
      </c>
      <c r="F26" s="10" t="str">
        <f t="array" ref="F26">IF(OR($A26="",5&gt;Controls!$B$6),"",ROUND(MAX(0,Smooth!F26*Controls!F$17*INDEX(Controls!$B$21:$H$21,1,WEEKDAY($A26,2))*(1+Controls!$B$11)^24*(1+Controls!K$25*Smooth!$L26)*(1+Controls!K$26*Smooth!$M26)*(1+Controls!K$27*Smooth!$N26)*(1+Controls!K$28*Smooth!$O26)),2))</f>
        <v/>
      </c>
      <c r="G26" s="10" t="str">
        <f t="array" ref="G26">IF(OR($A26="",6&gt;Controls!$B$6),"",ROUND(MAX(0,Smooth!G26*Controls!G$17*INDEX(Controls!$B$21:$H$21,1,WEEKDAY($A26,2))*(1+Controls!$B$11)^24*(1+Controls!L$25*Smooth!$L26)*(1+Controls!L$26*Smooth!$M26)*(1+Controls!L$27*Smooth!$N26)*(1+Controls!L$28*Smooth!$O26)),2))</f>
        <v/>
      </c>
      <c r="H26" s="10" t="str">
        <f t="array" ref="H26">IF(OR($A26="",7&gt;Controls!$B$6),"",ROUND(MAX(0,Smooth!H26*Controls!H$17*INDEX(Controls!$B$21:$H$21,1,WEEKDAY($A26,2))*(1+Controls!$B$11)^24*(1+Controls!M$25*Smooth!$L26)*(1+Controls!M$26*Smooth!$M26)*(1+Controls!M$27*Smooth!$N26)*(1+Controls!M$28*Smooth!$O26)),2))</f>
        <v/>
      </c>
      <c r="I26" s="10" t="str">
        <f t="array" ref="I26">IF(OR($A26="",8&gt;Controls!$B$6),"",ROUND(MAX(0,Smooth!I26*Controls!I$17*INDEX(Controls!$B$21:$H$21,1,WEEKDAY($A26,2))*(1+Controls!$B$11)^24*(1+Controls!N$25*Smooth!$L26)*(1+Controls!N$26*Smooth!$M26)*(1+Controls!N$27*Smooth!$N26)*(1+Controls!N$28*Smooth!$O26)),2))</f>
        <v/>
      </c>
      <c r="J26" s="10" t="str">
        <f t="array" ref="J26">IF(OR($A26="",9&gt;Controls!$B$6),"",ROUND(MAX(0,Smooth!J26*Controls!J$17*INDEX(Controls!$B$21:$H$21,1,WEEKDAY($A26,2))*(1+Controls!$B$11)^24*(1+Controls!O$25*Smooth!$L26)*(1+Controls!O$26*Smooth!$M26)*(1+Controls!O$27*Smooth!$N26)*(1+Controls!O$28*Smooth!$O26)),2))</f>
        <v/>
      </c>
      <c r="K26" s="10" t="str">
        <f t="array" ref="K26">IF(OR($A26="",10&gt;Controls!$B$6),"",ROUND(MAX(0,Smooth!K26*Controls!K$17*INDEX(Controls!$B$21:$H$21,1,WEEKDAY($A26,2))*(1+Controls!$B$11)^24*(1+Controls!P$25*Smooth!$L26)*(1+Controls!P$26*Smooth!$M26)*(1+Controls!P$27*Smooth!$N26)*(1+Controls!P$28*Smooth!$O26)),2))</f>
        <v/>
      </c>
      <c r="L26" s="18">
        <f t="shared" si="1"/>
        <v>136.6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21.0" customHeight="1">
      <c r="A27" s="7">
        <f>IF(26&lt;=Controls!$B$5,Controls!$B$4+25,"")</f>
        <v>73016</v>
      </c>
      <c r="B27" s="10">
        <f t="array" ref="B27">IF(OR($A27="",1&gt;Controls!$B$6),"",ROUND(MAX(0,Smooth!B27*Controls!B$17*INDEX(Controls!$B$21:$H$21,1,WEEKDAY($A27,2))*(1+Controls!$B$11)^25*(1+Controls!G$25*Smooth!$L27)*(1+Controls!G$26*Smooth!$M27)*(1+Controls!G$27*Smooth!$N27)*(1+Controls!G$28*Smooth!$O27)),2))</f>
        <v>44.11</v>
      </c>
      <c r="C27" s="10">
        <f t="array" ref="C27">IF(OR($A27="",2&gt;Controls!$B$6),"",ROUND(MAX(0,Smooth!C27*Controls!C$17*INDEX(Controls!$B$21:$H$21,1,WEEKDAY($A27,2))*(1+Controls!$B$11)^25*(1+Controls!H$25*Smooth!$L27)*(1+Controls!H$26*Smooth!$M27)*(1+Controls!H$27*Smooth!$N27)*(1+Controls!H$28*Smooth!$O27)),2))</f>
        <v>47.99</v>
      </c>
      <c r="D27" s="10">
        <f t="array" ref="D27">IF(OR($A27="",3&gt;Controls!$B$6),"",ROUND(MAX(0,Smooth!D27*Controls!D$17*INDEX(Controls!$B$21:$H$21,1,WEEKDAY($A27,2))*(1+Controls!$B$11)^25*(1+Controls!I$25*Smooth!$L27)*(1+Controls!I$26*Smooth!$M27)*(1+Controls!I$27*Smooth!$N27)*(1+Controls!I$28*Smooth!$O27)),2))</f>
        <v>46.4</v>
      </c>
      <c r="E27" s="10" t="str">
        <f t="array" ref="E27">IF(OR($A27="",4&gt;Controls!$B$6),"",ROUND(MAX(0,Smooth!E27*Controls!E$17*INDEX(Controls!$B$21:$H$21,1,WEEKDAY($A27,2))*(1+Controls!$B$11)^25*(1+Controls!J$25*Smooth!$L27)*(1+Controls!J$26*Smooth!$M27)*(1+Controls!J$27*Smooth!$N27)*(1+Controls!J$28*Smooth!$O27)),2))</f>
        <v/>
      </c>
      <c r="F27" s="10" t="str">
        <f t="array" ref="F27">IF(OR($A27="",5&gt;Controls!$B$6),"",ROUND(MAX(0,Smooth!F27*Controls!F$17*INDEX(Controls!$B$21:$H$21,1,WEEKDAY($A27,2))*(1+Controls!$B$11)^25*(1+Controls!K$25*Smooth!$L27)*(1+Controls!K$26*Smooth!$M27)*(1+Controls!K$27*Smooth!$N27)*(1+Controls!K$28*Smooth!$O27)),2))</f>
        <v/>
      </c>
      <c r="G27" s="10" t="str">
        <f t="array" ref="G27">IF(OR($A27="",6&gt;Controls!$B$6),"",ROUND(MAX(0,Smooth!G27*Controls!G$17*INDEX(Controls!$B$21:$H$21,1,WEEKDAY($A27,2))*(1+Controls!$B$11)^25*(1+Controls!L$25*Smooth!$L27)*(1+Controls!L$26*Smooth!$M27)*(1+Controls!L$27*Smooth!$N27)*(1+Controls!L$28*Smooth!$O27)),2))</f>
        <v/>
      </c>
      <c r="H27" s="10" t="str">
        <f t="array" ref="H27">IF(OR($A27="",7&gt;Controls!$B$6),"",ROUND(MAX(0,Smooth!H27*Controls!H$17*INDEX(Controls!$B$21:$H$21,1,WEEKDAY($A27,2))*(1+Controls!$B$11)^25*(1+Controls!M$25*Smooth!$L27)*(1+Controls!M$26*Smooth!$M27)*(1+Controls!M$27*Smooth!$N27)*(1+Controls!M$28*Smooth!$O27)),2))</f>
        <v/>
      </c>
      <c r="I27" s="10" t="str">
        <f t="array" ref="I27">IF(OR($A27="",8&gt;Controls!$B$6),"",ROUND(MAX(0,Smooth!I27*Controls!I$17*INDEX(Controls!$B$21:$H$21,1,WEEKDAY($A27,2))*(1+Controls!$B$11)^25*(1+Controls!N$25*Smooth!$L27)*(1+Controls!N$26*Smooth!$M27)*(1+Controls!N$27*Smooth!$N27)*(1+Controls!N$28*Smooth!$O27)),2))</f>
        <v/>
      </c>
      <c r="J27" s="10" t="str">
        <f t="array" ref="J27">IF(OR($A27="",9&gt;Controls!$B$6),"",ROUND(MAX(0,Smooth!J27*Controls!J$17*INDEX(Controls!$B$21:$H$21,1,WEEKDAY($A27,2))*(1+Controls!$B$11)^25*(1+Controls!O$25*Smooth!$L27)*(1+Controls!O$26*Smooth!$M27)*(1+Controls!O$27*Smooth!$N27)*(1+Controls!O$28*Smooth!$O27)),2))</f>
        <v/>
      </c>
      <c r="K27" s="10" t="str">
        <f t="array" ref="K27">IF(OR($A27="",10&gt;Controls!$B$6),"",ROUND(MAX(0,Smooth!K27*Controls!K$17*INDEX(Controls!$B$21:$H$21,1,WEEKDAY($A27,2))*(1+Controls!$B$11)^25*(1+Controls!P$25*Smooth!$L27)*(1+Controls!P$26*Smooth!$M27)*(1+Controls!P$27*Smooth!$N27)*(1+Controls!P$28*Smooth!$O27)),2))</f>
        <v/>
      </c>
      <c r="L27" s="18">
        <f t="shared" si="1"/>
        <v>138.5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21.0" customHeight="1">
      <c r="A28" s="7">
        <f>IF(27&lt;=Controls!$B$5,Controls!$B$4+26,"")</f>
        <v>73017</v>
      </c>
      <c r="B28" s="10">
        <f t="array" ref="B28">IF(OR($A28="",1&gt;Controls!$B$6),"",ROUND(MAX(0,Smooth!B28*Controls!B$17*INDEX(Controls!$B$21:$H$21,1,WEEKDAY($A28,2))*(1+Controls!$B$11)^26*(1+Controls!G$25*Smooth!$L28)*(1+Controls!G$26*Smooth!$M28)*(1+Controls!G$27*Smooth!$N28)*(1+Controls!G$28*Smooth!$O28)),2))</f>
        <v>28.96</v>
      </c>
      <c r="C28" s="10">
        <f t="array" ref="C28">IF(OR($A28="",2&gt;Controls!$B$6),"",ROUND(MAX(0,Smooth!C28*Controls!C$17*INDEX(Controls!$B$21:$H$21,1,WEEKDAY($A28,2))*(1+Controls!$B$11)^26*(1+Controls!H$25*Smooth!$L28)*(1+Controls!H$26*Smooth!$M28)*(1+Controls!H$27*Smooth!$N28)*(1+Controls!H$28*Smooth!$O28)),2))</f>
        <v>35.04</v>
      </c>
      <c r="D28" s="10">
        <f t="array" ref="D28">IF(OR($A28="",3&gt;Controls!$B$6),"",ROUND(MAX(0,Smooth!D28*Controls!D$17*INDEX(Controls!$B$21:$H$21,1,WEEKDAY($A28,2))*(1+Controls!$B$11)^26*(1+Controls!I$25*Smooth!$L28)*(1+Controls!I$26*Smooth!$M28)*(1+Controls!I$27*Smooth!$N28)*(1+Controls!I$28*Smooth!$O28)),2))</f>
        <v>42.77</v>
      </c>
      <c r="E28" s="10" t="str">
        <f t="array" ref="E28">IF(OR($A28="",4&gt;Controls!$B$6),"",ROUND(MAX(0,Smooth!E28*Controls!E$17*INDEX(Controls!$B$21:$H$21,1,WEEKDAY($A28,2))*(1+Controls!$B$11)^26*(1+Controls!J$25*Smooth!$L28)*(1+Controls!J$26*Smooth!$M28)*(1+Controls!J$27*Smooth!$N28)*(1+Controls!J$28*Smooth!$O28)),2))</f>
        <v/>
      </c>
      <c r="F28" s="10" t="str">
        <f t="array" ref="F28">IF(OR($A28="",5&gt;Controls!$B$6),"",ROUND(MAX(0,Smooth!F28*Controls!F$17*INDEX(Controls!$B$21:$H$21,1,WEEKDAY($A28,2))*(1+Controls!$B$11)^26*(1+Controls!K$25*Smooth!$L28)*(1+Controls!K$26*Smooth!$M28)*(1+Controls!K$27*Smooth!$N28)*(1+Controls!K$28*Smooth!$O28)),2))</f>
        <v/>
      </c>
      <c r="G28" s="10" t="str">
        <f t="array" ref="G28">IF(OR($A28="",6&gt;Controls!$B$6),"",ROUND(MAX(0,Smooth!G28*Controls!G$17*INDEX(Controls!$B$21:$H$21,1,WEEKDAY($A28,2))*(1+Controls!$B$11)^26*(1+Controls!L$25*Smooth!$L28)*(1+Controls!L$26*Smooth!$M28)*(1+Controls!L$27*Smooth!$N28)*(1+Controls!L$28*Smooth!$O28)),2))</f>
        <v/>
      </c>
      <c r="H28" s="10" t="str">
        <f t="array" ref="H28">IF(OR($A28="",7&gt;Controls!$B$6),"",ROUND(MAX(0,Smooth!H28*Controls!H$17*INDEX(Controls!$B$21:$H$21,1,WEEKDAY($A28,2))*(1+Controls!$B$11)^26*(1+Controls!M$25*Smooth!$L28)*(1+Controls!M$26*Smooth!$M28)*(1+Controls!M$27*Smooth!$N28)*(1+Controls!M$28*Smooth!$O28)),2))</f>
        <v/>
      </c>
      <c r="I28" s="10" t="str">
        <f t="array" ref="I28">IF(OR($A28="",8&gt;Controls!$B$6),"",ROUND(MAX(0,Smooth!I28*Controls!I$17*INDEX(Controls!$B$21:$H$21,1,WEEKDAY($A28,2))*(1+Controls!$B$11)^26*(1+Controls!N$25*Smooth!$L28)*(1+Controls!N$26*Smooth!$M28)*(1+Controls!N$27*Smooth!$N28)*(1+Controls!N$28*Smooth!$O28)),2))</f>
        <v/>
      </c>
      <c r="J28" s="10" t="str">
        <f t="array" ref="J28">IF(OR($A28="",9&gt;Controls!$B$6),"",ROUND(MAX(0,Smooth!J28*Controls!J$17*INDEX(Controls!$B$21:$H$21,1,WEEKDAY($A28,2))*(1+Controls!$B$11)^26*(1+Controls!O$25*Smooth!$L28)*(1+Controls!O$26*Smooth!$M28)*(1+Controls!O$27*Smooth!$N28)*(1+Controls!O$28*Smooth!$O28)),2))</f>
        <v/>
      </c>
      <c r="K28" s="10" t="str">
        <f t="array" ref="K28">IF(OR($A28="",10&gt;Controls!$B$6),"",ROUND(MAX(0,Smooth!K28*Controls!K$17*INDEX(Controls!$B$21:$H$21,1,WEEKDAY($A28,2))*(1+Controls!$B$11)^26*(1+Controls!P$25*Smooth!$L28)*(1+Controls!P$26*Smooth!$M28)*(1+Controls!P$27*Smooth!$N28)*(1+Controls!P$28*Smooth!$O28)),2))</f>
        <v/>
      </c>
      <c r="L28" s="18">
        <f t="shared" si="1"/>
        <v>106.77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21.0" customHeight="1">
      <c r="A29" s="7">
        <f>IF(28&lt;=Controls!$B$5,Controls!$B$4+27,"")</f>
        <v>73018</v>
      </c>
      <c r="B29" s="10">
        <f t="array" ref="B29">IF(OR($A29="",1&gt;Controls!$B$6),"",ROUND(MAX(0,Smooth!B29*Controls!B$17*INDEX(Controls!$B$21:$H$21,1,WEEKDAY($A29,2))*(1+Controls!$B$11)^27*(1+Controls!G$25*Smooth!$L29)*(1+Controls!G$26*Smooth!$M29)*(1+Controls!G$27*Smooth!$N29)*(1+Controls!G$28*Smooth!$O29)),2))</f>
        <v>15.03</v>
      </c>
      <c r="C29" s="10">
        <f t="array" ref="C29">IF(OR($A29="",2&gt;Controls!$B$6),"",ROUND(MAX(0,Smooth!C29*Controls!C$17*INDEX(Controls!$B$21:$H$21,1,WEEKDAY($A29,2))*(1+Controls!$B$11)^27*(1+Controls!H$25*Smooth!$L29)*(1+Controls!H$26*Smooth!$M29)*(1+Controls!H$27*Smooth!$N29)*(1+Controls!H$28*Smooth!$O29)),2))</f>
        <v>19.69</v>
      </c>
      <c r="D29" s="10">
        <f t="array" ref="D29">IF(OR($A29="",3&gt;Controls!$B$6),"",ROUND(MAX(0,Smooth!D29*Controls!D$17*INDEX(Controls!$B$21:$H$21,1,WEEKDAY($A29,2))*(1+Controls!$B$11)^27*(1+Controls!I$25*Smooth!$L29)*(1+Controls!I$26*Smooth!$M29)*(1+Controls!I$27*Smooth!$N29)*(1+Controls!I$28*Smooth!$O29)),2))</f>
        <v>23.86</v>
      </c>
      <c r="E29" s="10" t="str">
        <f t="array" ref="E29">IF(OR($A29="",4&gt;Controls!$B$6),"",ROUND(MAX(0,Smooth!E29*Controls!E$17*INDEX(Controls!$B$21:$H$21,1,WEEKDAY($A29,2))*(1+Controls!$B$11)^27*(1+Controls!J$25*Smooth!$L29)*(1+Controls!J$26*Smooth!$M29)*(1+Controls!J$27*Smooth!$N29)*(1+Controls!J$28*Smooth!$O29)),2))</f>
        <v/>
      </c>
      <c r="F29" s="10" t="str">
        <f t="array" ref="F29">IF(OR($A29="",5&gt;Controls!$B$6),"",ROUND(MAX(0,Smooth!F29*Controls!F$17*INDEX(Controls!$B$21:$H$21,1,WEEKDAY($A29,2))*(1+Controls!$B$11)^27*(1+Controls!K$25*Smooth!$L29)*(1+Controls!K$26*Smooth!$M29)*(1+Controls!K$27*Smooth!$N29)*(1+Controls!K$28*Smooth!$O29)),2))</f>
        <v/>
      </c>
      <c r="G29" s="10" t="str">
        <f t="array" ref="G29">IF(OR($A29="",6&gt;Controls!$B$6),"",ROUND(MAX(0,Smooth!G29*Controls!G$17*INDEX(Controls!$B$21:$H$21,1,WEEKDAY($A29,2))*(1+Controls!$B$11)^27*(1+Controls!L$25*Smooth!$L29)*(1+Controls!L$26*Smooth!$M29)*(1+Controls!L$27*Smooth!$N29)*(1+Controls!L$28*Smooth!$O29)),2))</f>
        <v/>
      </c>
      <c r="H29" s="10" t="str">
        <f t="array" ref="H29">IF(OR($A29="",7&gt;Controls!$B$6),"",ROUND(MAX(0,Smooth!H29*Controls!H$17*INDEX(Controls!$B$21:$H$21,1,WEEKDAY($A29,2))*(1+Controls!$B$11)^27*(1+Controls!M$25*Smooth!$L29)*(1+Controls!M$26*Smooth!$M29)*(1+Controls!M$27*Smooth!$N29)*(1+Controls!M$28*Smooth!$O29)),2))</f>
        <v/>
      </c>
      <c r="I29" s="10" t="str">
        <f t="array" ref="I29">IF(OR($A29="",8&gt;Controls!$B$6),"",ROUND(MAX(0,Smooth!I29*Controls!I$17*INDEX(Controls!$B$21:$H$21,1,WEEKDAY($A29,2))*(1+Controls!$B$11)^27*(1+Controls!N$25*Smooth!$L29)*(1+Controls!N$26*Smooth!$M29)*(1+Controls!N$27*Smooth!$N29)*(1+Controls!N$28*Smooth!$O29)),2))</f>
        <v/>
      </c>
      <c r="J29" s="10" t="str">
        <f t="array" ref="J29">IF(OR($A29="",9&gt;Controls!$B$6),"",ROUND(MAX(0,Smooth!J29*Controls!J$17*INDEX(Controls!$B$21:$H$21,1,WEEKDAY($A29,2))*(1+Controls!$B$11)^27*(1+Controls!O$25*Smooth!$L29)*(1+Controls!O$26*Smooth!$M29)*(1+Controls!O$27*Smooth!$N29)*(1+Controls!O$28*Smooth!$O29)),2))</f>
        <v/>
      </c>
      <c r="K29" s="10" t="str">
        <f t="array" ref="K29">IF(OR($A29="",10&gt;Controls!$B$6),"",ROUND(MAX(0,Smooth!K29*Controls!K$17*INDEX(Controls!$B$21:$H$21,1,WEEKDAY($A29,2))*(1+Controls!$B$11)^27*(1+Controls!P$25*Smooth!$L29)*(1+Controls!P$26*Smooth!$M29)*(1+Controls!P$27*Smooth!$N29)*(1+Controls!P$28*Smooth!$O29)),2))</f>
        <v/>
      </c>
      <c r="L29" s="18">
        <f t="shared" si="1"/>
        <v>58.58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21.0" customHeight="1">
      <c r="A30" s="7">
        <f>IF(29&lt;=Controls!$B$5,Controls!$B$4+28,"")</f>
        <v>73019</v>
      </c>
      <c r="B30" s="10">
        <f t="array" ref="B30">IF(OR($A30="",1&gt;Controls!$B$6),"",ROUND(MAX(0,Smooth!B30*Controls!B$17*INDEX(Controls!$B$21:$H$21,1,WEEKDAY($A30,2))*(1+Controls!$B$11)^28*(1+Controls!G$25*Smooth!$L30)*(1+Controls!G$26*Smooth!$M30)*(1+Controls!G$27*Smooth!$N30)*(1+Controls!G$28*Smooth!$O30)),2))</f>
        <v>43.54</v>
      </c>
      <c r="C30" s="10">
        <f t="array" ref="C30">IF(OR($A30="",2&gt;Controls!$B$6),"",ROUND(MAX(0,Smooth!C30*Controls!C$17*INDEX(Controls!$B$21:$H$21,1,WEEKDAY($A30,2))*(1+Controls!$B$11)^28*(1+Controls!H$25*Smooth!$L30)*(1+Controls!H$26*Smooth!$M30)*(1+Controls!H$27*Smooth!$N30)*(1+Controls!H$28*Smooth!$O30)),2))</f>
        <v>42.8</v>
      </c>
      <c r="D30" s="10">
        <f t="array" ref="D30">IF(OR($A30="",3&gt;Controls!$B$6),"",ROUND(MAX(0,Smooth!D30*Controls!D$17*INDEX(Controls!$B$21:$H$21,1,WEEKDAY($A30,2))*(1+Controls!$B$11)^28*(1+Controls!I$25*Smooth!$L30)*(1+Controls!I$26*Smooth!$M30)*(1+Controls!I$27*Smooth!$N30)*(1+Controls!I$28*Smooth!$O30)),2))</f>
        <v>52.56</v>
      </c>
      <c r="E30" s="10" t="str">
        <f t="array" ref="E30">IF(OR($A30="",4&gt;Controls!$B$6),"",ROUND(MAX(0,Smooth!E30*Controls!E$17*INDEX(Controls!$B$21:$H$21,1,WEEKDAY($A30,2))*(1+Controls!$B$11)^28*(1+Controls!J$25*Smooth!$L30)*(1+Controls!J$26*Smooth!$M30)*(1+Controls!J$27*Smooth!$N30)*(1+Controls!J$28*Smooth!$O30)),2))</f>
        <v/>
      </c>
      <c r="F30" s="10" t="str">
        <f t="array" ref="F30">IF(OR($A30="",5&gt;Controls!$B$6),"",ROUND(MAX(0,Smooth!F30*Controls!F$17*INDEX(Controls!$B$21:$H$21,1,WEEKDAY($A30,2))*(1+Controls!$B$11)^28*(1+Controls!K$25*Smooth!$L30)*(1+Controls!K$26*Smooth!$M30)*(1+Controls!K$27*Smooth!$N30)*(1+Controls!K$28*Smooth!$O30)),2))</f>
        <v/>
      </c>
      <c r="G30" s="10" t="str">
        <f t="array" ref="G30">IF(OR($A30="",6&gt;Controls!$B$6),"",ROUND(MAX(0,Smooth!G30*Controls!G$17*INDEX(Controls!$B$21:$H$21,1,WEEKDAY($A30,2))*(1+Controls!$B$11)^28*(1+Controls!L$25*Smooth!$L30)*(1+Controls!L$26*Smooth!$M30)*(1+Controls!L$27*Smooth!$N30)*(1+Controls!L$28*Smooth!$O30)),2))</f>
        <v/>
      </c>
      <c r="H30" s="10" t="str">
        <f t="array" ref="H30">IF(OR($A30="",7&gt;Controls!$B$6),"",ROUND(MAX(0,Smooth!H30*Controls!H$17*INDEX(Controls!$B$21:$H$21,1,WEEKDAY($A30,2))*(1+Controls!$B$11)^28*(1+Controls!M$25*Smooth!$L30)*(1+Controls!M$26*Smooth!$M30)*(1+Controls!M$27*Smooth!$N30)*(1+Controls!M$28*Smooth!$O30)),2))</f>
        <v/>
      </c>
      <c r="I30" s="10" t="str">
        <f t="array" ref="I30">IF(OR($A30="",8&gt;Controls!$B$6),"",ROUND(MAX(0,Smooth!I30*Controls!I$17*INDEX(Controls!$B$21:$H$21,1,WEEKDAY($A30,2))*(1+Controls!$B$11)^28*(1+Controls!N$25*Smooth!$L30)*(1+Controls!N$26*Smooth!$M30)*(1+Controls!N$27*Smooth!$N30)*(1+Controls!N$28*Smooth!$O30)),2))</f>
        <v/>
      </c>
      <c r="J30" s="10" t="str">
        <f t="array" ref="J30">IF(OR($A30="",9&gt;Controls!$B$6),"",ROUND(MAX(0,Smooth!J30*Controls!J$17*INDEX(Controls!$B$21:$H$21,1,WEEKDAY($A30,2))*(1+Controls!$B$11)^28*(1+Controls!O$25*Smooth!$L30)*(1+Controls!O$26*Smooth!$M30)*(1+Controls!O$27*Smooth!$N30)*(1+Controls!O$28*Smooth!$O30)),2))</f>
        <v/>
      </c>
      <c r="K30" s="10" t="str">
        <f t="array" ref="K30">IF(OR($A30="",10&gt;Controls!$B$6),"",ROUND(MAX(0,Smooth!K30*Controls!K$17*INDEX(Controls!$B$21:$H$21,1,WEEKDAY($A30,2))*(1+Controls!$B$11)^28*(1+Controls!P$25*Smooth!$L30)*(1+Controls!P$26*Smooth!$M30)*(1+Controls!P$27*Smooth!$N30)*(1+Controls!P$28*Smooth!$O30)),2))</f>
        <v/>
      </c>
      <c r="L30" s="18">
        <f t="shared" si="1"/>
        <v>138.9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21.0" customHeight="1">
      <c r="A31" s="7">
        <f>IF(30&lt;=Controls!$B$5,Controls!$B$4+29,"")</f>
        <v>73020</v>
      </c>
      <c r="B31" s="10">
        <f t="array" ref="B31">IF(OR($A31="",1&gt;Controls!$B$6),"",ROUND(MAX(0,Smooth!B31*Controls!B$17*INDEX(Controls!$B$21:$H$21,1,WEEKDAY($A31,2))*(1+Controls!$B$11)^29*(1+Controls!G$25*Smooth!$L31)*(1+Controls!G$26*Smooth!$M31)*(1+Controls!G$27*Smooth!$N31)*(1+Controls!G$28*Smooth!$O31)),2))</f>
        <v>53.9</v>
      </c>
      <c r="C31" s="10">
        <f t="array" ref="C31">IF(OR($A31="",2&gt;Controls!$B$6),"",ROUND(MAX(0,Smooth!C31*Controls!C$17*INDEX(Controls!$B$21:$H$21,1,WEEKDAY($A31,2))*(1+Controls!$B$11)^29*(1+Controls!H$25*Smooth!$L31)*(1+Controls!H$26*Smooth!$M31)*(1+Controls!H$27*Smooth!$N31)*(1+Controls!H$28*Smooth!$O31)),2))</f>
        <v>56.44</v>
      </c>
      <c r="D31" s="10">
        <f t="array" ref="D31">IF(OR($A31="",3&gt;Controls!$B$6),"",ROUND(MAX(0,Smooth!D31*Controls!D$17*INDEX(Controls!$B$21:$H$21,1,WEEKDAY($A31,2))*(1+Controls!$B$11)^29*(1+Controls!I$25*Smooth!$L31)*(1+Controls!I$26*Smooth!$M31)*(1+Controls!I$27*Smooth!$N31)*(1+Controls!I$28*Smooth!$O31)),2))</f>
        <v>65.2</v>
      </c>
      <c r="E31" s="10" t="str">
        <f t="array" ref="E31">IF(OR($A31="",4&gt;Controls!$B$6),"",ROUND(MAX(0,Smooth!E31*Controls!E$17*INDEX(Controls!$B$21:$H$21,1,WEEKDAY($A31,2))*(1+Controls!$B$11)^29*(1+Controls!J$25*Smooth!$L31)*(1+Controls!J$26*Smooth!$M31)*(1+Controls!J$27*Smooth!$N31)*(1+Controls!J$28*Smooth!$O31)),2))</f>
        <v/>
      </c>
      <c r="F31" s="10" t="str">
        <f t="array" ref="F31">IF(OR($A31="",5&gt;Controls!$B$6),"",ROUND(MAX(0,Smooth!F31*Controls!F$17*INDEX(Controls!$B$21:$H$21,1,WEEKDAY($A31,2))*(1+Controls!$B$11)^29*(1+Controls!K$25*Smooth!$L31)*(1+Controls!K$26*Smooth!$M31)*(1+Controls!K$27*Smooth!$N31)*(1+Controls!K$28*Smooth!$O31)),2))</f>
        <v/>
      </c>
      <c r="G31" s="10" t="str">
        <f t="array" ref="G31">IF(OR($A31="",6&gt;Controls!$B$6),"",ROUND(MAX(0,Smooth!G31*Controls!G$17*INDEX(Controls!$B$21:$H$21,1,WEEKDAY($A31,2))*(1+Controls!$B$11)^29*(1+Controls!L$25*Smooth!$L31)*(1+Controls!L$26*Smooth!$M31)*(1+Controls!L$27*Smooth!$N31)*(1+Controls!L$28*Smooth!$O31)),2))</f>
        <v/>
      </c>
      <c r="H31" s="10" t="str">
        <f t="array" ref="H31">IF(OR($A31="",7&gt;Controls!$B$6),"",ROUND(MAX(0,Smooth!H31*Controls!H$17*INDEX(Controls!$B$21:$H$21,1,WEEKDAY($A31,2))*(1+Controls!$B$11)^29*(1+Controls!M$25*Smooth!$L31)*(1+Controls!M$26*Smooth!$M31)*(1+Controls!M$27*Smooth!$N31)*(1+Controls!M$28*Smooth!$O31)),2))</f>
        <v/>
      </c>
      <c r="I31" s="10" t="str">
        <f t="array" ref="I31">IF(OR($A31="",8&gt;Controls!$B$6),"",ROUND(MAX(0,Smooth!I31*Controls!I$17*INDEX(Controls!$B$21:$H$21,1,WEEKDAY($A31,2))*(1+Controls!$B$11)^29*(1+Controls!N$25*Smooth!$L31)*(1+Controls!N$26*Smooth!$M31)*(1+Controls!N$27*Smooth!$N31)*(1+Controls!N$28*Smooth!$O31)),2))</f>
        <v/>
      </c>
      <c r="J31" s="10" t="str">
        <f t="array" ref="J31">IF(OR($A31="",9&gt;Controls!$B$6),"",ROUND(MAX(0,Smooth!J31*Controls!J$17*INDEX(Controls!$B$21:$H$21,1,WEEKDAY($A31,2))*(1+Controls!$B$11)^29*(1+Controls!O$25*Smooth!$L31)*(1+Controls!O$26*Smooth!$M31)*(1+Controls!O$27*Smooth!$N31)*(1+Controls!O$28*Smooth!$O31)),2))</f>
        <v/>
      </c>
      <c r="K31" s="10" t="str">
        <f t="array" ref="K31">IF(OR($A31="",10&gt;Controls!$B$6),"",ROUND(MAX(0,Smooth!K31*Controls!K$17*INDEX(Controls!$B$21:$H$21,1,WEEKDAY($A31,2))*(1+Controls!$B$11)^29*(1+Controls!P$25*Smooth!$L31)*(1+Controls!P$26*Smooth!$M31)*(1+Controls!P$27*Smooth!$N31)*(1+Controls!P$28*Smooth!$O31)),2))</f>
        <v/>
      </c>
      <c r="L31" s="18">
        <f t="shared" si="1"/>
        <v>175.54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21.0" customHeight="1">
      <c r="A32" s="7">
        <f>IF(31&lt;=Controls!$B$5,Controls!$B$4+30,"")</f>
        <v>73021</v>
      </c>
      <c r="B32" s="10">
        <f t="array" ref="B32">IF(OR($A32="",1&gt;Controls!$B$6),"",ROUND(MAX(0,Smooth!B32*Controls!B$17*INDEX(Controls!$B$21:$H$21,1,WEEKDAY($A32,2))*(1+Controls!$B$11)^30*(1+Controls!G$25*Smooth!$L32)*(1+Controls!G$26*Smooth!$M32)*(1+Controls!G$27*Smooth!$N32)*(1+Controls!G$28*Smooth!$O32)),2))</f>
        <v>43.67</v>
      </c>
      <c r="C32" s="10">
        <f t="array" ref="C32">IF(OR($A32="",2&gt;Controls!$B$6),"",ROUND(MAX(0,Smooth!C32*Controls!C$17*INDEX(Controls!$B$21:$H$21,1,WEEKDAY($A32,2))*(1+Controls!$B$11)^30*(1+Controls!H$25*Smooth!$L32)*(1+Controls!H$26*Smooth!$M32)*(1+Controls!H$27*Smooth!$N32)*(1+Controls!H$28*Smooth!$O32)),2))</f>
        <v>73.89</v>
      </c>
      <c r="D32" s="10">
        <f t="array" ref="D32">IF(OR($A32="",3&gt;Controls!$B$6),"",ROUND(MAX(0,Smooth!D32*Controls!D$17*INDEX(Controls!$B$21:$H$21,1,WEEKDAY($A32,2))*(1+Controls!$B$11)^30*(1+Controls!I$25*Smooth!$L32)*(1+Controls!I$26*Smooth!$M32)*(1+Controls!I$27*Smooth!$N32)*(1+Controls!I$28*Smooth!$O32)),2))</f>
        <v>69.87</v>
      </c>
      <c r="E32" s="10" t="str">
        <f t="array" ref="E32">IF(OR($A32="",4&gt;Controls!$B$6),"",ROUND(MAX(0,Smooth!E32*Controls!E$17*INDEX(Controls!$B$21:$H$21,1,WEEKDAY($A32,2))*(1+Controls!$B$11)^30*(1+Controls!J$25*Smooth!$L32)*(1+Controls!J$26*Smooth!$M32)*(1+Controls!J$27*Smooth!$N32)*(1+Controls!J$28*Smooth!$O32)),2))</f>
        <v/>
      </c>
      <c r="F32" s="10" t="str">
        <f t="array" ref="F32">IF(OR($A32="",5&gt;Controls!$B$6),"",ROUND(MAX(0,Smooth!F32*Controls!F$17*INDEX(Controls!$B$21:$H$21,1,WEEKDAY($A32,2))*(1+Controls!$B$11)^30*(1+Controls!K$25*Smooth!$L32)*(1+Controls!K$26*Smooth!$M32)*(1+Controls!K$27*Smooth!$N32)*(1+Controls!K$28*Smooth!$O32)),2))</f>
        <v/>
      </c>
      <c r="G32" s="10" t="str">
        <f t="array" ref="G32">IF(OR($A32="",6&gt;Controls!$B$6),"",ROUND(MAX(0,Smooth!G32*Controls!G$17*INDEX(Controls!$B$21:$H$21,1,WEEKDAY($A32,2))*(1+Controls!$B$11)^30*(1+Controls!L$25*Smooth!$L32)*(1+Controls!L$26*Smooth!$M32)*(1+Controls!L$27*Smooth!$N32)*(1+Controls!L$28*Smooth!$O32)),2))</f>
        <v/>
      </c>
      <c r="H32" s="10" t="str">
        <f t="array" ref="H32">IF(OR($A32="",7&gt;Controls!$B$6),"",ROUND(MAX(0,Smooth!H32*Controls!H$17*INDEX(Controls!$B$21:$H$21,1,WEEKDAY($A32,2))*(1+Controls!$B$11)^30*(1+Controls!M$25*Smooth!$L32)*(1+Controls!M$26*Smooth!$M32)*(1+Controls!M$27*Smooth!$N32)*(1+Controls!M$28*Smooth!$O32)),2))</f>
        <v/>
      </c>
      <c r="I32" s="10" t="str">
        <f t="array" ref="I32">IF(OR($A32="",8&gt;Controls!$B$6),"",ROUND(MAX(0,Smooth!I32*Controls!I$17*INDEX(Controls!$B$21:$H$21,1,WEEKDAY($A32,2))*(1+Controls!$B$11)^30*(1+Controls!N$25*Smooth!$L32)*(1+Controls!N$26*Smooth!$M32)*(1+Controls!N$27*Smooth!$N32)*(1+Controls!N$28*Smooth!$O32)),2))</f>
        <v/>
      </c>
      <c r="J32" s="10" t="str">
        <f t="array" ref="J32">IF(OR($A32="",9&gt;Controls!$B$6),"",ROUND(MAX(0,Smooth!J32*Controls!J$17*INDEX(Controls!$B$21:$H$21,1,WEEKDAY($A32,2))*(1+Controls!$B$11)^30*(1+Controls!O$25*Smooth!$L32)*(1+Controls!O$26*Smooth!$M32)*(1+Controls!O$27*Smooth!$N32)*(1+Controls!O$28*Smooth!$O32)),2))</f>
        <v/>
      </c>
      <c r="K32" s="10" t="str">
        <f t="array" ref="K32">IF(OR($A32="",10&gt;Controls!$B$6),"",ROUND(MAX(0,Smooth!K32*Controls!K$17*INDEX(Controls!$B$21:$H$21,1,WEEKDAY($A32,2))*(1+Controls!$B$11)^30*(1+Controls!P$25*Smooth!$L32)*(1+Controls!P$26*Smooth!$M32)*(1+Controls!P$27*Smooth!$N32)*(1+Controls!P$28*Smooth!$O32)),2))</f>
        <v/>
      </c>
      <c r="L32" s="18">
        <f t="shared" si="1"/>
        <v>187.43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21.0" customHeight="1">
      <c r="A33" s="7">
        <f>IF(32&lt;=Controls!$B$5,Controls!$B$4+31,"")</f>
        <v>73022</v>
      </c>
      <c r="B33" s="10">
        <f t="array" ref="B33">IF(OR($A33="",1&gt;Controls!$B$6),"",ROUND(MAX(0,Smooth!B33*Controls!B$17*INDEX(Controls!$B$21:$H$21,1,WEEKDAY($A33,2))*(1+Controls!$B$11)^31*(1+Controls!G$25*Smooth!$L33)*(1+Controls!G$26*Smooth!$M33)*(1+Controls!G$27*Smooth!$N33)*(1+Controls!G$28*Smooth!$O33)),2))</f>
        <v>59.06</v>
      </c>
      <c r="C33" s="10">
        <f t="array" ref="C33">IF(OR($A33="",2&gt;Controls!$B$6),"",ROUND(MAX(0,Smooth!C33*Controls!C$17*INDEX(Controls!$B$21:$H$21,1,WEEKDAY($A33,2))*(1+Controls!$B$11)^31*(1+Controls!H$25*Smooth!$L33)*(1+Controls!H$26*Smooth!$M33)*(1+Controls!H$27*Smooth!$N33)*(1+Controls!H$28*Smooth!$O33)),2))</f>
        <v>90.26</v>
      </c>
      <c r="D33" s="10">
        <f t="array" ref="D33">IF(OR($A33="",3&gt;Controls!$B$6),"",ROUND(MAX(0,Smooth!D33*Controls!D$17*INDEX(Controls!$B$21:$H$21,1,WEEKDAY($A33,2))*(1+Controls!$B$11)^31*(1+Controls!I$25*Smooth!$L33)*(1+Controls!I$26*Smooth!$M33)*(1+Controls!I$27*Smooth!$N33)*(1+Controls!I$28*Smooth!$O33)),2))</f>
        <v>86.61</v>
      </c>
      <c r="E33" s="10" t="str">
        <f t="array" ref="E33">IF(OR($A33="",4&gt;Controls!$B$6),"",ROUND(MAX(0,Smooth!E33*Controls!E$17*INDEX(Controls!$B$21:$H$21,1,WEEKDAY($A33,2))*(1+Controls!$B$11)^31*(1+Controls!J$25*Smooth!$L33)*(1+Controls!J$26*Smooth!$M33)*(1+Controls!J$27*Smooth!$N33)*(1+Controls!J$28*Smooth!$O33)),2))</f>
        <v/>
      </c>
      <c r="F33" s="10" t="str">
        <f t="array" ref="F33">IF(OR($A33="",5&gt;Controls!$B$6),"",ROUND(MAX(0,Smooth!F33*Controls!F$17*INDEX(Controls!$B$21:$H$21,1,WEEKDAY($A33,2))*(1+Controls!$B$11)^31*(1+Controls!K$25*Smooth!$L33)*(1+Controls!K$26*Smooth!$M33)*(1+Controls!K$27*Smooth!$N33)*(1+Controls!K$28*Smooth!$O33)),2))</f>
        <v/>
      </c>
      <c r="G33" s="10" t="str">
        <f t="array" ref="G33">IF(OR($A33="",6&gt;Controls!$B$6),"",ROUND(MAX(0,Smooth!G33*Controls!G$17*INDEX(Controls!$B$21:$H$21,1,WEEKDAY($A33,2))*(1+Controls!$B$11)^31*(1+Controls!L$25*Smooth!$L33)*(1+Controls!L$26*Smooth!$M33)*(1+Controls!L$27*Smooth!$N33)*(1+Controls!L$28*Smooth!$O33)),2))</f>
        <v/>
      </c>
      <c r="H33" s="10" t="str">
        <f t="array" ref="H33">IF(OR($A33="",7&gt;Controls!$B$6),"",ROUND(MAX(0,Smooth!H33*Controls!H$17*INDEX(Controls!$B$21:$H$21,1,WEEKDAY($A33,2))*(1+Controls!$B$11)^31*(1+Controls!M$25*Smooth!$L33)*(1+Controls!M$26*Smooth!$M33)*(1+Controls!M$27*Smooth!$N33)*(1+Controls!M$28*Smooth!$O33)),2))</f>
        <v/>
      </c>
      <c r="I33" s="10" t="str">
        <f t="array" ref="I33">IF(OR($A33="",8&gt;Controls!$B$6),"",ROUND(MAX(0,Smooth!I33*Controls!I$17*INDEX(Controls!$B$21:$H$21,1,WEEKDAY($A33,2))*(1+Controls!$B$11)^31*(1+Controls!N$25*Smooth!$L33)*(1+Controls!N$26*Smooth!$M33)*(1+Controls!N$27*Smooth!$N33)*(1+Controls!N$28*Smooth!$O33)),2))</f>
        <v/>
      </c>
      <c r="J33" s="10" t="str">
        <f t="array" ref="J33">IF(OR($A33="",9&gt;Controls!$B$6),"",ROUND(MAX(0,Smooth!J33*Controls!J$17*INDEX(Controls!$B$21:$H$21,1,WEEKDAY($A33,2))*(1+Controls!$B$11)^31*(1+Controls!O$25*Smooth!$L33)*(1+Controls!O$26*Smooth!$M33)*(1+Controls!O$27*Smooth!$N33)*(1+Controls!O$28*Smooth!$O33)),2))</f>
        <v/>
      </c>
      <c r="K33" s="10" t="str">
        <f t="array" ref="K33">IF(OR($A33="",10&gt;Controls!$B$6),"",ROUND(MAX(0,Smooth!K33*Controls!K$17*INDEX(Controls!$B$21:$H$21,1,WEEKDAY($A33,2))*(1+Controls!$B$11)^31*(1+Controls!P$25*Smooth!$L33)*(1+Controls!P$26*Smooth!$M33)*(1+Controls!P$27*Smooth!$N33)*(1+Controls!P$28*Smooth!$O33)),2))</f>
        <v/>
      </c>
      <c r="L33" s="18">
        <f t="shared" si="1"/>
        <v>235.93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21.0" customHeight="1">
      <c r="A34" s="7">
        <f>IF(33&lt;=Controls!$B$5,Controls!$B$4+32,"")</f>
        <v>73023</v>
      </c>
      <c r="B34" s="10">
        <f t="array" ref="B34">IF(OR($A34="",1&gt;Controls!$B$6),"",ROUND(MAX(0,Smooth!B34*Controls!B$17*INDEX(Controls!$B$21:$H$21,1,WEEKDAY($A34,2))*(1+Controls!$B$11)^32*(1+Controls!G$25*Smooth!$L34)*(1+Controls!G$26*Smooth!$M34)*(1+Controls!G$27*Smooth!$N34)*(1+Controls!G$28*Smooth!$O34)),2))</f>
        <v>52.69</v>
      </c>
      <c r="C34" s="10">
        <f t="array" ref="C34">IF(OR($A34="",2&gt;Controls!$B$6),"",ROUND(MAX(0,Smooth!C34*Controls!C$17*INDEX(Controls!$B$21:$H$21,1,WEEKDAY($A34,2))*(1+Controls!$B$11)^32*(1+Controls!H$25*Smooth!$L34)*(1+Controls!H$26*Smooth!$M34)*(1+Controls!H$27*Smooth!$N34)*(1+Controls!H$28*Smooth!$O34)),2))</f>
        <v>98.86</v>
      </c>
      <c r="D34" s="10">
        <f t="array" ref="D34">IF(OR($A34="",3&gt;Controls!$B$6),"",ROUND(MAX(0,Smooth!D34*Controls!D$17*INDEX(Controls!$B$21:$H$21,1,WEEKDAY($A34,2))*(1+Controls!$B$11)^32*(1+Controls!I$25*Smooth!$L34)*(1+Controls!I$26*Smooth!$M34)*(1+Controls!I$27*Smooth!$N34)*(1+Controls!I$28*Smooth!$O34)),2))</f>
        <v>95.18</v>
      </c>
      <c r="E34" s="10" t="str">
        <f t="array" ref="E34">IF(OR($A34="",4&gt;Controls!$B$6),"",ROUND(MAX(0,Smooth!E34*Controls!E$17*INDEX(Controls!$B$21:$H$21,1,WEEKDAY($A34,2))*(1+Controls!$B$11)^32*(1+Controls!J$25*Smooth!$L34)*(1+Controls!J$26*Smooth!$M34)*(1+Controls!J$27*Smooth!$N34)*(1+Controls!J$28*Smooth!$O34)),2))</f>
        <v/>
      </c>
      <c r="F34" s="10" t="str">
        <f t="array" ref="F34">IF(OR($A34="",5&gt;Controls!$B$6),"",ROUND(MAX(0,Smooth!F34*Controls!F$17*INDEX(Controls!$B$21:$H$21,1,WEEKDAY($A34,2))*(1+Controls!$B$11)^32*(1+Controls!K$25*Smooth!$L34)*(1+Controls!K$26*Smooth!$M34)*(1+Controls!K$27*Smooth!$N34)*(1+Controls!K$28*Smooth!$O34)),2))</f>
        <v/>
      </c>
      <c r="G34" s="10" t="str">
        <f t="array" ref="G34">IF(OR($A34="",6&gt;Controls!$B$6),"",ROUND(MAX(0,Smooth!G34*Controls!G$17*INDEX(Controls!$B$21:$H$21,1,WEEKDAY($A34,2))*(1+Controls!$B$11)^32*(1+Controls!L$25*Smooth!$L34)*(1+Controls!L$26*Smooth!$M34)*(1+Controls!L$27*Smooth!$N34)*(1+Controls!L$28*Smooth!$O34)),2))</f>
        <v/>
      </c>
      <c r="H34" s="10" t="str">
        <f t="array" ref="H34">IF(OR($A34="",7&gt;Controls!$B$6),"",ROUND(MAX(0,Smooth!H34*Controls!H$17*INDEX(Controls!$B$21:$H$21,1,WEEKDAY($A34,2))*(1+Controls!$B$11)^32*(1+Controls!M$25*Smooth!$L34)*(1+Controls!M$26*Smooth!$M34)*(1+Controls!M$27*Smooth!$N34)*(1+Controls!M$28*Smooth!$O34)),2))</f>
        <v/>
      </c>
      <c r="I34" s="10" t="str">
        <f t="array" ref="I34">IF(OR($A34="",8&gt;Controls!$B$6),"",ROUND(MAX(0,Smooth!I34*Controls!I$17*INDEX(Controls!$B$21:$H$21,1,WEEKDAY($A34,2))*(1+Controls!$B$11)^32*(1+Controls!N$25*Smooth!$L34)*(1+Controls!N$26*Smooth!$M34)*(1+Controls!N$27*Smooth!$N34)*(1+Controls!N$28*Smooth!$O34)),2))</f>
        <v/>
      </c>
      <c r="J34" s="10" t="str">
        <f t="array" ref="J34">IF(OR($A34="",9&gt;Controls!$B$6),"",ROUND(MAX(0,Smooth!J34*Controls!J$17*INDEX(Controls!$B$21:$H$21,1,WEEKDAY($A34,2))*(1+Controls!$B$11)^32*(1+Controls!O$25*Smooth!$L34)*(1+Controls!O$26*Smooth!$M34)*(1+Controls!O$27*Smooth!$N34)*(1+Controls!O$28*Smooth!$O34)),2))</f>
        <v/>
      </c>
      <c r="K34" s="10" t="str">
        <f t="array" ref="K34">IF(OR($A34="",10&gt;Controls!$B$6),"",ROUND(MAX(0,Smooth!K34*Controls!K$17*INDEX(Controls!$B$21:$H$21,1,WEEKDAY($A34,2))*(1+Controls!$B$11)^32*(1+Controls!P$25*Smooth!$L34)*(1+Controls!P$26*Smooth!$M34)*(1+Controls!P$27*Smooth!$N34)*(1+Controls!P$28*Smooth!$O34)),2))</f>
        <v/>
      </c>
      <c r="L34" s="18">
        <f t="shared" si="1"/>
        <v>246.73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21.0" customHeight="1">
      <c r="A35" s="7">
        <f>IF(34&lt;=Controls!$B$5,Controls!$B$4+33,"")</f>
        <v>73024</v>
      </c>
      <c r="B35" s="10">
        <f t="array" ref="B35">IF(OR($A35="",1&gt;Controls!$B$6),"",ROUND(MAX(0,Smooth!B35*Controls!B$17*INDEX(Controls!$B$21:$H$21,1,WEEKDAY($A35,2))*(1+Controls!$B$11)^33*(1+Controls!G$25*Smooth!$L35)*(1+Controls!G$26*Smooth!$M35)*(1+Controls!G$27*Smooth!$N35)*(1+Controls!G$28*Smooth!$O35)),2))</f>
        <v>36.85</v>
      </c>
      <c r="C35" s="10">
        <f t="array" ref="C35">IF(OR($A35="",2&gt;Controls!$B$6),"",ROUND(MAX(0,Smooth!C35*Controls!C$17*INDEX(Controls!$B$21:$H$21,1,WEEKDAY($A35,2))*(1+Controls!$B$11)^33*(1+Controls!H$25*Smooth!$L35)*(1+Controls!H$26*Smooth!$M35)*(1+Controls!H$27*Smooth!$N35)*(1+Controls!H$28*Smooth!$O35)),2))</f>
        <v>62.5</v>
      </c>
      <c r="D35" s="10">
        <f t="array" ref="D35">IF(OR($A35="",3&gt;Controls!$B$6),"",ROUND(MAX(0,Smooth!D35*Controls!D$17*INDEX(Controls!$B$21:$H$21,1,WEEKDAY($A35,2))*(1+Controls!$B$11)^33*(1+Controls!I$25*Smooth!$L35)*(1+Controls!I$26*Smooth!$M35)*(1+Controls!I$27*Smooth!$N35)*(1+Controls!I$28*Smooth!$O35)),2))</f>
        <v>64.29</v>
      </c>
      <c r="E35" s="10" t="str">
        <f t="array" ref="E35">IF(OR($A35="",4&gt;Controls!$B$6),"",ROUND(MAX(0,Smooth!E35*Controls!E$17*INDEX(Controls!$B$21:$H$21,1,WEEKDAY($A35,2))*(1+Controls!$B$11)^33*(1+Controls!J$25*Smooth!$L35)*(1+Controls!J$26*Smooth!$M35)*(1+Controls!J$27*Smooth!$N35)*(1+Controls!J$28*Smooth!$O35)),2))</f>
        <v/>
      </c>
      <c r="F35" s="10" t="str">
        <f t="array" ref="F35">IF(OR($A35="",5&gt;Controls!$B$6),"",ROUND(MAX(0,Smooth!F35*Controls!F$17*INDEX(Controls!$B$21:$H$21,1,WEEKDAY($A35,2))*(1+Controls!$B$11)^33*(1+Controls!K$25*Smooth!$L35)*(1+Controls!K$26*Smooth!$M35)*(1+Controls!K$27*Smooth!$N35)*(1+Controls!K$28*Smooth!$O35)),2))</f>
        <v/>
      </c>
      <c r="G35" s="10" t="str">
        <f t="array" ref="G35">IF(OR($A35="",6&gt;Controls!$B$6),"",ROUND(MAX(0,Smooth!G35*Controls!G$17*INDEX(Controls!$B$21:$H$21,1,WEEKDAY($A35,2))*(1+Controls!$B$11)^33*(1+Controls!L$25*Smooth!$L35)*(1+Controls!L$26*Smooth!$M35)*(1+Controls!L$27*Smooth!$N35)*(1+Controls!L$28*Smooth!$O35)),2))</f>
        <v/>
      </c>
      <c r="H35" s="10" t="str">
        <f t="array" ref="H35">IF(OR($A35="",7&gt;Controls!$B$6),"",ROUND(MAX(0,Smooth!H35*Controls!H$17*INDEX(Controls!$B$21:$H$21,1,WEEKDAY($A35,2))*(1+Controls!$B$11)^33*(1+Controls!M$25*Smooth!$L35)*(1+Controls!M$26*Smooth!$M35)*(1+Controls!M$27*Smooth!$N35)*(1+Controls!M$28*Smooth!$O35)),2))</f>
        <v/>
      </c>
      <c r="I35" s="10" t="str">
        <f t="array" ref="I35">IF(OR($A35="",8&gt;Controls!$B$6),"",ROUND(MAX(0,Smooth!I35*Controls!I$17*INDEX(Controls!$B$21:$H$21,1,WEEKDAY($A35,2))*(1+Controls!$B$11)^33*(1+Controls!N$25*Smooth!$L35)*(1+Controls!N$26*Smooth!$M35)*(1+Controls!N$27*Smooth!$N35)*(1+Controls!N$28*Smooth!$O35)),2))</f>
        <v/>
      </c>
      <c r="J35" s="10" t="str">
        <f t="array" ref="J35">IF(OR($A35="",9&gt;Controls!$B$6),"",ROUND(MAX(0,Smooth!J35*Controls!J$17*INDEX(Controls!$B$21:$H$21,1,WEEKDAY($A35,2))*(1+Controls!$B$11)^33*(1+Controls!O$25*Smooth!$L35)*(1+Controls!O$26*Smooth!$M35)*(1+Controls!O$27*Smooth!$N35)*(1+Controls!O$28*Smooth!$O35)),2))</f>
        <v/>
      </c>
      <c r="K35" s="10" t="str">
        <f t="array" ref="K35">IF(OR($A35="",10&gt;Controls!$B$6),"",ROUND(MAX(0,Smooth!K35*Controls!K$17*INDEX(Controls!$B$21:$H$21,1,WEEKDAY($A35,2))*(1+Controls!$B$11)^33*(1+Controls!P$25*Smooth!$L35)*(1+Controls!P$26*Smooth!$M35)*(1+Controls!P$27*Smooth!$N35)*(1+Controls!P$28*Smooth!$O35)),2))</f>
        <v/>
      </c>
      <c r="L35" s="18">
        <f t="shared" si="1"/>
        <v>163.64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21.0" customHeight="1">
      <c r="A36" s="7">
        <f>IF(35&lt;=Controls!$B$5,Controls!$B$4+34,"")</f>
        <v>73025</v>
      </c>
      <c r="B36" s="10">
        <f t="array" ref="B36">IF(OR($A36="",1&gt;Controls!$B$6),"",ROUND(MAX(0,Smooth!B36*Controls!B$17*INDEX(Controls!$B$21:$H$21,1,WEEKDAY($A36,2))*(1+Controls!$B$11)^34*(1+Controls!G$25*Smooth!$L36)*(1+Controls!G$26*Smooth!$M36)*(1+Controls!G$27*Smooth!$N36)*(1+Controls!G$28*Smooth!$O36)),2))</f>
        <v>23.57</v>
      </c>
      <c r="C36" s="10">
        <f t="array" ref="C36">IF(OR($A36="",2&gt;Controls!$B$6),"",ROUND(MAX(0,Smooth!C36*Controls!C$17*INDEX(Controls!$B$21:$H$21,1,WEEKDAY($A36,2))*(1+Controls!$B$11)^34*(1+Controls!H$25*Smooth!$L36)*(1+Controls!H$26*Smooth!$M36)*(1+Controls!H$27*Smooth!$N36)*(1+Controls!H$28*Smooth!$O36)),2))</f>
        <v>19.04</v>
      </c>
      <c r="D36" s="10">
        <f t="array" ref="D36">IF(OR($A36="",3&gt;Controls!$B$6),"",ROUND(MAX(0,Smooth!D36*Controls!D$17*INDEX(Controls!$B$21:$H$21,1,WEEKDAY($A36,2))*(1+Controls!$B$11)^34*(1+Controls!I$25*Smooth!$L36)*(1+Controls!I$26*Smooth!$M36)*(1+Controls!I$27*Smooth!$N36)*(1+Controls!I$28*Smooth!$O36)),2))</f>
        <v>26.45</v>
      </c>
      <c r="E36" s="10" t="str">
        <f t="array" ref="E36">IF(OR($A36="",4&gt;Controls!$B$6),"",ROUND(MAX(0,Smooth!E36*Controls!E$17*INDEX(Controls!$B$21:$H$21,1,WEEKDAY($A36,2))*(1+Controls!$B$11)^34*(1+Controls!J$25*Smooth!$L36)*(1+Controls!J$26*Smooth!$M36)*(1+Controls!J$27*Smooth!$N36)*(1+Controls!J$28*Smooth!$O36)),2))</f>
        <v/>
      </c>
      <c r="F36" s="10" t="str">
        <f t="array" ref="F36">IF(OR($A36="",5&gt;Controls!$B$6),"",ROUND(MAX(0,Smooth!F36*Controls!F$17*INDEX(Controls!$B$21:$H$21,1,WEEKDAY($A36,2))*(1+Controls!$B$11)^34*(1+Controls!K$25*Smooth!$L36)*(1+Controls!K$26*Smooth!$M36)*(1+Controls!K$27*Smooth!$N36)*(1+Controls!K$28*Smooth!$O36)),2))</f>
        <v/>
      </c>
      <c r="G36" s="10" t="str">
        <f t="array" ref="G36">IF(OR($A36="",6&gt;Controls!$B$6),"",ROUND(MAX(0,Smooth!G36*Controls!G$17*INDEX(Controls!$B$21:$H$21,1,WEEKDAY($A36,2))*(1+Controls!$B$11)^34*(1+Controls!L$25*Smooth!$L36)*(1+Controls!L$26*Smooth!$M36)*(1+Controls!L$27*Smooth!$N36)*(1+Controls!L$28*Smooth!$O36)),2))</f>
        <v/>
      </c>
      <c r="H36" s="10" t="str">
        <f t="array" ref="H36">IF(OR($A36="",7&gt;Controls!$B$6),"",ROUND(MAX(0,Smooth!H36*Controls!H$17*INDEX(Controls!$B$21:$H$21,1,WEEKDAY($A36,2))*(1+Controls!$B$11)^34*(1+Controls!M$25*Smooth!$L36)*(1+Controls!M$26*Smooth!$M36)*(1+Controls!M$27*Smooth!$N36)*(1+Controls!M$28*Smooth!$O36)),2))</f>
        <v/>
      </c>
      <c r="I36" s="10" t="str">
        <f t="array" ref="I36">IF(OR($A36="",8&gt;Controls!$B$6),"",ROUND(MAX(0,Smooth!I36*Controls!I$17*INDEX(Controls!$B$21:$H$21,1,WEEKDAY($A36,2))*(1+Controls!$B$11)^34*(1+Controls!N$25*Smooth!$L36)*(1+Controls!N$26*Smooth!$M36)*(1+Controls!N$27*Smooth!$N36)*(1+Controls!N$28*Smooth!$O36)),2))</f>
        <v/>
      </c>
      <c r="J36" s="10" t="str">
        <f t="array" ref="J36">IF(OR($A36="",9&gt;Controls!$B$6),"",ROUND(MAX(0,Smooth!J36*Controls!J$17*INDEX(Controls!$B$21:$H$21,1,WEEKDAY($A36,2))*(1+Controls!$B$11)^34*(1+Controls!O$25*Smooth!$L36)*(1+Controls!O$26*Smooth!$M36)*(1+Controls!O$27*Smooth!$N36)*(1+Controls!O$28*Smooth!$O36)),2))</f>
        <v/>
      </c>
      <c r="K36" s="10" t="str">
        <f t="array" ref="K36">IF(OR($A36="",10&gt;Controls!$B$6),"",ROUND(MAX(0,Smooth!K36*Controls!K$17*INDEX(Controls!$B$21:$H$21,1,WEEKDAY($A36,2))*(1+Controls!$B$11)^34*(1+Controls!P$25*Smooth!$L36)*(1+Controls!P$26*Smooth!$M36)*(1+Controls!P$27*Smooth!$N36)*(1+Controls!P$28*Smooth!$O36)),2))</f>
        <v/>
      </c>
      <c r="L36" s="18">
        <f t="shared" si="1"/>
        <v>69.06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21.0" customHeight="1">
      <c r="A37" s="7">
        <f>IF(36&lt;=Controls!$B$5,Controls!$B$4+35,"")</f>
        <v>73026</v>
      </c>
      <c r="B37" s="10">
        <f t="array" ref="B37">IF(OR($A37="",1&gt;Controls!$B$6),"",ROUND(MAX(0,Smooth!B37*Controls!B$17*INDEX(Controls!$B$21:$H$21,1,WEEKDAY($A37,2))*(1+Controls!$B$11)^35*(1+Controls!G$25*Smooth!$L37)*(1+Controls!G$26*Smooth!$M37)*(1+Controls!G$27*Smooth!$N37)*(1+Controls!G$28*Smooth!$O37)),2))</f>
        <v>51.6</v>
      </c>
      <c r="C37" s="10">
        <f t="array" ref="C37">IF(OR($A37="",2&gt;Controls!$B$6),"",ROUND(MAX(0,Smooth!C37*Controls!C$17*INDEX(Controls!$B$21:$H$21,1,WEEKDAY($A37,2))*(1+Controls!$B$11)^35*(1+Controls!H$25*Smooth!$L37)*(1+Controls!H$26*Smooth!$M37)*(1+Controls!H$27*Smooth!$N37)*(1+Controls!H$28*Smooth!$O37)),2))</f>
        <v>41.71</v>
      </c>
      <c r="D37" s="10">
        <f t="array" ref="D37">IF(OR($A37="",3&gt;Controls!$B$6),"",ROUND(MAX(0,Smooth!D37*Controls!D$17*INDEX(Controls!$B$21:$H$21,1,WEEKDAY($A37,2))*(1+Controls!$B$11)^35*(1+Controls!I$25*Smooth!$L37)*(1+Controls!I$26*Smooth!$M37)*(1+Controls!I$27*Smooth!$N37)*(1+Controls!I$28*Smooth!$O37)),2))</f>
        <v>66.41</v>
      </c>
      <c r="E37" s="10" t="str">
        <f t="array" ref="E37">IF(OR($A37="",4&gt;Controls!$B$6),"",ROUND(MAX(0,Smooth!E37*Controls!E$17*INDEX(Controls!$B$21:$H$21,1,WEEKDAY($A37,2))*(1+Controls!$B$11)^35*(1+Controls!J$25*Smooth!$L37)*(1+Controls!J$26*Smooth!$M37)*(1+Controls!J$27*Smooth!$N37)*(1+Controls!J$28*Smooth!$O37)),2))</f>
        <v/>
      </c>
      <c r="F37" s="10" t="str">
        <f t="array" ref="F37">IF(OR($A37="",5&gt;Controls!$B$6),"",ROUND(MAX(0,Smooth!F37*Controls!F$17*INDEX(Controls!$B$21:$H$21,1,WEEKDAY($A37,2))*(1+Controls!$B$11)^35*(1+Controls!K$25*Smooth!$L37)*(1+Controls!K$26*Smooth!$M37)*(1+Controls!K$27*Smooth!$N37)*(1+Controls!K$28*Smooth!$O37)),2))</f>
        <v/>
      </c>
      <c r="G37" s="10" t="str">
        <f t="array" ref="G37">IF(OR($A37="",6&gt;Controls!$B$6),"",ROUND(MAX(0,Smooth!G37*Controls!G$17*INDEX(Controls!$B$21:$H$21,1,WEEKDAY($A37,2))*(1+Controls!$B$11)^35*(1+Controls!L$25*Smooth!$L37)*(1+Controls!L$26*Smooth!$M37)*(1+Controls!L$27*Smooth!$N37)*(1+Controls!L$28*Smooth!$O37)),2))</f>
        <v/>
      </c>
      <c r="H37" s="10" t="str">
        <f t="array" ref="H37">IF(OR($A37="",7&gt;Controls!$B$6),"",ROUND(MAX(0,Smooth!H37*Controls!H$17*INDEX(Controls!$B$21:$H$21,1,WEEKDAY($A37,2))*(1+Controls!$B$11)^35*(1+Controls!M$25*Smooth!$L37)*(1+Controls!M$26*Smooth!$M37)*(1+Controls!M$27*Smooth!$N37)*(1+Controls!M$28*Smooth!$O37)),2))</f>
        <v/>
      </c>
      <c r="I37" s="10" t="str">
        <f t="array" ref="I37">IF(OR($A37="",8&gt;Controls!$B$6),"",ROUND(MAX(0,Smooth!I37*Controls!I$17*INDEX(Controls!$B$21:$H$21,1,WEEKDAY($A37,2))*(1+Controls!$B$11)^35*(1+Controls!N$25*Smooth!$L37)*(1+Controls!N$26*Smooth!$M37)*(1+Controls!N$27*Smooth!$N37)*(1+Controls!N$28*Smooth!$O37)),2))</f>
        <v/>
      </c>
      <c r="J37" s="10" t="str">
        <f t="array" ref="J37">IF(OR($A37="",9&gt;Controls!$B$6),"",ROUND(MAX(0,Smooth!J37*Controls!J$17*INDEX(Controls!$B$21:$H$21,1,WEEKDAY($A37,2))*(1+Controls!$B$11)^35*(1+Controls!O$25*Smooth!$L37)*(1+Controls!O$26*Smooth!$M37)*(1+Controls!O$27*Smooth!$N37)*(1+Controls!O$28*Smooth!$O37)),2))</f>
        <v/>
      </c>
      <c r="K37" s="10" t="str">
        <f t="array" ref="K37">IF(OR($A37="",10&gt;Controls!$B$6),"",ROUND(MAX(0,Smooth!K37*Controls!K$17*INDEX(Controls!$B$21:$H$21,1,WEEKDAY($A37,2))*(1+Controls!$B$11)^35*(1+Controls!P$25*Smooth!$L37)*(1+Controls!P$26*Smooth!$M37)*(1+Controls!P$27*Smooth!$N37)*(1+Controls!P$28*Smooth!$O37)),2))</f>
        <v/>
      </c>
      <c r="L37" s="18">
        <f t="shared" si="1"/>
        <v>159.72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21.0" customHeight="1">
      <c r="A38" s="7">
        <f>IF(37&lt;=Controls!$B$5,Controls!$B$4+36,"")</f>
        <v>73027</v>
      </c>
      <c r="B38" s="10">
        <f t="array" ref="B38">IF(OR($A38="",1&gt;Controls!$B$6),"",ROUND(MAX(0,Smooth!B38*Controls!B$17*INDEX(Controls!$B$21:$H$21,1,WEEKDAY($A38,2))*(1+Controls!$B$11)^36*(1+Controls!G$25*Smooth!$L38)*(1+Controls!G$26*Smooth!$M38)*(1+Controls!G$27*Smooth!$N38)*(1+Controls!G$28*Smooth!$O38)),2))</f>
        <v>56.87</v>
      </c>
      <c r="C38" s="10">
        <f t="array" ref="C38">IF(OR($A38="",2&gt;Controls!$B$6),"",ROUND(MAX(0,Smooth!C38*Controls!C$17*INDEX(Controls!$B$21:$H$21,1,WEEKDAY($A38,2))*(1+Controls!$B$11)^36*(1+Controls!H$25*Smooth!$L38)*(1+Controls!H$26*Smooth!$M38)*(1+Controls!H$27*Smooth!$N38)*(1+Controls!H$28*Smooth!$O38)),2))</f>
        <v>44.14</v>
      </c>
      <c r="D38" s="10">
        <f t="array" ref="D38">IF(OR($A38="",3&gt;Controls!$B$6),"",ROUND(MAX(0,Smooth!D38*Controls!D$17*INDEX(Controls!$B$21:$H$21,1,WEEKDAY($A38,2))*(1+Controls!$B$11)^36*(1+Controls!I$25*Smooth!$L38)*(1+Controls!I$26*Smooth!$M38)*(1+Controls!I$27*Smooth!$N38)*(1+Controls!I$28*Smooth!$O38)),2))</f>
        <v>70.64</v>
      </c>
      <c r="E38" s="10" t="str">
        <f t="array" ref="E38">IF(OR($A38="",4&gt;Controls!$B$6),"",ROUND(MAX(0,Smooth!E38*Controls!E$17*INDEX(Controls!$B$21:$H$21,1,WEEKDAY($A38,2))*(1+Controls!$B$11)^36*(1+Controls!J$25*Smooth!$L38)*(1+Controls!J$26*Smooth!$M38)*(1+Controls!J$27*Smooth!$N38)*(1+Controls!J$28*Smooth!$O38)),2))</f>
        <v/>
      </c>
      <c r="F38" s="10" t="str">
        <f t="array" ref="F38">IF(OR($A38="",5&gt;Controls!$B$6),"",ROUND(MAX(0,Smooth!F38*Controls!F$17*INDEX(Controls!$B$21:$H$21,1,WEEKDAY($A38,2))*(1+Controls!$B$11)^36*(1+Controls!K$25*Smooth!$L38)*(1+Controls!K$26*Smooth!$M38)*(1+Controls!K$27*Smooth!$N38)*(1+Controls!K$28*Smooth!$O38)),2))</f>
        <v/>
      </c>
      <c r="G38" s="10" t="str">
        <f t="array" ref="G38">IF(OR($A38="",6&gt;Controls!$B$6),"",ROUND(MAX(0,Smooth!G38*Controls!G$17*INDEX(Controls!$B$21:$H$21,1,WEEKDAY($A38,2))*(1+Controls!$B$11)^36*(1+Controls!L$25*Smooth!$L38)*(1+Controls!L$26*Smooth!$M38)*(1+Controls!L$27*Smooth!$N38)*(1+Controls!L$28*Smooth!$O38)),2))</f>
        <v/>
      </c>
      <c r="H38" s="10" t="str">
        <f t="array" ref="H38">IF(OR($A38="",7&gt;Controls!$B$6),"",ROUND(MAX(0,Smooth!H38*Controls!H$17*INDEX(Controls!$B$21:$H$21,1,WEEKDAY($A38,2))*(1+Controls!$B$11)^36*(1+Controls!M$25*Smooth!$L38)*(1+Controls!M$26*Smooth!$M38)*(1+Controls!M$27*Smooth!$N38)*(1+Controls!M$28*Smooth!$O38)),2))</f>
        <v/>
      </c>
      <c r="I38" s="10" t="str">
        <f t="array" ref="I38">IF(OR($A38="",8&gt;Controls!$B$6),"",ROUND(MAX(0,Smooth!I38*Controls!I$17*INDEX(Controls!$B$21:$H$21,1,WEEKDAY($A38,2))*(1+Controls!$B$11)^36*(1+Controls!N$25*Smooth!$L38)*(1+Controls!N$26*Smooth!$M38)*(1+Controls!N$27*Smooth!$N38)*(1+Controls!N$28*Smooth!$O38)),2))</f>
        <v/>
      </c>
      <c r="J38" s="10" t="str">
        <f t="array" ref="J38">IF(OR($A38="",9&gt;Controls!$B$6),"",ROUND(MAX(0,Smooth!J38*Controls!J$17*INDEX(Controls!$B$21:$H$21,1,WEEKDAY($A38,2))*(1+Controls!$B$11)^36*(1+Controls!O$25*Smooth!$L38)*(1+Controls!O$26*Smooth!$M38)*(1+Controls!O$27*Smooth!$N38)*(1+Controls!O$28*Smooth!$O38)),2))</f>
        <v/>
      </c>
      <c r="K38" s="10" t="str">
        <f t="array" ref="K38">IF(OR($A38="",10&gt;Controls!$B$6),"",ROUND(MAX(0,Smooth!K38*Controls!K$17*INDEX(Controls!$B$21:$H$21,1,WEEKDAY($A38,2))*(1+Controls!$B$11)^36*(1+Controls!P$25*Smooth!$L38)*(1+Controls!P$26*Smooth!$M38)*(1+Controls!P$27*Smooth!$N38)*(1+Controls!P$28*Smooth!$O38)),2))</f>
        <v/>
      </c>
      <c r="L38" s="18">
        <f t="shared" si="1"/>
        <v>171.65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21.0" customHeight="1">
      <c r="A39" s="7">
        <f>IF(38&lt;=Controls!$B$5,Controls!$B$4+37,"")</f>
        <v>73028</v>
      </c>
      <c r="B39" s="10">
        <f t="array" ref="B39">IF(OR($A39="",1&gt;Controls!$B$6),"",ROUND(MAX(0,Smooth!B39*Controls!B$17*INDEX(Controls!$B$21:$H$21,1,WEEKDAY($A39,2))*(1+Controls!$B$11)^37*(1+Controls!G$25*Smooth!$L39)*(1+Controls!G$26*Smooth!$M39)*(1+Controls!G$27*Smooth!$N39)*(1+Controls!G$28*Smooth!$O39)),2))</f>
        <v>48.32</v>
      </c>
      <c r="C39" s="10">
        <f t="array" ref="C39">IF(OR($A39="",2&gt;Controls!$B$6),"",ROUND(MAX(0,Smooth!C39*Controls!C$17*INDEX(Controls!$B$21:$H$21,1,WEEKDAY($A39,2))*(1+Controls!$B$11)^37*(1+Controls!H$25*Smooth!$L39)*(1+Controls!H$26*Smooth!$M39)*(1+Controls!H$27*Smooth!$N39)*(1+Controls!H$28*Smooth!$O39)),2))</f>
        <v>41.77</v>
      </c>
      <c r="D39" s="10">
        <f t="array" ref="D39">IF(OR($A39="",3&gt;Controls!$B$6),"",ROUND(MAX(0,Smooth!D39*Controls!D$17*INDEX(Controls!$B$21:$H$21,1,WEEKDAY($A39,2))*(1+Controls!$B$11)^37*(1+Controls!I$25*Smooth!$L39)*(1+Controls!I$26*Smooth!$M39)*(1+Controls!I$27*Smooth!$N39)*(1+Controls!I$28*Smooth!$O39)),2))</f>
        <v>69.05</v>
      </c>
      <c r="E39" s="10" t="str">
        <f t="array" ref="E39">IF(OR($A39="",4&gt;Controls!$B$6),"",ROUND(MAX(0,Smooth!E39*Controls!E$17*INDEX(Controls!$B$21:$H$21,1,WEEKDAY($A39,2))*(1+Controls!$B$11)^37*(1+Controls!J$25*Smooth!$L39)*(1+Controls!J$26*Smooth!$M39)*(1+Controls!J$27*Smooth!$N39)*(1+Controls!J$28*Smooth!$O39)),2))</f>
        <v/>
      </c>
      <c r="F39" s="10" t="str">
        <f t="array" ref="F39">IF(OR($A39="",5&gt;Controls!$B$6),"",ROUND(MAX(0,Smooth!F39*Controls!F$17*INDEX(Controls!$B$21:$H$21,1,WEEKDAY($A39,2))*(1+Controls!$B$11)^37*(1+Controls!K$25*Smooth!$L39)*(1+Controls!K$26*Smooth!$M39)*(1+Controls!K$27*Smooth!$N39)*(1+Controls!K$28*Smooth!$O39)),2))</f>
        <v/>
      </c>
      <c r="G39" s="10" t="str">
        <f t="array" ref="G39">IF(OR($A39="",6&gt;Controls!$B$6),"",ROUND(MAX(0,Smooth!G39*Controls!G$17*INDEX(Controls!$B$21:$H$21,1,WEEKDAY($A39,2))*(1+Controls!$B$11)^37*(1+Controls!L$25*Smooth!$L39)*(1+Controls!L$26*Smooth!$M39)*(1+Controls!L$27*Smooth!$N39)*(1+Controls!L$28*Smooth!$O39)),2))</f>
        <v/>
      </c>
      <c r="H39" s="10" t="str">
        <f t="array" ref="H39">IF(OR($A39="",7&gt;Controls!$B$6),"",ROUND(MAX(0,Smooth!H39*Controls!H$17*INDEX(Controls!$B$21:$H$21,1,WEEKDAY($A39,2))*(1+Controls!$B$11)^37*(1+Controls!M$25*Smooth!$L39)*(1+Controls!M$26*Smooth!$M39)*(1+Controls!M$27*Smooth!$N39)*(1+Controls!M$28*Smooth!$O39)),2))</f>
        <v/>
      </c>
      <c r="I39" s="10" t="str">
        <f t="array" ref="I39">IF(OR($A39="",8&gt;Controls!$B$6),"",ROUND(MAX(0,Smooth!I39*Controls!I$17*INDEX(Controls!$B$21:$H$21,1,WEEKDAY($A39,2))*(1+Controls!$B$11)^37*(1+Controls!N$25*Smooth!$L39)*(1+Controls!N$26*Smooth!$M39)*(1+Controls!N$27*Smooth!$N39)*(1+Controls!N$28*Smooth!$O39)),2))</f>
        <v/>
      </c>
      <c r="J39" s="10" t="str">
        <f t="array" ref="J39">IF(OR($A39="",9&gt;Controls!$B$6),"",ROUND(MAX(0,Smooth!J39*Controls!J$17*INDEX(Controls!$B$21:$H$21,1,WEEKDAY($A39,2))*(1+Controls!$B$11)^37*(1+Controls!O$25*Smooth!$L39)*(1+Controls!O$26*Smooth!$M39)*(1+Controls!O$27*Smooth!$N39)*(1+Controls!O$28*Smooth!$O39)),2))</f>
        <v/>
      </c>
      <c r="K39" s="10" t="str">
        <f t="array" ref="K39">IF(OR($A39="",10&gt;Controls!$B$6),"",ROUND(MAX(0,Smooth!K39*Controls!K$17*INDEX(Controls!$B$21:$H$21,1,WEEKDAY($A39,2))*(1+Controls!$B$11)^37*(1+Controls!P$25*Smooth!$L39)*(1+Controls!P$26*Smooth!$M39)*(1+Controls!P$27*Smooth!$N39)*(1+Controls!P$28*Smooth!$O39)),2))</f>
        <v/>
      </c>
      <c r="L39" s="18">
        <f t="shared" si="1"/>
        <v>159.14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21.0" customHeight="1">
      <c r="A40" s="7">
        <f>IF(39&lt;=Controls!$B$5,Controls!$B$4+38,"")</f>
        <v>73029</v>
      </c>
      <c r="B40" s="10">
        <f t="array" ref="B40">IF(OR($A40="",1&gt;Controls!$B$6),"",ROUND(MAX(0,Smooth!B40*Controls!B$17*INDEX(Controls!$B$21:$H$21,1,WEEKDAY($A40,2))*(1+Controls!$B$11)^38*(1+Controls!G$25*Smooth!$L40)*(1+Controls!G$26*Smooth!$M40)*(1+Controls!G$27*Smooth!$N40)*(1+Controls!G$28*Smooth!$O40)),2))</f>
        <v>47.62</v>
      </c>
      <c r="C40" s="10">
        <f t="array" ref="C40">IF(OR($A40="",2&gt;Controls!$B$6),"",ROUND(MAX(0,Smooth!C40*Controls!C$17*INDEX(Controls!$B$21:$H$21,1,WEEKDAY($A40,2))*(1+Controls!$B$11)^38*(1+Controls!H$25*Smooth!$L40)*(1+Controls!H$26*Smooth!$M40)*(1+Controls!H$27*Smooth!$N40)*(1+Controls!H$28*Smooth!$O40)),2))</f>
        <v>43.75</v>
      </c>
      <c r="D40" s="10">
        <f t="array" ref="D40">IF(OR($A40="",3&gt;Controls!$B$6),"",ROUND(MAX(0,Smooth!D40*Controls!D$17*INDEX(Controls!$B$21:$H$21,1,WEEKDAY($A40,2))*(1+Controls!$B$11)^38*(1+Controls!I$25*Smooth!$L40)*(1+Controls!I$26*Smooth!$M40)*(1+Controls!I$27*Smooth!$N40)*(1+Controls!I$28*Smooth!$O40)),2))</f>
        <v>67.13</v>
      </c>
      <c r="E40" s="10" t="str">
        <f t="array" ref="E40">IF(OR($A40="",4&gt;Controls!$B$6),"",ROUND(MAX(0,Smooth!E40*Controls!E$17*INDEX(Controls!$B$21:$H$21,1,WEEKDAY($A40,2))*(1+Controls!$B$11)^38*(1+Controls!J$25*Smooth!$L40)*(1+Controls!J$26*Smooth!$M40)*(1+Controls!J$27*Smooth!$N40)*(1+Controls!J$28*Smooth!$O40)),2))</f>
        <v/>
      </c>
      <c r="F40" s="10" t="str">
        <f t="array" ref="F40">IF(OR($A40="",5&gt;Controls!$B$6),"",ROUND(MAX(0,Smooth!F40*Controls!F$17*INDEX(Controls!$B$21:$H$21,1,WEEKDAY($A40,2))*(1+Controls!$B$11)^38*(1+Controls!K$25*Smooth!$L40)*(1+Controls!K$26*Smooth!$M40)*(1+Controls!K$27*Smooth!$N40)*(1+Controls!K$28*Smooth!$O40)),2))</f>
        <v/>
      </c>
      <c r="G40" s="10" t="str">
        <f t="array" ref="G40">IF(OR($A40="",6&gt;Controls!$B$6),"",ROUND(MAX(0,Smooth!G40*Controls!G$17*INDEX(Controls!$B$21:$H$21,1,WEEKDAY($A40,2))*(1+Controls!$B$11)^38*(1+Controls!L$25*Smooth!$L40)*(1+Controls!L$26*Smooth!$M40)*(1+Controls!L$27*Smooth!$N40)*(1+Controls!L$28*Smooth!$O40)),2))</f>
        <v/>
      </c>
      <c r="H40" s="10" t="str">
        <f t="array" ref="H40">IF(OR($A40="",7&gt;Controls!$B$6),"",ROUND(MAX(0,Smooth!H40*Controls!H$17*INDEX(Controls!$B$21:$H$21,1,WEEKDAY($A40,2))*(1+Controls!$B$11)^38*(1+Controls!M$25*Smooth!$L40)*(1+Controls!M$26*Smooth!$M40)*(1+Controls!M$27*Smooth!$N40)*(1+Controls!M$28*Smooth!$O40)),2))</f>
        <v/>
      </c>
      <c r="I40" s="10" t="str">
        <f t="array" ref="I40">IF(OR($A40="",8&gt;Controls!$B$6),"",ROUND(MAX(0,Smooth!I40*Controls!I$17*INDEX(Controls!$B$21:$H$21,1,WEEKDAY($A40,2))*(1+Controls!$B$11)^38*(1+Controls!N$25*Smooth!$L40)*(1+Controls!N$26*Smooth!$M40)*(1+Controls!N$27*Smooth!$N40)*(1+Controls!N$28*Smooth!$O40)),2))</f>
        <v/>
      </c>
      <c r="J40" s="10" t="str">
        <f t="array" ref="J40">IF(OR($A40="",9&gt;Controls!$B$6),"",ROUND(MAX(0,Smooth!J40*Controls!J$17*INDEX(Controls!$B$21:$H$21,1,WEEKDAY($A40,2))*(1+Controls!$B$11)^38*(1+Controls!O$25*Smooth!$L40)*(1+Controls!O$26*Smooth!$M40)*(1+Controls!O$27*Smooth!$N40)*(1+Controls!O$28*Smooth!$O40)),2))</f>
        <v/>
      </c>
      <c r="K40" s="10" t="str">
        <f t="array" ref="K40">IF(OR($A40="",10&gt;Controls!$B$6),"",ROUND(MAX(0,Smooth!K40*Controls!K$17*INDEX(Controls!$B$21:$H$21,1,WEEKDAY($A40,2))*(1+Controls!$B$11)^38*(1+Controls!P$25*Smooth!$L40)*(1+Controls!P$26*Smooth!$M40)*(1+Controls!P$27*Smooth!$N40)*(1+Controls!P$28*Smooth!$O40)),2))</f>
        <v/>
      </c>
      <c r="L40" s="18">
        <f t="shared" si="1"/>
        <v>158.5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21.0" customHeight="1">
      <c r="A41" s="7">
        <f>IF(40&lt;=Controls!$B$5,Controls!$B$4+39,"")</f>
        <v>73030</v>
      </c>
      <c r="B41" s="10">
        <f t="array" ref="B41">IF(OR($A41="",1&gt;Controls!$B$6),"",ROUND(MAX(0,Smooth!B41*Controls!B$17*INDEX(Controls!$B$21:$H$21,1,WEEKDAY($A41,2))*(1+Controls!$B$11)^39*(1+Controls!G$25*Smooth!$L41)*(1+Controls!G$26*Smooth!$M41)*(1+Controls!G$27*Smooth!$N41)*(1+Controls!G$28*Smooth!$O41)),2))</f>
        <v>45.14</v>
      </c>
      <c r="C41" s="10">
        <f t="array" ref="C41">IF(OR($A41="",2&gt;Controls!$B$6),"",ROUND(MAX(0,Smooth!C41*Controls!C$17*INDEX(Controls!$B$21:$H$21,1,WEEKDAY($A41,2))*(1+Controls!$B$11)^39*(1+Controls!H$25*Smooth!$L41)*(1+Controls!H$26*Smooth!$M41)*(1+Controls!H$27*Smooth!$N41)*(1+Controls!H$28*Smooth!$O41)),2))</f>
        <v>38.28</v>
      </c>
      <c r="D41" s="10">
        <f t="array" ref="D41">IF(OR($A41="",3&gt;Controls!$B$6),"",ROUND(MAX(0,Smooth!D41*Controls!D$17*INDEX(Controls!$B$21:$H$21,1,WEEKDAY($A41,2))*(1+Controls!$B$11)^39*(1+Controls!I$25*Smooth!$L41)*(1+Controls!I$26*Smooth!$M41)*(1+Controls!I$27*Smooth!$N41)*(1+Controls!I$28*Smooth!$O41)),2))</f>
        <v>53.94</v>
      </c>
      <c r="E41" s="10" t="str">
        <f t="array" ref="E41">IF(OR($A41="",4&gt;Controls!$B$6),"",ROUND(MAX(0,Smooth!E41*Controls!E$17*INDEX(Controls!$B$21:$H$21,1,WEEKDAY($A41,2))*(1+Controls!$B$11)^39*(1+Controls!J$25*Smooth!$L41)*(1+Controls!J$26*Smooth!$M41)*(1+Controls!J$27*Smooth!$N41)*(1+Controls!J$28*Smooth!$O41)),2))</f>
        <v/>
      </c>
      <c r="F41" s="10" t="str">
        <f t="array" ref="F41">IF(OR($A41="",5&gt;Controls!$B$6),"",ROUND(MAX(0,Smooth!F41*Controls!F$17*INDEX(Controls!$B$21:$H$21,1,WEEKDAY($A41,2))*(1+Controls!$B$11)^39*(1+Controls!K$25*Smooth!$L41)*(1+Controls!K$26*Smooth!$M41)*(1+Controls!K$27*Smooth!$N41)*(1+Controls!K$28*Smooth!$O41)),2))</f>
        <v/>
      </c>
      <c r="G41" s="10" t="str">
        <f t="array" ref="G41">IF(OR($A41="",6&gt;Controls!$B$6),"",ROUND(MAX(0,Smooth!G41*Controls!G$17*INDEX(Controls!$B$21:$H$21,1,WEEKDAY($A41,2))*(1+Controls!$B$11)^39*(1+Controls!L$25*Smooth!$L41)*(1+Controls!L$26*Smooth!$M41)*(1+Controls!L$27*Smooth!$N41)*(1+Controls!L$28*Smooth!$O41)),2))</f>
        <v/>
      </c>
      <c r="H41" s="10" t="str">
        <f t="array" ref="H41">IF(OR($A41="",7&gt;Controls!$B$6),"",ROUND(MAX(0,Smooth!H41*Controls!H$17*INDEX(Controls!$B$21:$H$21,1,WEEKDAY($A41,2))*(1+Controls!$B$11)^39*(1+Controls!M$25*Smooth!$L41)*(1+Controls!M$26*Smooth!$M41)*(1+Controls!M$27*Smooth!$N41)*(1+Controls!M$28*Smooth!$O41)),2))</f>
        <v/>
      </c>
      <c r="I41" s="10" t="str">
        <f t="array" ref="I41">IF(OR($A41="",8&gt;Controls!$B$6),"",ROUND(MAX(0,Smooth!I41*Controls!I$17*INDEX(Controls!$B$21:$H$21,1,WEEKDAY($A41,2))*(1+Controls!$B$11)^39*(1+Controls!N$25*Smooth!$L41)*(1+Controls!N$26*Smooth!$M41)*(1+Controls!N$27*Smooth!$N41)*(1+Controls!N$28*Smooth!$O41)),2))</f>
        <v/>
      </c>
      <c r="J41" s="10" t="str">
        <f t="array" ref="J41">IF(OR($A41="",9&gt;Controls!$B$6),"",ROUND(MAX(0,Smooth!J41*Controls!J$17*INDEX(Controls!$B$21:$H$21,1,WEEKDAY($A41,2))*(1+Controls!$B$11)^39*(1+Controls!O$25*Smooth!$L41)*(1+Controls!O$26*Smooth!$M41)*(1+Controls!O$27*Smooth!$N41)*(1+Controls!O$28*Smooth!$O41)),2))</f>
        <v/>
      </c>
      <c r="K41" s="10" t="str">
        <f t="array" ref="K41">IF(OR($A41="",10&gt;Controls!$B$6),"",ROUND(MAX(0,Smooth!K41*Controls!K$17*INDEX(Controls!$B$21:$H$21,1,WEEKDAY($A41,2))*(1+Controls!$B$11)^39*(1+Controls!P$25*Smooth!$L41)*(1+Controls!P$26*Smooth!$M41)*(1+Controls!P$27*Smooth!$N41)*(1+Controls!P$28*Smooth!$O41)),2))</f>
        <v/>
      </c>
      <c r="L41" s="18">
        <f t="shared" si="1"/>
        <v>137.36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21.0" customHeight="1">
      <c r="A42" s="7">
        <f>IF(41&lt;=Controls!$B$5,Controls!$B$4+40,"")</f>
        <v>73031</v>
      </c>
      <c r="B42" s="10">
        <f t="array" ref="B42">IF(OR($A42="",1&gt;Controls!$B$6),"",ROUND(MAX(0,Smooth!B42*Controls!B$17*INDEX(Controls!$B$21:$H$21,1,WEEKDAY($A42,2))*(1+Controls!$B$11)^40*(1+Controls!G$25*Smooth!$L42)*(1+Controls!G$26*Smooth!$M42)*(1+Controls!G$27*Smooth!$N42)*(1+Controls!G$28*Smooth!$O42)),2))</f>
        <v>34.02</v>
      </c>
      <c r="C42" s="10">
        <f t="array" ref="C42">IF(OR($A42="",2&gt;Controls!$B$6),"",ROUND(MAX(0,Smooth!C42*Controls!C$17*INDEX(Controls!$B$21:$H$21,1,WEEKDAY($A42,2))*(1+Controls!$B$11)^40*(1+Controls!H$25*Smooth!$L42)*(1+Controls!H$26*Smooth!$M42)*(1+Controls!H$27*Smooth!$N42)*(1+Controls!H$28*Smooth!$O42)),2))</f>
        <v>25.33</v>
      </c>
      <c r="D42" s="10">
        <f t="array" ref="D42">IF(OR($A42="",3&gt;Controls!$B$6),"",ROUND(MAX(0,Smooth!D42*Controls!D$17*INDEX(Controls!$B$21:$H$21,1,WEEKDAY($A42,2))*(1+Controls!$B$11)^40*(1+Controls!I$25*Smooth!$L42)*(1+Controls!I$26*Smooth!$M42)*(1+Controls!I$27*Smooth!$N42)*(1+Controls!I$28*Smooth!$O42)),2))</f>
        <v>43.79</v>
      </c>
      <c r="E42" s="10" t="str">
        <f t="array" ref="E42">IF(OR($A42="",4&gt;Controls!$B$6),"",ROUND(MAX(0,Smooth!E42*Controls!E$17*INDEX(Controls!$B$21:$H$21,1,WEEKDAY($A42,2))*(1+Controls!$B$11)^40*(1+Controls!J$25*Smooth!$L42)*(1+Controls!J$26*Smooth!$M42)*(1+Controls!J$27*Smooth!$N42)*(1+Controls!J$28*Smooth!$O42)),2))</f>
        <v/>
      </c>
      <c r="F42" s="10" t="str">
        <f t="array" ref="F42">IF(OR($A42="",5&gt;Controls!$B$6),"",ROUND(MAX(0,Smooth!F42*Controls!F$17*INDEX(Controls!$B$21:$H$21,1,WEEKDAY($A42,2))*(1+Controls!$B$11)^40*(1+Controls!K$25*Smooth!$L42)*(1+Controls!K$26*Smooth!$M42)*(1+Controls!K$27*Smooth!$N42)*(1+Controls!K$28*Smooth!$O42)),2))</f>
        <v/>
      </c>
      <c r="G42" s="10" t="str">
        <f t="array" ref="G42">IF(OR($A42="",6&gt;Controls!$B$6),"",ROUND(MAX(0,Smooth!G42*Controls!G$17*INDEX(Controls!$B$21:$H$21,1,WEEKDAY($A42,2))*(1+Controls!$B$11)^40*(1+Controls!L$25*Smooth!$L42)*(1+Controls!L$26*Smooth!$M42)*(1+Controls!L$27*Smooth!$N42)*(1+Controls!L$28*Smooth!$O42)),2))</f>
        <v/>
      </c>
      <c r="H42" s="10" t="str">
        <f t="array" ref="H42">IF(OR($A42="",7&gt;Controls!$B$6),"",ROUND(MAX(0,Smooth!H42*Controls!H$17*INDEX(Controls!$B$21:$H$21,1,WEEKDAY($A42,2))*(1+Controls!$B$11)^40*(1+Controls!M$25*Smooth!$L42)*(1+Controls!M$26*Smooth!$M42)*(1+Controls!M$27*Smooth!$N42)*(1+Controls!M$28*Smooth!$O42)),2))</f>
        <v/>
      </c>
      <c r="I42" s="10" t="str">
        <f t="array" ref="I42">IF(OR($A42="",8&gt;Controls!$B$6),"",ROUND(MAX(0,Smooth!I42*Controls!I$17*INDEX(Controls!$B$21:$H$21,1,WEEKDAY($A42,2))*(1+Controls!$B$11)^40*(1+Controls!N$25*Smooth!$L42)*(1+Controls!N$26*Smooth!$M42)*(1+Controls!N$27*Smooth!$N42)*(1+Controls!N$28*Smooth!$O42)),2))</f>
        <v/>
      </c>
      <c r="J42" s="10" t="str">
        <f t="array" ref="J42">IF(OR($A42="",9&gt;Controls!$B$6),"",ROUND(MAX(0,Smooth!J42*Controls!J$17*INDEX(Controls!$B$21:$H$21,1,WEEKDAY($A42,2))*(1+Controls!$B$11)^40*(1+Controls!O$25*Smooth!$L42)*(1+Controls!O$26*Smooth!$M42)*(1+Controls!O$27*Smooth!$N42)*(1+Controls!O$28*Smooth!$O42)),2))</f>
        <v/>
      </c>
      <c r="K42" s="10" t="str">
        <f t="array" ref="K42">IF(OR($A42="",10&gt;Controls!$B$6),"",ROUND(MAX(0,Smooth!K42*Controls!K$17*INDEX(Controls!$B$21:$H$21,1,WEEKDAY($A42,2))*(1+Controls!$B$11)^40*(1+Controls!P$25*Smooth!$L42)*(1+Controls!P$26*Smooth!$M42)*(1+Controls!P$27*Smooth!$N42)*(1+Controls!P$28*Smooth!$O42)),2))</f>
        <v/>
      </c>
      <c r="L42" s="18">
        <f t="shared" si="1"/>
        <v>103.14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21.0" customHeight="1">
      <c r="A43" s="7">
        <f>IF(42&lt;=Controls!$B$5,Controls!$B$4+41,"")</f>
        <v>73032</v>
      </c>
      <c r="B43" s="10">
        <f t="array" ref="B43">IF(OR($A43="",1&gt;Controls!$B$6),"",ROUND(MAX(0,Smooth!B43*Controls!B$17*INDEX(Controls!$B$21:$H$21,1,WEEKDAY($A43,2))*(1+Controls!$B$11)^41*(1+Controls!G$25*Smooth!$L43)*(1+Controls!G$26*Smooth!$M43)*(1+Controls!G$27*Smooth!$N43)*(1+Controls!G$28*Smooth!$O43)),2))</f>
        <v>14.8</v>
      </c>
      <c r="C43" s="10">
        <f t="array" ref="C43">IF(OR($A43="",2&gt;Controls!$B$6),"",ROUND(MAX(0,Smooth!C43*Controls!C$17*INDEX(Controls!$B$21:$H$21,1,WEEKDAY($A43,2))*(1+Controls!$B$11)^41*(1+Controls!H$25*Smooth!$L43)*(1+Controls!H$26*Smooth!$M43)*(1+Controls!H$27*Smooth!$N43)*(1+Controls!H$28*Smooth!$O43)),2))</f>
        <v>14.02</v>
      </c>
      <c r="D43" s="10">
        <f t="array" ref="D43">IF(OR($A43="",3&gt;Controls!$B$6),"",ROUND(MAX(0,Smooth!D43*Controls!D$17*INDEX(Controls!$B$21:$H$21,1,WEEKDAY($A43,2))*(1+Controls!$B$11)^41*(1+Controls!I$25*Smooth!$L43)*(1+Controls!I$26*Smooth!$M43)*(1+Controls!I$27*Smooth!$N43)*(1+Controls!I$28*Smooth!$O43)),2))</f>
        <v>24.33</v>
      </c>
      <c r="E43" s="10" t="str">
        <f t="array" ref="E43">IF(OR($A43="",4&gt;Controls!$B$6),"",ROUND(MAX(0,Smooth!E43*Controls!E$17*INDEX(Controls!$B$21:$H$21,1,WEEKDAY($A43,2))*(1+Controls!$B$11)^41*(1+Controls!J$25*Smooth!$L43)*(1+Controls!J$26*Smooth!$M43)*(1+Controls!J$27*Smooth!$N43)*(1+Controls!J$28*Smooth!$O43)),2))</f>
        <v/>
      </c>
      <c r="F43" s="10" t="str">
        <f t="array" ref="F43">IF(OR($A43="",5&gt;Controls!$B$6),"",ROUND(MAX(0,Smooth!F43*Controls!F$17*INDEX(Controls!$B$21:$H$21,1,WEEKDAY($A43,2))*(1+Controls!$B$11)^41*(1+Controls!K$25*Smooth!$L43)*(1+Controls!K$26*Smooth!$M43)*(1+Controls!K$27*Smooth!$N43)*(1+Controls!K$28*Smooth!$O43)),2))</f>
        <v/>
      </c>
      <c r="G43" s="10" t="str">
        <f t="array" ref="G43">IF(OR($A43="",6&gt;Controls!$B$6),"",ROUND(MAX(0,Smooth!G43*Controls!G$17*INDEX(Controls!$B$21:$H$21,1,WEEKDAY($A43,2))*(1+Controls!$B$11)^41*(1+Controls!L$25*Smooth!$L43)*(1+Controls!L$26*Smooth!$M43)*(1+Controls!L$27*Smooth!$N43)*(1+Controls!L$28*Smooth!$O43)),2))</f>
        <v/>
      </c>
      <c r="H43" s="10" t="str">
        <f t="array" ref="H43">IF(OR($A43="",7&gt;Controls!$B$6),"",ROUND(MAX(0,Smooth!H43*Controls!H$17*INDEX(Controls!$B$21:$H$21,1,WEEKDAY($A43,2))*(1+Controls!$B$11)^41*(1+Controls!M$25*Smooth!$L43)*(1+Controls!M$26*Smooth!$M43)*(1+Controls!M$27*Smooth!$N43)*(1+Controls!M$28*Smooth!$O43)),2))</f>
        <v/>
      </c>
      <c r="I43" s="10" t="str">
        <f t="array" ref="I43">IF(OR($A43="",8&gt;Controls!$B$6),"",ROUND(MAX(0,Smooth!I43*Controls!I$17*INDEX(Controls!$B$21:$H$21,1,WEEKDAY($A43,2))*(1+Controls!$B$11)^41*(1+Controls!N$25*Smooth!$L43)*(1+Controls!N$26*Smooth!$M43)*(1+Controls!N$27*Smooth!$N43)*(1+Controls!N$28*Smooth!$O43)),2))</f>
        <v/>
      </c>
      <c r="J43" s="10" t="str">
        <f t="array" ref="J43">IF(OR($A43="",9&gt;Controls!$B$6),"",ROUND(MAX(0,Smooth!J43*Controls!J$17*INDEX(Controls!$B$21:$H$21,1,WEEKDAY($A43,2))*(1+Controls!$B$11)^41*(1+Controls!O$25*Smooth!$L43)*(1+Controls!O$26*Smooth!$M43)*(1+Controls!O$27*Smooth!$N43)*(1+Controls!O$28*Smooth!$O43)),2))</f>
        <v/>
      </c>
      <c r="K43" s="10" t="str">
        <f t="array" ref="K43">IF(OR($A43="",10&gt;Controls!$B$6),"",ROUND(MAX(0,Smooth!K43*Controls!K$17*INDEX(Controls!$B$21:$H$21,1,WEEKDAY($A43,2))*(1+Controls!$B$11)^41*(1+Controls!P$25*Smooth!$L43)*(1+Controls!P$26*Smooth!$M43)*(1+Controls!P$27*Smooth!$N43)*(1+Controls!P$28*Smooth!$O43)),2))</f>
        <v/>
      </c>
      <c r="L43" s="18">
        <f t="shared" si="1"/>
        <v>53.15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21.0" customHeight="1">
      <c r="A44" s="7">
        <f>IF(43&lt;=Controls!$B$5,Controls!$B$4+42,"")</f>
        <v>73033</v>
      </c>
      <c r="B44" s="10">
        <f t="array" ref="B44">IF(OR($A44="",1&gt;Controls!$B$6),"",ROUND(MAX(0,Smooth!B44*Controls!B$17*INDEX(Controls!$B$21:$H$21,1,WEEKDAY($A44,2))*(1+Controls!$B$11)^42*(1+Controls!G$25*Smooth!$L44)*(1+Controls!G$26*Smooth!$M44)*(1+Controls!G$27*Smooth!$N44)*(1+Controls!G$28*Smooth!$O44)),2))</f>
        <v>50</v>
      </c>
      <c r="C44" s="10">
        <f t="array" ref="C44">IF(OR($A44="",2&gt;Controls!$B$6),"",ROUND(MAX(0,Smooth!C44*Controls!C$17*INDEX(Controls!$B$21:$H$21,1,WEEKDAY($A44,2))*(1+Controls!$B$11)^42*(1+Controls!H$25*Smooth!$L44)*(1+Controls!H$26*Smooth!$M44)*(1+Controls!H$27*Smooth!$N44)*(1+Controls!H$28*Smooth!$O44)),2))</f>
        <v>42.07</v>
      </c>
      <c r="D44" s="10">
        <f t="array" ref="D44">IF(OR($A44="",3&gt;Controls!$B$6),"",ROUND(MAX(0,Smooth!D44*Controls!D$17*INDEX(Controls!$B$21:$H$21,1,WEEKDAY($A44,2))*(1+Controls!$B$11)^42*(1+Controls!I$25*Smooth!$L44)*(1+Controls!I$26*Smooth!$M44)*(1+Controls!I$27*Smooth!$N44)*(1+Controls!I$28*Smooth!$O44)),2))</f>
        <v>58.22</v>
      </c>
      <c r="E44" s="10" t="str">
        <f t="array" ref="E44">IF(OR($A44="",4&gt;Controls!$B$6),"",ROUND(MAX(0,Smooth!E44*Controls!E$17*INDEX(Controls!$B$21:$H$21,1,WEEKDAY($A44,2))*(1+Controls!$B$11)^42*(1+Controls!J$25*Smooth!$L44)*(1+Controls!J$26*Smooth!$M44)*(1+Controls!J$27*Smooth!$N44)*(1+Controls!J$28*Smooth!$O44)),2))</f>
        <v/>
      </c>
      <c r="F44" s="10" t="str">
        <f t="array" ref="F44">IF(OR($A44="",5&gt;Controls!$B$6),"",ROUND(MAX(0,Smooth!F44*Controls!F$17*INDEX(Controls!$B$21:$H$21,1,WEEKDAY($A44,2))*(1+Controls!$B$11)^42*(1+Controls!K$25*Smooth!$L44)*(1+Controls!K$26*Smooth!$M44)*(1+Controls!K$27*Smooth!$N44)*(1+Controls!K$28*Smooth!$O44)),2))</f>
        <v/>
      </c>
      <c r="G44" s="10" t="str">
        <f t="array" ref="G44">IF(OR($A44="",6&gt;Controls!$B$6),"",ROUND(MAX(0,Smooth!G44*Controls!G$17*INDEX(Controls!$B$21:$H$21,1,WEEKDAY($A44,2))*(1+Controls!$B$11)^42*(1+Controls!L$25*Smooth!$L44)*(1+Controls!L$26*Smooth!$M44)*(1+Controls!L$27*Smooth!$N44)*(1+Controls!L$28*Smooth!$O44)),2))</f>
        <v/>
      </c>
      <c r="H44" s="10" t="str">
        <f t="array" ref="H44">IF(OR($A44="",7&gt;Controls!$B$6),"",ROUND(MAX(0,Smooth!H44*Controls!H$17*INDEX(Controls!$B$21:$H$21,1,WEEKDAY($A44,2))*(1+Controls!$B$11)^42*(1+Controls!M$25*Smooth!$L44)*(1+Controls!M$26*Smooth!$M44)*(1+Controls!M$27*Smooth!$N44)*(1+Controls!M$28*Smooth!$O44)),2))</f>
        <v/>
      </c>
      <c r="I44" s="10" t="str">
        <f t="array" ref="I44">IF(OR($A44="",8&gt;Controls!$B$6),"",ROUND(MAX(0,Smooth!I44*Controls!I$17*INDEX(Controls!$B$21:$H$21,1,WEEKDAY($A44,2))*(1+Controls!$B$11)^42*(1+Controls!N$25*Smooth!$L44)*(1+Controls!N$26*Smooth!$M44)*(1+Controls!N$27*Smooth!$N44)*(1+Controls!N$28*Smooth!$O44)),2))</f>
        <v/>
      </c>
      <c r="J44" s="10" t="str">
        <f t="array" ref="J44">IF(OR($A44="",9&gt;Controls!$B$6),"",ROUND(MAX(0,Smooth!J44*Controls!J$17*INDEX(Controls!$B$21:$H$21,1,WEEKDAY($A44,2))*(1+Controls!$B$11)^42*(1+Controls!O$25*Smooth!$L44)*(1+Controls!O$26*Smooth!$M44)*(1+Controls!O$27*Smooth!$N44)*(1+Controls!O$28*Smooth!$O44)),2))</f>
        <v/>
      </c>
      <c r="K44" s="10" t="str">
        <f t="array" ref="K44">IF(OR($A44="",10&gt;Controls!$B$6),"",ROUND(MAX(0,Smooth!K44*Controls!K$17*INDEX(Controls!$B$21:$H$21,1,WEEKDAY($A44,2))*(1+Controls!$B$11)^42*(1+Controls!P$25*Smooth!$L44)*(1+Controls!P$26*Smooth!$M44)*(1+Controls!P$27*Smooth!$N44)*(1+Controls!P$28*Smooth!$O44)),2))</f>
        <v/>
      </c>
      <c r="L44" s="18">
        <f t="shared" si="1"/>
        <v>150.29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21.0" customHeight="1">
      <c r="A45" s="7">
        <f>IF(44&lt;=Controls!$B$5,Controls!$B$4+43,"")</f>
        <v>73034</v>
      </c>
      <c r="B45" s="10">
        <f t="array" ref="B45">IF(OR($A45="",1&gt;Controls!$B$6),"",ROUND(MAX(0,Smooth!B45*Controls!B$17*INDEX(Controls!$B$21:$H$21,1,WEEKDAY($A45,2))*(1+Controls!$B$11)^43*(1+Controls!G$25*Smooth!$L45)*(1+Controls!G$26*Smooth!$M45)*(1+Controls!G$27*Smooth!$N45)*(1+Controls!G$28*Smooth!$O45)),2))</f>
        <v>48.66</v>
      </c>
      <c r="C45" s="10">
        <f t="array" ref="C45">IF(OR($A45="",2&gt;Controls!$B$6),"",ROUND(MAX(0,Smooth!C45*Controls!C$17*INDEX(Controls!$B$21:$H$21,1,WEEKDAY($A45,2))*(1+Controls!$B$11)^43*(1+Controls!H$25*Smooth!$L45)*(1+Controls!H$26*Smooth!$M45)*(1+Controls!H$27*Smooth!$N45)*(1+Controls!H$28*Smooth!$O45)),2))</f>
        <v>38.76</v>
      </c>
      <c r="D45" s="10">
        <f t="array" ref="D45">IF(OR($A45="",3&gt;Controls!$B$6),"",ROUND(MAX(0,Smooth!D45*Controls!D$17*INDEX(Controls!$B$21:$H$21,1,WEEKDAY($A45,2))*(1+Controls!$B$11)^43*(1+Controls!I$25*Smooth!$L45)*(1+Controls!I$26*Smooth!$M45)*(1+Controls!I$27*Smooth!$N45)*(1+Controls!I$28*Smooth!$O45)),2))</f>
        <v>44.33</v>
      </c>
      <c r="E45" s="10" t="str">
        <f t="array" ref="E45">IF(OR($A45="",4&gt;Controls!$B$6),"",ROUND(MAX(0,Smooth!E45*Controls!E$17*INDEX(Controls!$B$21:$H$21,1,WEEKDAY($A45,2))*(1+Controls!$B$11)^43*(1+Controls!J$25*Smooth!$L45)*(1+Controls!J$26*Smooth!$M45)*(1+Controls!J$27*Smooth!$N45)*(1+Controls!J$28*Smooth!$O45)),2))</f>
        <v/>
      </c>
      <c r="F45" s="10" t="str">
        <f t="array" ref="F45">IF(OR($A45="",5&gt;Controls!$B$6),"",ROUND(MAX(0,Smooth!F45*Controls!F$17*INDEX(Controls!$B$21:$H$21,1,WEEKDAY($A45,2))*(1+Controls!$B$11)^43*(1+Controls!K$25*Smooth!$L45)*(1+Controls!K$26*Smooth!$M45)*(1+Controls!K$27*Smooth!$N45)*(1+Controls!K$28*Smooth!$O45)),2))</f>
        <v/>
      </c>
      <c r="G45" s="10" t="str">
        <f t="array" ref="G45">IF(OR($A45="",6&gt;Controls!$B$6),"",ROUND(MAX(0,Smooth!G45*Controls!G$17*INDEX(Controls!$B$21:$H$21,1,WEEKDAY($A45,2))*(1+Controls!$B$11)^43*(1+Controls!L$25*Smooth!$L45)*(1+Controls!L$26*Smooth!$M45)*(1+Controls!L$27*Smooth!$N45)*(1+Controls!L$28*Smooth!$O45)),2))</f>
        <v/>
      </c>
      <c r="H45" s="10" t="str">
        <f t="array" ref="H45">IF(OR($A45="",7&gt;Controls!$B$6),"",ROUND(MAX(0,Smooth!H45*Controls!H$17*INDEX(Controls!$B$21:$H$21,1,WEEKDAY($A45,2))*(1+Controls!$B$11)^43*(1+Controls!M$25*Smooth!$L45)*(1+Controls!M$26*Smooth!$M45)*(1+Controls!M$27*Smooth!$N45)*(1+Controls!M$28*Smooth!$O45)),2))</f>
        <v/>
      </c>
      <c r="I45" s="10" t="str">
        <f t="array" ref="I45">IF(OR($A45="",8&gt;Controls!$B$6),"",ROUND(MAX(0,Smooth!I45*Controls!I$17*INDEX(Controls!$B$21:$H$21,1,WEEKDAY($A45,2))*(1+Controls!$B$11)^43*(1+Controls!N$25*Smooth!$L45)*(1+Controls!N$26*Smooth!$M45)*(1+Controls!N$27*Smooth!$N45)*(1+Controls!N$28*Smooth!$O45)),2))</f>
        <v/>
      </c>
      <c r="J45" s="10" t="str">
        <f t="array" ref="J45">IF(OR($A45="",9&gt;Controls!$B$6),"",ROUND(MAX(0,Smooth!J45*Controls!J$17*INDEX(Controls!$B$21:$H$21,1,WEEKDAY($A45,2))*(1+Controls!$B$11)^43*(1+Controls!O$25*Smooth!$L45)*(1+Controls!O$26*Smooth!$M45)*(1+Controls!O$27*Smooth!$N45)*(1+Controls!O$28*Smooth!$O45)),2))</f>
        <v/>
      </c>
      <c r="K45" s="10" t="str">
        <f t="array" ref="K45">IF(OR($A45="",10&gt;Controls!$B$6),"",ROUND(MAX(0,Smooth!K45*Controls!K$17*INDEX(Controls!$B$21:$H$21,1,WEEKDAY($A45,2))*(1+Controls!$B$11)^43*(1+Controls!P$25*Smooth!$L45)*(1+Controls!P$26*Smooth!$M45)*(1+Controls!P$27*Smooth!$N45)*(1+Controls!P$28*Smooth!$O45)),2))</f>
        <v/>
      </c>
      <c r="L45" s="18">
        <f t="shared" si="1"/>
        <v>131.75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21.0" customHeight="1">
      <c r="A46" s="7">
        <f>IF(45&lt;=Controls!$B$5,Controls!$B$4+44,"")</f>
        <v>73035</v>
      </c>
      <c r="B46" s="10">
        <f t="array" ref="B46">IF(OR($A46="",1&gt;Controls!$B$6),"",ROUND(MAX(0,Smooth!B46*Controls!B$17*INDEX(Controls!$B$21:$H$21,1,WEEKDAY($A46,2))*(1+Controls!$B$11)^44*(1+Controls!G$25*Smooth!$L46)*(1+Controls!G$26*Smooth!$M46)*(1+Controls!G$27*Smooth!$N46)*(1+Controls!G$28*Smooth!$O46)),2))</f>
        <v>44.81</v>
      </c>
      <c r="C46" s="10">
        <f t="array" ref="C46">IF(OR($A46="",2&gt;Controls!$B$6),"",ROUND(MAX(0,Smooth!C46*Controls!C$17*INDEX(Controls!$B$21:$H$21,1,WEEKDAY($A46,2))*(1+Controls!$B$11)^44*(1+Controls!H$25*Smooth!$L46)*(1+Controls!H$26*Smooth!$M46)*(1+Controls!H$27*Smooth!$N46)*(1+Controls!H$28*Smooth!$O46)),2))</f>
        <v>47.93</v>
      </c>
      <c r="D46" s="10">
        <f t="array" ref="D46">IF(OR($A46="",3&gt;Controls!$B$6),"",ROUND(MAX(0,Smooth!D46*Controls!D$17*INDEX(Controls!$B$21:$H$21,1,WEEKDAY($A46,2))*(1+Controls!$B$11)^44*(1+Controls!I$25*Smooth!$L46)*(1+Controls!I$26*Smooth!$M46)*(1+Controls!I$27*Smooth!$N46)*(1+Controls!I$28*Smooth!$O46)),2))</f>
        <v>40.59</v>
      </c>
      <c r="E46" s="10" t="str">
        <f t="array" ref="E46">IF(OR($A46="",4&gt;Controls!$B$6),"",ROUND(MAX(0,Smooth!E46*Controls!E$17*INDEX(Controls!$B$21:$H$21,1,WEEKDAY($A46,2))*(1+Controls!$B$11)^44*(1+Controls!J$25*Smooth!$L46)*(1+Controls!J$26*Smooth!$M46)*(1+Controls!J$27*Smooth!$N46)*(1+Controls!J$28*Smooth!$O46)),2))</f>
        <v/>
      </c>
      <c r="F46" s="10" t="str">
        <f t="array" ref="F46">IF(OR($A46="",5&gt;Controls!$B$6),"",ROUND(MAX(0,Smooth!F46*Controls!F$17*INDEX(Controls!$B$21:$H$21,1,WEEKDAY($A46,2))*(1+Controls!$B$11)^44*(1+Controls!K$25*Smooth!$L46)*(1+Controls!K$26*Smooth!$M46)*(1+Controls!K$27*Smooth!$N46)*(1+Controls!K$28*Smooth!$O46)),2))</f>
        <v/>
      </c>
      <c r="G46" s="10" t="str">
        <f t="array" ref="G46">IF(OR($A46="",6&gt;Controls!$B$6),"",ROUND(MAX(0,Smooth!G46*Controls!G$17*INDEX(Controls!$B$21:$H$21,1,WEEKDAY($A46,2))*(1+Controls!$B$11)^44*(1+Controls!L$25*Smooth!$L46)*(1+Controls!L$26*Smooth!$M46)*(1+Controls!L$27*Smooth!$N46)*(1+Controls!L$28*Smooth!$O46)),2))</f>
        <v/>
      </c>
      <c r="H46" s="10" t="str">
        <f t="array" ref="H46">IF(OR($A46="",7&gt;Controls!$B$6),"",ROUND(MAX(0,Smooth!H46*Controls!H$17*INDEX(Controls!$B$21:$H$21,1,WEEKDAY($A46,2))*(1+Controls!$B$11)^44*(1+Controls!M$25*Smooth!$L46)*(1+Controls!M$26*Smooth!$M46)*(1+Controls!M$27*Smooth!$N46)*(1+Controls!M$28*Smooth!$O46)),2))</f>
        <v/>
      </c>
      <c r="I46" s="10" t="str">
        <f t="array" ref="I46">IF(OR($A46="",8&gt;Controls!$B$6),"",ROUND(MAX(0,Smooth!I46*Controls!I$17*INDEX(Controls!$B$21:$H$21,1,WEEKDAY($A46,2))*(1+Controls!$B$11)^44*(1+Controls!N$25*Smooth!$L46)*(1+Controls!N$26*Smooth!$M46)*(1+Controls!N$27*Smooth!$N46)*(1+Controls!N$28*Smooth!$O46)),2))</f>
        <v/>
      </c>
      <c r="J46" s="10" t="str">
        <f t="array" ref="J46">IF(OR($A46="",9&gt;Controls!$B$6),"",ROUND(MAX(0,Smooth!J46*Controls!J$17*INDEX(Controls!$B$21:$H$21,1,WEEKDAY($A46,2))*(1+Controls!$B$11)^44*(1+Controls!O$25*Smooth!$L46)*(1+Controls!O$26*Smooth!$M46)*(1+Controls!O$27*Smooth!$N46)*(1+Controls!O$28*Smooth!$O46)),2))</f>
        <v/>
      </c>
      <c r="K46" s="10" t="str">
        <f t="array" ref="K46">IF(OR($A46="",10&gt;Controls!$B$6),"",ROUND(MAX(0,Smooth!K46*Controls!K$17*INDEX(Controls!$B$21:$H$21,1,WEEKDAY($A46,2))*(1+Controls!$B$11)^44*(1+Controls!P$25*Smooth!$L46)*(1+Controls!P$26*Smooth!$M46)*(1+Controls!P$27*Smooth!$N46)*(1+Controls!P$28*Smooth!$O46)),2))</f>
        <v/>
      </c>
      <c r="L46" s="18">
        <f t="shared" si="1"/>
        <v>133.33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21.0" customHeight="1">
      <c r="A47" s="7">
        <f>IF(46&lt;=Controls!$B$5,Controls!$B$4+45,"")</f>
        <v>73036</v>
      </c>
      <c r="B47" s="10">
        <f t="array" ref="B47">IF(OR($A47="",1&gt;Controls!$B$6),"",ROUND(MAX(0,Smooth!B47*Controls!B$17*INDEX(Controls!$B$21:$H$21,1,WEEKDAY($A47,2))*(1+Controls!$B$11)^45*(1+Controls!G$25*Smooth!$L47)*(1+Controls!G$26*Smooth!$M47)*(1+Controls!G$27*Smooth!$N47)*(1+Controls!G$28*Smooth!$O47)),2))</f>
        <v>55</v>
      </c>
      <c r="C47" s="10">
        <f t="array" ref="C47">IF(OR($A47="",2&gt;Controls!$B$6),"",ROUND(MAX(0,Smooth!C47*Controls!C$17*INDEX(Controls!$B$21:$H$21,1,WEEKDAY($A47,2))*(1+Controls!$B$11)^45*(1+Controls!H$25*Smooth!$L47)*(1+Controls!H$26*Smooth!$M47)*(1+Controls!H$27*Smooth!$N47)*(1+Controls!H$28*Smooth!$O47)),2))</f>
        <v>50.09</v>
      </c>
      <c r="D47" s="10">
        <f t="array" ref="D47">IF(OR($A47="",3&gt;Controls!$B$6),"",ROUND(MAX(0,Smooth!D47*Controls!D$17*INDEX(Controls!$B$21:$H$21,1,WEEKDAY($A47,2))*(1+Controls!$B$11)^45*(1+Controls!I$25*Smooth!$L47)*(1+Controls!I$26*Smooth!$M47)*(1+Controls!I$27*Smooth!$N47)*(1+Controls!I$28*Smooth!$O47)),2))</f>
        <v>46</v>
      </c>
      <c r="E47" s="10" t="str">
        <f t="array" ref="E47">IF(OR($A47="",4&gt;Controls!$B$6),"",ROUND(MAX(0,Smooth!E47*Controls!E$17*INDEX(Controls!$B$21:$H$21,1,WEEKDAY($A47,2))*(1+Controls!$B$11)^45*(1+Controls!J$25*Smooth!$L47)*(1+Controls!J$26*Smooth!$M47)*(1+Controls!J$27*Smooth!$N47)*(1+Controls!J$28*Smooth!$O47)),2))</f>
        <v/>
      </c>
      <c r="F47" s="10" t="str">
        <f t="array" ref="F47">IF(OR($A47="",5&gt;Controls!$B$6),"",ROUND(MAX(0,Smooth!F47*Controls!F$17*INDEX(Controls!$B$21:$H$21,1,WEEKDAY($A47,2))*(1+Controls!$B$11)^45*(1+Controls!K$25*Smooth!$L47)*(1+Controls!K$26*Smooth!$M47)*(1+Controls!K$27*Smooth!$N47)*(1+Controls!K$28*Smooth!$O47)),2))</f>
        <v/>
      </c>
      <c r="G47" s="10" t="str">
        <f t="array" ref="G47">IF(OR($A47="",6&gt;Controls!$B$6),"",ROUND(MAX(0,Smooth!G47*Controls!G$17*INDEX(Controls!$B$21:$H$21,1,WEEKDAY($A47,2))*(1+Controls!$B$11)^45*(1+Controls!L$25*Smooth!$L47)*(1+Controls!L$26*Smooth!$M47)*(1+Controls!L$27*Smooth!$N47)*(1+Controls!L$28*Smooth!$O47)),2))</f>
        <v/>
      </c>
      <c r="H47" s="10" t="str">
        <f t="array" ref="H47">IF(OR($A47="",7&gt;Controls!$B$6),"",ROUND(MAX(0,Smooth!H47*Controls!H$17*INDEX(Controls!$B$21:$H$21,1,WEEKDAY($A47,2))*(1+Controls!$B$11)^45*(1+Controls!M$25*Smooth!$L47)*(1+Controls!M$26*Smooth!$M47)*(1+Controls!M$27*Smooth!$N47)*(1+Controls!M$28*Smooth!$O47)),2))</f>
        <v/>
      </c>
      <c r="I47" s="10" t="str">
        <f t="array" ref="I47">IF(OR($A47="",8&gt;Controls!$B$6),"",ROUND(MAX(0,Smooth!I47*Controls!I$17*INDEX(Controls!$B$21:$H$21,1,WEEKDAY($A47,2))*(1+Controls!$B$11)^45*(1+Controls!N$25*Smooth!$L47)*(1+Controls!N$26*Smooth!$M47)*(1+Controls!N$27*Smooth!$N47)*(1+Controls!N$28*Smooth!$O47)),2))</f>
        <v/>
      </c>
      <c r="J47" s="10" t="str">
        <f t="array" ref="J47">IF(OR($A47="",9&gt;Controls!$B$6),"",ROUND(MAX(0,Smooth!J47*Controls!J$17*INDEX(Controls!$B$21:$H$21,1,WEEKDAY($A47,2))*(1+Controls!$B$11)^45*(1+Controls!O$25*Smooth!$L47)*(1+Controls!O$26*Smooth!$M47)*(1+Controls!O$27*Smooth!$N47)*(1+Controls!O$28*Smooth!$O47)),2))</f>
        <v/>
      </c>
      <c r="K47" s="10" t="str">
        <f t="array" ref="K47">IF(OR($A47="",10&gt;Controls!$B$6),"",ROUND(MAX(0,Smooth!K47*Controls!K$17*INDEX(Controls!$B$21:$H$21,1,WEEKDAY($A47,2))*(1+Controls!$B$11)^45*(1+Controls!P$25*Smooth!$L47)*(1+Controls!P$26*Smooth!$M47)*(1+Controls!P$27*Smooth!$N47)*(1+Controls!P$28*Smooth!$O47)),2))</f>
        <v/>
      </c>
      <c r="L47" s="18">
        <f t="shared" si="1"/>
        <v>151.09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21.0" customHeight="1">
      <c r="A48" s="7">
        <f>IF(47&lt;=Controls!$B$5,Controls!$B$4+46,"")</f>
        <v>73037</v>
      </c>
      <c r="B48" s="10">
        <f t="array" ref="B48">IF(OR($A48="",1&gt;Controls!$B$6),"",ROUND(MAX(0,Smooth!B48*Controls!B$17*INDEX(Controls!$B$21:$H$21,1,WEEKDAY($A48,2))*(1+Controls!$B$11)^46*(1+Controls!G$25*Smooth!$L48)*(1+Controls!G$26*Smooth!$M48)*(1+Controls!G$27*Smooth!$N48)*(1+Controls!G$28*Smooth!$O48)),2))</f>
        <v>2.92</v>
      </c>
      <c r="C48" s="10">
        <f t="array" ref="C48">IF(OR($A48="",2&gt;Controls!$B$6),"",ROUND(MAX(0,Smooth!C48*Controls!C$17*INDEX(Controls!$B$21:$H$21,1,WEEKDAY($A48,2))*(1+Controls!$B$11)^46*(1+Controls!H$25*Smooth!$L48)*(1+Controls!H$26*Smooth!$M48)*(1+Controls!H$27*Smooth!$N48)*(1+Controls!H$28*Smooth!$O48)),2))</f>
        <v>2.84</v>
      </c>
      <c r="D48" s="10">
        <f t="array" ref="D48">IF(OR($A48="",3&gt;Controls!$B$6),"",ROUND(MAX(0,Smooth!D48*Controls!D$17*INDEX(Controls!$B$21:$H$21,1,WEEKDAY($A48,2))*(1+Controls!$B$11)^46*(1+Controls!I$25*Smooth!$L48)*(1+Controls!I$26*Smooth!$M48)*(1+Controls!I$27*Smooth!$N48)*(1+Controls!I$28*Smooth!$O48)),2))</f>
        <v>2.75</v>
      </c>
      <c r="E48" s="10" t="str">
        <f t="array" ref="E48">IF(OR($A48="",4&gt;Controls!$B$6),"",ROUND(MAX(0,Smooth!E48*Controls!E$17*INDEX(Controls!$B$21:$H$21,1,WEEKDAY($A48,2))*(1+Controls!$B$11)^46*(1+Controls!J$25*Smooth!$L48)*(1+Controls!J$26*Smooth!$M48)*(1+Controls!J$27*Smooth!$N48)*(1+Controls!J$28*Smooth!$O48)),2))</f>
        <v/>
      </c>
      <c r="F48" s="10" t="str">
        <f t="array" ref="F48">IF(OR($A48="",5&gt;Controls!$B$6),"",ROUND(MAX(0,Smooth!F48*Controls!F$17*INDEX(Controls!$B$21:$H$21,1,WEEKDAY($A48,2))*(1+Controls!$B$11)^46*(1+Controls!K$25*Smooth!$L48)*(1+Controls!K$26*Smooth!$M48)*(1+Controls!K$27*Smooth!$N48)*(1+Controls!K$28*Smooth!$O48)),2))</f>
        <v/>
      </c>
      <c r="G48" s="10" t="str">
        <f t="array" ref="G48">IF(OR($A48="",6&gt;Controls!$B$6),"",ROUND(MAX(0,Smooth!G48*Controls!G$17*INDEX(Controls!$B$21:$H$21,1,WEEKDAY($A48,2))*(1+Controls!$B$11)^46*(1+Controls!L$25*Smooth!$L48)*(1+Controls!L$26*Smooth!$M48)*(1+Controls!L$27*Smooth!$N48)*(1+Controls!L$28*Smooth!$O48)),2))</f>
        <v/>
      </c>
      <c r="H48" s="10" t="str">
        <f t="array" ref="H48">IF(OR($A48="",7&gt;Controls!$B$6),"",ROUND(MAX(0,Smooth!H48*Controls!H$17*INDEX(Controls!$B$21:$H$21,1,WEEKDAY($A48,2))*(1+Controls!$B$11)^46*(1+Controls!M$25*Smooth!$L48)*(1+Controls!M$26*Smooth!$M48)*(1+Controls!M$27*Smooth!$N48)*(1+Controls!M$28*Smooth!$O48)),2))</f>
        <v/>
      </c>
      <c r="I48" s="10" t="str">
        <f t="array" ref="I48">IF(OR($A48="",8&gt;Controls!$B$6),"",ROUND(MAX(0,Smooth!I48*Controls!I$17*INDEX(Controls!$B$21:$H$21,1,WEEKDAY($A48,2))*(1+Controls!$B$11)^46*(1+Controls!N$25*Smooth!$L48)*(1+Controls!N$26*Smooth!$M48)*(1+Controls!N$27*Smooth!$N48)*(1+Controls!N$28*Smooth!$O48)),2))</f>
        <v/>
      </c>
      <c r="J48" s="10" t="str">
        <f t="array" ref="J48">IF(OR($A48="",9&gt;Controls!$B$6),"",ROUND(MAX(0,Smooth!J48*Controls!J$17*INDEX(Controls!$B$21:$H$21,1,WEEKDAY($A48,2))*(1+Controls!$B$11)^46*(1+Controls!O$25*Smooth!$L48)*(1+Controls!O$26*Smooth!$M48)*(1+Controls!O$27*Smooth!$N48)*(1+Controls!O$28*Smooth!$O48)),2))</f>
        <v/>
      </c>
      <c r="K48" s="10" t="str">
        <f t="array" ref="K48">IF(OR($A48="",10&gt;Controls!$B$6),"",ROUND(MAX(0,Smooth!K48*Controls!K$17*INDEX(Controls!$B$21:$H$21,1,WEEKDAY($A48,2))*(1+Controls!$B$11)^46*(1+Controls!P$25*Smooth!$L48)*(1+Controls!P$26*Smooth!$M48)*(1+Controls!P$27*Smooth!$N48)*(1+Controls!P$28*Smooth!$O48)),2))</f>
        <v/>
      </c>
      <c r="L48" s="18">
        <f t="shared" si="1"/>
        <v>8.51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21.0" customHeight="1">
      <c r="A49" s="7">
        <f>IF(48&lt;=Controls!$B$5,Controls!$B$4+47,"")</f>
        <v>73038</v>
      </c>
      <c r="B49" s="10">
        <f t="array" ref="B49">IF(OR($A49="",1&gt;Controls!$B$6),"",ROUND(MAX(0,Smooth!B49*Controls!B$17*INDEX(Controls!$B$21:$H$21,1,WEEKDAY($A49,2))*(1+Controls!$B$11)^47*(1+Controls!G$25*Smooth!$L49)*(1+Controls!G$26*Smooth!$M49)*(1+Controls!G$27*Smooth!$N49)*(1+Controls!G$28*Smooth!$O49)),2))</f>
        <v>48.29</v>
      </c>
      <c r="C49" s="10">
        <f t="array" ref="C49">IF(OR($A49="",2&gt;Controls!$B$6),"",ROUND(MAX(0,Smooth!C49*Controls!C$17*INDEX(Controls!$B$21:$H$21,1,WEEKDAY($A49,2))*(1+Controls!$B$11)^47*(1+Controls!H$25*Smooth!$L49)*(1+Controls!H$26*Smooth!$M49)*(1+Controls!H$27*Smooth!$N49)*(1+Controls!H$28*Smooth!$O49)),2))</f>
        <v>35.65</v>
      </c>
      <c r="D49" s="10">
        <f t="array" ref="D49">IF(OR($A49="",3&gt;Controls!$B$6),"",ROUND(MAX(0,Smooth!D49*Controls!D$17*INDEX(Controls!$B$21:$H$21,1,WEEKDAY($A49,2))*(1+Controls!$B$11)^47*(1+Controls!I$25*Smooth!$L49)*(1+Controls!I$26*Smooth!$M49)*(1+Controls!I$27*Smooth!$N49)*(1+Controls!I$28*Smooth!$O49)),2))</f>
        <v>34.4</v>
      </c>
      <c r="E49" s="10" t="str">
        <f t="array" ref="E49">IF(OR($A49="",4&gt;Controls!$B$6),"",ROUND(MAX(0,Smooth!E49*Controls!E$17*INDEX(Controls!$B$21:$H$21,1,WEEKDAY($A49,2))*(1+Controls!$B$11)^47*(1+Controls!J$25*Smooth!$L49)*(1+Controls!J$26*Smooth!$M49)*(1+Controls!J$27*Smooth!$N49)*(1+Controls!J$28*Smooth!$O49)),2))</f>
        <v/>
      </c>
      <c r="F49" s="10" t="str">
        <f t="array" ref="F49">IF(OR($A49="",5&gt;Controls!$B$6),"",ROUND(MAX(0,Smooth!F49*Controls!F$17*INDEX(Controls!$B$21:$H$21,1,WEEKDAY($A49,2))*(1+Controls!$B$11)^47*(1+Controls!K$25*Smooth!$L49)*(1+Controls!K$26*Smooth!$M49)*(1+Controls!K$27*Smooth!$N49)*(1+Controls!K$28*Smooth!$O49)),2))</f>
        <v/>
      </c>
      <c r="G49" s="10" t="str">
        <f t="array" ref="G49">IF(OR($A49="",6&gt;Controls!$B$6),"",ROUND(MAX(0,Smooth!G49*Controls!G$17*INDEX(Controls!$B$21:$H$21,1,WEEKDAY($A49,2))*(1+Controls!$B$11)^47*(1+Controls!L$25*Smooth!$L49)*(1+Controls!L$26*Smooth!$M49)*(1+Controls!L$27*Smooth!$N49)*(1+Controls!L$28*Smooth!$O49)),2))</f>
        <v/>
      </c>
      <c r="H49" s="10" t="str">
        <f t="array" ref="H49">IF(OR($A49="",7&gt;Controls!$B$6),"",ROUND(MAX(0,Smooth!H49*Controls!H$17*INDEX(Controls!$B$21:$H$21,1,WEEKDAY($A49,2))*(1+Controls!$B$11)^47*(1+Controls!M$25*Smooth!$L49)*(1+Controls!M$26*Smooth!$M49)*(1+Controls!M$27*Smooth!$N49)*(1+Controls!M$28*Smooth!$O49)),2))</f>
        <v/>
      </c>
      <c r="I49" s="10" t="str">
        <f t="array" ref="I49">IF(OR($A49="",8&gt;Controls!$B$6),"",ROUND(MAX(0,Smooth!I49*Controls!I$17*INDEX(Controls!$B$21:$H$21,1,WEEKDAY($A49,2))*(1+Controls!$B$11)^47*(1+Controls!N$25*Smooth!$L49)*(1+Controls!N$26*Smooth!$M49)*(1+Controls!N$27*Smooth!$N49)*(1+Controls!N$28*Smooth!$O49)),2))</f>
        <v/>
      </c>
      <c r="J49" s="10" t="str">
        <f t="array" ref="J49">IF(OR($A49="",9&gt;Controls!$B$6),"",ROUND(MAX(0,Smooth!J49*Controls!J$17*INDEX(Controls!$B$21:$H$21,1,WEEKDAY($A49,2))*(1+Controls!$B$11)^47*(1+Controls!O$25*Smooth!$L49)*(1+Controls!O$26*Smooth!$M49)*(1+Controls!O$27*Smooth!$N49)*(1+Controls!O$28*Smooth!$O49)),2))</f>
        <v/>
      </c>
      <c r="K49" s="10" t="str">
        <f t="array" ref="K49">IF(OR($A49="",10&gt;Controls!$B$6),"",ROUND(MAX(0,Smooth!K49*Controls!K$17*INDEX(Controls!$B$21:$H$21,1,WEEKDAY($A49,2))*(1+Controls!$B$11)^47*(1+Controls!P$25*Smooth!$L49)*(1+Controls!P$26*Smooth!$M49)*(1+Controls!P$27*Smooth!$N49)*(1+Controls!P$28*Smooth!$O49)),2))</f>
        <v/>
      </c>
      <c r="L49" s="18">
        <f t="shared" si="1"/>
        <v>118.34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21.0" customHeight="1">
      <c r="A50" s="7">
        <f>IF(49&lt;=Controls!$B$5,Controls!$B$4+48,"")</f>
        <v>73039</v>
      </c>
      <c r="B50" s="10">
        <f t="array" ref="B50">IF(OR($A50="",1&gt;Controls!$B$6),"",ROUND(MAX(0,Smooth!B50*Controls!B$17*INDEX(Controls!$B$21:$H$21,1,WEEKDAY($A50,2))*(1+Controls!$B$11)^48*(1+Controls!G$25*Smooth!$L50)*(1+Controls!G$26*Smooth!$M50)*(1+Controls!G$27*Smooth!$N50)*(1+Controls!G$28*Smooth!$O50)),2))</f>
        <v>25.65</v>
      </c>
      <c r="C50" s="10">
        <f t="array" ref="C50">IF(OR($A50="",2&gt;Controls!$B$6),"",ROUND(MAX(0,Smooth!C50*Controls!C$17*INDEX(Controls!$B$21:$H$21,1,WEEKDAY($A50,2))*(1+Controls!$B$11)^48*(1+Controls!H$25*Smooth!$L50)*(1+Controls!H$26*Smooth!$M50)*(1+Controls!H$27*Smooth!$N50)*(1+Controls!H$28*Smooth!$O50)),2))</f>
        <v>17.43</v>
      </c>
      <c r="D50" s="10">
        <f t="array" ref="D50">IF(OR($A50="",3&gt;Controls!$B$6),"",ROUND(MAX(0,Smooth!D50*Controls!D$17*INDEX(Controls!$B$21:$H$21,1,WEEKDAY($A50,2))*(1+Controls!$B$11)^48*(1+Controls!I$25*Smooth!$L50)*(1+Controls!I$26*Smooth!$M50)*(1+Controls!I$27*Smooth!$N50)*(1+Controls!I$28*Smooth!$O50)),2))</f>
        <v>19.43</v>
      </c>
      <c r="E50" s="10" t="str">
        <f t="array" ref="E50">IF(OR($A50="",4&gt;Controls!$B$6),"",ROUND(MAX(0,Smooth!E50*Controls!E$17*INDEX(Controls!$B$21:$H$21,1,WEEKDAY($A50,2))*(1+Controls!$B$11)^48*(1+Controls!J$25*Smooth!$L50)*(1+Controls!J$26*Smooth!$M50)*(1+Controls!J$27*Smooth!$N50)*(1+Controls!J$28*Smooth!$O50)),2))</f>
        <v/>
      </c>
      <c r="F50" s="10" t="str">
        <f t="array" ref="F50">IF(OR($A50="",5&gt;Controls!$B$6),"",ROUND(MAX(0,Smooth!F50*Controls!F$17*INDEX(Controls!$B$21:$H$21,1,WEEKDAY($A50,2))*(1+Controls!$B$11)^48*(1+Controls!K$25*Smooth!$L50)*(1+Controls!K$26*Smooth!$M50)*(1+Controls!K$27*Smooth!$N50)*(1+Controls!K$28*Smooth!$O50)),2))</f>
        <v/>
      </c>
      <c r="G50" s="10" t="str">
        <f t="array" ref="G50">IF(OR($A50="",6&gt;Controls!$B$6),"",ROUND(MAX(0,Smooth!G50*Controls!G$17*INDEX(Controls!$B$21:$H$21,1,WEEKDAY($A50,2))*(1+Controls!$B$11)^48*(1+Controls!L$25*Smooth!$L50)*(1+Controls!L$26*Smooth!$M50)*(1+Controls!L$27*Smooth!$N50)*(1+Controls!L$28*Smooth!$O50)),2))</f>
        <v/>
      </c>
      <c r="H50" s="10" t="str">
        <f t="array" ref="H50">IF(OR($A50="",7&gt;Controls!$B$6),"",ROUND(MAX(0,Smooth!H50*Controls!H$17*INDEX(Controls!$B$21:$H$21,1,WEEKDAY($A50,2))*(1+Controls!$B$11)^48*(1+Controls!M$25*Smooth!$L50)*(1+Controls!M$26*Smooth!$M50)*(1+Controls!M$27*Smooth!$N50)*(1+Controls!M$28*Smooth!$O50)),2))</f>
        <v/>
      </c>
      <c r="I50" s="10" t="str">
        <f t="array" ref="I50">IF(OR($A50="",8&gt;Controls!$B$6),"",ROUND(MAX(0,Smooth!I50*Controls!I$17*INDEX(Controls!$B$21:$H$21,1,WEEKDAY($A50,2))*(1+Controls!$B$11)^48*(1+Controls!N$25*Smooth!$L50)*(1+Controls!N$26*Smooth!$M50)*(1+Controls!N$27*Smooth!$N50)*(1+Controls!N$28*Smooth!$O50)),2))</f>
        <v/>
      </c>
      <c r="J50" s="10" t="str">
        <f t="array" ref="J50">IF(OR($A50="",9&gt;Controls!$B$6),"",ROUND(MAX(0,Smooth!J50*Controls!J$17*INDEX(Controls!$B$21:$H$21,1,WEEKDAY($A50,2))*(1+Controls!$B$11)^48*(1+Controls!O$25*Smooth!$L50)*(1+Controls!O$26*Smooth!$M50)*(1+Controls!O$27*Smooth!$N50)*(1+Controls!O$28*Smooth!$O50)),2))</f>
        <v/>
      </c>
      <c r="K50" s="10" t="str">
        <f t="array" ref="K50">IF(OR($A50="",10&gt;Controls!$B$6),"",ROUND(MAX(0,Smooth!K50*Controls!K$17*INDEX(Controls!$B$21:$H$21,1,WEEKDAY($A50,2))*(1+Controls!$B$11)^48*(1+Controls!P$25*Smooth!$L50)*(1+Controls!P$26*Smooth!$M50)*(1+Controls!P$27*Smooth!$N50)*(1+Controls!P$28*Smooth!$O50)),2))</f>
        <v/>
      </c>
      <c r="L50" s="18">
        <f t="shared" si="1"/>
        <v>62.51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21.0" customHeight="1">
      <c r="A51" s="7">
        <f>IF(50&lt;=Controls!$B$5,Controls!$B$4+49,"")</f>
        <v>73040</v>
      </c>
      <c r="B51" s="10">
        <f t="array" ref="B51">IF(OR($A51="",1&gt;Controls!$B$6),"",ROUND(MAX(0,Smooth!B51*Controls!B$17*INDEX(Controls!$B$21:$H$21,1,WEEKDAY($A51,2))*(1+Controls!$B$11)^49*(1+Controls!G$25*Smooth!$L51)*(1+Controls!G$26*Smooth!$M51)*(1+Controls!G$27*Smooth!$N51)*(1+Controls!G$28*Smooth!$O51)),2))</f>
        <v>64.83</v>
      </c>
      <c r="C51" s="10">
        <f t="array" ref="C51">IF(OR($A51="",2&gt;Controls!$B$6),"",ROUND(MAX(0,Smooth!C51*Controls!C$17*INDEX(Controls!$B$21:$H$21,1,WEEKDAY($A51,2))*(1+Controls!$B$11)^49*(1+Controls!H$25*Smooth!$L51)*(1+Controls!H$26*Smooth!$M51)*(1+Controls!H$27*Smooth!$N51)*(1+Controls!H$28*Smooth!$O51)),2))</f>
        <v>46.31</v>
      </c>
      <c r="D51" s="10">
        <f t="array" ref="D51">IF(OR($A51="",3&gt;Controls!$B$6),"",ROUND(MAX(0,Smooth!D51*Controls!D$17*INDEX(Controls!$B$21:$H$21,1,WEEKDAY($A51,2))*(1+Controls!$B$11)^49*(1+Controls!I$25*Smooth!$L51)*(1+Controls!I$26*Smooth!$M51)*(1+Controls!I$27*Smooth!$N51)*(1+Controls!I$28*Smooth!$O51)),2))</f>
        <v>54.09</v>
      </c>
      <c r="E51" s="10" t="str">
        <f t="array" ref="E51">IF(OR($A51="",4&gt;Controls!$B$6),"",ROUND(MAX(0,Smooth!E51*Controls!E$17*INDEX(Controls!$B$21:$H$21,1,WEEKDAY($A51,2))*(1+Controls!$B$11)^49*(1+Controls!J$25*Smooth!$L51)*(1+Controls!J$26*Smooth!$M51)*(1+Controls!J$27*Smooth!$N51)*(1+Controls!J$28*Smooth!$O51)),2))</f>
        <v/>
      </c>
      <c r="F51" s="10" t="str">
        <f t="array" ref="F51">IF(OR($A51="",5&gt;Controls!$B$6),"",ROUND(MAX(0,Smooth!F51*Controls!F$17*INDEX(Controls!$B$21:$H$21,1,WEEKDAY($A51,2))*(1+Controls!$B$11)^49*(1+Controls!K$25*Smooth!$L51)*(1+Controls!K$26*Smooth!$M51)*(1+Controls!K$27*Smooth!$N51)*(1+Controls!K$28*Smooth!$O51)),2))</f>
        <v/>
      </c>
      <c r="G51" s="10" t="str">
        <f t="array" ref="G51">IF(OR($A51="",6&gt;Controls!$B$6),"",ROUND(MAX(0,Smooth!G51*Controls!G$17*INDEX(Controls!$B$21:$H$21,1,WEEKDAY($A51,2))*(1+Controls!$B$11)^49*(1+Controls!L$25*Smooth!$L51)*(1+Controls!L$26*Smooth!$M51)*(1+Controls!L$27*Smooth!$N51)*(1+Controls!L$28*Smooth!$O51)),2))</f>
        <v/>
      </c>
      <c r="H51" s="10" t="str">
        <f t="array" ref="H51">IF(OR($A51="",7&gt;Controls!$B$6),"",ROUND(MAX(0,Smooth!H51*Controls!H$17*INDEX(Controls!$B$21:$H$21,1,WEEKDAY($A51,2))*(1+Controls!$B$11)^49*(1+Controls!M$25*Smooth!$L51)*(1+Controls!M$26*Smooth!$M51)*(1+Controls!M$27*Smooth!$N51)*(1+Controls!M$28*Smooth!$O51)),2))</f>
        <v/>
      </c>
      <c r="I51" s="10" t="str">
        <f t="array" ref="I51">IF(OR($A51="",8&gt;Controls!$B$6),"",ROUND(MAX(0,Smooth!I51*Controls!I$17*INDEX(Controls!$B$21:$H$21,1,WEEKDAY($A51,2))*(1+Controls!$B$11)^49*(1+Controls!N$25*Smooth!$L51)*(1+Controls!N$26*Smooth!$M51)*(1+Controls!N$27*Smooth!$N51)*(1+Controls!N$28*Smooth!$O51)),2))</f>
        <v/>
      </c>
      <c r="J51" s="10" t="str">
        <f t="array" ref="J51">IF(OR($A51="",9&gt;Controls!$B$6),"",ROUND(MAX(0,Smooth!J51*Controls!J$17*INDEX(Controls!$B$21:$H$21,1,WEEKDAY($A51,2))*(1+Controls!$B$11)^49*(1+Controls!O$25*Smooth!$L51)*(1+Controls!O$26*Smooth!$M51)*(1+Controls!O$27*Smooth!$N51)*(1+Controls!O$28*Smooth!$O51)),2))</f>
        <v/>
      </c>
      <c r="K51" s="10" t="str">
        <f t="array" ref="K51">IF(OR($A51="",10&gt;Controls!$B$6),"",ROUND(MAX(0,Smooth!K51*Controls!K$17*INDEX(Controls!$B$21:$H$21,1,WEEKDAY($A51,2))*(1+Controls!$B$11)^49*(1+Controls!P$25*Smooth!$L51)*(1+Controls!P$26*Smooth!$M51)*(1+Controls!P$27*Smooth!$N51)*(1+Controls!P$28*Smooth!$O51)),2))</f>
        <v/>
      </c>
      <c r="L51" s="18">
        <f t="shared" si="1"/>
        <v>165.23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21.0" customHeight="1">
      <c r="A52" s="7">
        <f>IF(51&lt;=Controls!$B$5,Controls!$B$4+50,"")</f>
        <v>73041</v>
      </c>
      <c r="B52" s="10">
        <f t="array" ref="B52">IF(OR($A52="",1&gt;Controls!$B$6),"",ROUND(MAX(0,Smooth!B52*Controls!B$17*INDEX(Controls!$B$21:$H$21,1,WEEKDAY($A52,2))*(1+Controls!$B$11)^50*(1+Controls!G$25*Smooth!$L52)*(1+Controls!G$26*Smooth!$M52)*(1+Controls!G$27*Smooth!$N52)*(1+Controls!G$28*Smooth!$O52)),2))</f>
        <v>61.11</v>
      </c>
      <c r="C52" s="10">
        <f t="array" ref="C52">IF(OR($A52="",2&gt;Controls!$B$6),"",ROUND(MAX(0,Smooth!C52*Controls!C$17*INDEX(Controls!$B$21:$H$21,1,WEEKDAY($A52,2))*(1+Controls!$B$11)^50*(1+Controls!H$25*Smooth!$L52)*(1+Controls!H$26*Smooth!$M52)*(1+Controls!H$27*Smooth!$N52)*(1+Controls!H$28*Smooth!$O52)),2))</f>
        <v>56.1</v>
      </c>
      <c r="D52" s="10">
        <f t="array" ref="D52">IF(OR($A52="",3&gt;Controls!$B$6),"",ROUND(MAX(0,Smooth!D52*Controls!D$17*INDEX(Controls!$B$21:$H$21,1,WEEKDAY($A52,2))*(1+Controls!$B$11)^50*(1+Controls!I$25*Smooth!$L52)*(1+Controls!I$26*Smooth!$M52)*(1+Controls!I$27*Smooth!$N52)*(1+Controls!I$28*Smooth!$O52)),2))</f>
        <v>50.94</v>
      </c>
      <c r="E52" s="10" t="str">
        <f t="array" ref="E52">IF(OR($A52="",4&gt;Controls!$B$6),"",ROUND(MAX(0,Smooth!E52*Controls!E$17*INDEX(Controls!$B$21:$H$21,1,WEEKDAY($A52,2))*(1+Controls!$B$11)^50*(1+Controls!J$25*Smooth!$L52)*(1+Controls!J$26*Smooth!$M52)*(1+Controls!J$27*Smooth!$N52)*(1+Controls!J$28*Smooth!$O52)),2))</f>
        <v/>
      </c>
      <c r="F52" s="10" t="str">
        <f t="array" ref="F52">IF(OR($A52="",5&gt;Controls!$B$6),"",ROUND(MAX(0,Smooth!F52*Controls!F$17*INDEX(Controls!$B$21:$H$21,1,WEEKDAY($A52,2))*(1+Controls!$B$11)^50*(1+Controls!K$25*Smooth!$L52)*(1+Controls!K$26*Smooth!$M52)*(1+Controls!K$27*Smooth!$N52)*(1+Controls!K$28*Smooth!$O52)),2))</f>
        <v/>
      </c>
      <c r="G52" s="10" t="str">
        <f t="array" ref="G52">IF(OR($A52="",6&gt;Controls!$B$6),"",ROUND(MAX(0,Smooth!G52*Controls!G$17*INDEX(Controls!$B$21:$H$21,1,WEEKDAY($A52,2))*(1+Controls!$B$11)^50*(1+Controls!L$25*Smooth!$L52)*(1+Controls!L$26*Smooth!$M52)*(1+Controls!L$27*Smooth!$N52)*(1+Controls!L$28*Smooth!$O52)),2))</f>
        <v/>
      </c>
      <c r="H52" s="10" t="str">
        <f t="array" ref="H52">IF(OR($A52="",7&gt;Controls!$B$6),"",ROUND(MAX(0,Smooth!H52*Controls!H$17*INDEX(Controls!$B$21:$H$21,1,WEEKDAY($A52,2))*(1+Controls!$B$11)^50*(1+Controls!M$25*Smooth!$L52)*(1+Controls!M$26*Smooth!$M52)*(1+Controls!M$27*Smooth!$N52)*(1+Controls!M$28*Smooth!$O52)),2))</f>
        <v/>
      </c>
      <c r="I52" s="10" t="str">
        <f t="array" ref="I52">IF(OR($A52="",8&gt;Controls!$B$6),"",ROUND(MAX(0,Smooth!I52*Controls!I$17*INDEX(Controls!$B$21:$H$21,1,WEEKDAY($A52,2))*(1+Controls!$B$11)^50*(1+Controls!N$25*Smooth!$L52)*(1+Controls!N$26*Smooth!$M52)*(1+Controls!N$27*Smooth!$N52)*(1+Controls!N$28*Smooth!$O52)),2))</f>
        <v/>
      </c>
      <c r="J52" s="10" t="str">
        <f t="array" ref="J52">IF(OR($A52="",9&gt;Controls!$B$6),"",ROUND(MAX(0,Smooth!J52*Controls!J$17*INDEX(Controls!$B$21:$H$21,1,WEEKDAY($A52,2))*(1+Controls!$B$11)^50*(1+Controls!O$25*Smooth!$L52)*(1+Controls!O$26*Smooth!$M52)*(1+Controls!O$27*Smooth!$N52)*(1+Controls!O$28*Smooth!$O52)),2))</f>
        <v/>
      </c>
      <c r="K52" s="10" t="str">
        <f t="array" ref="K52">IF(OR($A52="",10&gt;Controls!$B$6),"",ROUND(MAX(0,Smooth!K52*Controls!K$17*INDEX(Controls!$B$21:$H$21,1,WEEKDAY($A52,2))*(1+Controls!$B$11)^50*(1+Controls!P$25*Smooth!$L52)*(1+Controls!P$26*Smooth!$M52)*(1+Controls!P$27*Smooth!$N52)*(1+Controls!P$28*Smooth!$O52)),2))</f>
        <v/>
      </c>
      <c r="L52" s="18">
        <f t="shared" si="1"/>
        <v>168.15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21.0" customHeight="1">
      <c r="A53" s="7">
        <f>IF(52&lt;=Controls!$B$5,Controls!$B$4+51,"")</f>
        <v>73042</v>
      </c>
      <c r="B53" s="10">
        <f t="array" ref="B53">IF(OR($A53="",1&gt;Controls!$B$6),"",ROUND(MAX(0,Smooth!B53*Controls!B$17*INDEX(Controls!$B$21:$H$21,1,WEEKDAY($A53,2))*(1+Controls!$B$11)^51*(1+Controls!G$25*Smooth!$L53)*(1+Controls!G$26*Smooth!$M53)*(1+Controls!G$27*Smooth!$N53)*(1+Controls!G$28*Smooth!$O53)),2))</f>
        <v>66.02</v>
      </c>
      <c r="C53" s="10">
        <f t="array" ref="C53">IF(OR($A53="",2&gt;Controls!$B$6),"",ROUND(MAX(0,Smooth!C53*Controls!C$17*INDEX(Controls!$B$21:$H$21,1,WEEKDAY($A53,2))*(1+Controls!$B$11)^51*(1+Controls!H$25*Smooth!$L53)*(1+Controls!H$26*Smooth!$M53)*(1+Controls!H$27*Smooth!$N53)*(1+Controls!H$28*Smooth!$O53)),2))</f>
        <v>47.62</v>
      </c>
      <c r="D53" s="10">
        <f t="array" ref="D53">IF(OR($A53="",3&gt;Controls!$B$6),"",ROUND(MAX(0,Smooth!D53*Controls!D$17*INDEX(Controls!$B$21:$H$21,1,WEEKDAY($A53,2))*(1+Controls!$B$11)^51*(1+Controls!I$25*Smooth!$L53)*(1+Controls!I$26*Smooth!$M53)*(1+Controls!I$27*Smooth!$N53)*(1+Controls!I$28*Smooth!$O53)),2))</f>
        <v>58.97</v>
      </c>
      <c r="E53" s="10" t="str">
        <f t="array" ref="E53">IF(OR($A53="",4&gt;Controls!$B$6),"",ROUND(MAX(0,Smooth!E53*Controls!E$17*INDEX(Controls!$B$21:$H$21,1,WEEKDAY($A53,2))*(1+Controls!$B$11)^51*(1+Controls!J$25*Smooth!$L53)*(1+Controls!J$26*Smooth!$M53)*(1+Controls!J$27*Smooth!$N53)*(1+Controls!J$28*Smooth!$O53)),2))</f>
        <v/>
      </c>
      <c r="F53" s="10" t="str">
        <f t="array" ref="F53">IF(OR($A53="",5&gt;Controls!$B$6),"",ROUND(MAX(0,Smooth!F53*Controls!F$17*INDEX(Controls!$B$21:$H$21,1,WEEKDAY($A53,2))*(1+Controls!$B$11)^51*(1+Controls!K$25*Smooth!$L53)*(1+Controls!K$26*Smooth!$M53)*(1+Controls!K$27*Smooth!$N53)*(1+Controls!K$28*Smooth!$O53)),2))</f>
        <v/>
      </c>
      <c r="G53" s="10" t="str">
        <f t="array" ref="G53">IF(OR($A53="",6&gt;Controls!$B$6),"",ROUND(MAX(0,Smooth!G53*Controls!G$17*INDEX(Controls!$B$21:$H$21,1,WEEKDAY($A53,2))*(1+Controls!$B$11)^51*(1+Controls!L$25*Smooth!$L53)*(1+Controls!L$26*Smooth!$M53)*(1+Controls!L$27*Smooth!$N53)*(1+Controls!L$28*Smooth!$O53)),2))</f>
        <v/>
      </c>
      <c r="H53" s="10" t="str">
        <f t="array" ref="H53">IF(OR($A53="",7&gt;Controls!$B$6),"",ROUND(MAX(0,Smooth!H53*Controls!H$17*INDEX(Controls!$B$21:$H$21,1,WEEKDAY($A53,2))*(1+Controls!$B$11)^51*(1+Controls!M$25*Smooth!$L53)*(1+Controls!M$26*Smooth!$M53)*(1+Controls!M$27*Smooth!$N53)*(1+Controls!M$28*Smooth!$O53)),2))</f>
        <v/>
      </c>
      <c r="I53" s="10" t="str">
        <f t="array" ref="I53">IF(OR($A53="",8&gt;Controls!$B$6),"",ROUND(MAX(0,Smooth!I53*Controls!I$17*INDEX(Controls!$B$21:$H$21,1,WEEKDAY($A53,2))*(1+Controls!$B$11)^51*(1+Controls!N$25*Smooth!$L53)*(1+Controls!N$26*Smooth!$M53)*(1+Controls!N$27*Smooth!$N53)*(1+Controls!N$28*Smooth!$O53)),2))</f>
        <v/>
      </c>
      <c r="J53" s="10" t="str">
        <f t="array" ref="J53">IF(OR($A53="",9&gt;Controls!$B$6),"",ROUND(MAX(0,Smooth!J53*Controls!J$17*INDEX(Controls!$B$21:$H$21,1,WEEKDAY($A53,2))*(1+Controls!$B$11)^51*(1+Controls!O$25*Smooth!$L53)*(1+Controls!O$26*Smooth!$M53)*(1+Controls!O$27*Smooth!$N53)*(1+Controls!O$28*Smooth!$O53)),2))</f>
        <v/>
      </c>
      <c r="K53" s="10" t="str">
        <f t="array" ref="K53">IF(OR($A53="",10&gt;Controls!$B$6),"",ROUND(MAX(0,Smooth!K53*Controls!K$17*INDEX(Controls!$B$21:$H$21,1,WEEKDAY($A53,2))*(1+Controls!$B$11)^51*(1+Controls!P$25*Smooth!$L53)*(1+Controls!P$26*Smooth!$M53)*(1+Controls!P$27*Smooth!$N53)*(1+Controls!P$28*Smooth!$O53)),2))</f>
        <v/>
      </c>
      <c r="L53" s="18">
        <f t="shared" si="1"/>
        <v>172.61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21.0" customHeight="1">
      <c r="A54" s="7">
        <f>IF(53&lt;=Controls!$B$5,Controls!$B$4+52,"")</f>
        <v>73043</v>
      </c>
      <c r="B54" s="10">
        <f t="array" ref="B54">IF(OR($A54="",1&gt;Controls!$B$6),"",ROUND(MAX(0,Smooth!B54*Controls!B$17*INDEX(Controls!$B$21:$H$21,1,WEEKDAY($A54,2))*(1+Controls!$B$11)^52*(1+Controls!G$25*Smooth!$L54)*(1+Controls!G$26*Smooth!$M54)*(1+Controls!G$27*Smooth!$N54)*(1+Controls!G$28*Smooth!$O54)),2))</f>
        <v>66.08</v>
      </c>
      <c r="C54" s="10">
        <f t="array" ref="C54">IF(OR($A54="",2&gt;Controls!$B$6),"",ROUND(MAX(0,Smooth!C54*Controls!C$17*INDEX(Controls!$B$21:$H$21,1,WEEKDAY($A54,2))*(1+Controls!$B$11)^52*(1+Controls!H$25*Smooth!$L54)*(1+Controls!H$26*Smooth!$M54)*(1+Controls!H$27*Smooth!$N54)*(1+Controls!H$28*Smooth!$O54)),2))</f>
        <v>43.24</v>
      </c>
      <c r="D54" s="10">
        <f t="array" ref="D54">IF(OR($A54="",3&gt;Controls!$B$6),"",ROUND(MAX(0,Smooth!D54*Controls!D$17*INDEX(Controls!$B$21:$H$21,1,WEEKDAY($A54,2))*(1+Controls!$B$11)^52*(1+Controls!I$25*Smooth!$L54)*(1+Controls!I$26*Smooth!$M54)*(1+Controls!I$27*Smooth!$N54)*(1+Controls!I$28*Smooth!$O54)),2))</f>
        <v>52.57</v>
      </c>
      <c r="E54" s="10" t="str">
        <f t="array" ref="E54">IF(OR($A54="",4&gt;Controls!$B$6),"",ROUND(MAX(0,Smooth!E54*Controls!E$17*INDEX(Controls!$B$21:$H$21,1,WEEKDAY($A54,2))*(1+Controls!$B$11)^52*(1+Controls!J$25*Smooth!$L54)*(1+Controls!J$26*Smooth!$M54)*(1+Controls!J$27*Smooth!$N54)*(1+Controls!J$28*Smooth!$O54)),2))</f>
        <v/>
      </c>
      <c r="F54" s="10" t="str">
        <f t="array" ref="F54">IF(OR($A54="",5&gt;Controls!$B$6),"",ROUND(MAX(0,Smooth!F54*Controls!F$17*INDEX(Controls!$B$21:$H$21,1,WEEKDAY($A54,2))*(1+Controls!$B$11)^52*(1+Controls!K$25*Smooth!$L54)*(1+Controls!K$26*Smooth!$M54)*(1+Controls!K$27*Smooth!$N54)*(1+Controls!K$28*Smooth!$O54)),2))</f>
        <v/>
      </c>
      <c r="G54" s="10" t="str">
        <f t="array" ref="G54">IF(OR($A54="",6&gt;Controls!$B$6),"",ROUND(MAX(0,Smooth!G54*Controls!G$17*INDEX(Controls!$B$21:$H$21,1,WEEKDAY($A54,2))*(1+Controls!$B$11)^52*(1+Controls!L$25*Smooth!$L54)*(1+Controls!L$26*Smooth!$M54)*(1+Controls!L$27*Smooth!$N54)*(1+Controls!L$28*Smooth!$O54)),2))</f>
        <v/>
      </c>
      <c r="H54" s="10" t="str">
        <f t="array" ref="H54">IF(OR($A54="",7&gt;Controls!$B$6),"",ROUND(MAX(0,Smooth!H54*Controls!H$17*INDEX(Controls!$B$21:$H$21,1,WEEKDAY($A54,2))*(1+Controls!$B$11)^52*(1+Controls!M$25*Smooth!$L54)*(1+Controls!M$26*Smooth!$M54)*(1+Controls!M$27*Smooth!$N54)*(1+Controls!M$28*Smooth!$O54)),2))</f>
        <v/>
      </c>
      <c r="I54" s="10" t="str">
        <f t="array" ref="I54">IF(OR($A54="",8&gt;Controls!$B$6),"",ROUND(MAX(0,Smooth!I54*Controls!I$17*INDEX(Controls!$B$21:$H$21,1,WEEKDAY($A54,2))*(1+Controls!$B$11)^52*(1+Controls!N$25*Smooth!$L54)*(1+Controls!N$26*Smooth!$M54)*(1+Controls!N$27*Smooth!$N54)*(1+Controls!N$28*Smooth!$O54)),2))</f>
        <v/>
      </c>
      <c r="J54" s="10" t="str">
        <f t="array" ref="J54">IF(OR($A54="",9&gt;Controls!$B$6),"",ROUND(MAX(0,Smooth!J54*Controls!J$17*INDEX(Controls!$B$21:$H$21,1,WEEKDAY($A54,2))*(1+Controls!$B$11)^52*(1+Controls!O$25*Smooth!$L54)*(1+Controls!O$26*Smooth!$M54)*(1+Controls!O$27*Smooth!$N54)*(1+Controls!O$28*Smooth!$O54)),2))</f>
        <v/>
      </c>
      <c r="K54" s="10" t="str">
        <f t="array" ref="K54">IF(OR($A54="",10&gt;Controls!$B$6),"",ROUND(MAX(0,Smooth!K54*Controls!K$17*INDEX(Controls!$B$21:$H$21,1,WEEKDAY($A54,2))*(1+Controls!$B$11)^52*(1+Controls!P$25*Smooth!$L54)*(1+Controls!P$26*Smooth!$M54)*(1+Controls!P$27*Smooth!$N54)*(1+Controls!P$28*Smooth!$O54)),2))</f>
        <v/>
      </c>
      <c r="L54" s="18">
        <f t="shared" si="1"/>
        <v>161.89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21.0" customHeight="1">
      <c r="A55" s="7">
        <f>IF(54&lt;=Controls!$B$5,Controls!$B$4+53,"")</f>
        <v>73044</v>
      </c>
      <c r="B55" s="10">
        <f t="array" ref="B55">IF(OR($A55="",1&gt;Controls!$B$6),"",ROUND(MAX(0,Smooth!B55*Controls!B$17*INDEX(Controls!$B$21:$H$21,1,WEEKDAY($A55,2))*(1+Controls!$B$11)^53*(1+Controls!G$25*Smooth!$L55)*(1+Controls!G$26*Smooth!$M55)*(1+Controls!G$27*Smooth!$N55)*(1+Controls!G$28*Smooth!$O55)),2))</f>
        <v>51.24</v>
      </c>
      <c r="C55" s="10">
        <f t="array" ref="C55">IF(OR($A55="",2&gt;Controls!$B$6),"",ROUND(MAX(0,Smooth!C55*Controls!C$17*INDEX(Controls!$B$21:$H$21,1,WEEKDAY($A55,2))*(1+Controls!$B$11)^53*(1+Controls!H$25*Smooth!$L55)*(1+Controls!H$26*Smooth!$M55)*(1+Controls!H$27*Smooth!$N55)*(1+Controls!H$28*Smooth!$O55)),2))</f>
        <v>38.31</v>
      </c>
      <c r="D55" s="10">
        <f t="array" ref="D55">IF(OR($A55="",3&gt;Controls!$B$6),"",ROUND(MAX(0,Smooth!D55*Controls!D$17*INDEX(Controls!$B$21:$H$21,1,WEEKDAY($A55,2))*(1+Controls!$B$11)^53*(1+Controls!I$25*Smooth!$L55)*(1+Controls!I$26*Smooth!$M55)*(1+Controls!I$27*Smooth!$N55)*(1+Controls!I$28*Smooth!$O55)),2))</f>
        <v>57.41</v>
      </c>
      <c r="E55" s="10" t="str">
        <f t="array" ref="E55">IF(OR($A55="",4&gt;Controls!$B$6),"",ROUND(MAX(0,Smooth!E55*Controls!E$17*INDEX(Controls!$B$21:$H$21,1,WEEKDAY($A55,2))*(1+Controls!$B$11)^53*(1+Controls!J$25*Smooth!$L55)*(1+Controls!J$26*Smooth!$M55)*(1+Controls!J$27*Smooth!$N55)*(1+Controls!J$28*Smooth!$O55)),2))</f>
        <v/>
      </c>
      <c r="F55" s="10" t="str">
        <f t="array" ref="F55">IF(OR($A55="",5&gt;Controls!$B$6),"",ROUND(MAX(0,Smooth!F55*Controls!F$17*INDEX(Controls!$B$21:$H$21,1,WEEKDAY($A55,2))*(1+Controls!$B$11)^53*(1+Controls!K$25*Smooth!$L55)*(1+Controls!K$26*Smooth!$M55)*(1+Controls!K$27*Smooth!$N55)*(1+Controls!K$28*Smooth!$O55)),2))</f>
        <v/>
      </c>
      <c r="G55" s="10" t="str">
        <f t="array" ref="G55">IF(OR($A55="",6&gt;Controls!$B$6),"",ROUND(MAX(0,Smooth!G55*Controls!G$17*INDEX(Controls!$B$21:$H$21,1,WEEKDAY($A55,2))*(1+Controls!$B$11)^53*(1+Controls!L$25*Smooth!$L55)*(1+Controls!L$26*Smooth!$M55)*(1+Controls!L$27*Smooth!$N55)*(1+Controls!L$28*Smooth!$O55)),2))</f>
        <v/>
      </c>
      <c r="H55" s="10" t="str">
        <f t="array" ref="H55">IF(OR($A55="",7&gt;Controls!$B$6),"",ROUND(MAX(0,Smooth!H55*Controls!H$17*INDEX(Controls!$B$21:$H$21,1,WEEKDAY($A55,2))*(1+Controls!$B$11)^53*(1+Controls!M$25*Smooth!$L55)*(1+Controls!M$26*Smooth!$M55)*(1+Controls!M$27*Smooth!$N55)*(1+Controls!M$28*Smooth!$O55)),2))</f>
        <v/>
      </c>
      <c r="I55" s="10" t="str">
        <f t="array" ref="I55">IF(OR($A55="",8&gt;Controls!$B$6),"",ROUND(MAX(0,Smooth!I55*Controls!I$17*INDEX(Controls!$B$21:$H$21,1,WEEKDAY($A55,2))*(1+Controls!$B$11)^53*(1+Controls!N$25*Smooth!$L55)*(1+Controls!N$26*Smooth!$M55)*(1+Controls!N$27*Smooth!$N55)*(1+Controls!N$28*Smooth!$O55)),2))</f>
        <v/>
      </c>
      <c r="J55" s="10" t="str">
        <f t="array" ref="J55">IF(OR($A55="",9&gt;Controls!$B$6),"",ROUND(MAX(0,Smooth!J55*Controls!J$17*INDEX(Controls!$B$21:$H$21,1,WEEKDAY($A55,2))*(1+Controls!$B$11)^53*(1+Controls!O$25*Smooth!$L55)*(1+Controls!O$26*Smooth!$M55)*(1+Controls!O$27*Smooth!$N55)*(1+Controls!O$28*Smooth!$O55)),2))</f>
        <v/>
      </c>
      <c r="K55" s="10" t="str">
        <f t="array" ref="K55">IF(OR($A55="",10&gt;Controls!$B$6),"",ROUND(MAX(0,Smooth!K55*Controls!K$17*INDEX(Controls!$B$21:$H$21,1,WEEKDAY($A55,2))*(1+Controls!$B$11)^53*(1+Controls!P$25*Smooth!$L55)*(1+Controls!P$26*Smooth!$M55)*(1+Controls!P$27*Smooth!$N55)*(1+Controls!P$28*Smooth!$O55)),2))</f>
        <v/>
      </c>
      <c r="L55" s="18">
        <f t="shared" si="1"/>
        <v>146.96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21.0" customHeight="1">
      <c r="A56" s="7">
        <f>IF(55&lt;=Controls!$B$5,Controls!$B$4+54,"")</f>
        <v>73045</v>
      </c>
      <c r="B56" s="10">
        <f t="array" ref="B56">IF(OR($A56="",1&gt;Controls!$B$6),"",ROUND(MAX(0,Smooth!B56*Controls!B$17*INDEX(Controls!$B$21:$H$21,1,WEEKDAY($A56,2))*(1+Controls!$B$11)^54*(1+Controls!G$25*Smooth!$L56)*(1+Controls!G$26*Smooth!$M56)*(1+Controls!G$27*Smooth!$N56)*(1+Controls!G$28*Smooth!$O56)),2))</f>
        <v>31.37</v>
      </c>
      <c r="C56" s="10">
        <f t="array" ref="C56">IF(OR($A56="",2&gt;Controls!$B$6),"",ROUND(MAX(0,Smooth!C56*Controls!C$17*INDEX(Controls!$B$21:$H$21,1,WEEKDAY($A56,2))*(1+Controls!$B$11)^54*(1+Controls!H$25*Smooth!$L56)*(1+Controls!H$26*Smooth!$M56)*(1+Controls!H$27*Smooth!$N56)*(1+Controls!H$28*Smooth!$O56)),2))</f>
        <v>22.63</v>
      </c>
      <c r="D56" s="10">
        <f t="array" ref="D56">IF(OR($A56="",3&gt;Controls!$B$6),"",ROUND(MAX(0,Smooth!D56*Controls!D$17*INDEX(Controls!$B$21:$H$21,1,WEEKDAY($A56,2))*(1+Controls!$B$11)^54*(1+Controls!I$25*Smooth!$L56)*(1+Controls!I$26*Smooth!$M56)*(1+Controls!I$27*Smooth!$N56)*(1+Controls!I$28*Smooth!$O56)),2))</f>
        <v>31.19</v>
      </c>
      <c r="E56" s="10" t="str">
        <f t="array" ref="E56">IF(OR($A56="",4&gt;Controls!$B$6),"",ROUND(MAX(0,Smooth!E56*Controls!E$17*INDEX(Controls!$B$21:$H$21,1,WEEKDAY($A56,2))*(1+Controls!$B$11)^54*(1+Controls!J$25*Smooth!$L56)*(1+Controls!J$26*Smooth!$M56)*(1+Controls!J$27*Smooth!$N56)*(1+Controls!J$28*Smooth!$O56)),2))</f>
        <v/>
      </c>
      <c r="F56" s="10" t="str">
        <f t="array" ref="F56">IF(OR($A56="",5&gt;Controls!$B$6),"",ROUND(MAX(0,Smooth!F56*Controls!F$17*INDEX(Controls!$B$21:$H$21,1,WEEKDAY($A56,2))*(1+Controls!$B$11)^54*(1+Controls!K$25*Smooth!$L56)*(1+Controls!K$26*Smooth!$M56)*(1+Controls!K$27*Smooth!$N56)*(1+Controls!K$28*Smooth!$O56)),2))</f>
        <v/>
      </c>
      <c r="G56" s="10" t="str">
        <f t="array" ref="G56">IF(OR($A56="",6&gt;Controls!$B$6),"",ROUND(MAX(0,Smooth!G56*Controls!G$17*INDEX(Controls!$B$21:$H$21,1,WEEKDAY($A56,2))*(1+Controls!$B$11)^54*(1+Controls!L$25*Smooth!$L56)*(1+Controls!L$26*Smooth!$M56)*(1+Controls!L$27*Smooth!$N56)*(1+Controls!L$28*Smooth!$O56)),2))</f>
        <v/>
      </c>
      <c r="H56" s="10" t="str">
        <f t="array" ref="H56">IF(OR($A56="",7&gt;Controls!$B$6),"",ROUND(MAX(0,Smooth!H56*Controls!H$17*INDEX(Controls!$B$21:$H$21,1,WEEKDAY($A56,2))*(1+Controls!$B$11)^54*(1+Controls!M$25*Smooth!$L56)*(1+Controls!M$26*Smooth!$M56)*(1+Controls!M$27*Smooth!$N56)*(1+Controls!M$28*Smooth!$O56)),2))</f>
        <v/>
      </c>
      <c r="I56" s="10" t="str">
        <f t="array" ref="I56">IF(OR($A56="",8&gt;Controls!$B$6),"",ROUND(MAX(0,Smooth!I56*Controls!I$17*INDEX(Controls!$B$21:$H$21,1,WEEKDAY($A56,2))*(1+Controls!$B$11)^54*(1+Controls!N$25*Smooth!$L56)*(1+Controls!N$26*Smooth!$M56)*(1+Controls!N$27*Smooth!$N56)*(1+Controls!N$28*Smooth!$O56)),2))</f>
        <v/>
      </c>
      <c r="J56" s="10" t="str">
        <f t="array" ref="J56">IF(OR($A56="",9&gt;Controls!$B$6),"",ROUND(MAX(0,Smooth!J56*Controls!J$17*INDEX(Controls!$B$21:$H$21,1,WEEKDAY($A56,2))*(1+Controls!$B$11)^54*(1+Controls!O$25*Smooth!$L56)*(1+Controls!O$26*Smooth!$M56)*(1+Controls!O$27*Smooth!$N56)*(1+Controls!O$28*Smooth!$O56)),2))</f>
        <v/>
      </c>
      <c r="K56" s="10" t="str">
        <f t="array" ref="K56">IF(OR($A56="",10&gt;Controls!$B$6),"",ROUND(MAX(0,Smooth!K56*Controls!K$17*INDEX(Controls!$B$21:$H$21,1,WEEKDAY($A56,2))*(1+Controls!$B$11)^54*(1+Controls!P$25*Smooth!$L56)*(1+Controls!P$26*Smooth!$M56)*(1+Controls!P$27*Smooth!$N56)*(1+Controls!P$28*Smooth!$O56)),2))</f>
        <v/>
      </c>
      <c r="L56" s="18">
        <f t="shared" si="1"/>
        <v>85.19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21.0" customHeight="1">
      <c r="A57" s="7">
        <f>IF(56&lt;=Controls!$B$5,Controls!$B$4+55,"")</f>
        <v>73046</v>
      </c>
      <c r="B57" s="10">
        <f t="array" ref="B57">IF(OR($A57="",1&gt;Controls!$B$6),"",ROUND(MAX(0,Smooth!B57*Controls!B$17*INDEX(Controls!$B$21:$H$21,1,WEEKDAY($A57,2))*(1+Controls!$B$11)^55*(1+Controls!G$25*Smooth!$L57)*(1+Controls!G$26*Smooth!$M57)*(1+Controls!G$27*Smooth!$N57)*(1+Controls!G$28*Smooth!$O57)),2))</f>
        <v>21.46</v>
      </c>
      <c r="C57" s="10">
        <f t="array" ref="C57">IF(OR($A57="",2&gt;Controls!$B$6),"",ROUND(MAX(0,Smooth!C57*Controls!C$17*INDEX(Controls!$B$21:$H$21,1,WEEKDAY($A57,2))*(1+Controls!$B$11)^55*(1+Controls!H$25*Smooth!$L57)*(1+Controls!H$26*Smooth!$M57)*(1+Controls!H$27*Smooth!$N57)*(1+Controls!H$28*Smooth!$O57)),2))</f>
        <v>5.4</v>
      </c>
      <c r="D57" s="10">
        <f t="array" ref="D57">IF(OR($A57="",3&gt;Controls!$B$6),"",ROUND(MAX(0,Smooth!D57*Controls!D$17*INDEX(Controls!$B$21:$H$21,1,WEEKDAY($A57,2))*(1+Controls!$B$11)^55*(1+Controls!I$25*Smooth!$L57)*(1+Controls!I$26*Smooth!$M57)*(1+Controls!I$27*Smooth!$N57)*(1+Controls!I$28*Smooth!$O57)),2))</f>
        <v>19.32</v>
      </c>
      <c r="E57" s="10" t="str">
        <f t="array" ref="E57">IF(OR($A57="",4&gt;Controls!$B$6),"",ROUND(MAX(0,Smooth!E57*Controls!E$17*INDEX(Controls!$B$21:$H$21,1,WEEKDAY($A57,2))*(1+Controls!$B$11)^55*(1+Controls!J$25*Smooth!$L57)*(1+Controls!J$26*Smooth!$M57)*(1+Controls!J$27*Smooth!$N57)*(1+Controls!J$28*Smooth!$O57)),2))</f>
        <v/>
      </c>
      <c r="F57" s="10" t="str">
        <f t="array" ref="F57">IF(OR($A57="",5&gt;Controls!$B$6),"",ROUND(MAX(0,Smooth!F57*Controls!F$17*INDEX(Controls!$B$21:$H$21,1,WEEKDAY($A57,2))*(1+Controls!$B$11)^55*(1+Controls!K$25*Smooth!$L57)*(1+Controls!K$26*Smooth!$M57)*(1+Controls!K$27*Smooth!$N57)*(1+Controls!K$28*Smooth!$O57)),2))</f>
        <v/>
      </c>
      <c r="G57" s="10" t="str">
        <f t="array" ref="G57">IF(OR($A57="",6&gt;Controls!$B$6),"",ROUND(MAX(0,Smooth!G57*Controls!G$17*INDEX(Controls!$B$21:$H$21,1,WEEKDAY($A57,2))*(1+Controls!$B$11)^55*(1+Controls!L$25*Smooth!$L57)*(1+Controls!L$26*Smooth!$M57)*(1+Controls!L$27*Smooth!$N57)*(1+Controls!L$28*Smooth!$O57)),2))</f>
        <v/>
      </c>
      <c r="H57" s="10" t="str">
        <f t="array" ref="H57">IF(OR($A57="",7&gt;Controls!$B$6),"",ROUND(MAX(0,Smooth!H57*Controls!H$17*INDEX(Controls!$B$21:$H$21,1,WEEKDAY($A57,2))*(1+Controls!$B$11)^55*(1+Controls!M$25*Smooth!$L57)*(1+Controls!M$26*Smooth!$M57)*(1+Controls!M$27*Smooth!$N57)*(1+Controls!M$28*Smooth!$O57)),2))</f>
        <v/>
      </c>
      <c r="I57" s="10" t="str">
        <f t="array" ref="I57">IF(OR($A57="",8&gt;Controls!$B$6),"",ROUND(MAX(0,Smooth!I57*Controls!I$17*INDEX(Controls!$B$21:$H$21,1,WEEKDAY($A57,2))*(1+Controls!$B$11)^55*(1+Controls!N$25*Smooth!$L57)*(1+Controls!N$26*Smooth!$M57)*(1+Controls!N$27*Smooth!$N57)*(1+Controls!N$28*Smooth!$O57)),2))</f>
        <v/>
      </c>
      <c r="J57" s="10" t="str">
        <f t="array" ref="J57">IF(OR($A57="",9&gt;Controls!$B$6),"",ROUND(MAX(0,Smooth!J57*Controls!J$17*INDEX(Controls!$B$21:$H$21,1,WEEKDAY($A57,2))*(1+Controls!$B$11)^55*(1+Controls!O$25*Smooth!$L57)*(1+Controls!O$26*Smooth!$M57)*(1+Controls!O$27*Smooth!$N57)*(1+Controls!O$28*Smooth!$O57)),2))</f>
        <v/>
      </c>
      <c r="K57" s="10" t="str">
        <f t="array" ref="K57">IF(OR($A57="",10&gt;Controls!$B$6),"",ROUND(MAX(0,Smooth!K57*Controls!K$17*INDEX(Controls!$B$21:$H$21,1,WEEKDAY($A57,2))*(1+Controls!$B$11)^55*(1+Controls!P$25*Smooth!$L57)*(1+Controls!P$26*Smooth!$M57)*(1+Controls!P$27*Smooth!$N57)*(1+Controls!P$28*Smooth!$O57)),2))</f>
        <v/>
      </c>
      <c r="L57" s="18">
        <f t="shared" si="1"/>
        <v>46.18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1.0" customHeight="1">
      <c r="A58" s="7">
        <f>IF(57&lt;=Controls!$B$5,Controls!$B$4+56,"")</f>
        <v>73047</v>
      </c>
      <c r="B58" s="10">
        <f t="array" ref="B58">IF(OR($A58="",1&gt;Controls!$B$6),"",ROUND(MAX(0,Smooth!B58*Controls!B$17*INDEX(Controls!$B$21:$H$21,1,WEEKDAY($A58,2))*(1+Controls!$B$11)^56*(1+Controls!G$25*Smooth!$L58)*(1+Controls!G$26*Smooth!$M58)*(1+Controls!G$27*Smooth!$N58)*(1+Controls!G$28*Smooth!$O58)),2))</f>
        <v>64.39</v>
      </c>
      <c r="C58" s="10">
        <f t="array" ref="C58">IF(OR($A58="",2&gt;Controls!$B$6),"",ROUND(MAX(0,Smooth!C58*Controls!C$17*INDEX(Controls!$B$21:$H$21,1,WEEKDAY($A58,2))*(1+Controls!$B$11)^56*(1+Controls!H$25*Smooth!$L58)*(1+Controls!H$26*Smooth!$M58)*(1+Controls!H$27*Smooth!$N58)*(1+Controls!H$28*Smooth!$O58)),2))</f>
        <v>30.98</v>
      </c>
      <c r="D58" s="10">
        <f t="array" ref="D58">IF(OR($A58="",3&gt;Controls!$B$6),"",ROUND(MAX(0,Smooth!D58*Controls!D$17*INDEX(Controls!$B$21:$H$21,1,WEEKDAY($A58,2))*(1+Controls!$B$11)^56*(1+Controls!I$25*Smooth!$L58)*(1+Controls!I$26*Smooth!$M58)*(1+Controls!I$27*Smooth!$N58)*(1+Controls!I$28*Smooth!$O58)),2))</f>
        <v>62.41</v>
      </c>
      <c r="E58" s="10" t="str">
        <f t="array" ref="E58">IF(OR($A58="",4&gt;Controls!$B$6),"",ROUND(MAX(0,Smooth!E58*Controls!E$17*INDEX(Controls!$B$21:$H$21,1,WEEKDAY($A58,2))*(1+Controls!$B$11)^56*(1+Controls!J$25*Smooth!$L58)*(1+Controls!J$26*Smooth!$M58)*(1+Controls!J$27*Smooth!$N58)*(1+Controls!J$28*Smooth!$O58)),2))</f>
        <v/>
      </c>
      <c r="F58" s="10" t="str">
        <f t="array" ref="F58">IF(OR($A58="",5&gt;Controls!$B$6),"",ROUND(MAX(0,Smooth!F58*Controls!F$17*INDEX(Controls!$B$21:$H$21,1,WEEKDAY($A58,2))*(1+Controls!$B$11)^56*(1+Controls!K$25*Smooth!$L58)*(1+Controls!K$26*Smooth!$M58)*(1+Controls!K$27*Smooth!$N58)*(1+Controls!K$28*Smooth!$O58)),2))</f>
        <v/>
      </c>
      <c r="G58" s="10" t="str">
        <f t="array" ref="G58">IF(OR($A58="",6&gt;Controls!$B$6),"",ROUND(MAX(0,Smooth!G58*Controls!G$17*INDEX(Controls!$B$21:$H$21,1,WEEKDAY($A58,2))*(1+Controls!$B$11)^56*(1+Controls!L$25*Smooth!$L58)*(1+Controls!L$26*Smooth!$M58)*(1+Controls!L$27*Smooth!$N58)*(1+Controls!L$28*Smooth!$O58)),2))</f>
        <v/>
      </c>
      <c r="H58" s="10" t="str">
        <f t="array" ref="H58">IF(OR($A58="",7&gt;Controls!$B$6),"",ROUND(MAX(0,Smooth!H58*Controls!H$17*INDEX(Controls!$B$21:$H$21,1,WEEKDAY($A58,2))*(1+Controls!$B$11)^56*(1+Controls!M$25*Smooth!$L58)*(1+Controls!M$26*Smooth!$M58)*(1+Controls!M$27*Smooth!$N58)*(1+Controls!M$28*Smooth!$O58)),2))</f>
        <v/>
      </c>
      <c r="I58" s="10" t="str">
        <f t="array" ref="I58">IF(OR($A58="",8&gt;Controls!$B$6),"",ROUND(MAX(0,Smooth!I58*Controls!I$17*INDEX(Controls!$B$21:$H$21,1,WEEKDAY($A58,2))*(1+Controls!$B$11)^56*(1+Controls!N$25*Smooth!$L58)*(1+Controls!N$26*Smooth!$M58)*(1+Controls!N$27*Smooth!$N58)*(1+Controls!N$28*Smooth!$O58)),2))</f>
        <v/>
      </c>
      <c r="J58" s="10" t="str">
        <f t="array" ref="J58">IF(OR($A58="",9&gt;Controls!$B$6),"",ROUND(MAX(0,Smooth!J58*Controls!J$17*INDEX(Controls!$B$21:$H$21,1,WEEKDAY($A58,2))*(1+Controls!$B$11)^56*(1+Controls!O$25*Smooth!$L58)*(1+Controls!O$26*Smooth!$M58)*(1+Controls!O$27*Smooth!$N58)*(1+Controls!O$28*Smooth!$O58)),2))</f>
        <v/>
      </c>
      <c r="K58" s="10" t="str">
        <f t="array" ref="K58">IF(OR($A58="",10&gt;Controls!$B$6),"",ROUND(MAX(0,Smooth!K58*Controls!K$17*INDEX(Controls!$B$21:$H$21,1,WEEKDAY($A58,2))*(1+Controls!$B$11)^56*(1+Controls!P$25*Smooth!$L58)*(1+Controls!P$26*Smooth!$M58)*(1+Controls!P$27*Smooth!$N58)*(1+Controls!P$28*Smooth!$O58)),2))</f>
        <v/>
      </c>
      <c r="L58" s="18">
        <f t="shared" si="1"/>
        <v>157.78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21.0" customHeight="1">
      <c r="A59" s="7">
        <f>IF(58&lt;=Controls!$B$5,Controls!$B$4+57,"")</f>
        <v>73048</v>
      </c>
      <c r="B59" s="10">
        <f t="array" ref="B59">IF(OR($A59="",1&gt;Controls!$B$6),"",ROUND(MAX(0,Smooth!B59*Controls!B$17*INDEX(Controls!$B$21:$H$21,1,WEEKDAY($A59,2))*(1+Controls!$B$11)^57*(1+Controls!G$25*Smooth!$L59)*(1+Controls!G$26*Smooth!$M59)*(1+Controls!G$27*Smooth!$N59)*(1+Controls!G$28*Smooth!$O59)),2))</f>
        <v>57.92</v>
      </c>
      <c r="C59" s="10">
        <f t="array" ref="C59">IF(OR($A59="",2&gt;Controls!$B$6),"",ROUND(MAX(0,Smooth!C59*Controls!C$17*INDEX(Controls!$B$21:$H$21,1,WEEKDAY($A59,2))*(1+Controls!$B$11)^57*(1+Controls!H$25*Smooth!$L59)*(1+Controls!H$26*Smooth!$M59)*(1+Controls!H$27*Smooth!$N59)*(1+Controls!H$28*Smooth!$O59)),2))</f>
        <v>29.41</v>
      </c>
      <c r="D59" s="10">
        <f t="array" ref="D59">IF(OR($A59="",3&gt;Controls!$B$6),"",ROUND(MAX(0,Smooth!D59*Controls!D$17*INDEX(Controls!$B$21:$H$21,1,WEEKDAY($A59,2))*(1+Controls!$B$11)^57*(1+Controls!I$25*Smooth!$L59)*(1+Controls!I$26*Smooth!$M59)*(1+Controls!I$27*Smooth!$N59)*(1+Controls!I$28*Smooth!$O59)),2))</f>
        <v>51.94</v>
      </c>
      <c r="E59" s="10" t="str">
        <f t="array" ref="E59">IF(OR($A59="",4&gt;Controls!$B$6),"",ROUND(MAX(0,Smooth!E59*Controls!E$17*INDEX(Controls!$B$21:$H$21,1,WEEKDAY($A59,2))*(1+Controls!$B$11)^57*(1+Controls!J$25*Smooth!$L59)*(1+Controls!J$26*Smooth!$M59)*(1+Controls!J$27*Smooth!$N59)*(1+Controls!J$28*Smooth!$O59)),2))</f>
        <v/>
      </c>
      <c r="F59" s="10" t="str">
        <f t="array" ref="F59">IF(OR($A59="",5&gt;Controls!$B$6),"",ROUND(MAX(0,Smooth!F59*Controls!F$17*INDEX(Controls!$B$21:$H$21,1,WEEKDAY($A59,2))*(1+Controls!$B$11)^57*(1+Controls!K$25*Smooth!$L59)*(1+Controls!K$26*Smooth!$M59)*(1+Controls!K$27*Smooth!$N59)*(1+Controls!K$28*Smooth!$O59)),2))</f>
        <v/>
      </c>
      <c r="G59" s="10" t="str">
        <f t="array" ref="G59">IF(OR($A59="",6&gt;Controls!$B$6),"",ROUND(MAX(0,Smooth!G59*Controls!G$17*INDEX(Controls!$B$21:$H$21,1,WEEKDAY($A59,2))*(1+Controls!$B$11)^57*(1+Controls!L$25*Smooth!$L59)*(1+Controls!L$26*Smooth!$M59)*(1+Controls!L$27*Smooth!$N59)*(1+Controls!L$28*Smooth!$O59)),2))</f>
        <v/>
      </c>
      <c r="H59" s="10" t="str">
        <f t="array" ref="H59">IF(OR($A59="",7&gt;Controls!$B$6),"",ROUND(MAX(0,Smooth!H59*Controls!H$17*INDEX(Controls!$B$21:$H$21,1,WEEKDAY($A59,2))*(1+Controls!$B$11)^57*(1+Controls!M$25*Smooth!$L59)*(1+Controls!M$26*Smooth!$M59)*(1+Controls!M$27*Smooth!$N59)*(1+Controls!M$28*Smooth!$O59)),2))</f>
        <v/>
      </c>
      <c r="I59" s="10" t="str">
        <f t="array" ref="I59">IF(OR($A59="",8&gt;Controls!$B$6),"",ROUND(MAX(0,Smooth!I59*Controls!I$17*INDEX(Controls!$B$21:$H$21,1,WEEKDAY($A59,2))*(1+Controls!$B$11)^57*(1+Controls!N$25*Smooth!$L59)*(1+Controls!N$26*Smooth!$M59)*(1+Controls!N$27*Smooth!$N59)*(1+Controls!N$28*Smooth!$O59)),2))</f>
        <v/>
      </c>
      <c r="J59" s="10" t="str">
        <f t="array" ref="J59">IF(OR($A59="",9&gt;Controls!$B$6),"",ROUND(MAX(0,Smooth!J59*Controls!J$17*INDEX(Controls!$B$21:$H$21,1,WEEKDAY($A59,2))*(1+Controls!$B$11)^57*(1+Controls!O$25*Smooth!$L59)*(1+Controls!O$26*Smooth!$M59)*(1+Controls!O$27*Smooth!$N59)*(1+Controls!O$28*Smooth!$O59)),2))</f>
        <v/>
      </c>
      <c r="K59" s="10" t="str">
        <f t="array" ref="K59">IF(OR($A59="",10&gt;Controls!$B$6),"",ROUND(MAX(0,Smooth!K59*Controls!K$17*INDEX(Controls!$B$21:$H$21,1,WEEKDAY($A59,2))*(1+Controls!$B$11)^57*(1+Controls!P$25*Smooth!$L59)*(1+Controls!P$26*Smooth!$M59)*(1+Controls!P$27*Smooth!$N59)*(1+Controls!P$28*Smooth!$O59)),2))</f>
        <v/>
      </c>
      <c r="L59" s="18">
        <f t="shared" si="1"/>
        <v>139.27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1.0" customHeight="1">
      <c r="A60" s="7">
        <f>IF(59&lt;=Controls!$B$5,Controls!$B$4+58,"")</f>
        <v>73049</v>
      </c>
      <c r="B60" s="10">
        <f t="array" ref="B60">IF(OR($A60="",1&gt;Controls!$B$6),"",ROUND(MAX(0,Smooth!B60*Controls!B$17*INDEX(Controls!$B$21:$H$21,1,WEEKDAY($A60,2))*(1+Controls!$B$11)^58*(1+Controls!G$25*Smooth!$L60)*(1+Controls!G$26*Smooth!$M60)*(1+Controls!G$27*Smooth!$N60)*(1+Controls!G$28*Smooth!$O60)),2))</f>
        <v>57.2</v>
      </c>
      <c r="C60" s="10">
        <f t="array" ref="C60">IF(OR($A60="",2&gt;Controls!$B$6),"",ROUND(MAX(0,Smooth!C60*Controls!C$17*INDEX(Controls!$B$21:$H$21,1,WEEKDAY($A60,2))*(1+Controls!$B$11)^58*(1+Controls!H$25*Smooth!$L60)*(1+Controls!H$26*Smooth!$M60)*(1+Controls!H$27*Smooth!$N60)*(1+Controls!H$28*Smooth!$O60)),2))</f>
        <v>36.29</v>
      </c>
      <c r="D60" s="10">
        <f t="array" ref="D60">IF(OR($A60="",3&gt;Controls!$B$6),"",ROUND(MAX(0,Smooth!D60*Controls!D$17*INDEX(Controls!$B$21:$H$21,1,WEEKDAY($A60,2))*(1+Controls!$B$11)^58*(1+Controls!I$25*Smooth!$L60)*(1+Controls!I$26*Smooth!$M60)*(1+Controls!I$27*Smooth!$N60)*(1+Controls!I$28*Smooth!$O60)),2))</f>
        <v>59.07</v>
      </c>
      <c r="E60" s="10" t="str">
        <f t="array" ref="E60">IF(OR($A60="",4&gt;Controls!$B$6),"",ROUND(MAX(0,Smooth!E60*Controls!E$17*INDEX(Controls!$B$21:$H$21,1,WEEKDAY($A60,2))*(1+Controls!$B$11)^58*(1+Controls!J$25*Smooth!$L60)*(1+Controls!J$26*Smooth!$M60)*(1+Controls!J$27*Smooth!$N60)*(1+Controls!J$28*Smooth!$O60)),2))</f>
        <v/>
      </c>
      <c r="F60" s="10" t="str">
        <f t="array" ref="F60">IF(OR($A60="",5&gt;Controls!$B$6),"",ROUND(MAX(0,Smooth!F60*Controls!F$17*INDEX(Controls!$B$21:$H$21,1,WEEKDAY($A60,2))*(1+Controls!$B$11)^58*(1+Controls!K$25*Smooth!$L60)*(1+Controls!K$26*Smooth!$M60)*(1+Controls!K$27*Smooth!$N60)*(1+Controls!K$28*Smooth!$O60)),2))</f>
        <v/>
      </c>
      <c r="G60" s="10" t="str">
        <f t="array" ref="G60">IF(OR($A60="",6&gt;Controls!$B$6),"",ROUND(MAX(0,Smooth!G60*Controls!G$17*INDEX(Controls!$B$21:$H$21,1,WEEKDAY($A60,2))*(1+Controls!$B$11)^58*(1+Controls!L$25*Smooth!$L60)*(1+Controls!L$26*Smooth!$M60)*(1+Controls!L$27*Smooth!$N60)*(1+Controls!L$28*Smooth!$O60)),2))</f>
        <v/>
      </c>
      <c r="H60" s="10" t="str">
        <f t="array" ref="H60">IF(OR($A60="",7&gt;Controls!$B$6),"",ROUND(MAX(0,Smooth!H60*Controls!H$17*INDEX(Controls!$B$21:$H$21,1,WEEKDAY($A60,2))*(1+Controls!$B$11)^58*(1+Controls!M$25*Smooth!$L60)*(1+Controls!M$26*Smooth!$M60)*(1+Controls!M$27*Smooth!$N60)*(1+Controls!M$28*Smooth!$O60)),2))</f>
        <v/>
      </c>
      <c r="I60" s="10" t="str">
        <f t="array" ref="I60">IF(OR($A60="",8&gt;Controls!$B$6),"",ROUND(MAX(0,Smooth!I60*Controls!I$17*INDEX(Controls!$B$21:$H$21,1,WEEKDAY($A60,2))*(1+Controls!$B$11)^58*(1+Controls!N$25*Smooth!$L60)*(1+Controls!N$26*Smooth!$M60)*(1+Controls!N$27*Smooth!$N60)*(1+Controls!N$28*Smooth!$O60)),2))</f>
        <v/>
      </c>
      <c r="J60" s="10" t="str">
        <f t="array" ref="J60">IF(OR($A60="",9&gt;Controls!$B$6),"",ROUND(MAX(0,Smooth!J60*Controls!J$17*INDEX(Controls!$B$21:$H$21,1,WEEKDAY($A60,2))*(1+Controls!$B$11)^58*(1+Controls!O$25*Smooth!$L60)*(1+Controls!O$26*Smooth!$M60)*(1+Controls!O$27*Smooth!$N60)*(1+Controls!O$28*Smooth!$O60)),2))</f>
        <v/>
      </c>
      <c r="K60" s="10" t="str">
        <f t="array" ref="K60">IF(OR($A60="",10&gt;Controls!$B$6),"",ROUND(MAX(0,Smooth!K60*Controls!K$17*INDEX(Controls!$B$21:$H$21,1,WEEKDAY($A60,2))*(1+Controls!$B$11)^58*(1+Controls!P$25*Smooth!$L60)*(1+Controls!P$26*Smooth!$M60)*(1+Controls!P$27*Smooth!$N60)*(1+Controls!P$28*Smooth!$O60)),2))</f>
        <v/>
      </c>
      <c r="L60" s="18">
        <f t="shared" si="1"/>
        <v>152.56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21.0" customHeight="1">
      <c r="A61" s="7">
        <f>IF(60&lt;=Controls!$B$5,Controls!$B$4+59,"")</f>
        <v>73050</v>
      </c>
      <c r="B61" s="10">
        <f t="array" ref="B61">IF(OR($A61="",1&gt;Controls!$B$6),"",ROUND(MAX(0,Smooth!B61*Controls!B$17*INDEX(Controls!$B$21:$H$21,1,WEEKDAY($A61,2))*(1+Controls!$B$11)^59*(1+Controls!G$25*Smooth!$L61)*(1+Controls!G$26*Smooth!$M61)*(1+Controls!G$27*Smooth!$N61)*(1+Controls!G$28*Smooth!$O61)),2))</f>
        <v>58.82</v>
      </c>
      <c r="C61" s="10">
        <f t="array" ref="C61">IF(OR($A61="",2&gt;Controls!$B$6),"",ROUND(MAX(0,Smooth!C61*Controls!C$17*INDEX(Controls!$B$21:$H$21,1,WEEKDAY($A61,2))*(1+Controls!$B$11)^59*(1+Controls!H$25*Smooth!$L61)*(1+Controls!H$26*Smooth!$M61)*(1+Controls!H$27*Smooth!$N61)*(1+Controls!H$28*Smooth!$O61)),2))</f>
        <v>51.8</v>
      </c>
      <c r="D61" s="10">
        <f t="array" ref="D61">IF(OR($A61="",3&gt;Controls!$B$6),"",ROUND(MAX(0,Smooth!D61*Controls!D$17*INDEX(Controls!$B$21:$H$21,1,WEEKDAY($A61,2))*(1+Controls!$B$11)^59*(1+Controls!I$25*Smooth!$L61)*(1+Controls!I$26*Smooth!$M61)*(1+Controls!I$27*Smooth!$N61)*(1+Controls!I$28*Smooth!$O61)),2))</f>
        <v>67.22</v>
      </c>
      <c r="E61" s="10" t="str">
        <f t="array" ref="E61">IF(OR($A61="",4&gt;Controls!$B$6),"",ROUND(MAX(0,Smooth!E61*Controls!E$17*INDEX(Controls!$B$21:$H$21,1,WEEKDAY($A61,2))*(1+Controls!$B$11)^59*(1+Controls!J$25*Smooth!$L61)*(1+Controls!J$26*Smooth!$M61)*(1+Controls!J$27*Smooth!$N61)*(1+Controls!J$28*Smooth!$O61)),2))</f>
        <v/>
      </c>
      <c r="F61" s="10" t="str">
        <f t="array" ref="F61">IF(OR($A61="",5&gt;Controls!$B$6),"",ROUND(MAX(0,Smooth!F61*Controls!F$17*INDEX(Controls!$B$21:$H$21,1,WEEKDAY($A61,2))*(1+Controls!$B$11)^59*(1+Controls!K$25*Smooth!$L61)*(1+Controls!K$26*Smooth!$M61)*(1+Controls!K$27*Smooth!$N61)*(1+Controls!K$28*Smooth!$O61)),2))</f>
        <v/>
      </c>
      <c r="G61" s="10" t="str">
        <f t="array" ref="G61">IF(OR($A61="",6&gt;Controls!$B$6),"",ROUND(MAX(0,Smooth!G61*Controls!G$17*INDEX(Controls!$B$21:$H$21,1,WEEKDAY($A61,2))*(1+Controls!$B$11)^59*(1+Controls!L$25*Smooth!$L61)*(1+Controls!L$26*Smooth!$M61)*(1+Controls!L$27*Smooth!$N61)*(1+Controls!L$28*Smooth!$O61)),2))</f>
        <v/>
      </c>
      <c r="H61" s="10" t="str">
        <f t="array" ref="H61">IF(OR($A61="",7&gt;Controls!$B$6),"",ROUND(MAX(0,Smooth!H61*Controls!H$17*INDEX(Controls!$B$21:$H$21,1,WEEKDAY($A61,2))*(1+Controls!$B$11)^59*(1+Controls!M$25*Smooth!$L61)*(1+Controls!M$26*Smooth!$M61)*(1+Controls!M$27*Smooth!$N61)*(1+Controls!M$28*Smooth!$O61)),2))</f>
        <v/>
      </c>
      <c r="I61" s="10" t="str">
        <f t="array" ref="I61">IF(OR($A61="",8&gt;Controls!$B$6),"",ROUND(MAX(0,Smooth!I61*Controls!I$17*INDEX(Controls!$B$21:$H$21,1,WEEKDAY($A61,2))*(1+Controls!$B$11)^59*(1+Controls!N$25*Smooth!$L61)*(1+Controls!N$26*Smooth!$M61)*(1+Controls!N$27*Smooth!$N61)*(1+Controls!N$28*Smooth!$O61)),2))</f>
        <v/>
      </c>
      <c r="J61" s="10" t="str">
        <f t="array" ref="J61">IF(OR($A61="",9&gt;Controls!$B$6),"",ROUND(MAX(0,Smooth!J61*Controls!J$17*INDEX(Controls!$B$21:$H$21,1,WEEKDAY($A61,2))*(1+Controls!$B$11)^59*(1+Controls!O$25*Smooth!$L61)*(1+Controls!O$26*Smooth!$M61)*(1+Controls!O$27*Smooth!$N61)*(1+Controls!O$28*Smooth!$O61)),2))</f>
        <v/>
      </c>
      <c r="K61" s="10" t="str">
        <f t="array" ref="K61">IF(OR($A61="",10&gt;Controls!$B$6),"",ROUND(MAX(0,Smooth!K61*Controls!K$17*INDEX(Controls!$B$21:$H$21,1,WEEKDAY($A61,2))*(1+Controls!$B$11)^59*(1+Controls!P$25*Smooth!$L61)*(1+Controls!P$26*Smooth!$M61)*(1+Controls!P$27*Smooth!$N61)*(1+Controls!P$28*Smooth!$O61)),2))</f>
        <v/>
      </c>
      <c r="L61" s="18">
        <f t="shared" si="1"/>
        <v>177.84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21.0" customHeight="1">
      <c r="A62" s="7">
        <f>IF(61&lt;=Controls!$B$5,Controls!$B$4+60,"")</f>
        <v>73051</v>
      </c>
      <c r="B62" s="10">
        <f t="array" ref="B62">IF(OR($A62="",1&gt;Controls!$B$6),"",ROUND(MAX(0,Smooth!B62*Controls!B$17*INDEX(Controls!$B$21:$H$21,1,WEEKDAY($A62,2))*(1+Controls!$B$11)^60*(1+Controls!G$25*Smooth!$L62)*(1+Controls!G$26*Smooth!$M62)*(1+Controls!G$27*Smooth!$N62)*(1+Controls!G$28*Smooth!$O62)),2))</f>
        <v>63.97</v>
      </c>
      <c r="C62" s="10">
        <f t="array" ref="C62">IF(OR($A62="",2&gt;Controls!$B$6),"",ROUND(MAX(0,Smooth!C62*Controls!C$17*INDEX(Controls!$B$21:$H$21,1,WEEKDAY($A62,2))*(1+Controls!$B$11)^60*(1+Controls!H$25*Smooth!$L62)*(1+Controls!H$26*Smooth!$M62)*(1+Controls!H$27*Smooth!$N62)*(1+Controls!H$28*Smooth!$O62)),2))</f>
        <v>44.49</v>
      </c>
      <c r="D62" s="10">
        <f t="array" ref="D62">IF(OR($A62="",3&gt;Controls!$B$6),"",ROUND(MAX(0,Smooth!D62*Controls!D$17*INDEX(Controls!$B$21:$H$21,1,WEEKDAY($A62,2))*(1+Controls!$B$11)^60*(1+Controls!I$25*Smooth!$L62)*(1+Controls!I$26*Smooth!$M62)*(1+Controls!I$27*Smooth!$N62)*(1+Controls!I$28*Smooth!$O62)),2))</f>
        <v>74.95</v>
      </c>
      <c r="E62" s="10" t="str">
        <f t="array" ref="E62">IF(OR($A62="",4&gt;Controls!$B$6),"",ROUND(MAX(0,Smooth!E62*Controls!E$17*INDEX(Controls!$B$21:$H$21,1,WEEKDAY($A62,2))*(1+Controls!$B$11)^60*(1+Controls!J$25*Smooth!$L62)*(1+Controls!J$26*Smooth!$M62)*(1+Controls!J$27*Smooth!$N62)*(1+Controls!J$28*Smooth!$O62)),2))</f>
        <v/>
      </c>
      <c r="F62" s="10" t="str">
        <f t="array" ref="F62">IF(OR($A62="",5&gt;Controls!$B$6),"",ROUND(MAX(0,Smooth!F62*Controls!F$17*INDEX(Controls!$B$21:$H$21,1,WEEKDAY($A62,2))*(1+Controls!$B$11)^60*(1+Controls!K$25*Smooth!$L62)*(1+Controls!K$26*Smooth!$M62)*(1+Controls!K$27*Smooth!$N62)*(1+Controls!K$28*Smooth!$O62)),2))</f>
        <v/>
      </c>
      <c r="G62" s="10" t="str">
        <f t="array" ref="G62">IF(OR($A62="",6&gt;Controls!$B$6),"",ROUND(MAX(0,Smooth!G62*Controls!G$17*INDEX(Controls!$B$21:$H$21,1,WEEKDAY($A62,2))*(1+Controls!$B$11)^60*(1+Controls!L$25*Smooth!$L62)*(1+Controls!L$26*Smooth!$M62)*(1+Controls!L$27*Smooth!$N62)*(1+Controls!L$28*Smooth!$O62)),2))</f>
        <v/>
      </c>
      <c r="H62" s="10" t="str">
        <f t="array" ref="H62">IF(OR($A62="",7&gt;Controls!$B$6),"",ROUND(MAX(0,Smooth!H62*Controls!H$17*INDEX(Controls!$B$21:$H$21,1,WEEKDAY($A62,2))*(1+Controls!$B$11)^60*(1+Controls!M$25*Smooth!$L62)*(1+Controls!M$26*Smooth!$M62)*(1+Controls!M$27*Smooth!$N62)*(1+Controls!M$28*Smooth!$O62)),2))</f>
        <v/>
      </c>
      <c r="I62" s="10" t="str">
        <f t="array" ref="I62">IF(OR($A62="",8&gt;Controls!$B$6),"",ROUND(MAX(0,Smooth!I62*Controls!I$17*INDEX(Controls!$B$21:$H$21,1,WEEKDAY($A62,2))*(1+Controls!$B$11)^60*(1+Controls!N$25*Smooth!$L62)*(1+Controls!N$26*Smooth!$M62)*(1+Controls!N$27*Smooth!$N62)*(1+Controls!N$28*Smooth!$O62)),2))</f>
        <v/>
      </c>
      <c r="J62" s="10" t="str">
        <f t="array" ref="J62">IF(OR($A62="",9&gt;Controls!$B$6),"",ROUND(MAX(0,Smooth!J62*Controls!J$17*INDEX(Controls!$B$21:$H$21,1,WEEKDAY($A62,2))*(1+Controls!$B$11)^60*(1+Controls!O$25*Smooth!$L62)*(1+Controls!O$26*Smooth!$M62)*(1+Controls!O$27*Smooth!$N62)*(1+Controls!O$28*Smooth!$O62)),2))</f>
        <v/>
      </c>
      <c r="K62" s="10" t="str">
        <f t="array" ref="K62">IF(OR($A62="",10&gt;Controls!$B$6),"",ROUND(MAX(0,Smooth!K62*Controls!K$17*INDEX(Controls!$B$21:$H$21,1,WEEKDAY($A62,2))*(1+Controls!$B$11)^60*(1+Controls!P$25*Smooth!$L62)*(1+Controls!P$26*Smooth!$M62)*(1+Controls!P$27*Smooth!$N62)*(1+Controls!P$28*Smooth!$O62)),2))</f>
        <v/>
      </c>
      <c r="L62" s="18">
        <f t="shared" si="1"/>
        <v>183.41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21.0" customHeight="1">
      <c r="A63" s="7">
        <f>IF(62&lt;=Controls!$B$5,Controls!$B$4+61,"")</f>
        <v>73052</v>
      </c>
      <c r="B63" s="10">
        <f t="array" ref="B63">IF(OR($A63="",1&gt;Controls!$B$6),"",ROUND(MAX(0,Smooth!B63*Controls!B$17*INDEX(Controls!$B$21:$H$21,1,WEEKDAY($A63,2))*(1+Controls!$B$11)^61*(1+Controls!G$25*Smooth!$L63)*(1+Controls!G$26*Smooth!$M63)*(1+Controls!G$27*Smooth!$N63)*(1+Controls!G$28*Smooth!$O63)),2))</f>
        <v>47.25</v>
      </c>
      <c r="C63" s="10">
        <f t="array" ref="C63">IF(OR($A63="",2&gt;Controls!$B$6),"",ROUND(MAX(0,Smooth!C63*Controls!C$17*INDEX(Controls!$B$21:$H$21,1,WEEKDAY($A63,2))*(1+Controls!$B$11)^61*(1+Controls!H$25*Smooth!$L63)*(1+Controls!H$26*Smooth!$M63)*(1+Controls!H$27*Smooth!$N63)*(1+Controls!H$28*Smooth!$O63)),2))</f>
        <v>31.38</v>
      </c>
      <c r="D63" s="10">
        <f t="array" ref="D63">IF(OR($A63="",3&gt;Controls!$B$6),"",ROUND(MAX(0,Smooth!D63*Controls!D$17*INDEX(Controls!$B$21:$H$21,1,WEEKDAY($A63,2))*(1+Controls!$B$11)^61*(1+Controls!I$25*Smooth!$L63)*(1+Controls!I$26*Smooth!$M63)*(1+Controls!I$27*Smooth!$N63)*(1+Controls!I$28*Smooth!$O63)),2))</f>
        <v>68.28</v>
      </c>
      <c r="E63" s="10" t="str">
        <f t="array" ref="E63">IF(OR($A63="",4&gt;Controls!$B$6),"",ROUND(MAX(0,Smooth!E63*Controls!E$17*INDEX(Controls!$B$21:$H$21,1,WEEKDAY($A63,2))*(1+Controls!$B$11)^61*(1+Controls!J$25*Smooth!$L63)*(1+Controls!J$26*Smooth!$M63)*(1+Controls!J$27*Smooth!$N63)*(1+Controls!J$28*Smooth!$O63)),2))</f>
        <v/>
      </c>
      <c r="F63" s="10" t="str">
        <f t="array" ref="F63">IF(OR($A63="",5&gt;Controls!$B$6),"",ROUND(MAX(0,Smooth!F63*Controls!F$17*INDEX(Controls!$B$21:$H$21,1,WEEKDAY($A63,2))*(1+Controls!$B$11)^61*(1+Controls!K$25*Smooth!$L63)*(1+Controls!K$26*Smooth!$M63)*(1+Controls!K$27*Smooth!$N63)*(1+Controls!K$28*Smooth!$O63)),2))</f>
        <v/>
      </c>
      <c r="G63" s="10" t="str">
        <f t="array" ref="G63">IF(OR($A63="",6&gt;Controls!$B$6),"",ROUND(MAX(0,Smooth!G63*Controls!G$17*INDEX(Controls!$B$21:$H$21,1,WEEKDAY($A63,2))*(1+Controls!$B$11)^61*(1+Controls!L$25*Smooth!$L63)*(1+Controls!L$26*Smooth!$M63)*(1+Controls!L$27*Smooth!$N63)*(1+Controls!L$28*Smooth!$O63)),2))</f>
        <v/>
      </c>
      <c r="H63" s="10" t="str">
        <f t="array" ref="H63">IF(OR($A63="",7&gt;Controls!$B$6),"",ROUND(MAX(0,Smooth!H63*Controls!H$17*INDEX(Controls!$B$21:$H$21,1,WEEKDAY($A63,2))*(1+Controls!$B$11)^61*(1+Controls!M$25*Smooth!$L63)*(1+Controls!M$26*Smooth!$M63)*(1+Controls!M$27*Smooth!$N63)*(1+Controls!M$28*Smooth!$O63)),2))</f>
        <v/>
      </c>
      <c r="I63" s="10" t="str">
        <f t="array" ref="I63">IF(OR($A63="",8&gt;Controls!$B$6),"",ROUND(MAX(0,Smooth!I63*Controls!I$17*INDEX(Controls!$B$21:$H$21,1,WEEKDAY($A63,2))*(1+Controls!$B$11)^61*(1+Controls!N$25*Smooth!$L63)*(1+Controls!N$26*Smooth!$M63)*(1+Controls!N$27*Smooth!$N63)*(1+Controls!N$28*Smooth!$O63)),2))</f>
        <v/>
      </c>
      <c r="J63" s="10" t="str">
        <f t="array" ref="J63">IF(OR($A63="",9&gt;Controls!$B$6),"",ROUND(MAX(0,Smooth!J63*Controls!J$17*INDEX(Controls!$B$21:$H$21,1,WEEKDAY($A63,2))*(1+Controls!$B$11)^61*(1+Controls!O$25*Smooth!$L63)*(1+Controls!O$26*Smooth!$M63)*(1+Controls!O$27*Smooth!$N63)*(1+Controls!O$28*Smooth!$O63)),2))</f>
        <v/>
      </c>
      <c r="K63" s="10" t="str">
        <f t="array" ref="K63">IF(OR($A63="",10&gt;Controls!$B$6),"",ROUND(MAX(0,Smooth!K63*Controls!K$17*INDEX(Controls!$B$21:$H$21,1,WEEKDAY($A63,2))*(1+Controls!$B$11)^61*(1+Controls!P$25*Smooth!$L63)*(1+Controls!P$26*Smooth!$M63)*(1+Controls!P$27*Smooth!$N63)*(1+Controls!P$28*Smooth!$O63)),2))</f>
        <v/>
      </c>
      <c r="L63" s="18">
        <f t="shared" si="1"/>
        <v>146.91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21.0" customHeight="1">
      <c r="A64" s="7">
        <f>IF(63&lt;=Controls!$B$5,Controls!$B$4+62,"")</f>
        <v>73053</v>
      </c>
      <c r="B64" s="10">
        <f t="array" ref="B64">IF(OR($A64="",1&gt;Controls!$B$6),"",ROUND(MAX(0,Smooth!B64*Controls!B$17*INDEX(Controls!$B$21:$H$21,1,WEEKDAY($A64,2))*(1+Controls!$B$11)^62*(1+Controls!G$25*Smooth!$L64)*(1+Controls!G$26*Smooth!$M64)*(1+Controls!G$27*Smooth!$N64)*(1+Controls!G$28*Smooth!$O64)),2))</f>
        <v>26.76</v>
      </c>
      <c r="C64" s="10">
        <f t="array" ref="C64">IF(OR($A64="",2&gt;Controls!$B$6),"",ROUND(MAX(0,Smooth!C64*Controls!C$17*INDEX(Controls!$B$21:$H$21,1,WEEKDAY($A64,2))*(1+Controls!$B$11)^62*(1+Controls!H$25*Smooth!$L64)*(1+Controls!H$26*Smooth!$M64)*(1+Controls!H$27*Smooth!$N64)*(1+Controls!H$28*Smooth!$O64)),2))</f>
        <v>16.59</v>
      </c>
      <c r="D64" s="10">
        <f t="array" ref="D64">IF(OR($A64="",3&gt;Controls!$B$6),"",ROUND(MAX(0,Smooth!D64*Controls!D$17*INDEX(Controls!$B$21:$H$21,1,WEEKDAY($A64,2))*(1+Controls!$B$11)^62*(1+Controls!I$25*Smooth!$L64)*(1+Controls!I$26*Smooth!$M64)*(1+Controls!I$27*Smooth!$N64)*(1+Controls!I$28*Smooth!$O64)),2))</f>
        <v>23.44</v>
      </c>
      <c r="E64" s="10" t="str">
        <f t="array" ref="E64">IF(OR($A64="",4&gt;Controls!$B$6),"",ROUND(MAX(0,Smooth!E64*Controls!E$17*INDEX(Controls!$B$21:$H$21,1,WEEKDAY($A64,2))*(1+Controls!$B$11)^62*(1+Controls!J$25*Smooth!$L64)*(1+Controls!J$26*Smooth!$M64)*(1+Controls!J$27*Smooth!$N64)*(1+Controls!J$28*Smooth!$O64)),2))</f>
        <v/>
      </c>
      <c r="F64" s="10" t="str">
        <f t="array" ref="F64">IF(OR($A64="",5&gt;Controls!$B$6),"",ROUND(MAX(0,Smooth!F64*Controls!F$17*INDEX(Controls!$B$21:$H$21,1,WEEKDAY($A64,2))*(1+Controls!$B$11)^62*(1+Controls!K$25*Smooth!$L64)*(1+Controls!K$26*Smooth!$M64)*(1+Controls!K$27*Smooth!$N64)*(1+Controls!K$28*Smooth!$O64)),2))</f>
        <v/>
      </c>
      <c r="G64" s="10" t="str">
        <f t="array" ref="G64">IF(OR($A64="",6&gt;Controls!$B$6),"",ROUND(MAX(0,Smooth!G64*Controls!G$17*INDEX(Controls!$B$21:$H$21,1,WEEKDAY($A64,2))*(1+Controls!$B$11)^62*(1+Controls!L$25*Smooth!$L64)*(1+Controls!L$26*Smooth!$M64)*(1+Controls!L$27*Smooth!$N64)*(1+Controls!L$28*Smooth!$O64)),2))</f>
        <v/>
      </c>
      <c r="H64" s="10" t="str">
        <f t="array" ref="H64">IF(OR($A64="",7&gt;Controls!$B$6),"",ROUND(MAX(0,Smooth!H64*Controls!H$17*INDEX(Controls!$B$21:$H$21,1,WEEKDAY($A64,2))*(1+Controls!$B$11)^62*(1+Controls!M$25*Smooth!$L64)*(1+Controls!M$26*Smooth!$M64)*(1+Controls!M$27*Smooth!$N64)*(1+Controls!M$28*Smooth!$O64)),2))</f>
        <v/>
      </c>
      <c r="I64" s="10" t="str">
        <f t="array" ref="I64">IF(OR($A64="",8&gt;Controls!$B$6),"",ROUND(MAX(0,Smooth!I64*Controls!I$17*INDEX(Controls!$B$21:$H$21,1,WEEKDAY($A64,2))*(1+Controls!$B$11)^62*(1+Controls!N$25*Smooth!$L64)*(1+Controls!N$26*Smooth!$M64)*(1+Controls!N$27*Smooth!$N64)*(1+Controls!N$28*Smooth!$O64)),2))</f>
        <v/>
      </c>
      <c r="J64" s="10" t="str">
        <f t="array" ref="J64">IF(OR($A64="",9&gt;Controls!$B$6),"",ROUND(MAX(0,Smooth!J64*Controls!J$17*INDEX(Controls!$B$21:$H$21,1,WEEKDAY($A64,2))*(1+Controls!$B$11)^62*(1+Controls!O$25*Smooth!$L64)*(1+Controls!O$26*Smooth!$M64)*(1+Controls!O$27*Smooth!$N64)*(1+Controls!O$28*Smooth!$O64)),2))</f>
        <v/>
      </c>
      <c r="K64" s="10" t="str">
        <f t="array" ref="K64">IF(OR($A64="",10&gt;Controls!$B$6),"",ROUND(MAX(0,Smooth!K64*Controls!K$17*INDEX(Controls!$B$21:$H$21,1,WEEKDAY($A64,2))*(1+Controls!$B$11)^62*(1+Controls!P$25*Smooth!$L64)*(1+Controls!P$26*Smooth!$M64)*(1+Controls!P$27*Smooth!$N64)*(1+Controls!P$28*Smooth!$O64)),2))</f>
        <v/>
      </c>
      <c r="L64" s="18">
        <f t="shared" si="1"/>
        <v>66.79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21.0" customHeight="1">
      <c r="A65" s="7">
        <f>IF(64&lt;=Controls!$B$5,Controls!$B$4+63,"")</f>
        <v>73054</v>
      </c>
      <c r="B65" s="10">
        <f t="array" ref="B65">IF(OR($A65="",1&gt;Controls!$B$6),"",ROUND(MAX(0,Smooth!B65*Controls!B$17*INDEX(Controls!$B$21:$H$21,1,WEEKDAY($A65,2))*(1+Controls!$B$11)^63*(1+Controls!G$25*Smooth!$L65)*(1+Controls!G$26*Smooth!$M65)*(1+Controls!G$27*Smooth!$N65)*(1+Controls!G$28*Smooth!$O65)),2))</f>
        <v>70.88</v>
      </c>
      <c r="C65" s="10">
        <f t="array" ref="C65">IF(OR($A65="",2&gt;Controls!$B$6),"",ROUND(MAX(0,Smooth!C65*Controls!C$17*INDEX(Controls!$B$21:$H$21,1,WEEKDAY($A65,2))*(1+Controls!$B$11)^63*(1+Controls!H$25*Smooth!$L65)*(1+Controls!H$26*Smooth!$M65)*(1+Controls!H$27*Smooth!$N65)*(1+Controls!H$28*Smooth!$O65)),2))</f>
        <v>52.73</v>
      </c>
      <c r="D65" s="10">
        <f t="array" ref="D65">IF(OR($A65="",3&gt;Controls!$B$6),"",ROUND(MAX(0,Smooth!D65*Controls!D$17*INDEX(Controls!$B$21:$H$21,1,WEEKDAY($A65,2))*(1+Controls!$B$11)^63*(1+Controls!I$25*Smooth!$L65)*(1+Controls!I$26*Smooth!$M65)*(1+Controls!I$27*Smooth!$N65)*(1+Controls!I$28*Smooth!$O65)),2))</f>
        <v>63.09</v>
      </c>
      <c r="E65" s="10" t="str">
        <f t="array" ref="E65">IF(OR($A65="",4&gt;Controls!$B$6),"",ROUND(MAX(0,Smooth!E65*Controls!E$17*INDEX(Controls!$B$21:$H$21,1,WEEKDAY($A65,2))*(1+Controls!$B$11)^63*(1+Controls!J$25*Smooth!$L65)*(1+Controls!J$26*Smooth!$M65)*(1+Controls!J$27*Smooth!$N65)*(1+Controls!J$28*Smooth!$O65)),2))</f>
        <v/>
      </c>
      <c r="F65" s="10" t="str">
        <f t="array" ref="F65">IF(OR($A65="",5&gt;Controls!$B$6),"",ROUND(MAX(0,Smooth!F65*Controls!F$17*INDEX(Controls!$B$21:$H$21,1,WEEKDAY($A65,2))*(1+Controls!$B$11)^63*(1+Controls!K$25*Smooth!$L65)*(1+Controls!K$26*Smooth!$M65)*(1+Controls!K$27*Smooth!$N65)*(1+Controls!K$28*Smooth!$O65)),2))</f>
        <v/>
      </c>
      <c r="G65" s="10" t="str">
        <f t="array" ref="G65">IF(OR($A65="",6&gt;Controls!$B$6),"",ROUND(MAX(0,Smooth!G65*Controls!G$17*INDEX(Controls!$B$21:$H$21,1,WEEKDAY($A65,2))*(1+Controls!$B$11)^63*(1+Controls!L$25*Smooth!$L65)*(1+Controls!L$26*Smooth!$M65)*(1+Controls!L$27*Smooth!$N65)*(1+Controls!L$28*Smooth!$O65)),2))</f>
        <v/>
      </c>
      <c r="H65" s="10" t="str">
        <f t="array" ref="H65">IF(OR($A65="",7&gt;Controls!$B$6),"",ROUND(MAX(0,Smooth!H65*Controls!H$17*INDEX(Controls!$B$21:$H$21,1,WEEKDAY($A65,2))*(1+Controls!$B$11)^63*(1+Controls!M$25*Smooth!$L65)*(1+Controls!M$26*Smooth!$M65)*(1+Controls!M$27*Smooth!$N65)*(1+Controls!M$28*Smooth!$O65)),2))</f>
        <v/>
      </c>
      <c r="I65" s="10" t="str">
        <f t="array" ref="I65">IF(OR($A65="",8&gt;Controls!$B$6),"",ROUND(MAX(0,Smooth!I65*Controls!I$17*INDEX(Controls!$B$21:$H$21,1,WEEKDAY($A65,2))*(1+Controls!$B$11)^63*(1+Controls!N$25*Smooth!$L65)*(1+Controls!N$26*Smooth!$M65)*(1+Controls!N$27*Smooth!$N65)*(1+Controls!N$28*Smooth!$O65)),2))</f>
        <v/>
      </c>
      <c r="J65" s="10" t="str">
        <f t="array" ref="J65">IF(OR($A65="",9&gt;Controls!$B$6),"",ROUND(MAX(0,Smooth!J65*Controls!J$17*INDEX(Controls!$B$21:$H$21,1,WEEKDAY($A65,2))*(1+Controls!$B$11)^63*(1+Controls!O$25*Smooth!$L65)*(1+Controls!O$26*Smooth!$M65)*(1+Controls!O$27*Smooth!$N65)*(1+Controls!O$28*Smooth!$O65)),2))</f>
        <v/>
      </c>
      <c r="K65" s="10" t="str">
        <f t="array" ref="K65">IF(OR($A65="",10&gt;Controls!$B$6),"",ROUND(MAX(0,Smooth!K65*Controls!K$17*INDEX(Controls!$B$21:$H$21,1,WEEKDAY($A65,2))*(1+Controls!$B$11)^63*(1+Controls!P$25*Smooth!$L65)*(1+Controls!P$26*Smooth!$M65)*(1+Controls!P$27*Smooth!$N65)*(1+Controls!P$28*Smooth!$O65)),2))</f>
        <v/>
      </c>
      <c r="L65" s="18">
        <f t="shared" si="1"/>
        <v>186.7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21.0" customHeight="1">
      <c r="A66" s="7">
        <f>IF(65&lt;=Controls!$B$5,Controls!$B$4+64,"")</f>
        <v>73055</v>
      </c>
      <c r="B66" s="10">
        <f t="array" ref="B66">IF(OR($A66="",1&gt;Controls!$B$6),"",ROUND(MAX(0,Smooth!B66*Controls!B$17*INDEX(Controls!$B$21:$H$21,1,WEEKDAY($A66,2))*(1+Controls!$B$11)^64*(1+Controls!G$25*Smooth!$L66)*(1+Controls!G$26*Smooth!$M66)*(1+Controls!G$27*Smooth!$N66)*(1+Controls!G$28*Smooth!$O66)),2))</f>
        <v>67.15</v>
      </c>
      <c r="C66" s="10">
        <f t="array" ref="C66">IF(OR($A66="",2&gt;Controls!$B$6),"",ROUND(MAX(0,Smooth!C66*Controls!C$17*INDEX(Controls!$B$21:$H$21,1,WEEKDAY($A66,2))*(1+Controls!$B$11)^64*(1+Controls!H$25*Smooth!$L66)*(1+Controls!H$26*Smooth!$M66)*(1+Controls!H$27*Smooth!$N66)*(1+Controls!H$28*Smooth!$O66)),2))</f>
        <v>41.74</v>
      </c>
      <c r="D66" s="10">
        <f t="array" ref="D66">IF(OR($A66="",3&gt;Controls!$B$6),"",ROUND(MAX(0,Smooth!D66*Controls!D$17*INDEX(Controls!$B$21:$H$21,1,WEEKDAY($A66,2))*(1+Controls!$B$11)^64*(1+Controls!I$25*Smooth!$L66)*(1+Controls!I$26*Smooth!$M66)*(1+Controls!I$27*Smooth!$N66)*(1+Controls!I$28*Smooth!$O66)),2))</f>
        <v>70.39</v>
      </c>
      <c r="E66" s="10" t="str">
        <f t="array" ref="E66">IF(OR($A66="",4&gt;Controls!$B$6),"",ROUND(MAX(0,Smooth!E66*Controls!E$17*INDEX(Controls!$B$21:$H$21,1,WEEKDAY($A66,2))*(1+Controls!$B$11)^64*(1+Controls!J$25*Smooth!$L66)*(1+Controls!J$26*Smooth!$M66)*(1+Controls!J$27*Smooth!$N66)*(1+Controls!J$28*Smooth!$O66)),2))</f>
        <v/>
      </c>
      <c r="F66" s="10" t="str">
        <f t="array" ref="F66">IF(OR($A66="",5&gt;Controls!$B$6),"",ROUND(MAX(0,Smooth!F66*Controls!F$17*INDEX(Controls!$B$21:$H$21,1,WEEKDAY($A66,2))*(1+Controls!$B$11)^64*(1+Controls!K$25*Smooth!$L66)*(1+Controls!K$26*Smooth!$M66)*(1+Controls!K$27*Smooth!$N66)*(1+Controls!K$28*Smooth!$O66)),2))</f>
        <v/>
      </c>
      <c r="G66" s="10" t="str">
        <f t="array" ref="G66">IF(OR($A66="",6&gt;Controls!$B$6),"",ROUND(MAX(0,Smooth!G66*Controls!G$17*INDEX(Controls!$B$21:$H$21,1,WEEKDAY($A66,2))*(1+Controls!$B$11)^64*(1+Controls!L$25*Smooth!$L66)*(1+Controls!L$26*Smooth!$M66)*(1+Controls!L$27*Smooth!$N66)*(1+Controls!L$28*Smooth!$O66)),2))</f>
        <v/>
      </c>
      <c r="H66" s="10" t="str">
        <f t="array" ref="H66">IF(OR($A66="",7&gt;Controls!$B$6),"",ROUND(MAX(0,Smooth!H66*Controls!H$17*INDEX(Controls!$B$21:$H$21,1,WEEKDAY($A66,2))*(1+Controls!$B$11)^64*(1+Controls!M$25*Smooth!$L66)*(1+Controls!M$26*Smooth!$M66)*(1+Controls!M$27*Smooth!$N66)*(1+Controls!M$28*Smooth!$O66)),2))</f>
        <v/>
      </c>
      <c r="I66" s="10" t="str">
        <f t="array" ref="I66">IF(OR($A66="",8&gt;Controls!$B$6),"",ROUND(MAX(0,Smooth!I66*Controls!I$17*INDEX(Controls!$B$21:$H$21,1,WEEKDAY($A66,2))*(1+Controls!$B$11)^64*(1+Controls!N$25*Smooth!$L66)*(1+Controls!N$26*Smooth!$M66)*(1+Controls!N$27*Smooth!$N66)*(1+Controls!N$28*Smooth!$O66)),2))</f>
        <v/>
      </c>
      <c r="J66" s="10" t="str">
        <f t="array" ref="J66">IF(OR($A66="",9&gt;Controls!$B$6),"",ROUND(MAX(0,Smooth!J66*Controls!J$17*INDEX(Controls!$B$21:$H$21,1,WEEKDAY($A66,2))*(1+Controls!$B$11)^64*(1+Controls!O$25*Smooth!$L66)*(1+Controls!O$26*Smooth!$M66)*(1+Controls!O$27*Smooth!$N66)*(1+Controls!O$28*Smooth!$O66)),2))</f>
        <v/>
      </c>
      <c r="K66" s="10" t="str">
        <f t="array" ref="K66">IF(OR($A66="",10&gt;Controls!$B$6),"",ROUND(MAX(0,Smooth!K66*Controls!K$17*INDEX(Controls!$B$21:$H$21,1,WEEKDAY($A66,2))*(1+Controls!$B$11)^64*(1+Controls!P$25*Smooth!$L66)*(1+Controls!P$26*Smooth!$M66)*(1+Controls!P$27*Smooth!$N66)*(1+Controls!P$28*Smooth!$O66)),2))</f>
        <v/>
      </c>
      <c r="L66" s="18">
        <f t="shared" si="1"/>
        <v>179.28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21.0" customHeight="1">
      <c r="A67" s="7">
        <f>IF(66&lt;=Controls!$B$5,Controls!$B$4+65,"")</f>
        <v>73056</v>
      </c>
      <c r="B67" s="10">
        <f t="array" ref="B67">IF(OR($A67="",1&gt;Controls!$B$6),"",ROUND(MAX(0,Smooth!B67*Controls!B$17*INDEX(Controls!$B$21:$H$21,1,WEEKDAY($A67,2))*(1+Controls!$B$11)^65*(1+Controls!G$25*Smooth!$L67)*(1+Controls!G$26*Smooth!$M67)*(1+Controls!G$27*Smooth!$N67)*(1+Controls!G$28*Smooth!$O67)),2))</f>
        <v>67.19</v>
      </c>
      <c r="C67" s="10">
        <f t="array" ref="C67">IF(OR($A67="",2&gt;Controls!$B$6),"",ROUND(MAX(0,Smooth!C67*Controls!C$17*INDEX(Controls!$B$21:$H$21,1,WEEKDAY($A67,2))*(1+Controls!$B$11)^65*(1+Controls!H$25*Smooth!$L67)*(1+Controls!H$26*Smooth!$M67)*(1+Controls!H$27*Smooth!$N67)*(1+Controls!H$28*Smooth!$O67)),2))</f>
        <v>35.28</v>
      </c>
      <c r="D67" s="10">
        <f t="array" ref="D67">IF(OR($A67="",3&gt;Controls!$B$6),"",ROUND(MAX(0,Smooth!D67*Controls!D$17*INDEX(Controls!$B$21:$H$21,1,WEEKDAY($A67,2))*(1+Controls!$B$11)^65*(1+Controls!I$25*Smooth!$L67)*(1+Controls!I$26*Smooth!$M67)*(1+Controls!I$27*Smooth!$N67)*(1+Controls!I$28*Smooth!$O67)),2))</f>
        <v>72.17</v>
      </c>
      <c r="E67" s="10" t="str">
        <f t="array" ref="E67">IF(OR($A67="",4&gt;Controls!$B$6),"",ROUND(MAX(0,Smooth!E67*Controls!E$17*INDEX(Controls!$B$21:$H$21,1,WEEKDAY($A67,2))*(1+Controls!$B$11)^65*(1+Controls!J$25*Smooth!$L67)*(1+Controls!J$26*Smooth!$M67)*(1+Controls!J$27*Smooth!$N67)*(1+Controls!J$28*Smooth!$O67)),2))</f>
        <v/>
      </c>
      <c r="F67" s="10" t="str">
        <f t="array" ref="F67">IF(OR($A67="",5&gt;Controls!$B$6),"",ROUND(MAX(0,Smooth!F67*Controls!F$17*INDEX(Controls!$B$21:$H$21,1,WEEKDAY($A67,2))*(1+Controls!$B$11)^65*(1+Controls!K$25*Smooth!$L67)*(1+Controls!K$26*Smooth!$M67)*(1+Controls!K$27*Smooth!$N67)*(1+Controls!K$28*Smooth!$O67)),2))</f>
        <v/>
      </c>
      <c r="G67" s="10" t="str">
        <f t="array" ref="G67">IF(OR($A67="",6&gt;Controls!$B$6),"",ROUND(MAX(0,Smooth!G67*Controls!G$17*INDEX(Controls!$B$21:$H$21,1,WEEKDAY($A67,2))*(1+Controls!$B$11)^65*(1+Controls!L$25*Smooth!$L67)*(1+Controls!L$26*Smooth!$M67)*(1+Controls!L$27*Smooth!$N67)*(1+Controls!L$28*Smooth!$O67)),2))</f>
        <v/>
      </c>
      <c r="H67" s="10" t="str">
        <f t="array" ref="H67">IF(OR($A67="",7&gt;Controls!$B$6),"",ROUND(MAX(0,Smooth!H67*Controls!H$17*INDEX(Controls!$B$21:$H$21,1,WEEKDAY($A67,2))*(1+Controls!$B$11)^65*(1+Controls!M$25*Smooth!$L67)*(1+Controls!M$26*Smooth!$M67)*(1+Controls!M$27*Smooth!$N67)*(1+Controls!M$28*Smooth!$O67)),2))</f>
        <v/>
      </c>
      <c r="I67" s="10" t="str">
        <f t="array" ref="I67">IF(OR($A67="",8&gt;Controls!$B$6),"",ROUND(MAX(0,Smooth!I67*Controls!I$17*INDEX(Controls!$B$21:$H$21,1,WEEKDAY($A67,2))*(1+Controls!$B$11)^65*(1+Controls!N$25*Smooth!$L67)*(1+Controls!N$26*Smooth!$M67)*(1+Controls!N$27*Smooth!$N67)*(1+Controls!N$28*Smooth!$O67)),2))</f>
        <v/>
      </c>
      <c r="J67" s="10" t="str">
        <f t="array" ref="J67">IF(OR($A67="",9&gt;Controls!$B$6),"",ROUND(MAX(0,Smooth!J67*Controls!J$17*INDEX(Controls!$B$21:$H$21,1,WEEKDAY($A67,2))*(1+Controls!$B$11)^65*(1+Controls!O$25*Smooth!$L67)*(1+Controls!O$26*Smooth!$M67)*(1+Controls!O$27*Smooth!$N67)*(1+Controls!O$28*Smooth!$O67)),2))</f>
        <v/>
      </c>
      <c r="K67" s="10" t="str">
        <f t="array" ref="K67">IF(OR($A67="",10&gt;Controls!$B$6),"",ROUND(MAX(0,Smooth!K67*Controls!K$17*INDEX(Controls!$B$21:$H$21,1,WEEKDAY($A67,2))*(1+Controls!$B$11)^65*(1+Controls!P$25*Smooth!$L67)*(1+Controls!P$26*Smooth!$M67)*(1+Controls!P$27*Smooth!$N67)*(1+Controls!P$28*Smooth!$O67)),2))</f>
        <v/>
      </c>
      <c r="L67" s="18">
        <f t="shared" si="1"/>
        <v>174.64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1.0" customHeight="1">
      <c r="A68" s="7">
        <f>IF(67&lt;=Controls!$B$5,Controls!$B$4+66,"")</f>
        <v>73057</v>
      </c>
      <c r="B68" s="10">
        <f t="array" ref="B68">IF(OR($A68="",1&gt;Controls!$B$6),"",ROUND(MAX(0,Smooth!B68*Controls!B$17*INDEX(Controls!$B$21:$H$21,1,WEEKDAY($A68,2))*(1+Controls!$B$11)^66*(1+Controls!G$25*Smooth!$L68)*(1+Controls!G$26*Smooth!$M68)*(1+Controls!G$27*Smooth!$N68)*(1+Controls!G$28*Smooth!$O68)),2))</f>
        <v>62.73</v>
      </c>
      <c r="C68" s="10">
        <f t="array" ref="C68">IF(OR($A68="",2&gt;Controls!$B$6),"",ROUND(MAX(0,Smooth!C68*Controls!C$17*INDEX(Controls!$B$21:$H$21,1,WEEKDAY($A68,2))*(1+Controls!$B$11)^66*(1+Controls!H$25*Smooth!$L68)*(1+Controls!H$26*Smooth!$M68)*(1+Controls!H$27*Smooth!$N68)*(1+Controls!H$28*Smooth!$O68)),2))</f>
        <v>46.31</v>
      </c>
      <c r="D68" s="10">
        <f t="array" ref="D68">IF(OR($A68="",3&gt;Controls!$B$6),"",ROUND(MAX(0,Smooth!D68*Controls!D$17*INDEX(Controls!$B$21:$H$21,1,WEEKDAY($A68,2))*(1+Controls!$B$11)^66*(1+Controls!I$25*Smooth!$L68)*(1+Controls!I$26*Smooth!$M68)*(1+Controls!I$27*Smooth!$N68)*(1+Controls!I$28*Smooth!$O68)),2))</f>
        <v>88.29</v>
      </c>
      <c r="E68" s="10" t="str">
        <f t="array" ref="E68">IF(OR($A68="",4&gt;Controls!$B$6),"",ROUND(MAX(0,Smooth!E68*Controls!E$17*INDEX(Controls!$B$21:$H$21,1,WEEKDAY($A68,2))*(1+Controls!$B$11)^66*(1+Controls!J$25*Smooth!$L68)*(1+Controls!J$26*Smooth!$M68)*(1+Controls!J$27*Smooth!$N68)*(1+Controls!J$28*Smooth!$O68)),2))</f>
        <v/>
      </c>
      <c r="F68" s="10" t="str">
        <f t="array" ref="F68">IF(OR($A68="",5&gt;Controls!$B$6),"",ROUND(MAX(0,Smooth!F68*Controls!F$17*INDEX(Controls!$B$21:$H$21,1,WEEKDAY($A68,2))*(1+Controls!$B$11)^66*(1+Controls!K$25*Smooth!$L68)*(1+Controls!K$26*Smooth!$M68)*(1+Controls!K$27*Smooth!$N68)*(1+Controls!K$28*Smooth!$O68)),2))</f>
        <v/>
      </c>
      <c r="G68" s="10" t="str">
        <f t="array" ref="G68">IF(OR($A68="",6&gt;Controls!$B$6),"",ROUND(MAX(0,Smooth!G68*Controls!G$17*INDEX(Controls!$B$21:$H$21,1,WEEKDAY($A68,2))*(1+Controls!$B$11)^66*(1+Controls!L$25*Smooth!$L68)*(1+Controls!L$26*Smooth!$M68)*(1+Controls!L$27*Smooth!$N68)*(1+Controls!L$28*Smooth!$O68)),2))</f>
        <v/>
      </c>
      <c r="H68" s="10" t="str">
        <f t="array" ref="H68">IF(OR($A68="",7&gt;Controls!$B$6),"",ROUND(MAX(0,Smooth!H68*Controls!H$17*INDEX(Controls!$B$21:$H$21,1,WEEKDAY($A68,2))*(1+Controls!$B$11)^66*(1+Controls!M$25*Smooth!$L68)*(1+Controls!M$26*Smooth!$M68)*(1+Controls!M$27*Smooth!$N68)*(1+Controls!M$28*Smooth!$O68)),2))</f>
        <v/>
      </c>
      <c r="I68" s="10" t="str">
        <f t="array" ref="I68">IF(OR($A68="",8&gt;Controls!$B$6),"",ROUND(MAX(0,Smooth!I68*Controls!I$17*INDEX(Controls!$B$21:$H$21,1,WEEKDAY($A68,2))*(1+Controls!$B$11)^66*(1+Controls!N$25*Smooth!$L68)*(1+Controls!N$26*Smooth!$M68)*(1+Controls!N$27*Smooth!$N68)*(1+Controls!N$28*Smooth!$O68)),2))</f>
        <v/>
      </c>
      <c r="J68" s="10" t="str">
        <f t="array" ref="J68">IF(OR($A68="",9&gt;Controls!$B$6),"",ROUND(MAX(0,Smooth!J68*Controls!J$17*INDEX(Controls!$B$21:$H$21,1,WEEKDAY($A68,2))*(1+Controls!$B$11)^66*(1+Controls!O$25*Smooth!$L68)*(1+Controls!O$26*Smooth!$M68)*(1+Controls!O$27*Smooth!$N68)*(1+Controls!O$28*Smooth!$O68)),2))</f>
        <v/>
      </c>
      <c r="K68" s="10" t="str">
        <f t="array" ref="K68">IF(OR($A68="",10&gt;Controls!$B$6),"",ROUND(MAX(0,Smooth!K68*Controls!K$17*INDEX(Controls!$B$21:$H$21,1,WEEKDAY($A68,2))*(1+Controls!$B$11)^66*(1+Controls!P$25*Smooth!$L68)*(1+Controls!P$26*Smooth!$M68)*(1+Controls!P$27*Smooth!$N68)*(1+Controls!P$28*Smooth!$O68)),2))</f>
        <v/>
      </c>
      <c r="L68" s="18">
        <f t="shared" si="1"/>
        <v>197.33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21.0" customHeight="1">
      <c r="A69" s="7">
        <f>IF(68&lt;=Controls!$B$5,Controls!$B$4+67,"")</f>
        <v>73058</v>
      </c>
      <c r="B69" s="10">
        <f t="array" ref="B69">IF(OR($A69="",1&gt;Controls!$B$6),"",ROUND(MAX(0,Smooth!B69*Controls!B$17*INDEX(Controls!$B$21:$H$21,1,WEEKDAY($A69,2))*(1+Controls!$B$11)^67*(1+Controls!G$25*Smooth!$L69)*(1+Controls!G$26*Smooth!$M69)*(1+Controls!G$27*Smooth!$N69)*(1+Controls!G$28*Smooth!$O69)),2))</f>
        <v>70.57</v>
      </c>
      <c r="C69" s="10">
        <f t="array" ref="C69">IF(OR($A69="",2&gt;Controls!$B$6),"",ROUND(MAX(0,Smooth!C69*Controls!C$17*INDEX(Controls!$B$21:$H$21,1,WEEKDAY($A69,2))*(1+Controls!$B$11)^67*(1+Controls!H$25*Smooth!$L69)*(1+Controls!H$26*Smooth!$M69)*(1+Controls!H$27*Smooth!$N69)*(1+Controls!H$28*Smooth!$O69)),2))</f>
        <v>52.04</v>
      </c>
      <c r="D69" s="10">
        <f t="array" ref="D69">IF(OR($A69="",3&gt;Controls!$B$6),"",ROUND(MAX(0,Smooth!D69*Controls!D$17*INDEX(Controls!$B$21:$H$21,1,WEEKDAY($A69,2))*(1+Controls!$B$11)^67*(1+Controls!I$25*Smooth!$L69)*(1+Controls!I$26*Smooth!$M69)*(1+Controls!I$27*Smooth!$N69)*(1+Controls!I$28*Smooth!$O69)),2))</f>
        <v>104.85</v>
      </c>
      <c r="E69" s="10" t="str">
        <f t="array" ref="E69">IF(OR($A69="",4&gt;Controls!$B$6),"",ROUND(MAX(0,Smooth!E69*Controls!E$17*INDEX(Controls!$B$21:$H$21,1,WEEKDAY($A69,2))*(1+Controls!$B$11)^67*(1+Controls!J$25*Smooth!$L69)*(1+Controls!J$26*Smooth!$M69)*(1+Controls!J$27*Smooth!$N69)*(1+Controls!J$28*Smooth!$O69)),2))</f>
        <v/>
      </c>
      <c r="F69" s="10" t="str">
        <f t="array" ref="F69">IF(OR($A69="",5&gt;Controls!$B$6),"",ROUND(MAX(0,Smooth!F69*Controls!F$17*INDEX(Controls!$B$21:$H$21,1,WEEKDAY($A69,2))*(1+Controls!$B$11)^67*(1+Controls!K$25*Smooth!$L69)*(1+Controls!K$26*Smooth!$M69)*(1+Controls!K$27*Smooth!$N69)*(1+Controls!K$28*Smooth!$O69)),2))</f>
        <v/>
      </c>
      <c r="G69" s="10" t="str">
        <f t="array" ref="G69">IF(OR($A69="",6&gt;Controls!$B$6),"",ROUND(MAX(0,Smooth!G69*Controls!G$17*INDEX(Controls!$B$21:$H$21,1,WEEKDAY($A69,2))*(1+Controls!$B$11)^67*(1+Controls!L$25*Smooth!$L69)*(1+Controls!L$26*Smooth!$M69)*(1+Controls!L$27*Smooth!$N69)*(1+Controls!L$28*Smooth!$O69)),2))</f>
        <v/>
      </c>
      <c r="H69" s="10" t="str">
        <f t="array" ref="H69">IF(OR($A69="",7&gt;Controls!$B$6),"",ROUND(MAX(0,Smooth!H69*Controls!H$17*INDEX(Controls!$B$21:$H$21,1,WEEKDAY($A69,2))*(1+Controls!$B$11)^67*(1+Controls!M$25*Smooth!$L69)*(1+Controls!M$26*Smooth!$M69)*(1+Controls!M$27*Smooth!$N69)*(1+Controls!M$28*Smooth!$O69)),2))</f>
        <v/>
      </c>
      <c r="I69" s="10" t="str">
        <f t="array" ref="I69">IF(OR($A69="",8&gt;Controls!$B$6),"",ROUND(MAX(0,Smooth!I69*Controls!I$17*INDEX(Controls!$B$21:$H$21,1,WEEKDAY($A69,2))*(1+Controls!$B$11)^67*(1+Controls!N$25*Smooth!$L69)*(1+Controls!N$26*Smooth!$M69)*(1+Controls!N$27*Smooth!$N69)*(1+Controls!N$28*Smooth!$O69)),2))</f>
        <v/>
      </c>
      <c r="J69" s="10" t="str">
        <f t="array" ref="J69">IF(OR($A69="",9&gt;Controls!$B$6),"",ROUND(MAX(0,Smooth!J69*Controls!J$17*INDEX(Controls!$B$21:$H$21,1,WEEKDAY($A69,2))*(1+Controls!$B$11)^67*(1+Controls!O$25*Smooth!$L69)*(1+Controls!O$26*Smooth!$M69)*(1+Controls!O$27*Smooth!$N69)*(1+Controls!O$28*Smooth!$O69)),2))</f>
        <v/>
      </c>
      <c r="K69" s="10" t="str">
        <f t="array" ref="K69">IF(OR($A69="",10&gt;Controls!$B$6),"",ROUND(MAX(0,Smooth!K69*Controls!K$17*INDEX(Controls!$B$21:$H$21,1,WEEKDAY($A69,2))*(1+Controls!$B$11)^67*(1+Controls!P$25*Smooth!$L69)*(1+Controls!P$26*Smooth!$M69)*(1+Controls!P$27*Smooth!$N69)*(1+Controls!P$28*Smooth!$O69)),2))</f>
        <v/>
      </c>
      <c r="L69" s="18">
        <f t="shared" si="1"/>
        <v>227.46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21.0" customHeight="1">
      <c r="A70" s="7">
        <f>IF(69&lt;=Controls!$B$5,Controls!$B$4+68,"")</f>
        <v>73059</v>
      </c>
      <c r="B70" s="10">
        <f t="array" ref="B70">IF(OR($A70="",1&gt;Controls!$B$6),"",ROUND(MAX(0,Smooth!B70*Controls!B$17*INDEX(Controls!$B$21:$H$21,1,WEEKDAY($A70,2))*(1+Controls!$B$11)^68*(1+Controls!G$25*Smooth!$L70)*(1+Controls!G$26*Smooth!$M70)*(1+Controls!G$27*Smooth!$N70)*(1+Controls!G$28*Smooth!$O70)),2))</f>
        <v>46</v>
      </c>
      <c r="C70" s="10">
        <f t="array" ref="C70">IF(OR($A70="",2&gt;Controls!$B$6),"",ROUND(MAX(0,Smooth!C70*Controls!C$17*INDEX(Controls!$B$21:$H$21,1,WEEKDAY($A70,2))*(1+Controls!$B$11)^68*(1+Controls!H$25*Smooth!$L70)*(1+Controls!H$26*Smooth!$M70)*(1+Controls!H$27*Smooth!$N70)*(1+Controls!H$28*Smooth!$O70)),2))</f>
        <v>45.08</v>
      </c>
      <c r="D70" s="10">
        <f t="array" ref="D70">IF(OR($A70="",3&gt;Controls!$B$6),"",ROUND(MAX(0,Smooth!D70*Controls!D$17*INDEX(Controls!$B$21:$H$21,1,WEEKDAY($A70,2))*(1+Controls!$B$11)^68*(1+Controls!I$25*Smooth!$L70)*(1+Controls!I$26*Smooth!$M70)*(1+Controls!I$27*Smooth!$N70)*(1+Controls!I$28*Smooth!$O70)),2))</f>
        <v>66.59</v>
      </c>
      <c r="E70" s="10" t="str">
        <f t="array" ref="E70">IF(OR($A70="",4&gt;Controls!$B$6),"",ROUND(MAX(0,Smooth!E70*Controls!E$17*INDEX(Controls!$B$21:$H$21,1,WEEKDAY($A70,2))*(1+Controls!$B$11)^68*(1+Controls!J$25*Smooth!$L70)*(1+Controls!J$26*Smooth!$M70)*(1+Controls!J$27*Smooth!$N70)*(1+Controls!J$28*Smooth!$O70)),2))</f>
        <v/>
      </c>
      <c r="F70" s="10" t="str">
        <f t="array" ref="F70">IF(OR($A70="",5&gt;Controls!$B$6),"",ROUND(MAX(0,Smooth!F70*Controls!F$17*INDEX(Controls!$B$21:$H$21,1,WEEKDAY($A70,2))*(1+Controls!$B$11)^68*(1+Controls!K$25*Smooth!$L70)*(1+Controls!K$26*Smooth!$M70)*(1+Controls!K$27*Smooth!$N70)*(1+Controls!K$28*Smooth!$O70)),2))</f>
        <v/>
      </c>
      <c r="G70" s="10" t="str">
        <f t="array" ref="G70">IF(OR($A70="",6&gt;Controls!$B$6),"",ROUND(MAX(0,Smooth!G70*Controls!G$17*INDEX(Controls!$B$21:$H$21,1,WEEKDAY($A70,2))*(1+Controls!$B$11)^68*(1+Controls!L$25*Smooth!$L70)*(1+Controls!L$26*Smooth!$M70)*(1+Controls!L$27*Smooth!$N70)*(1+Controls!L$28*Smooth!$O70)),2))</f>
        <v/>
      </c>
      <c r="H70" s="10" t="str">
        <f t="array" ref="H70">IF(OR($A70="",7&gt;Controls!$B$6),"",ROUND(MAX(0,Smooth!H70*Controls!H$17*INDEX(Controls!$B$21:$H$21,1,WEEKDAY($A70,2))*(1+Controls!$B$11)^68*(1+Controls!M$25*Smooth!$L70)*(1+Controls!M$26*Smooth!$M70)*(1+Controls!M$27*Smooth!$N70)*(1+Controls!M$28*Smooth!$O70)),2))</f>
        <v/>
      </c>
      <c r="I70" s="10" t="str">
        <f t="array" ref="I70">IF(OR($A70="",8&gt;Controls!$B$6),"",ROUND(MAX(0,Smooth!I70*Controls!I$17*INDEX(Controls!$B$21:$H$21,1,WEEKDAY($A70,2))*(1+Controls!$B$11)^68*(1+Controls!N$25*Smooth!$L70)*(1+Controls!N$26*Smooth!$M70)*(1+Controls!N$27*Smooth!$N70)*(1+Controls!N$28*Smooth!$O70)),2))</f>
        <v/>
      </c>
      <c r="J70" s="10" t="str">
        <f t="array" ref="J70">IF(OR($A70="",9&gt;Controls!$B$6),"",ROUND(MAX(0,Smooth!J70*Controls!J$17*INDEX(Controls!$B$21:$H$21,1,WEEKDAY($A70,2))*(1+Controls!$B$11)^68*(1+Controls!O$25*Smooth!$L70)*(1+Controls!O$26*Smooth!$M70)*(1+Controls!O$27*Smooth!$N70)*(1+Controls!O$28*Smooth!$O70)),2))</f>
        <v/>
      </c>
      <c r="K70" s="10" t="str">
        <f t="array" ref="K70">IF(OR($A70="",10&gt;Controls!$B$6),"",ROUND(MAX(0,Smooth!K70*Controls!K$17*INDEX(Controls!$B$21:$H$21,1,WEEKDAY($A70,2))*(1+Controls!$B$11)^68*(1+Controls!P$25*Smooth!$L70)*(1+Controls!P$26*Smooth!$M70)*(1+Controls!P$27*Smooth!$N70)*(1+Controls!P$28*Smooth!$O70)),2))</f>
        <v/>
      </c>
      <c r="L70" s="18">
        <f t="shared" si="1"/>
        <v>157.67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21.0" customHeight="1">
      <c r="A71" s="7">
        <f>IF(70&lt;=Controls!$B$5,Controls!$B$4+69,"")</f>
        <v>73060</v>
      </c>
      <c r="B71" s="10">
        <f t="array" ref="B71">IF(OR($A71="",1&gt;Controls!$B$6),"",ROUND(MAX(0,Smooth!B71*Controls!B$17*INDEX(Controls!$B$21:$H$21,1,WEEKDAY($A71,2))*(1+Controls!$B$11)^69*(1+Controls!G$25*Smooth!$L71)*(1+Controls!G$26*Smooth!$M71)*(1+Controls!G$27*Smooth!$N71)*(1+Controls!G$28*Smooth!$O71)),2))</f>
        <v>22.08</v>
      </c>
      <c r="C71" s="10">
        <f t="array" ref="C71">IF(OR($A71="",2&gt;Controls!$B$6),"",ROUND(MAX(0,Smooth!C71*Controls!C$17*INDEX(Controls!$B$21:$H$21,1,WEEKDAY($A71,2))*(1+Controls!$B$11)^69*(1+Controls!H$25*Smooth!$L71)*(1+Controls!H$26*Smooth!$M71)*(1+Controls!H$27*Smooth!$N71)*(1+Controls!H$28*Smooth!$O71)),2))</f>
        <v>20.46</v>
      </c>
      <c r="D71" s="10">
        <f t="array" ref="D71">IF(OR($A71="",3&gt;Controls!$B$6),"",ROUND(MAX(0,Smooth!D71*Controls!D$17*INDEX(Controls!$B$21:$H$21,1,WEEKDAY($A71,2))*(1+Controls!$B$11)^69*(1+Controls!I$25*Smooth!$L71)*(1+Controls!I$26*Smooth!$M71)*(1+Controls!I$27*Smooth!$N71)*(1+Controls!I$28*Smooth!$O71)),2))</f>
        <v>37.45</v>
      </c>
      <c r="E71" s="10" t="str">
        <f t="array" ref="E71">IF(OR($A71="",4&gt;Controls!$B$6),"",ROUND(MAX(0,Smooth!E71*Controls!E$17*INDEX(Controls!$B$21:$H$21,1,WEEKDAY($A71,2))*(1+Controls!$B$11)^69*(1+Controls!J$25*Smooth!$L71)*(1+Controls!J$26*Smooth!$M71)*(1+Controls!J$27*Smooth!$N71)*(1+Controls!J$28*Smooth!$O71)),2))</f>
        <v/>
      </c>
      <c r="F71" s="10" t="str">
        <f t="array" ref="F71">IF(OR($A71="",5&gt;Controls!$B$6),"",ROUND(MAX(0,Smooth!F71*Controls!F$17*INDEX(Controls!$B$21:$H$21,1,WEEKDAY($A71,2))*(1+Controls!$B$11)^69*(1+Controls!K$25*Smooth!$L71)*(1+Controls!K$26*Smooth!$M71)*(1+Controls!K$27*Smooth!$N71)*(1+Controls!K$28*Smooth!$O71)),2))</f>
        <v/>
      </c>
      <c r="G71" s="10" t="str">
        <f t="array" ref="G71">IF(OR($A71="",6&gt;Controls!$B$6),"",ROUND(MAX(0,Smooth!G71*Controls!G$17*INDEX(Controls!$B$21:$H$21,1,WEEKDAY($A71,2))*(1+Controls!$B$11)^69*(1+Controls!L$25*Smooth!$L71)*(1+Controls!L$26*Smooth!$M71)*(1+Controls!L$27*Smooth!$N71)*(1+Controls!L$28*Smooth!$O71)),2))</f>
        <v/>
      </c>
      <c r="H71" s="10" t="str">
        <f t="array" ref="H71">IF(OR($A71="",7&gt;Controls!$B$6),"",ROUND(MAX(0,Smooth!H71*Controls!H$17*INDEX(Controls!$B$21:$H$21,1,WEEKDAY($A71,2))*(1+Controls!$B$11)^69*(1+Controls!M$25*Smooth!$L71)*(1+Controls!M$26*Smooth!$M71)*(1+Controls!M$27*Smooth!$N71)*(1+Controls!M$28*Smooth!$O71)),2))</f>
        <v/>
      </c>
      <c r="I71" s="10" t="str">
        <f t="array" ref="I71">IF(OR($A71="",8&gt;Controls!$B$6),"",ROUND(MAX(0,Smooth!I71*Controls!I$17*INDEX(Controls!$B$21:$H$21,1,WEEKDAY($A71,2))*(1+Controls!$B$11)^69*(1+Controls!N$25*Smooth!$L71)*(1+Controls!N$26*Smooth!$M71)*(1+Controls!N$27*Smooth!$N71)*(1+Controls!N$28*Smooth!$O71)),2))</f>
        <v/>
      </c>
      <c r="J71" s="10" t="str">
        <f t="array" ref="J71">IF(OR($A71="",9&gt;Controls!$B$6),"",ROUND(MAX(0,Smooth!J71*Controls!J$17*INDEX(Controls!$B$21:$H$21,1,WEEKDAY($A71,2))*(1+Controls!$B$11)^69*(1+Controls!O$25*Smooth!$L71)*(1+Controls!O$26*Smooth!$M71)*(1+Controls!O$27*Smooth!$N71)*(1+Controls!O$28*Smooth!$O71)),2))</f>
        <v/>
      </c>
      <c r="K71" s="10" t="str">
        <f t="array" ref="K71">IF(OR($A71="",10&gt;Controls!$B$6),"",ROUND(MAX(0,Smooth!K71*Controls!K$17*INDEX(Controls!$B$21:$H$21,1,WEEKDAY($A71,2))*(1+Controls!$B$11)^69*(1+Controls!P$25*Smooth!$L71)*(1+Controls!P$26*Smooth!$M71)*(1+Controls!P$27*Smooth!$N71)*(1+Controls!P$28*Smooth!$O71)),2))</f>
        <v/>
      </c>
      <c r="L71" s="18">
        <f t="shared" si="1"/>
        <v>79.99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21.0" customHeight="1">
      <c r="A72" s="7">
        <f>IF(71&lt;=Controls!$B$5,Controls!$B$4+70,"")</f>
        <v>73061</v>
      </c>
      <c r="B72" s="10">
        <f t="array" ref="B72">IF(OR($A72="",1&gt;Controls!$B$6),"",ROUND(MAX(0,Smooth!B72*Controls!B$17*INDEX(Controls!$B$21:$H$21,1,WEEKDAY($A72,2))*(1+Controls!$B$11)^70*(1+Controls!G$25*Smooth!$L72)*(1+Controls!G$26*Smooth!$M72)*(1+Controls!G$27*Smooth!$N72)*(1+Controls!G$28*Smooth!$O72)),2))</f>
        <v>55.75</v>
      </c>
      <c r="C72" s="10">
        <f t="array" ref="C72">IF(OR($A72="",2&gt;Controls!$B$6),"",ROUND(MAX(0,Smooth!C72*Controls!C$17*INDEX(Controls!$B$21:$H$21,1,WEEKDAY($A72,2))*(1+Controls!$B$11)^70*(1+Controls!H$25*Smooth!$L72)*(1+Controls!H$26*Smooth!$M72)*(1+Controls!H$27*Smooth!$N72)*(1+Controls!H$28*Smooth!$O72)),2))</f>
        <v>62.15</v>
      </c>
      <c r="D72" s="10">
        <f t="array" ref="D72">IF(OR($A72="",3&gt;Controls!$B$6),"",ROUND(MAX(0,Smooth!D72*Controls!D$17*INDEX(Controls!$B$21:$H$21,1,WEEKDAY($A72,2))*(1+Controls!$B$11)^70*(1+Controls!I$25*Smooth!$L72)*(1+Controls!I$26*Smooth!$M72)*(1+Controls!I$27*Smooth!$N72)*(1+Controls!I$28*Smooth!$O72)),2))</f>
        <v>67.42</v>
      </c>
      <c r="E72" s="10" t="str">
        <f t="array" ref="E72">IF(OR($A72="",4&gt;Controls!$B$6),"",ROUND(MAX(0,Smooth!E72*Controls!E$17*INDEX(Controls!$B$21:$H$21,1,WEEKDAY($A72,2))*(1+Controls!$B$11)^70*(1+Controls!J$25*Smooth!$L72)*(1+Controls!J$26*Smooth!$M72)*(1+Controls!J$27*Smooth!$N72)*(1+Controls!J$28*Smooth!$O72)),2))</f>
        <v/>
      </c>
      <c r="F72" s="10" t="str">
        <f t="array" ref="F72">IF(OR($A72="",5&gt;Controls!$B$6),"",ROUND(MAX(0,Smooth!F72*Controls!F$17*INDEX(Controls!$B$21:$H$21,1,WEEKDAY($A72,2))*(1+Controls!$B$11)^70*(1+Controls!K$25*Smooth!$L72)*(1+Controls!K$26*Smooth!$M72)*(1+Controls!K$27*Smooth!$N72)*(1+Controls!K$28*Smooth!$O72)),2))</f>
        <v/>
      </c>
      <c r="G72" s="10" t="str">
        <f t="array" ref="G72">IF(OR($A72="",6&gt;Controls!$B$6),"",ROUND(MAX(0,Smooth!G72*Controls!G$17*INDEX(Controls!$B$21:$H$21,1,WEEKDAY($A72,2))*(1+Controls!$B$11)^70*(1+Controls!L$25*Smooth!$L72)*(1+Controls!L$26*Smooth!$M72)*(1+Controls!L$27*Smooth!$N72)*(1+Controls!L$28*Smooth!$O72)),2))</f>
        <v/>
      </c>
      <c r="H72" s="10" t="str">
        <f t="array" ref="H72">IF(OR($A72="",7&gt;Controls!$B$6),"",ROUND(MAX(0,Smooth!H72*Controls!H$17*INDEX(Controls!$B$21:$H$21,1,WEEKDAY($A72,2))*(1+Controls!$B$11)^70*(1+Controls!M$25*Smooth!$L72)*(1+Controls!M$26*Smooth!$M72)*(1+Controls!M$27*Smooth!$N72)*(1+Controls!M$28*Smooth!$O72)),2))</f>
        <v/>
      </c>
      <c r="I72" s="10" t="str">
        <f t="array" ref="I72">IF(OR($A72="",8&gt;Controls!$B$6),"",ROUND(MAX(0,Smooth!I72*Controls!I$17*INDEX(Controls!$B$21:$H$21,1,WEEKDAY($A72,2))*(1+Controls!$B$11)^70*(1+Controls!N$25*Smooth!$L72)*(1+Controls!N$26*Smooth!$M72)*(1+Controls!N$27*Smooth!$N72)*(1+Controls!N$28*Smooth!$O72)),2))</f>
        <v/>
      </c>
      <c r="J72" s="10" t="str">
        <f t="array" ref="J72">IF(OR($A72="",9&gt;Controls!$B$6),"",ROUND(MAX(0,Smooth!J72*Controls!J$17*INDEX(Controls!$B$21:$H$21,1,WEEKDAY($A72,2))*(1+Controls!$B$11)^70*(1+Controls!O$25*Smooth!$L72)*(1+Controls!O$26*Smooth!$M72)*(1+Controls!O$27*Smooth!$N72)*(1+Controls!O$28*Smooth!$O72)),2))</f>
        <v/>
      </c>
      <c r="K72" s="10" t="str">
        <f t="array" ref="K72">IF(OR($A72="",10&gt;Controls!$B$6),"",ROUND(MAX(0,Smooth!K72*Controls!K$17*INDEX(Controls!$B$21:$H$21,1,WEEKDAY($A72,2))*(1+Controls!$B$11)^70*(1+Controls!P$25*Smooth!$L72)*(1+Controls!P$26*Smooth!$M72)*(1+Controls!P$27*Smooth!$N72)*(1+Controls!P$28*Smooth!$O72)),2))</f>
        <v/>
      </c>
      <c r="L72" s="18">
        <f t="shared" si="1"/>
        <v>185.32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21.0" customHeight="1">
      <c r="A73" s="7">
        <f>IF(72&lt;=Controls!$B$5,Controls!$B$4+71,"")</f>
        <v>73062</v>
      </c>
      <c r="B73" s="10">
        <f t="array" ref="B73">IF(OR($A73="",1&gt;Controls!$B$6),"",ROUND(MAX(0,Smooth!B73*Controls!B$17*INDEX(Controls!$B$21:$H$21,1,WEEKDAY($A73,2))*(1+Controls!$B$11)^71*(1+Controls!G$25*Smooth!$L73)*(1+Controls!G$26*Smooth!$M73)*(1+Controls!G$27*Smooth!$N73)*(1+Controls!G$28*Smooth!$O73)),2))</f>
        <v>57.12</v>
      </c>
      <c r="C73" s="10">
        <f t="array" ref="C73">IF(OR($A73="",2&gt;Controls!$B$6),"",ROUND(MAX(0,Smooth!C73*Controls!C$17*INDEX(Controls!$B$21:$H$21,1,WEEKDAY($A73,2))*(1+Controls!$B$11)^71*(1+Controls!H$25*Smooth!$L73)*(1+Controls!H$26*Smooth!$M73)*(1+Controls!H$27*Smooth!$N73)*(1+Controls!H$28*Smooth!$O73)),2))</f>
        <v>63.82</v>
      </c>
      <c r="D73" s="10">
        <f t="array" ref="D73">IF(OR($A73="",3&gt;Controls!$B$6),"",ROUND(MAX(0,Smooth!D73*Controls!D$17*INDEX(Controls!$B$21:$H$21,1,WEEKDAY($A73,2))*(1+Controls!$B$11)^71*(1+Controls!I$25*Smooth!$L73)*(1+Controls!I$26*Smooth!$M73)*(1+Controls!I$27*Smooth!$N73)*(1+Controls!I$28*Smooth!$O73)),2))</f>
        <v>51.79</v>
      </c>
      <c r="E73" s="10" t="str">
        <f t="array" ref="E73">IF(OR($A73="",4&gt;Controls!$B$6),"",ROUND(MAX(0,Smooth!E73*Controls!E$17*INDEX(Controls!$B$21:$H$21,1,WEEKDAY($A73,2))*(1+Controls!$B$11)^71*(1+Controls!J$25*Smooth!$L73)*(1+Controls!J$26*Smooth!$M73)*(1+Controls!J$27*Smooth!$N73)*(1+Controls!J$28*Smooth!$O73)),2))</f>
        <v/>
      </c>
      <c r="F73" s="10" t="str">
        <f t="array" ref="F73">IF(OR($A73="",5&gt;Controls!$B$6),"",ROUND(MAX(0,Smooth!F73*Controls!F$17*INDEX(Controls!$B$21:$H$21,1,WEEKDAY($A73,2))*(1+Controls!$B$11)^71*(1+Controls!K$25*Smooth!$L73)*(1+Controls!K$26*Smooth!$M73)*(1+Controls!K$27*Smooth!$N73)*(1+Controls!K$28*Smooth!$O73)),2))</f>
        <v/>
      </c>
      <c r="G73" s="10" t="str">
        <f t="array" ref="G73">IF(OR($A73="",6&gt;Controls!$B$6),"",ROUND(MAX(0,Smooth!G73*Controls!G$17*INDEX(Controls!$B$21:$H$21,1,WEEKDAY($A73,2))*(1+Controls!$B$11)^71*(1+Controls!L$25*Smooth!$L73)*(1+Controls!L$26*Smooth!$M73)*(1+Controls!L$27*Smooth!$N73)*(1+Controls!L$28*Smooth!$O73)),2))</f>
        <v/>
      </c>
      <c r="H73" s="10" t="str">
        <f t="array" ref="H73">IF(OR($A73="",7&gt;Controls!$B$6),"",ROUND(MAX(0,Smooth!H73*Controls!H$17*INDEX(Controls!$B$21:$H$21,1,WEEKDAY($A73,2))*(1+Controls!$B$11)^71*(1+Controls!M$25*Smooth!$L73)*(1+Controls!M$26*Smooth!$M73)*(1+Controls!M$27*Smooth!$N73)*(1+Controls!M$28*Smooth!$O73)),2))</f>
        <v/>
      </c>
      <c r="I73" s="10" t="str">
        <f t="array" ref="I73">IF(OR($A73="",8&gt;Controls!$B$6),"",ROUND(MAX(0,Smooth!I73*Controls!I$17*INDEX(Controls!$B$21:$H$21,1,WEEKDAY($A73,2))*(1+Controls!$B$11)^71*(1+Controls!N$25*Smooth!$L73)*(1+Controls!N$26*Smooth!$M73)*(1+Controls!N$27*Smooth!$N73)*(1+Controls!N$28*Smooth!$O73)),2))</f>
        <v/>
      </c>
      <c r="J73" s="10" t="str">
        <f t="array" ref="J73">IF(OR($A73="",9&gt;Controls!$B$6),"",ROUND(MAX(0,Smooth!J73*Controls!J$17*INDEX(Controls!$B$21:$H$21,1,WEEKDAY($A73,2))*(1+Controls!$B$11)^71*(1+Controls!O$25*Smooth!$L73)*(1+Controls!O$26*Smooth!$M73)*(1+Controls!O$27*Smooth!$N73)*(1+Controls!O$28*Smooth!$O73)),2))</f>
        <v/>
      </c>
      <c r="K73" s="10" t="str">
        <f t="array" ref="K73">IF(OR($A73="",10&gt;Controls!$B$6),"",ROUND(MAX(0,Smooth!K73*Controls!K$17*INDEX(Controls!$B$21:$H$21,1,WEEKDAY($A73,2))*(1+Controls!$B$11)^71*(1+Controls!P$25*Smooth!$L73)*(1+Controls!P$26*Smooth!$M73)*(1+Controls!P$27*Smooth!$N73)*(1+Controls!P$28*Smooth!$O73)),2))</f>
        <v/>
      </c>
      <c r="L73" s="18">
        <f t="shared" si="1"/>
        <v>172.73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21.0" customHeight="1">
      <c r="A74" s="7">
        <f>IF(73&lt;=Controls!$B$5,Controls!$B$4+72,"")</f>
        <v>73063</v>
      </c>
      <c r="B74" s="10">
        <f t="array" ref="B74">IF(OR($A74="",1&gt;Controls!$B$6),"",ROUND(MAX(0,Smooth!B74*Controls!B$17*INDEX(Controls!$B$21:$H$21,1,WEEKDAY($A74,2))*(1+Controls!$B$11)^72*(1+Controls!G$25*Smooth!$L74)*(1+Controls!G$26*Smooth!$M74)*(1+Controls!G$27*Smooth!$N74)*(1+Controls!G$28*Smooth!$O74)),2))</f>
        <v>57.93</v>
      </c>
      <c r="C74" s="10">
        <f t="array" ref="C74">IF(OR($A74="",2&gt;Controls!$B$6),"",ROUND(MAX(0,Smooth!C74*Controls!C$17*INDEX(Controls!$B$21:$H$21,1,WEEKDAY($A74,2))*(1+Controls!$B$11)^72*(1+Controls!H$25*Smooth!$L74)*(1+Controls!H$26*Smooth!$M74)*(1+Controls!H$27*Smooth!$N74)*(1+Controls!H$28*Smooth!$O74)),2))</f>
        <v>44.25</v>
      </c>
      <c r="D74" s="10">
        <f t="array" ref="D74">IF(OR($A74="",3&gt;Controls!$B$6),"",ROUND(MAX(0,Smooth!D74*Controls!D$17*INDEX(Controls!$B$21:$H$21,1,WEEKDAY($A74,2))*(1+Controls!$B$11)^72*(1+Controls!I$25*Smooth!$L74)*(1+Controls!I$26*Smooth!$M74)*(1+Controls!I$27*Smooth!$N74)*(1+Controls!I$28*Smooth!$O74)),2))</f>
        <v>51.08</v>
      </c>
      <c r="E74" s="10" t="str">
        <f t="array" ref="E74">IF(OR($A74="",4&gt;Controls!$B$6),"",ROUND(MAX(0,Smooth!E74*Controls!E$17*INDEX(Controls!$B$21:$H$21,1,WEEKDAY($A74,2))*(1+Controls!$B$11)^72*(1+Controls!J$25*Smooth!$L74)*(1+Controls!J$26*Smooth!$M74)*(1+Controls!J$27*Smooth!$N74)*(1+Controls!J$28*Smooth!$O74)),2))</f>
        <v/>
      </c>
      <c r="F74" s="10" t="str">
        <f t="array" ref="F74">IF(OR($A74="",5&gt;Controls!$B$6),"",ROUND(MAX(0,Smooth!F74*Controls!F$17*INDEX(Controls!$B$21:$H$21,1,WEEKDAY($A74,2))*(1+Controls!$B$11)^72*(1+Controls!K$25*Smooth!$L74)*(1+Controls!K$26*Smooth!$M74)*(1+Controls!K$27*Smooth!$N74)*(1+Controls!K$28*Smooth!$O74)),2))</f>
        <v/>
      </c>
      <c r="G74" s="10" t="str">
        <f t="array" ref="G74">IF(OR($A74="",6&gt;Controls!$B$6),"",ROUND(MAX(0,Smooth!G74*Controls!G$17*INDEX(Controls!$B$21:$H$21,1,WEEKDAY($A74,2))*(1+Controls!$B$11)^72*(1+Controls!L$25*Smooth!$L74)*(1+Controls!L$26*Smooth!$M74)*(1+Controls!L$27*Smooth!$N74)*(1+Controls!L$28*Smooth!$O74)),2))</f>
        <v/>
      </c>
      <c r="H74" s="10" t="str">
        <f t="array" ref="H74">IF(OR($A74="",7&gt;Controls!$B$6),"",ROUND(MAX(0,Smooth!H74*Controls!H$17*INDEX(Controls!$B$21:$H$21,1,WEEKDAY($A74,2))*(1+Controls!$B$11)^72*(1+Controls!M$25*Smooth!$L74)*(1+Controls!M$26*Smooth!$M74)*(1+Controls!M$27*Smooth!$N74)*(1+Controls!M$28*Smooth!$O74)),2))</f>
        <v/>
      </c>
      <c r="I74" s="10" t="str">
        <f t="array" ref="I74">IF(OR($A74="",8&gt;Controls!$B$6),"",ROUND(MAX(0,Smooth!I74*Controls!I$17*INDEX(Controls!$B$21:$H$21,1,WEEKDAY($A74,2))*(1+Controls!$B$11)^72*(1+Controls!N$25*Smooth!$L74)*(1+Controls!N$26*Smooth!$M74)*(1+Controls!N$27*Smooth!$N74)*(1+Controls!N$28*Smooth!$O74)),2))</f>
        <v/>
      </c>
      <c r="J74" s="10" t="str">
        <f t="array" ref="J74">IF(OR($A74="",9&gt;Controls!$B$6),"",ROUND(MAX(0,Smooth!J74*Controls!J$17*INDEX(Controls!$B$21:$H$21,1,WEEKDAY($A74,2))*(1+Controls!$B$11)^72*(1+Controls!O$25*Smooth!$L74)*(1+Controls!O$26*Smooth!$M74)*(1+Controls!O$27*Smooth!$N74)*(1+Controls!O$28*Smooth!$O74)),2))</f>
        <v/>
      </c>
      <c r="K74" s="10" t="str">
        <f t="array" ref="K74">IF(OR($A74="",10&gt;Controls!$B$6),"",ROUND(MAX(0,Smooth!K74*Controls!K$17*INDEX(Controls!$B$21:$H$21,1,WEEKDAY($A74,2))*(1+Controls!$B$11)^72*(1+Controls!P$25*Smooth!$L74)*(1+Controls!P$26*Smooth!$M74)*(1+Controls!P$27*Smooth!$N74)*(1+Controls!P$28*Smooth!$O74)),2))</f>
        <v/>
      </c>
      <c r="L74" s="18">
        <f t="shared" si="1"/>
        <v>153.26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21.0" customHeight="1">
      <c r="A75" s="7">
        <f>IF(74&lt;=Controls!$B$5,Controls!$B$4+73,"")</f>
        <v>73064</v>
      </c>
      <c r="B75" s="10">
        <f t="array" ref="B75">IF(OR($A75="",1&gt;Controls!$B$6),"",ROUND(MAX(0,Smooth!B75*Controls!B$17*INDEX(Controls!$B$21:$H$21,1,WEEKDAY($A75,2))*(1+Controls!$B$11)^73*(1+Controls!G$25*Smooth!$L75)*(1+Controls!G$26*Smooth!$M75)*(1+Controls!G$27*Smooth!$N75)*(1+Controls!G$28*Smooth!$O75)),2))</f>
        <v>52.33</v>
      </c>
      <c r="C75" s="10">
        <f t="array" ref="C75">IF(OR($A75="",2&gt;Controls!$B$6),"",ROUND(MAX(0,Smooth!C75*Controls!C$17*INDEX(Controls!$B$21:$H$21,1,WEEKDAY($A75,2))*(1+Controls!$B$11)^73*(1+Controls!H$25*Smooth!$L75)*(1+Controls!H$26*Smooth!$M75)*(1+Controls!H$27*Smooth!$N75)*(1+Controls!H$28*Smooth!$O75)),2))</f>
        <v>48.36</v>
      </c>
      <c r="D75" s="10">
        <f t="array" ref="D75">IF(OR($A75="",3&gt;Controls!$B$6),"",ROUND(MAX(0,Smooth!D75*Controls!D$17*INDEX(Controls!$B$21:$H$21,1,WEEKDAY($A75,2))*(1+Controls!$B$11)^73*(1+Controls!I$25*Smooth!$L75)*(1+Controls!I$26*Smooth!$M75)*(1+Controls!I$27*Smooth!$N75)*(1+Controls!I$28*Smooth!$O75)),2))</f>
        <v>75.2</v>
      </c>
      <c r="E75" s="10" t="str">
        <f t="array" ref="E75">IF(OR($A75="",4&gt;Controls!$B$6),"",ROUND(MAX(0,Smooth!E75*Controls!E$17*INDEX(Controls!$B$21:$H$21,1,WEEKDAY($A75,2))*(1+Controls!$B$11)^73*(1+Controls!J$25*Smooth!$L75)*(1+Controls!J$26*Smooth!$M75)*(1+Controls!J$27*Smooth!$N75)*(1+Controls!J$28*Smooth!$O75)),2))</f>
        <v/>
      </c>
      <c r="F75" s="10" t="str">
        <f t="array" ref="F75">IF(OR($A75="",5&gt;Controls!$B$6),"",ROUND(MAX(0,Smooth!F75*Controls!F$17*INDEX(Controls!$B$21:$H$21,1,WEEKDAY($A75,2))*(1+Controls!$B$11)^73*(1+Controls!K$25*Smooth!$L75)*(1+Controls!K$26*Smooth!$M75)*(1+Controls!K$27*Smooth!$N75)*(1+Controls!K$28*Smooth!$O75)),2))</f>
        <v/>
      </c>
      <c r="G75" s="10" t="str">
        <f t="array" ref="G75">IF(OR($A75="",6&gt;Controls!$B$6),"",ROUND(MAX(0,Smooth!G75*Controls!G$17*INDEX(Controls!$B$21:$H$21,1,WEEKDAY($A75,2))*(1+Controls!$B$11)^73*(1+Controls!L$25*Smooth!$L75)*(1+Controls!L$26*Smooth!$M75)*(1+Controls!L$27*Smooth!$N75)*(1+Controls!L$28*Smooth!$O75)),2))</f>
        <v/>
      </c>
      <c r="H75" s="10" t="str">
        <f t="array" ref="H75">IF(OR($A75="",7&gt;Controls!$B$6),"",ROUND(MAX(0,Smooth!H75*Controls!H$17*INDEX(Controls!$B$21:$H$21,1,WEEKDAY($A75,2))*(1+Controls!$B$11)^73*(1+Controls!M$25*Smooth!$L75)*(1+Controls!M$26*Smooth!$M75)*(1+Controls!M$27*Smooth!$N75)*(1+Controls!M$28*Smooth!$O75)),2))</f>
        <v/>
      </c>
      <c r="I75" s="10" t="str">
        <f t="array" ref="I75">IF(OR($A75="",8&gt;Controls!$B$6),"",ROUND(MAX(0,Smooth!I75*Controls!I$17*INDEX(Controls!$B$21:$H$21,1,WEEKDAY($A75,2))*(1+Controls!$B$11)^73*(1+Controls!N$25*Smooth!$L75)*(1+Controls!N$26*Smooth!$M75)*(1+Controls!N$27*Smooth!$N75)*(1+Controls!N$28*Smooth!$O75)),2))</f>
        <v/>
      </c>
      <c r="J75" s="10" t="str">
        <f t="array" ref="J75">IF(OR($A75="",9&gt;Controls!$B$6),"",ROUND(MAX(0,Smooth!J75*Controls!J$17*INDEX(Controls!$B$21:$H$21,1,WEEKDAY($A75,2))*(1+Controls!$B$11)^73*(1+Controls!O$25*Smooth!$L75)*(1+Controls!O$26*Smooth!$M75)*(1+Controls!O$27*Smooth!$N75)*(1+Controls!O$28*Smooth!$O75)),2))</f>
        <v/>
      </c>
      <c r="K75" s="10" t="str">
        <f t="array" ref="K75">IF(OR($A75="",10&gt;Controls!$B$6),"",ROUND(MAX(0,Smooth!K75*Controls!K$17*INDEX(Controls!$B$21:$H$21,1,WEEKDAY($A75,2))*(1+Controls!$B$11)^73*(1+Controls!P$25*Smooth!$L75)*(1+Controls!P$26*Smooth!$M75)*(1+Controls!P$27*Smooth!$N75)*(1+Controls!P$28*Smooth!$O75)),2))</f>
        <v/>
      </c>
      <c r="L75" s="18">
        <f t="shared" si="1"/>
        <v>175.89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21.0" customHeight="1">
      <c r="A76" s="7">
        <f>IF(75&lt;=Controls!$B$5,Controls!$B$4+74,"")</f>
        <v>73065</v>
      </c>
      <c r="B76" s="10">
        <f t="array" ref="B76">IF(OR($A76="",1&gt;Controls!$B$6),"",ROUND(MAX(0,Smooth!B76*Controls!B$17*INDEX(Controls!$B$21:$H$21,1,WEEKDAY($A76,2))*(1+Controls!$B$11)^74*(1+Controls!G$25*Smooth!$L76)*(1+Controls!G$26*Smooth!$M76)*(1+Controls!G$27*Smooth!$N76)*(1+Controls!G$28*Smooth!$O76)),2))</f>
        <v>50.48</v>
      </c>
      <c r="C76" s="10">
        <f t="array" ref="C76">IF(OR($A76="",2&gt;Controls!$B$6),"",ROUND(MAX(0,Smooth!C76*Controls!C$17*INDEX(Controls!$B$21:$H$21,1,WEEKDAY($A76,2))*(1+Controls!$B$11)^74*(1+Controls!H$25*Smooth!$L76)*(1+Controls!H$26*Smooth!$M76)*(1+Controls!H$27*Smooth!$N76)*(1+Controls!H$28*Smooth!$O76)),2))</f>
        <v>57.45</v>
      </c>
      <c r="D76" s="10">
        <f t="array" ref="D76">IF(OR($A76="",3&gt;Controls!$B$6),"",ROUND(MAX(0,Smooth!D76*Controls!D$17*INDEX(Controls!$B$21:$H$21,1,WEEKDAY($A76,2))*(1+Controls!$B$11)^74*(1+Controls!I$25*Smooth!$L76)*(1+Controls!I$26*Smooth!$M76)*(1+Controls!I$27*Smooth!$N76)*(1+Controls!I$28*Smooth!$O76)),2))</f>
        <v>65.65</v>
      </c>
      <c r="E76" s="10" t="str">
        <f t="array" ref="E76">IF(OR($A76="",4&gt;Controls!$B$6),"",ROUND(MAX(0,Smooth!E76*Controls!E$17*INDEX(Controls!$B$21:$H$21,1,WEEKDAY($A76,2))*(1+Controls!$B$11)^74*(1+Controls!J$25*Smooth!$L76)*(1+Controls!J$26*Smooth!$M76)*(1+Controls!J$27*Smooth!$N76)*(1+Controls!J$28*Smooth!$O76)),2))</f>
        <v/>
      </c>
      <c r="F76" s="10" t="str">
        <f t="array" ref="F76">IF(OR($A76="",5&gt;Controls!$B$6),"",ROUND(MAX(0,Smooth!F76*Controls!F$17*INDEX(Controls!$B$21:$H$21,1,WEEKDAY($A76,2))*(1+Controls!$B$11)^74*(1+Controls!K$25*Smooth!$L76)*(1+Controls!K$26*Smooth!$M76)*(1+Controls!K$27*Smooth!$N76)*(1+Controls!K$28*Smooth!$O76)),2))</f>
        <v/>
      </c>
      <c r="G76" s="10" t="str">
        <f t="array" ref="G76">IF(OR($A76="",6&gt;Controls!$B$6),"",ROUND(MAX(0,Smooth!G76*Controls!G$17*INDEX(Controls!$B$21:$H$21,1,WEEKDAY($A76,2))*(1+Controls!$B$11)^74*(1+Controls!L$25*Smooth!$L76)*(1+Controls!L$26*Smooth!$M76)*(1+Controls!L$27*Smooth!$N76)*(1+Controls!L$28*Smooth!$O76)),2))</f>
        <v/>
      </c>
      <c r="H76" s="10" t="str">
        <f t="array" ref="H76">IF(OR($A76="",7&gt;Controls!$B$6),"",ROUND(MAX(0,Smooth!H76*Controls!H$17*INDEX(Controls!$B$21:$H$21,1,WEEKDAY($A76,2))*(1+Controls!$B$11)^74*(1+Controls!M$25*Smooth!$L76)*(1+Controls!M$26*Smooth!$M76)*(1+Controls!M$27*Smooth!$N76)*(1+Controls!M$28*Smooth!$O76)),2))</f>
        <v/>
      </c>
      <c r="I76" s="10" t="str">
        <f t="array" ref="I76">IF(OR($A76="",8&gt;Controls!$B$6),"",ROUND(MAX(0,Smooth!I76*Controls!I$17*INDEX(Controls!$B$21:$H$21,1,WEEKDAY($A76,2))*(1+Controls!$B$11)^74*(1+Controls!N$25*Smooth!$L76)*(1+Controls!N$26*Smooth!$M76)*(1+Controls!N$27*Smooth!$N76)*(1+Controls!N$28*Smooth!$O76)),2))</f>
        <v/>
      </c>
      <c r="J76" s="10" t="str">
        <f t="array" ref="J76">IF(OR($A76="",9&gt;Controls!$B$6),"",ROUND(MAX(0,Smooth!J76*Controls!J$17*INDEX(Controls!$B$21:$H$21,1,WEEKDAY($A76,2))*(1+Controls!$B$11)^74*(1+Controls!O$25*Smooth!$L76)*(1+Controls!O$26*Smooth!$M76)*(1+Controls!O$27*Smooth!$N76)*(1+Controls!O$28*Smooth!$O76)),2))</f>
        <v/>
      </c>
      <c r="K76" s="10" t="str">
        <f t="array" ref="K76">IF(OR($A76="",10&gt;Controls!$B$6),"",ROUND(MAX(0,Smooth!K76*Controls!K$17*INDEX(Controls!$B$21:$H$21,1,WEEKDAY($A76,2))*(1+Controls!$B$11)^74*(1+Controls!P$25*Smooth!$L76)*(1+Controls!P$26*Smooth!$M76)*(1+Controls!P$27*Smooth!$N76)*(1+Controls!P$28*Smooth!$O76)),2))</f>
        <v/>
      </c>
      <c r="L76" s="18">
        <f t="shared" si="1"/>
        <v>173.58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21.0" customHeight="1">
      <c r="A77" s="7">
        <f>IF(76&lt;=Controls!$B$5,Controls!$B$4+75,"")</f>
        <v>73066</v>
      </c>
      <c r="B77" s="10">
        <f t="array" ref="B77">IF(OR($A77="",1&gt;Controls!$B$6),"",ROUND(MAX(0,Smooth!B77*Controls!B$17*INDEX(Controls!$B$21:$H$21,1,WEEKDAY($A77,2))*(1+Controls!$B$11)^75*(1+Controls!G$25*Smooth!$L77)*(1+Controls!G$26*Smooth!$M77)*(1+Controls!G$27*Smooth!$N77)*(1+Controls!G$28*Smooth!$O77)),2))</f>
        <v>39.58</v>
      </c>
      <c r="C77" s="10">
        <f t="array" ref="C77">IF(OR($A77="",2&gt;Controls!$B$6),"",ROUND(MAX(0,Smooth!C77*Controls!C$17*INDEX(Controls!$B$21:$H$21,1,WEEKDAY($A77,2))*(1+Controls!$B$11)^75*(1+Controls!H$25*Smooth!$L77)*(1+Controls!H$26*Smooth!$M77)*(1+Controls!H$27*Smooth!$N77)*(1+Controls!H$28*Smooth!$O77)),2))</f>
        <v>52.35</v>
      </c>
      <c r="D77" s="10">
        <f t="array" ref="D77">IF(OR($A77="",3&gt;Controls!$B$6),"",ROUND(MAX(0,Smooth!D77*Controls!D$17*INDEX(Controls!$B$21:$H$21,1,WEEKDAY($A77,2))*(1+Controls!$B$11)^75*(1+Controls!I$25*Smooth!$L77)*(1+Controls!I$26*Smooth!$M77)*(1+Controls!I$27*Smooth!$N77)*(1+Controls!I$28*Smooth!$O77)),2))</f>
        <v>52.2</v>
      </c>
      <c r="E77" s="10" t="str">
        <f t="array" ref="E77">IF(OR($A77="",4&gt;Controls!$B$6),"",ROUND(MAX(0,Smooth!E77*Controls!E$17*INDEX(Controls!$B$21:$H$21,1,WEEKDAY($A77,2))*(1+Controls!$B$11)^75*(1+Controls!J$25*Smooth!$L77)*(1+Controls!J$26*Smooth!$M77)*(1+Controls!J$27*Smooth!$N77)*(1+Controls!J$28*Smooth!$O77)),2))</f>
        <v/>
      </c>
      <c r="F77" s="10" t="str">
        <f t="array" ref="F77">IF(OR($A77="",5&gt;Controls!$B$6),"",ROUND(MAX(0,Smooth!F77*Controls!F$17*INDEX(Controls!$B$21:$H$21,1,WEEKDAY($A77,2))*(1+Controls!$B$11)^75*(1+Controls!K$25*Smooth!$L77)*(1+Controls!K$26*Smooth!$M77)*(1+Controls!K$27*Smooth!$N77)*(1+Controls!K$28*Smooth!$O77)),2))</f>
        <v/>
      </c>
      <c r="G77" s="10" t="str">
        <f t="array" ref="G77">IF(OR($A77="",6&gt;Controls!$B$6),"",ROUND(MAX(0,Smooth!G77*Controls!G$17*INDEX(Controls!$B$21:$H$21,1,WEEKDAY($A77,2))*(1+Controls!$B$11)^75*(1+Controls!L$25*Smooth!$L77)*(1+Controls!L$26*Smooth!$M77)*(1+Controls!L$27*Smooth!$N77)*(1+Controls!L$28*Smooth!$O77)),2))</f>
        <v/>
      </c>
      <c r="H77" s="10" t="str">
        <f t="array" ref="H77">IF(OR($A77="",7&gt;Controls!$B$6),"",ROUND(MAX(0,Smooth!H77*Controls!H$17*INDEX(Controls!$B$21:$H$21,1,WEEKDAY($A77,2))*(1+Controls!$B$11)^75*(1+Controls!M$25*Smooth!$L77)*(1+Controls!M$26*Smooth!$M77)*(1+Controls!M$27*Smooth!$N77)*(1+Controls!M$28*Smooth!$O77)),2))</f>
        <v/>
      </c>
      <c r="I77" s="10" t="str">
        <f t="array" ref="I77">IF(OR($A77="",8&gt;Controls!$B$6),"",ROUND(MAX(0,Smooth!I77*Controls!I$17*INDEX(Controls!$B$21:$H$21,1,WEEKDAY($A77,2))*(1+Controls!$B$11)^75*(1+Controls!N$25*Smooth!$L77)*(1+Controls!N$26*Smooth!$M77)*(1+Controls!N$27*Smooth!$N77)*(1+Controls!N$28*Smooth!$O77)),2))</f>
        <v/>
      </c>
      <c r="J77" s="10" t="str">
        <f t="array" ref="J77">IF(OR($A77="",9&gt;Controls!$B$6),"",ROUND(MAX(0,Smooth!J77*Controls!J$17*INDEX(Controls!$B$21:$H$21,1,WEEKDAY($A77,2))*(1+Controls!$B$11)^75*(1+Controls!O$25*Smooth!$L77)*(1+Controls!O$26*Smooth!$M77)*(1+Controls!O$27*Smooth!$N77)*(1+Controls!O$28*Smooth!$O77)),2))</f>
        <v/>
      </c>
      <c r="K77" s="10" t="str">
        <f t="array" ref="K77">IF(OR($A77="",10&gt;Controls!$B$6),"",ROUND(MAX(0,Smooth!K77*Controls!K$17*INDEX(Controls!$B$21:$H$21,1,WEEKDAY($A77,2))*(1+Controls!$B$11)^75*(1+Controls!P$25*Smooth!$L77)*(1+Controls!P$26*Smooth!$M77)*(1+Controls!P$27*Smooth!$N77)*(1+Controls!P$28*Smooth!$O77)),2))</f>
        <v/>
      </c>
      <c r="L77" s="18">
        <f t="shared" si="1"/>
        <v>144.13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21.0" customHeight="1">
      <c r="A78" s="7">
        <f>IF(77&lt;=Controls!$B$5,Controls!$B$4+76,"")</f>
        <v>73067</v>
      </c>
      <c r="B78" s="10">
        <f t="array" ref="B78">IF(OR($A78="",1&gt;Controls!$B$6),"",ROUND(MAX(0,Smooth!B78*Controls!B$17*INDEX(Controls!$B$21:$H$21,1,WEEKDAY($A78,2))*(1+Controls!$B$11)^76*(1+Controls!G$25*Smooth!$L78)*(1+Controls!G$26*Smooth!$M78)*(1+Controls!G$27*Smooth!$N78)*(1+Controls!G$28*Smooth!$O78)),2))</f>
        <v>20.06</v>
      </c>
      <c r="C78" s="10">
        <f t="array" ref="C78">IF(OR($A78="",2&gt;Controls!$B$6),"",ROUND(MAX(0,Smooth!C78*Controls!C$17*INDEX(Controls!$B$21:$H$21,1,WEEKDAY($A78,2))*(1+Controls!$B$11)^76*(1+Controls!H$25*Smooth!$L78)*(1+Controls!H$26*Smooth!$M78)*(1+Controls!H$27*Smooth!$N78)*(1+Controls!H$28*Smooth!$O78)),2))</f>
        <v>24.88</v>
      </c>
      <c r="D78" s="10">
        <f t="array" ref="D78">IF(OR($A78="",3&gt;Controls!$B$6),"",ROUND(MAX(0,Smooth!D78*Controls!D$17*INDEX(Controls!$B$21:$H$21,1,WEEKDAY($A78,2))*(1+Controls!$B$11)^76*(1+Controls!I$25*Smooth!$L78)*(1+Controls!I$26*Smooth!$M78)*(1+Controls!I$27*Smooth!$N78)*(1+Controls!I$28*Smooth!$O78)),2))</f>
        <v>25.85</v>
      </c>
      <c r="E78" s="10" t="str">
        <f t="array" ref="E78">IF(OR($A78="",4&gt;Controls!$B$6),"",ROUND(MAX(0,Smooth!E78*Controls!E$17*INDEX(Controls!$B$21:$H$21,1,WEEKDAY($A78,2))*(1+Controls!$B$11)^76*(1+Controls!J$25*Smooth!$L78)*(1+Controls!J$26*Smooth!$M78)*(1+Controls!J$27*Smooth!$N78)*(1+Controls!J$28*Smooth!$O78)),2))</f>
        <v/>
      </c>
      <c r="F78" s="10" t="str">
        <f t="array" ref="F78">IF(OR($A78="",5&gt;Controls!$B$6),"",ROUND(MAX(0,Smooth!F78*Controls!F$17*INDEX(Controls!$B$21:$H$21,1,WEEKDAY($A78,2))*(1+Controls!$B$11)^76*(1+Controls!K$25*Smooth!$L78)*(1+Controls!K$26*Smooth!$M78)*(1+Controls!K$27*Smooth!$N78)*(1+Controls!K$28*Smooth!$O78)),2))</f>
        <v/>
      </c>
      <c r="G78" s="10" t="str">
        <f t="array" ref="G78">IF(OR($A78="",6&gt;Controls!$B$6),"",ROUND(MAX(0,Smooth!G78*Controls!G$17*INDEX(Controls!$B$21:$H$21,1,WEEKDAY($A78,2))*(1+Controls!$B$11)^76*(1+Controls!L$25*Smooth!$L78)*(1+Controls!L$26*Smooth!$M78)*(1+Controls!L$27*Smooth!$N78)*(1+Controls!L$28*Smooth!$O78)),2))</f>
        <v/>
      </c>
      <c r="H78" s="10" t="str">
        <f t="array" ref="H78">IF(OR($A78="",7&gt;Controls!$B$6),"",ROUND(MAX(0,Smooth!H78*Controls!H$17*INDEX(Controls!$B$21:$H$21,1,WEEKDAY($A78,2))*(1+Controls!$B$11)^76*(1+Controls!M$25*Smooth!$L78)*(1+Controls!M$26*Smooth!$M78)*(1+Controls!M$27*Smooth!$N78)*(1+Controls!M$28*Smooth!$O78)),2))</f>
        <v/>
      </c>
      <c r="I78" s="10" t="str">
        <f t="array" ref="I78">IF(OR($A78="",8&gt;Controls!$B$6),"",ROUND(MAX(0,Smooth!I78*Controls!I$17*INDEX(Controls!$B$21:$H$21,1,WEEKDAY($A78,2))*(1+Controls!$B$11)^76*(1+Controls!N$25*Smooth!$L78)*(1+Controls!N$26*Smooth!$M78)*(1+Controls!N$27*Smooth!$N78)*(1+Controls!N$28*Smooth!$O78)),2))</f>
        <v/>
      </c>
      <c r="J78" s="10" t="str">
        <f t="array" ref="J78">IF(OR($A78="",9&gt;Controls!$B$6),"",ROUND(MAX(0,Smooth!J78*Controls!J$17*INDEX(Controls!$B$21:$H$21,1,WEEKDAY($A78,2))*(1+Controls!$B$11)^76*(1+Controls!O$25*Smooth!$L78)*(1+Controls!O$26*Smooth!$M78)*(1+Controls!O$27*Smooth!$N78)*(1+Controls!O$28*Smooth!$O78)),2))</f>
        <v/>
      </c>
      <c r="K78" s="10" t="str">
        <f t="array" ref="K78">IF(OR($A78="",10&gt;Controls!$B$6),"",ROUND(MAX(0,Smooth!K78*Controls!K$17*INDEX(Controls!$B$21:$H$21,1,WEEKDAY($A78,2))*(1+Controls!$B$11)^76*(1+Controls!P$25*Smooth!$L78)*(1+Controls!P$26*Smooth!$M78)*(1+Controls!P$27*Smooth!$N78)*(1+Controls!P$28*Smooth!$O78)),2))</f>
        <v/>
      </c>
      <c r="L78" s="18">
        <f t="shared" si="1"/>
        <v>70.79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21.0" customHeight="1">
      <c r="A79" s="7">
        <f>IF(78&lt;=Controls!$B$5,Controls!$B$4+77,"")</f>
        <v>73068</v>
      </c>
      <c r="B79" s="10">
        <f t="array" ref="B79">IF(OR($A79="",1&gt;Controls!$B$6),"",ROUND(MAX(0,Smooth!B79*Controls!B$17*INDEX(Controls!$B$21:$H$21,1,WEEKDAY($A79,2))*(1+Controls!$B$11)^77*(1+Controls!G$25*Smooth!$L79)*(1+Controls!G$26*Smooth!$M79)*(1+Controls!G$27*Smooth!$N79)*(1+Controls!G$28*Smooth!$O79)),2))</f>
        <v>56.89</v>
      </c>
      <c r="C79" s="10">
        <f t="array" ref="C79">IF(OR($A79="",2&gt;Controls!$B$6),"",ROUND(MAX(0,Smooth!C79*Controls!C$17*INDEX(Controls!$B$21:$H$21,1,WEEKDAY($A79,2))*(1+Controls!$B$11)^77*(1+Controls!H$25*Smooth!$L79)*(1+Controls!H$26*Smooth!$M79)*(1+Controls!H$27*Smooth!$N79)*(1+Controls!H$28*Smooth!$O79)),2))</f>
        <v>56.4</v>
      </c>
      <c r="D79" s="10">
        <f t="array" ref="D79">IF(OR($A79="",3&gt;Controls!$B$6),"",ROUND(MAX(0,Smooth!D79*Controls!D$17*INDEX(Controls!$B$21:$H$21,1,WEEKDAY($A79,2))*(1+Controls!$B$11)^77*(1+Controls!I$25*Smooth!$L79)*(1+Controls!I$26*Smooth!$M79)*(1+Controls!I$27*Smooth!$N79)*(1+Controls!I$28*Smooth!$O79)),2))</f>
        <v>65.73</v>
      </c>
      <c r="E79" s="10" t="str">
        <f t="array" ref="E79">IF(OR($A79="",4&gt;Controls!$B$6),"",ROUND(MAX(0,Smooth!E79*Controls!E$17*INDEX(Controls!$B$21:$H$21,1,WEEKDAY($A79,2))*(1+Controls!$B$11)^77*(1+Controls!J$25*Smooth!$L79)*(1+Controls!J$26*Smooth!$M79)*(1+Controls!J$27*Smooth!$N79)*(1+Controls!J$28*Smooth!$O79)),2))</f>
        <v/>
      </c>
      <c r="F79" s="10" t="str">
        <f t="array" ref="F79">IF(OR($A79="",5&gt;Controls!$B$6),"",ROUND(MAX(0,Smooth!F79*Controls!F$17*INDEX(Controls!$B$21:$H$21,1,WEEKDAY($A79,2))*(1+Controls!$B$11)^77*(1+Controls!K$25*Smooth!$L79)*(1+Controls!K$26*Smooth!$M79)*(1+Controls!K$27*Smooth!$N79)*(1+Controls!K$28*Smooth!$O79)),2))</f>
        <v/>
      </c>
      <c r="G79" s="10" t="str">
        <f t="array" ref="G79">IF(OR($A79="",6&gt;Controls!$B$6),"",ROUND(MAX(0,Smooth!G79*Controls!G$17*INDEX(Controls!$B$21:$H$21,1,WEEKDAY($A79,2))*(1+Controls!$B$11)^77*(1+Controls!L$25*Smooth!$L79)*(1+Controls!L$26*Smooth!$M79)*(1+Controls!L$27*Smooth!$N79)*(1+Controls!L$28*Smooth!$O79)),2))</f>
        <v/>
      </c>
      <c r="H79" s="10" t="str">
        <f t="array" ref="H79">IF(OR($A79="",7&gt;Controls!$B$6),"",ROUND(MAX(0,Smooth!H79*Controls!H$17*INDEX(Controls!$B$21:$H$21,1,WEEKDAY($A79,2))*(1+Controls!$B$11)^77*(1+Controls!M$25*Smooth!$L79)*(1+Controls!M$26*Smooth!$M79)*(1+Controls!M$27*Smooth!$N79)*(1+Controls!M$28*Smooth!$O79)),2))</f>
        <v/>
      </c>
      <c r="I79" s="10" t="str">
        <f t="array" ref="I79">IF(OR($A79="",8&gt;Controls!$B$6),"",ROUND(MAX(0,Smooth!I79*Controls!I$17*INDEX(Controls!$B$21:$H$21,1,WEEKDAY($A79,2))*(1+Controls!$B$11)^77*(1+Controls!N$25*Smooth!$L79)*(1+Controls!N$26*Smooth!$M79)*(1+Controls!N$27*Smooth!$N79)*(1+Controls!N$28*Smooth!$O79)),2))</f>
        <v/>
      </c>
      <c r="J79" s="10" t="str">
        <f t="array" ref="J79">IF(OR($A79="",9&gt;Controls!$B$6),"",ROUND(MAX(0,Smooth!J79*Controls!J$17*INDEX(Controls!$B$21:$H$21,1,WEEKDAY($A79,2))*(1+Controls!$B$11)^77*(1+Controls!O$25*Smooth!$L79)*(1+Controls!O$26*Smooth!$M79)*(1+Controls!O$27*Smooth!$N79)*(1+Controls!O$28*Smooth!$O79)),2))</f>
        <v/>
      </c>
      <c r="K79" s="10" t="str">
        <f t="array" ref="K79">IF(OR($A79="",10&gt;Controls!$B$6),"",ROUND(MAX(0,Smooth!K79*Controls!K$17*INDEX(Controls!$B$21:$H$21,1,WEEKDAY($A79,2))*(1+Controls!$B$11)^77*(1+Controls!P$25*Smooth!$L79)*(1+Controls!P$26*Smooth!$M79)*(1+Controls!P$27*Smooth!$N79)*(1+Controls!P$28*Smooth!$O79)),2))</f>
        <v/>
      </c>
      <c r="L79" s="18">
        <f t="shared" si="1"/>
        <v>179.02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21.0" customHeight="1">
      <c r="A80" s="7">
        <f>IF(79&lt;=Controls!$B$5,Controls!$B$4+78,"")</f>
        <v>73069</v>
      </c>
      <c r="B80" s="10">
        <f t="array" ref="B80">IF(OR($A80="",1&gt;Controls!$B$6),"",ROUND(MAX(0,Smooth!B80*Controls!B$17*INDEX(Controls!$B$21:$H$21,1,WEEKDAY($A80,2))*(1+Controls!$B$11)^78*(1+Controls!G$25*Smooth!$L80)*(1+Controls!G$26*Smooth!$M80)*(1+Controls!G$27*Smooth!$N80)*(1+Controls!G$28*Smooth!$O80)),2))</f>
        <v>55.56</v>
      </c>
      <c r="C80" s="10">
        <f t="array" ref="C80">IF(OR($A80="",2&gt;Controls!$B$6),"",ROUND(MAX(0,Smooth!C80*Controls!C$17*INDEX(Controls!$B$21:$H$21,1,WEEKDAY($A80,2))*(1+Controls!$B$11)^78*(1+Controls!H$25*Smooth!$L80)*(1+Controls!H$26*Smooth!$M80)*(1+Controls!H$27*Smooth!$N80)*(1+Controls!H$28*Smooth!$O80)),2))</f>
        <v>69.53</v>
      </c>
      <c r="D80" s="10">
        <f t="array" ref="D80">IF(OR($A80="",3&gt;Controls!$B$6),"",ROUND(MAX(0,Smooth!D80*Controls!D$17*INDEX(Controls!$B$21:$H$21,1,WEEKDAY($A80,2))*(1+Controls!$B$11)^78*(1+Controls!I$25*Smooth!$L80)*(1+Controls!I$26*Smooth!$M80)*(1+Controls!I$27*Smooth!$N80)*(1+Controls!I$28*Smooth!$O80)),2))</f>
        <v>53.04</v>
      </c>
      <c r="E80" s="10" t="str">
        <f t="array" ref="E80">IF(OR($A80="",4&gt;Controls!$B$6),"",ROUND(MAX(0,Smooth!E80*Controls!E$17*INDEX(Controls!$B$21:$H$21,1,WEEKDAY($A80,2))*(1+Controls!$B$11)^78*(1+Controls!J$25*Smooth!$L80)*(1+Controls!J$26*Smooth!$M80)*(1+Controls!J$27*Smooth!$N80)*(1+Controls!J$28*Smooth!$O80)),2))</f>
        <v/>
      </c>
      <c r="F80" s="10" t="str">
        <f t="array" ref="F80">IF(OR($A80="",5&gt;Controls!$B$6),"",ROUND(MAX(0,Smooth!F80*Controls!F$17*INDEX(Controls!$B$21:$H$21,1,WEEKDAY($A80,2))*(1+Controls!$B$11)^78*(1+Controls!K$25*Smooth!$L80)*(1+Controls!K$26*Smooth!$M80)*(1+Controls!K$27*Smooth!$N80)*(1+Controls!K$28*Smooth!$O80)),2))</f>
        <v/>
      </c>
      <c r="G80" s="10" t="str">
        <f t="array" ref="G80">IF(OR($A80="",6&gt;Controls!$B$6),"",ROUND(MAX(0,Smooth!G80*Controls!G$17*INDEX(Controls!$B$21:$H$21,1,WEEKDAY($A80,2))*(1+Controls!$B$11)^78*(1+Controls!L$25*Smooth!$L80)*(1+Controls!L$26*Smooth!$M80)*(1+Controls!L$27*Smooth!$N80)*(1+Controls!L$28*Smooth!$O80)),2))</f>
        <v/>
      </c>
      <c r="H80" s="10" t="str">
        <f t="array" ref="H80">IF(OR($A80="",7&gt;Controls!$B$6),"",ROUND(MAX(0,Smooth!H80*Controls!H$17*INDEX(Controls!$B$21:$H$21,1,WEEKDAY($A80,2))*(1+Controls!$B$11)^78*(1+Controls!M$25*Smooth!$L80)*(1+Controls!M$26*Smooth!$M80)*(1+Controls!M$27*Smooth!$N80)*(1+Controls!M$28*Smooth!$O80)),2))</f>
        <v/>
      </c>
      <c r="I80" s="10" t="str">
        <f t="array" ref="I80">IF(OR($A80="",8&gt;Controls!$B$6),"",ROUND(MAX(0,Smooth!I80*Controls!I$17*INDEX(Controls!$B$21:$H$21,1,WEEKDAY($A80,2))*(1+Controls!$B$11)^78*(1+Controls!N$25*Smooth!$L80)*(1+Controls!N$26*Smooth!$M80)*(1+Controls!N$27*Smooth!$N80)*(1+Controls!N$28*Smooth!$O80)),2))</f>
        <v/>
      </c>
      <c r="J80" s="10" t="str">
        <f t="array" ref="J80">IF(OR($A80="",9&gt;Controls!$B$6),"",ROUND(MAX(0,Smooth!J80*Controls!J$17*INDEX(Controls!$B$21:$H$21,1,WEEKDAY($A80,2))*(1+Controls!$B$11)^78*(1+Controls!O$25*Smooth!$L80)*(1+Controls!O$26*Smooth!$M80)*(1+Controls!O$27*Smooth!$N80)*(1+Controls!O$28*Smooth!$O80)),2))</f>
        <v/>
      </c>
      <c r="K80" s="10" t="str">
        <f t="array" ref="K80">IF(OR($A80="",10&gt;Controls!$B$6),"",ROUND(MAX(0,Smooth!K80*Controls!K$17*INDEX(Controls!$B$21:$H$21,1,WEEKDAY($A80,2))*(1+Controls!$B$11)^78*(1+Controls!P$25*Smooth!$L80)*(1+Controls!P$26*Smooth!$M80)*(1+Controls!P$27*Smooth!$N80)*(1+Controls!P$28*Smooth!$O80)),2))</f>
        <v/>
      </c>
      <c r="L80" s="18">
        <f t="shared" si="1"/>
        <v>178.13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21.0" customHeight="1">
      <c r="A81" s="7">
        <f>IF(80&lt;=Controls!$B$5,Controls!$B$4+79,"")</f>
        <v>73070</v>
      </c>
      <c r="B81" s="10">
        <f t="array" ref="B81">IF(OR($A81="",1&gt;Controls!$B$6),"",ROUND(MAX(0,Smooth!B81*Controls!B$17*INDEX(Controls!$B$21:$H$21,1,WEEKDAY($A81,2))*(1+Controls!$B$11)^79*(1+Controls!G$25*Smooth!$L81)*(1+Controls!G$26*Smooth!$M81)*(1+Controls!G$27*Smooth!$N81)*(1+Controls!G$28*Smooth!$O81)),2))</f>
        <v>62.64</v>
      </c>
      <c r="C81" s="10">
        <f t="array" ref="C81">IF(OR($A81="",2&gt;Controls!$B$6),"",ROUND(MAX(0,Smooth!C81*Controls!C$17*INDEX(Controls!$B$21:$H$21,1,WEEKDAY($A81,2))*(1+Controls!$B$11)^79*(1+Controls!H$25*Smooth!$L81)*(1+Controls!H$26*Smooth!$M81)*(1+Controls!H$27*Smooth!$N81)*(1+Controls!H$28*Smooth!$O81)),2))</f>
        <v>64.68</v>
      </c>
      <c r="D81" s="10">
        <f t="array" ref="D81">IF(OR($A81="",3&gt;Controls!$B$6),"",ROUND(MAX(0,Smooth!D81*Controls!D$17*INDEX(Controls!$B$21:$H$21,1,WEEKDAY($A81,2))*(1+Controls!$B$11)^79*(1+Controls!I$25*Smooth!$L81)*(1+Controls!I$26*Smooth!$M81)*(1+Controls!I$27*Smooth!$N81)*(1+Controls!I$28*Smooth!$O81)),2))</f>
        <v>39.33</v>
      </c>
      <c r="E81" s="10" t="str">
        <f t="array" ref="E81">IF(OR($A81="",4&gt;Controls!$B$6),"",ROUND(MAX(0,Smooth!E81*Controls!E$17*INDEX(Controls!$B$21:$H$21,1,WEEKDAY($A81,2))*(1+Controls!$B$11)^79*(1+Controls!J$25*Smooth!$L81)*(1+Controls!J$26*Smooth!$M81)*(1+Controls!J$27*Smooth!$N81)*(1+Controls!J$28*Smooth!$O81)),2))</f>
        <v/>
      </c>
      <c r="F81" s="10" t="str">
        <f t="array" ref="F81">IF(OR($A81="",5&gt;Controls!$B$6),"",ROUND(MAX(0,Smooth!F81*Controls!F$17*INDEX(Controls!$B$21:$H$21,1,WEEKDAY($A81,2))*(1+Controls!$B$11)^79*(1+Controls!K$25*Smooth!$L81)*(1+Controls!K$26*Smooth!$M81)*(1+Controls!K$27*Smooth!$N81)*(1+Controls!K$28*Smooth!$O81)),2))</f>
        <v/>
      </c>
      <c r="G81" s="10" t="str">
        <f t="array" ref="G81">IF(OR($A81="",6&gt;Controls!$B$6),"",ROUND(MAX(0,Smooth!G81*Controls!G$17*INDEX(Controls!$B$21:$H$21,1,WEEKDAY($A81,2))*(1+Controls!$B$11)^79*(1+Controls!L$25*Smooth!$L81)*(1+Controls!L$26*Smooth!$M81)*(1+Controls!L$27*Smooth!$N81)*(1+Controls!L$28*Smooth!$O81)),2))</f>
        <v/>
      </c>
      <c r="H81" s="10" t="str">
        <f t="array" ref="H81">IF(OR($A81="",7&gt;Controls!$B$6),"",ROUND(MAX(0,Smooth!H81*Controls!H$17*INDEX(Controls!$B$21:$H$21,1,WEEKDAY($A81,2))*(1+Controls!$B$11)^79*(1+Controls!M$25*Smooth!$L81)*(1+Controls!M$26*Smooth!$M81)*(1+Controls!M$27*Smooth!$N81)*(1+Controls!M$28*Smooth!$O81)),2))</f>
        <v/>
      </c>
      <c r="I81" s="10" t="str">
        <f t="array" ref="I81">IF(OR($A81="",8&gt;Controls!$B$6),"",ROUND(MAX(0,Smooth!I81*Controls!I$17*INDEX(Controls!$B$21:$H$21,1,WEEKDAY($A81,2))*(1+Controls!$B$11)^79*(1+Controls!N$25*Smooth!$L81)*(1+Controls!N$26*Smooth!$M81)*(1+Controls!N$27*Smooth!$N81)*(1+Controls!N$28*Smooth!$O81)),2))</f>
        <v/>
      </c>
      <c r="J81" s="10" t="str">
        <f t="array" ref="J81">IF(OR($A81="",9&gt;Controls!$B$6),"",ROUND(MAX(0,Smooth!J81*Controls!J$17*INDEX(Controls!$B$21:$H$21,1,WEEKDAY($A81,2))*(1+Controls!$B$11)^79*(1+Controls!O$25*Smooth!$L81)*(1+Controls!O$26*Smooth!$M81)*(1+Controls!O$27*Smooth!$N81)*(1+Controls!O$28*Smooth!$O81)),2))</f>
        <v/>
      </c>
      <c r="K81" s="10" t="str">
        <f t="array" ref="K81">IF(OR($A81="",10&gt;Controls!$B$6),"",ROUND(MAX(0,Smooth!K81*Controls!K$17*INDEX(Controls!$B$21:$H$21,1,WEEKDAY($A81,2))*(1+Controls!$B$11)^79*(1+Controls!P$25*Smooth!$L81)*(1+Controls!P$26*Smooth!$M81)*(1+Controls!P$27*Smooth!$N81)*(1+Controls!P$28*Smooth!$O81)),2))</f>
        <v/>
      </c>
      <c r="L81" s="18">
        <f t="shared" si="1"/>
        <v>166.65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21.0" customHeight="1">
      <c r="A82" s="7">
        <f>IF(81&lt;=Controls!$B$5,Controls!$B$4+80,"")</f>
        <v>73071</v>
      </c>
      <c r="B82" s="10">
        <f t="array" ref="B82">IF(OR($A82="",1&gt;Controls!$B$6),"",ROUND(MAX(0,Smooth!B82*Controls!B$17*INDEX(Controls!$B$21:$H$21,1,WEEKDAY($A82,2))*(1+Controls!$B$11)^80*(1+Controls!G$25*Smooth!$L82)*(1+Controls!G$26*Smooth!$M82)*(1+Controls!G$27*Smooth!$N82)*(1+Controls!G$28*Smooth!$O82)),2))</f>
        <v>67.36</v>
      </c>
      <c r="C82" s="10">
        <f t="array" ref="C82">IF(OR($A82="",2&gt;Controls!$B$6),"",ROUND(MAX(0,Smooth!C82*Controls!C$17*INDEX(Controls!$B$21:$H$21,1,WEEKDAY($A82,2))*(1+Controls!$B$11)^80*(1+Controls!H$25*Smooth!$L82)*(1+Controls!H$26*Smooth!$M82)*(1+Controls!H$27*Smooth!$N82)*(1+Controls!H$28*Smooth!$O82)),2))</f>
        <v>61.19</v>
      </c>
      <c r="D82" s="10">
        <f t="array" ref="D82">IF(OR($A82="",3&gt;Controls!$B$6),"",ROUND(MAX(0,Smooth!D82*Controls!D$17*INDEX(Controls!$B$21:$H$21,1,WEEKDAY($A82,2))*(1+Controls!$B$11)^80*(1+Controls!I$25*Smooth!$L82)*(1+Controls!I$26*Smooth!$M82)*(1+Controls!I$27*Smooth!$N82)*(1+Controls!I$28*Smooth!$O82)),2))</f>
        <v>29.66</v>
      </c>
      <c r="E82" s="10" t="str">
        <f t="array" ref="E82">IF(OR($A82="",4&gt;Controls!$B$6),"",ROUND(MAX(0,Smooth!E82*Controls!E$17*INDEX(Controls!$B$21:$H$21,1,WEEKDAY($A82,2))*(1+Controls!$B$11)^80*(1+Controls!J$25*Smooth!$L82)*(1+Controls!J$26*Smooth!$M82)*(1+Controls!J$27*Smooth!$N82)*(1+Controls!J$28*Smooth!$O82)),2))</f>
        <v/>
      </c>
      <c r="F82" s="10" t="str">
        <f t="array" ref="F82">IF(OR($A82="",5&gt;Controls!$B$6),"",ROUND(MAX(0,Smooth!F82*Controls!F$17*INDEX(Controls!$B$21:$H$21,1,WEEKDAY($A82,2))*(1+Controls!$B$11)^80*(1+Controls!K$25*Smooth!$L82)*(1+Controls!K$26*Smooth!$M82)*(1+Controls!K$27*Smooth!$N82)*(1+Controls!K$28*Smooth!$O82)),2))</f>
        <v/>
      </c>
      <c r="G82" s="10" t="str">
        <f t="array" ref="G82">IF(OR($A82="",6&gt;Controls!$B$6),"",ROUND(MAX(0,Smooth!G82*Controls!G$17*INDEX(Controls!$B$21:$H$21,1,WEEKDAY($A82,2))*(1+Controls!$B$11)^80*(1+Controls!L$25*Smooth!$L82)*(1+Controls!L$26*Smooth!$M82)*(1+Controls!L$27*Smooth!$N82)*(1+Controls!L$28*Smooth!$O82)),2))</f>
        <v/>
      </c>
      <c r="H82" s="10" t="str">
        <f t="array" ref="H82">IF(OR($A82="",7&gt;Controls!$B$6),"",ROUND(MAX(0,Smooth!H82*Controls!H$17*INDEX(Controls!$B$21:$H$21,1,WEEKDAY($A82,2))*(1+Controls!$B$11)^80*(1+Controls!M$25*Smooth!$L82)*(1+Controls!M$26*Smooth!$M82)*(1+Controls!M$27*Smooth!$N82)*(1+Controls!M$28*Smooth!$O82)),2))</f>
        <v/>
      </c>
      <c r="I82" s="10" t="str">
        <f t="array" ref="I82">IF(OR($A82="",8&gt;Controls!$B$6),"",ROUND(MAX(0,Smooth!I82*Controls!I$17*INDEX(Controls!$B$21:$H$21,1,WEEKDAY($A82,2))*(1+Controls!$B$11)^80*(1+Controls!N$25*Smooth!$L82)*(1+Controls!N$26*Smooth!$M82)*(1+Controls!N$27*Smooth!$N82)*(1+Controls!N$28*Smooth!$O82)),2))</f>
        <v/>
      </c>
      <c r="J82" s="10" t="str">
        <f t="array" ref="J82">IF(OR($A82="",9&gt;Controls!$B$6),"",ROUND(MAX(0,Smooth!J82*Controls!J$17*INDEX(Controls!$B$21:$H$21,1,WEEKDAY($A82,2))*(1+Controls!$B$11)^80*(1+Controls!O$25*Smooth!$L82)*(1+Controls!O$26*Smooth!$M82)*(1+Controls!O$27*Smooth!$N82)*(1+Controls!O$28*Smooth!$O82)),2))</f>
        <v/>
      </c>
      <c r="K82" s="10" t="str">
        <f t="array" ref="K82">IF(OR($A82="",10&gt;Controls!$B$6),"",ROUND(MAX(0,Smooth!K82*Controls!K$17*INDEX(Controls!$B$21:$H$21,1,WEEKDAY($A82,2))*(1+Controls!$B$11)^80*(1+Controls!P$25*Smooth!$L82)*(1+Controls!P$26*Smooth!$M82)*(1+Controls!P$27*Smooth!$N82)*(1+Controls!P$28*Smooth!$O82)),2))</f>
        <v/>
      </c>
      <c r="L82" s="18">
        <f t="shared" si="1"/>
        <v>158.21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21.0" customHeight="1">
      <c r="A83" s="7">
        <f>IF(82&lt;=Controls!$B$5,Controls!$B$4+81,"")</f>
        <v>73072</v>
      </c>
      <c r="B83" s="10">
        <f t="array" ref="B83">IF(OR($A83="",1&gt;Controls!$B$6),"",ROUND(MAX(0,Smooth!B83*Controls!B$17*INDEX(Controls!$B$21:$H$21,1,WEEKDAY($A83,2))*(1+Controls!$B$11)^81*(1+Controls!G$25*Smooth!$L83)*(1+Controls!G$26*Smooth!$M83)*(1+Controls!G$27*Smooth!$N83)*(1+Controls!G$28*Smooth!$O83)),2))</f>
        <v>52</v>
      </c>
      <c r="C83" s="10">
        <f t="array" ref="C83">IF(OR($A83="",2&gt;Controls!$B$6),"",ROUND(MAX(0,Smooth!C83*Controls!C$17*INDEX(Controls!$B$21:$H$21,1,WEEKDAY($A83,2))*(1+Controls!$B$11)^81*(1+Controls!H$25*Smooth!$L83)*(1+Controls!H$26*Smooth!$M83)*(1+Controls!H$27*Smooth!$N83)*(1+Controls!H$28*Smooth!$O83)),2))</f>
        <v>50.31</v>
      </c>
      <c r="D83" s="10">
        <f t="array" ref="D83">IF(OR($A83="",3&gt;Controls!$B$6),"",ROUND(MAX(0,Smooth!D83*Controls!D$17*INDEX(Controls!$B$21:$H$21,1,WEEKDAY($A83,2))*(1+Controls!$B$11)^81*(1+Controls!I$25*Smooth!$L83)*(1+Controls!I$26*Smooth!$M83)*(1+Controls!I$27*Smooth!$N83)*(1+Controls!I$28*Smooth!$O83)),2))</f>
        <v>53.79</v>
      </c>
      <c r="E83" s="10" t="str">
        <f t="array" ref="E83">IF(OR($A83="",4&gt;Controls!$B$6),"",ROUND(MAX(0,Smooth!E83*Controls!E$17*INDEX(Controls!$B$21:$H$21,1,WEEKDAY($A83,2))*(1+Controls!$B$11)^81*(1+Controls!J$25*Smooth!$L83)*(1+Controls!J$26*Smooth!$M83)*(1+Controls!J$27*Smooth!$N83)*(1+Controls!J$28*Smooth!$O83)),2))</f>
        <v/>
      </c>
      <c r="F83" s="10" t="str">
        <f t="array" ref="F83">IF(OR($A83="",5&gt;Controls!$B$6),"",ROUND(MAX(0,Smooth!F83*Controls!F$17*INDEX(Controls!$B$21:$H$21,1,WEEKDAY($A83,2))*(1+Controls!$B$11)^81*(1+Controls!K$25*Smooth!$L83)*(1+Controls!K$26*Smooth!$M83)*(1+Controls!K$27*Smooth!$N83)*(1+Controls!K$28*Smooth!$O83)),2))</f>
        <v/>
      </c>
      <c r="G83" s="10" t="str">
        <f t="array" ref="G83">IF(OR($A83="",6&gt;Controls!$B$6),"",ROUND(MAX(0,Smooth!G83*Controls!G$17*INDEX(Controls!$B$21:$H$21,1,WEEKDAY($A83,2))*(1+Controls!$B$11)^81*(1+Controls!L$25*Smooth!$L83)*(1+Controls!L$26*Smooth!$M83)*(1+Controls!L$27*Smooth!$N83)*(1+Controls!L$28*Smooth!$O83)),2))</f>
        <v/>
      </c>
      <c r="H83" s="10" t="str">
        <f t="array" ref="H83">IF(OR($A83="",7&gt;Controls!$B$6),"",ROUND(MAX(0,Smooth!H83*Controls!H$17*INDEX(Controls!$B$21:$H$21,1,WEEKDAY($A83,2))*(1+Controls!$B$11)^81*(1+Controls!M$25*Smooth!$L83)*(1+Controls!M$26*Smooth!$M83)*(1+Controls!M$27*Smooth!$N83)*(1+Controls!M$28*Smooth!$O83)),2))</f>
        <v/>
      </c>
      <c r="I83" s="10" t="str">
        <f t="array" ref="I83">IF(OR($A83="",8&gt;Controls!$B$6),"",ROUND(MAX(0,Smooth!I83*Controls!I$17*INDEX(Controls!$B$21:$H$21,1,WEEKDAY($A83,2))*(1+Controls!$B$11)^81*(1+Controls!N$25*Smooth!$L83)*(1+Controls!N$26*Smooth!$M83)*(1+Controls!N$27*Smooth!$N83)*(1+Controls!N$28*Smooth!$O83)),2))</f>
        <v/>
      </c>
      <c r="J83" s="10" t="str">
        <f t="array" ref="J83">IF(OR($A83="",9&gt;Controls!$B$6),"",ROUND(MAX(0,Smooth!J83*Controls!J$17*INDEX(Controls!$B$21:$H$21,1,WEEKDAY($A83,2))*(1+Controls!$B$11)^81*(1+Controls!O$25*Smooth!$L83)*(1+Controls!O$26*Smooth!$M83)*(1+Controls!O$27*Smooth!$N83)*(1+Controls!O$28*Smooth!$O83)),2))</f>
        <v/>
      </c>
      <c r="K83" s="10" t="str">
        <f t="array" ref="K83">IF(OR($A83="",10&gt;Controls!$B$6),"",ROUND(MAX(0,Smooth!K83*Controls!K$17*INDEX(Controls!$B$21:$H$21,1,WEEKDAY($A83,2))*(1+Controls!$B$11)^81*(1+Controls!P$25*Smooth!$L83)*(1+Controls!P$26*Smooth!$M83)*(1+Controls!P$27*Smooth!$N83)*(1+Controls!P$28*Smooth!$O83)),2))</f>
        <v/>
      </c>
      <c r="L83" s="18">
        <f t="shared" si="1"/>
        <v>156.1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21.0" customHeight="1">
      <c r="A84" s="7">
        <f>IF(83&lt;=Controls!$B$5,Controls!$B$4+82,"")</f>
        <v>73073</v>
      </c>
      <c r="B84" s="10">
        <f t="array" ref="B84">IF(OR($A84="",1&gt;Controls!$B$6),"",ROUND(MAX(0,Smooth!B84*Controls!B$17*INDEX(Controls!$B$21:$H$21,1,WEEKDAY($A84,2))*(1+Controls!$B$11)^82*(1+Controls!G$25*Smooth!$L84)*(1+Controls!G$26*Smooth!$M84)*(1+Controls!G$27*Smooth!$N84)*(1+Controls!G$28*Smooth!$O84)),2))</f>
        <v>50.3</v>
      </c>
      <c r="C84" s="10">
        <f t="array" ref="C84">IF(OR($A84="",2&gt;Controls!$B$6),"",ROUND(MAX(0,Smooth!C84*Controls!C$17*INDEX(Controls!$B$21:$H$21,1,WEEKDAY($A84,2))*(1+Controls!$B$11)^82*(1+Controls!H$25*Smooth!$L84)*(1+Controls!H$26*Smooth!$M84)*(1+Controls!H$27*Smooth!$N84)*(1+Controls!H$28*Smooth!$O84)),2))</f>
        <v>39.33</v>
      </c>
      <c r="D84" s="10">
        <f t="array" ref="D84">IF(OR($A84="",3&gt;Controls!$B$6),"",ROUND(MAX(0,Smooth!D84*Controls!D$17*INDEX(Controls!$B$21:$H$21,1,WEEKDAY($A84,2))*(1+Controls!$B$11)^82*(1+Controls!I$25*Smooth!$L84)*(1+Controls!I$26*Smooth!$M84)*(1+Controls!I$27*Smooth!$N84)*(1+Controls!I$28*Smooth!$O84)),2))</f>
        <v>36.72</v>
      </c>
      <c r="E84" s="10" t="str">
        <f t="array" ref="E84">IF(OR($A84="",4&gt;Controls!$B$6),"",ROUND(MAX(0,Smooth!E84*Controls!E$17*INDEX(Controls!$B$21:$H$21,1,WEEKDAY($A84,2))*(1+Controls!$B$11)^82*(1+Controls!J$25*Smooth!$L84)*(1+Controls!J$26*Smooth!$M84)*(1+Controls!J$27*Smooth!$N84)*(1+Controls!J$28*Smooth!$O84)),2))</f>
        <v/>
      </c>
      <c r="F84" s="10" t="str">
        <f t="array" ref="F84">IF(OR($A84="",5&gt;Controls!$B$6),"",ROUND(MAX(0,Smooth!F84*Controls!F$17*INDEX(Controls!$B$21:$H$21,1,WEEKDAY($A84,2))*(1+Controls!$B$11)^82*(1+Controls!K$25*Smooth!$L84)*(1+Controls!K$26*Smooth!$M84)*(1+Controls!K$27*Smooth!$N84)*(1+Controls!K$28*Smooth!$O84)),2))</f>
        <v/>
      </c>
      <c r="G84" s="10" t="str">
        <f t="array" ref="G84">IF(OR($A84="",6&gt;Controls!$B$6),"",ROUND(MAX(0,Smooth!G84*Controls!G$17*INDEX(Controls!$B$21:$H$21,1,WEEKDAY($A84,2))*(1+Controls!$B$11)^82*(1+Controls!L$25*Smooth!$L84)*(1+Controls!L$26*Smooth!$M84)*(1+Controls!L$27*Smooth!$N84)*(1+Controls!L$28*Smooth!$O84)),2))</f>
        <v/>
      </c>
      <c r="H84" s="10" t="str">
        <f t="array" ref="H84">IF(OR($A84="",7&gt;Controls!$B$6),"",ROUND(MAX(0,Smooth!H84*Controls!H$17*INDEX(Controls!$B$21:$H$21,1,WEEKDAY($A84,2))*(1+Controls!$B$11)^82*(1+Controls!M$25*Smooth!$L84)*(1+Controls!M$26*Smooth!$M84)*(1+Controls!M$27*Smooth!$N84)*(1+Controls!M$28*Smooth!$O84)),2))</f>
        <v/>
      </c>
      <c r="I84" s="10" t="str">
        <f t="array" ref="I84">IF(OR($A84="",8&gt;Controls!$B$6),"",ROUND(MAX(0,Smooth!I84*Controls!I$17*INDEX(Controls!$B$21:$H$21,1,WEEKDAY($A84,2))*(1+Controls!$B$11)^82*(1+Controls!N$25*Smooth!$L84)*(1+Controls!N$26*Smooth!$M84)*(1+Controls!N$27*Smooth!$N84)*(1+Controls!N$28*Smooth!$O84)),2))</f>
        <v/>
      </c>
      <c r="J84" s="10" t="str">
        <f t="array" ref="J84">IF(OR($A84="",9&gt;Controls!$B$6),"",ROUND(MAX(0,Smooth!J84*Controls!J$17*INDEX(Controls!$B$21:$H$21,1,WEEKDAY($A84,2))*(1+Controls!$B$11)^82*(1+Controls!O$25*Smooth!$L84)*(1+Controls!O$26*Smooth!$M84)*(1+Controls!O$27*Smooth!$N84)*(1+Controls!O$28*Smooth!$O84)),2))</f>
        <v/>
      </c>
      <c r="K84" s="10" t="str">
        <f t="array" ref="K84">IF(OR($A84="",10&gt;Controls!$B$6),"",ROUND(MAX(0,Smooth!K84*Controls!K$17*INDEX(Controls!$B$21:$H$21,1,WEEKDAY($A84,2))*(1+Controls!$B$11)^82*(1+Controls!P$25*Smooth!$L84)*(1+Controls!P$26*Smooth!$M84)*(1+Controls!P$27*Smooth!$N84)*(1+Controls!P$28*Smooth!$O84)),2))</f>
        <v/>
      </c>
      <c r="L84" s="18">
        <f t="shared" si="1"/>
        <v>126.35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21.0" customHeight="1">
      <c r="A85" s="7">
        <f>IF(84&lt;=Controls!$B$5,Controls!$B$4+83,"")</f>
        <v>73074</v>
      </c>
      <c r="B85" s="10">
        <f t="array" ref="B85">IF(OR($A85="",1&gt;Controls!$B$6),"",ROUND(MAX(0,Smooth!B85*Controls!B$17*INDEX(Controls!$B$21:$H$21,1,WEEKDAY($A85,2))*(1+Controls!$B$11)^83*(1+Controls!G$25*Smooth!$L85)*(1+Controls!G$26*Smooth!$M85)*(1+Controls!G$27*Smooth!$N85)*(1+Controls!G$28*Smooth!$O85)),2))</f>
        <v>29.51</v>
      </c>
      <c r="C85" s="10">
        <f t="array" ref="C85">IF(OR($A85="",2&gt;Controls!$B$6),"",ROUND(MAX(0,Smooth!C85*Controls!C$17*INDEX(Controls!$B$21:$H$21,1,WEEKDAY($A85,2))*(1+Controls!$B$11)^83*(1+Controls!H$25*Smooth!$L85)*(1+Controls!H$26*Smooth!$M85)*(1+Controls!H$27*Smooth!$N85)*(1+Controls!H$28*Smooth!$O85)),2))</f>
        <v>19.22</v>
      </c>
      <c r="D85" s="10">
        <f t="array" ref="D85">IF(OR($A85="",3&gt;Controls!$B$6),"",ROUND(MAX(0,Smooth!D85*Controls!D$17*INDEX(Controls!$B$21:$H$21,1,WEEKDAY($A85,2))*(1+Controls!$B$11)^83*(1+Controls!I$25*Smooth!$L85)*(1+Controls!I$26*Smooth!$M85)*(1+Controls!I$27*Smooth!$N85)*(1+Controls!I$28*Smooth!$O85)),2))</f>
        <v>10.51</v>
      </c>
      <c r="E85" s="10" t="str">
        <f t="array" ref="E85">IF(OR($A85="",4&gt;Controls!$B$6),"",ROUND(MAX(0,Smooth!E85*Controls!E$17*INDEX(Controls!$B$21:$H$21,1,WEEKDAY($A85,2))*(1+Controls!$B$11)^83*(1+Controls!J$25*Smooth!$L85)*(1+Controls!J$26*Smooth!$M85)*(1+Controls!J$27*Smooth!$N85)*(1+Controls!J$28*Smooth!$O85)),2))</f>
        <v/>
      </c>
      <c r="F85" s="10" t="str">
        <f t="array" ref="F85">IF(OR($A85="",5&gt;Controls!$B$6),"",ROUND(MAX(0,Smooth!F85*Controls!F$17*INDEX(Controls!$B$21:$H$21,1,WEEKDAY($A85,2))*(1+Controls!$B$11)^83*(1+Controls!K$25*Smooth!$L85)*(1+Controls!K$26*Smooth!$M85)*(1+Controls!K$27*Smooth!$N85)*(1+Controls!K$28*Smooth!$O85)),2))</f>
        <v/>
      </c>
      <c r="G85" s="10" t="str">
        <f t="array" ref="G85">IF(OR($A85="",6&gt;Controls!$B$6),"",ROUND(MAX(0,Smooth!G85*Controls!G$17*INDEX(Controls!$B$21:$H$21,1,WEEKDAY($A85,2))*(1+Controls!$B$11)^83*(1+Controls!L$25*Smooth!$L85)*(1+Controls!L$26*Smooth!$M85)*(1+Controls!L$27*Smooth!$N85)*(1+Controls!L$28*Smooth!$O85)),2))</f>
        <v/>
      </c>
      <c r="H85" s="10" t="str">
        <f t="array" ref="H85">IF(OR($A85="",7&gt;Controls!$B$6),"",ROUND(MAX(0,Smooth!H85*Controls!H$17*INDEX(Controls!$B$21:$H$21,1,WEEKDAY($A85,2))*(1+Controls!$B$11)^83*(1+Controls!M$25*Smooth!$L85)*(1+Controls!M$26*Smooth!$M85)*(1+Controls!M$27*Smooth!$N85)*(1+Controls!M$28*Smooth!$O85)),2))</f>
        <v/>
      </c>
      <c r="I85" s="10" t="str">
        <f t="array" ref="I85">IF(OR($A85="",8&gt;Controls!$B$6),"",ROUND(MAX(0,Smooth!I85*Controls!I$17*INDEX(Controls!$B$21:$H$21,1,WEEKDAY($A85,2))*(1+Controls!$B$11)^83*(1+Controls!N$25*Smooth!$L85)*(1+Controls!N$26*Smooth!$M85)*(1+Controls!N$27*Smooth!$N85)*(1+Controls!N$28*Smooth!$O85)),2))</f>
        <v/>
      </c>
      <c r="J85" s="10" t="str">
        <f t="array" ref="J85">IF(OR($A85="",9&gt;Controls!$B$6),"",ROUND(MAX(0,Smooth!J85*Controls!J$17*INDEX(Controls!$B$21:$H$21,1,WEEKDAY($A85,2))*(1+Controls!$B$11)^83*(1+Controls!O$25*Smooth!$L85)*(1+Controls!O$26*Smooth!$M85)*(1+Controls!O$27*Smooth!$N85)*(1+Controls!O$28*Smooth!$O85)),2))</f>
        <v/>
      </c>
      <c r="K85" s="10" t="str">
        <f t="array" ref="K85">IF(OR($A85="",10&gt;Controls!$B$6),"",ROUND(MAX(0,Smooth!K85*Controls!K$17*INDEX(Controls!$B$21:$H$21,1,WEEKDAY($A85,2))*(1+Controls!$B$11)^83*(1+Controls!P$25*Smooth!$L85)*(1+Controls!P$26*Smooth!$M85)*(1+Controls!P$27*Smooth!$N85)*(1+Controls!P$28*Smooth!$O85)),2))</f>
        <v/>
      </c>
      <c r="L85" s="18">
        <f t="shared" si="1"/>
        <v>59.24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21.0" customHeight="1">
      <c r="A86" s="7">
        <f>IF(85&lt;=Controls!$B$5,Controls!$B$4+84,"")</f>
        <v>73075</v>
      </c>
      <c r="B86" s="10">
        <f t="array" ref="B86">IF(OR($A86="",1&gt;Controls!$B$6),"",ROUND(MAX(0,Smooth!B86*Controls!B$17*INDEX(Controls!$B$21:$H$21,1,WEEKDAY($A86,2))*(1+Controls!$B$11)^84*(1+Controls!G$25*Smooth!$L86)*(1+Controls!G$26*Smooth!$M86)*(1+Controls!G$27*Smooth!$N86)*(1+Controls!G$28*Smooth!$O86)),2))</f>
        <v>75.34</v>
      </c>
      <c r="C86" s="10">
        <f t="array" ref="C86">IF(OR($A86="",2&gt;Controls!$B$6),"",ROUND(MAX(0,Smooth!C86*Controls!C$17*INDEX(Controls!$B$21:$H$21,1,WEEKDAY($A86,2))*(1+Controls!$B$11)^84*(1+Controls!H$25*Smooth!$L86)*(1+Controls!H$26*Smooth!$M86)*(1+Controls!H$27*Smooth!$N86)*(1+Controls!H$28*Smooth!$O86)),2))</f>
        <v>46</v>
      </c>
      <c r="D86" s="10">
        <f t="array" ref="D86">IF(OR($A86="",3&gt;Controls!$B$6),"",ROUND(MAX(0,Smooth!D86*Controls!D$17*INDEX(Controls!$B$21:$H$21,1,WEEKDAY($A86,2))*(1+Controls!$B$11)^84*(1+Controls!I$25*Smooth!$L86)*(1+Controls!I$26*Smooth!$M86)*(1+Controls!I$27*Smooth!$N86)*(1+Controls!I$28*Smooth!$O86)),2))</f>
        <v>30.46</v>
      </c>
      <c r="E86" s="10" t="str">
        <f t="array" ref="E86">IF(OR($A86="",4&gt;Controls!$B$6),"",ROUND(MAX(0,Smooth!E86*Controls!E$17*INDEX(Controls!$B$21:$H$21,1,WEEKDAY($A86,2))*(1+Controls!$B$11)^84*(1+Controls!J$25*Smooth!$L86)*(1+Controls!J$26*Smooth!$M86)*(1+Controls!J$27*Smooth!$N86)*(1+Controls!J$28*Smooth!$O86)),2))</f>
        <v/>
      </c>
      <c r="F86" s="10" t="str">
        <f t="array" ref="F86">IF(OR($A86="",5&gt;Controls!$B$6),"",ROUND(MAX(0,Smooth!F86*Controls!F$17*INDEX(Controls!$B$21:$H$21,1,WEEKDAY($A86,2))*(1+Controls!$B$11)^84*(1+Controls!K$25*Smooth!$L86)*(1+Controls!K$26*Smooth!$M86)*(1+Controls!K$27*Smooth!$N86)*(1+Controls!K$28*Smooth!$O86)),2))</f>
        <v/>
      </c>
      <c r="G86" s="10" t="str">
        <f t="array" ref="G86">IF(OR($A86="",6&gt;Controls!$B$6),"",ROUND(MAX(0,Smooth!G86*Controls!G$17*INDEX(Controls!$B$21:$H$21,1,WEEKDAY($A86,2))*(1+Controls!$B$11)^84*(1+Controls!L$25*Smooth!$L86)*(1+Controls!L$26*Smooth!$M86)*(1+Controls!L$27*Smooth!$N86)*(1+Controls!L$28*Smooth!$O86)),2))</f>
        <v/>
      </c>
      <c r="H86" s="10" t="str">
        <f t="array" ref="H86">IF(OR($A86="",7&gt;Controls!$B$6),"",ROUND(MAX(0,Smooth!H86*Controls!H$17*INDEX(Controls!$B$21:$H$21,1,WEEKDAY($A86,2))*(1+Controls!$B$11)^84*(1+Controls!M$25*Smooth!$L86)*(1+Controls!M$26*Smooth!$M86)*(1+Controls!M$27*Smooth!$N86)*(1+Controls!M$28*Smooth!$O86)),2))</f>
        <v/>
      </c>
      <c r="I86" s="10" t="str">
        <f t="array" ref="I86">IF(OR($A86="",8&gt;Controls!$B$6),"",ROUND(MAX(0,Smooth!I86*Controls!I$17*INDEX(Controls!$B$21:$H$21,1,WEEKDAY($A86,2))*(1+Controls!$B$11)^84*(1+Controls!N$25*Smooth!$L86)*(1+Controls!N$26*Smooth!$M86)*(1+Controls!N$27*Smooth!$N86)*(1+Controls!N$28*Smooth!$O86)),2))</f>
        <v/>
      </c>
      <c r="J86" s="10" t="str">
        <f t="array" ref="J86">IF(OR($A86="",9&gt;Controls!$B$6),"",ROUND(MAX(0,Smooth!J86*Controls!J$17*INDEX(Controls!$B$21:$H$21,1,WEEKDAY($A86,2))*(1+Controls!$B$11)^84*(1+Controls!O$25*Smooth!$L86)*(1+Controls!O$26*Smooth!$M86)*(1+Controls!O$27*Smooth!$N86)*(1+Controls!O$28*Smooth!$O86)),2))</f>
        <v/>
      </c>
      <c r="K86" s="10" t="str">
        <f t="array" ref="K86">IF(OR($A86="",10&gt;Controls!$B$6),"",ROUND(MAX(0,Smooth!K86*Controls!K$17*INDEX(Controls!$B$21:$H$21,1,WEEKDAY($A86,2))*(1+Controls!$B$11)^84*(1+Controls!P$25*Smooth!$L86)*(1+Controls!P$26*Smooth!$M86)*(1+Controls!P$27*Smooth!$N86)*(1+Controls!P$28*Smooth!$O86)),2))</f>
        <v/>
      </c>
      <c r="L86" s="18">
        <f t="shared" si="1"/>
        <v>151.8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21.0" customHeight="1">
      <c r="A87" s="7">
        <f>IF(86&lt;=Controls!$B$5,Controls!$B$4+85,"")</f>
        <v>73076</v>
      </c>
      <c r="B87" s="10">
        <f t="array" ref="B87">IF(OR($A87="",1&gt;Controls!$B$6),"",ROUND(MAX(0,Smooth!B87*Controls!B$17*INDEX(Controls!$B$21:$H$21,1,WEEKDAY($A87,2))*(1+Controls!$B$11)^85*(1+Controls!G$25*Smooth!$L87)*(1+Controls!G$26*Smooth!$M87)*(1+Controls!G$27*Smooth!$N87)*(1+Controls!G$28*Smooth!$O87)),2))</f>
        <v>68.97</v>
      </c>
      <c r="C87" s="10">
        <f t="array" ref="C87">IF(OR($A87="",2&gt;Controls!$B$6),"",ROUND(MAX(0,Smooth!C87*Controls!C$17*INDEX(Controls!$B$21:$H$21,1,WEEKDAY($A87,2))*(1+Controls!$B$11)^85*(1+Controls!H$25*Smooth!$L87)*(1+Controls!H$26*Smooth!$M87)*(1+Controls!H$27*Smooth!$N87)*(1+Controls!H$28*Smooth!$O87)),2))</f>
        <v>47.44</v>
      </c>
      <c r="D87" s="10">
        <f t="array" ref="D87">IF(OR($A87="",3&gt;Controls!$B$6),"",ROUND(MAX(0,Smooth!D87*Controls!D$17*INDEX(Controls!$B$21:$H$21,1,WEEKDAY($A87,2))*(1+Controls!$B$11)^85*(1+Controls!I$25*Smooth!$L87)*(1+Controls!I$26*Smooth!$M87)*(1+Controls!I$27*Smooth!$N87)*(1+Controls!I$28*Smooth!$O87)),2))</f>
        <v>42.19</v>
      </c>
      <c r="E87" s="10" t="str">
        <f t="array" ref="E87">IF(OR($A87="",4&gt;Controls!$B$6),"",ROUND(MAX(0,Smooth!E87*Controls!E$17*INDEX(Controls!$B$21:$H$21,1,WEEKDAY($A87,2))*(1+Controls!$B$11)^85*(1+Controls!J$25*Smooth!$L87)*(1+Controls!J$26*Smooth!$M87)*(1+Controls!J$27*Smooth!$N87)*(1+Controls!J$28*Smooth!$O87)),2))</f>
        <v/>
      </c>
      <c r="F87" s="10" t="str">
        <f t="array" ref="F87">IF(OR($A87="",5&gt;Controls!$B$6),"",ROUND(MAX(0,Smooth!F87*Controls!F$17*INDEX(Controls!$B$21:$H$21,1,WEEKDAY($A87,2))*(1+Controls!$B$11)^85*(1+Controls!K$25*Smooth!$L87)*(1+Controls!K$26*Smooth!$M87)*(1+Controls!K$27*Smooth!$N87)*(1+Controls!K$28*Smooth!$O87)),2))</f>
        <v/>
      </c>
      <c r="G87" s="10" t="str">
        <f t="array" ref="G87">IF(OR($A87="",6&gt;Controls!$B$6),"",ROUND(MAX(0,Smooth!G87*Controls!G$17*INDEX(Controls!$B$21:$H$21,1,WEEKDAY($A87,2))*(1+Controls!$B$11)^85*(1+Controls!L$25*Smooth!$L87)*(1+Controls!L$26*Smooth!$M87)*(1+Controls!L$27*Smooth!$N87)*(1+Controls!L$28*Smooth!$O87)),2))</f>
        <v/>
      </c>
      <c r="H87" s="10" t="str">
        <f t="array" ref="H87">IF(OR($A87="",7&gt;Controls!$B$6),"",ROUND(MAX(0,Smooth!H87*Controls!H$17*INDEX(Controls!$B$21:$H$21,1,WEEKDAY($A87,2))*(1+Controls!$B$11)^85*(1+Controls!M$25*Smooth!$L87)*(1+Controls!M$26*Smooth!$M87)*(1+Controls!M$27*Smooth!$N87)*(1+Controls!M$28*Smooth!$O87)),2))</f>
        <v/>
      </c>
      <c r="I87" s="10" t="str">
        <f t="array" ref="I87">IF(OR($A87="",8&gt;Controls!$B$6),"",ROUND(MAX(0,Smooth!I87*Controls!I$17*INDEX(Controls!$B$21:$H$21,1,WEEKDAY($A87,2))*(1+Controls!$B$11)^85*(1+Controls!N$25*Smooth!$L87)*(1+Controls!N$26*Smooth!$M87)*(1+Controls!N$27*Smooth!$N87)*(1+Controls!N$28*Smooth!$O87)),2))</f>
        <v/>
      </c>
      <c r="J87" s="10" t="str">
        <f t="array" ref="J87">IF(OR($A87="",9&gt;Controls!$B$6),"",ROUND(MAX(0,Smooth!J87*Controls!J$17*INDEX(Controls!$B$21:$H$21,1,WEEKDAY($A87,2))*(1+Controls!$B$11)^85*(1+Controls!O$25*Smooth!$L87)*(1+Controls!O$26*Smooth!$M87)*(1+Controls!O$27*Smooth!$N87)*(1+Controls!O$28*Smooth!$O87)),2))</f>
        <v/>
      </c>
      <c r="K87" s="10" t="str">
        <f t="array" ref="K87">IF(OR($A87="",10&gt;Controls!$B$6),"",ROUND(MAX(0,Smooth!K87*Controls!K$17*INDEX(Controls!$B$21:$H$21,1,WEEKDAY($A87,2))*(1+Controls!$B$11)^85*(1+Controls!P$25*Smooth!$L87)*(1+Controls!P$26*Smooth!$M87)*(1+Controls!P$27*Smooth!$N87)*(1+Controls!P$28*Smooth!$O87)),2))</f>
        <v/>
      </c>
      <c r="L87" s="18">
        <f t="shared" si="1"/>
        <v>158.6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21.0" customHeight="1">
      <c r="A88" s="7">
        <f>IF(87&lt;=Controls!$B$5,Controls!$B$4+86,"")</f>
        <v>73077</v>
      </c>
      <c r="B88" s="10">
        <f t="array" ref="B88">IF(OR($A88="",1&gt;Controls!$B$6),"",ROUND(MAX(0,Smooth!B88*Controls!B$17*INDEX(Controls!$B$21:$H$21,1,WEEKDAY($A88,2))*(1+Controls!$B$11)^86*(1+Controls!G$25*Smooth!$L88)*(1+Controls!G$26*Smooth!$M88)*(1+Controls!G$27*Smooth!$N88)*(1+Controls!G$28*Smooth!$O88)),2))</f>
        <v>63.61</v>
      </c>
      <c r="C88" s="10">
        <f t="array" ref="C88">IF(OR($A88="",2&gt;Controls!$B$6),"",ROUND(MAX(0,Smooth!C88*Controls!C$17*INDEX(Controls!$B$21:$H$21,1,WEEKDAY($A88,2))*(1+Controls!$B$11)^86*(1+Controls!H$25*Smooth!$L88)*(1+Controls!H$26*Smooth!$M88)*(1+Controls!H$27*Smooth!$N88)*(1+Controls!H$28*Smooth!$O88)),2))</f>
        <v>59.17</v>
      </c>
      <c r="D88" s="10">
        <f t="array" ref="D88">IF(OR($A88="",3&gt;Controls!$B$6),"",ROUND(MAX(0,Smooth!D88*Controls!D$17*INDEX(Controls!$B$21:$H$21,1,WEEKDAY($A88,2))*(1+Controls!$B$11)^86*(1+Controls!I$25*Smooth!$L88)*(1+Controls!I$26*Smooth!$M88)*(1+Controls!I$27*Smooth!$N88)*(1+Controls!I$28*Smooth!$O88)),2))</f>
        <v>49.5</v>
      </c>
      <c r="E88" s="10" t="str">
        <f t="array" ref="E88">IF(OR($A88="",4&gt;Controls!$B$6),"",ROUND(MAX(0,Smooth!E88*Controls!E$17*INDEX(Controls!$B$21:$H$21,1,WEEKDAY($A88,2))*(1+Controls!$B$11)^86*(1+Controls!J$25*Smooth!$L88)*(1+Controls!J$26*Smooth!$M88)*(1+Controls!J$27*Smooth!$N88)*(1+Controls!J$28*Smooth!$O88)),2))</f>
        <v/>
      </c>
      <c r="F88" s="10" t="str">
        <f t="array" ref="F88">IF(OR($A88="",5&gt;Controls!$B$6),"",ROUND(MAX(0,Smooth!F88*Controls!F$17*INDEX(Controls!$B$21:$H$21,1,WEEKDAY($A88,2))*(1+Controls!$B$11)^86*(1+Controls!K$25*Smooth!$L88)*(1+Controls!K$26*Smooth!$M88)*(1+Controls!K$27*Smooth!$N88)*(1+Controls!K$28*Smooth!$O88)),2))</f>
        <v/>
      </c>
      <c r="G88" s="10" t="str">
        <f t="array" ref="G88">IF(OR($A88="",6&gt;Controls!$B$6),"",ROUND(MAX(0,Smooth!G88*Controls!G$17*INDEX(Controls!$B$21:$H$21,1,WEEKDAY($A88,2))*(1+Controls!$B$11)^86*(1+Controls!L$25*Smooth!$L88)*(1+Controls!L$26*Smooth!$M88)*(1+Controls!L$27*Smooth!$N88)*(1+Controls!L$28*Smooth!$O88)),2))</f>
        <v/>
      </c>
      <c r="H88" s="10" t="str">
        <f t="array" ref="H88">IF(OR($A88="",7&gt;Controls!$B$6),"",ROUND(MAX(0,Smooth!H88*Controls!H$17*INDEX(Controls!$B$21:$H$21,1,WEEKDAY($A88,2))*(1+Controls!$B$11)^86*(1+Controls!M$25*Smooth!$L88)*(1+Controls!M$26*Smooth!$M88)*(1+Controls!M$27*Smooth!$N88)*(1+Controls!M$28*Smooth!$O88)),2))</f>
        <v/>
      </c>
      <c r="I88" s="10" t="str">
        <f t="array" ref="I88">IF(OR($A88="",8&gt;Controls!$B$6),"",ROUND(MAX(0,Smooth!I88*Controls!I$17*INDEX(Controls!$B$21:$H$21,1,WEEKDAY($A88,2))*(1+Controls!$B$11)^86*(1+Controls!N$25*Smooth!$L88)*(1+Controls!N$26*Smooth!$M88)*(1+Controls!N$27*Smooth!$N88)*(1+Controls!N$28*Smooth!$O88)),2))</f>
        <v/>
      </c>
      <c r="J88" s="10" t="str">
        <f t="array" ref="J88">IF(OR($A88="",9&gt;Controls!$B$6),"",ROUND(MAX(0,Smooth!J88*Controls!J$17*INDEX(Controls!$B$21:$H$21,1,WEEKDAY($A88,2))*(1+Controls!$B$11)^86*(1+Controls!O$25*Smooth!$L88)*(1+Controls!O$26*Smooth!$M88)*(1+Controls!O$27*Smooth!$N88)*(1+Controls!O$28*Smooth!$O88)),2))</f>
        <v/>
      </c>
      <c r="K88" s="10" t="str">
        <f t="array" ref="K88">IF(OR($A88="",10&gt;Controls!$B$6),"",ROUND(MAX(0,Smooth!K88*Controls!K$17*INDEX(Controls!$B$21:$H$21,1,WEEKDAY($A88,2))*(1+Controls!$B$11)^86*(1+Controls!P$25*Smooth!$L88)*(1+Controls!P$26*Smooth!$M88)*(1+Controls!P$27*Smooth!$N88)*(1+Controls!P$28*Smooth!$O88)),2))</f>
        <v/>
      </c>
      <c r="L88" s="18">
        <f t="shared" si="1"/>
        <v>172.28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21.0" customHeight="1">
      <c r="A89" s="7">
        <f>IF(88&lt;=Controls!$B$5,Controls!$B$4+87,"")</f>
        <v>73078</v>
      </c>
      <c r="B89" s="10">
        <f t="array" ref="B89">IF(OR($A89="",1&gt;Controls!$B$6),"",ROUND(MAX(0,Smooth!B89*Controls!B$17*INDEX(Controls!$B$21:$H$21,1,WEEKDAY($A89,2))*(1+Controls!$B$11)^87*(1+Controls!G$25*Smooth!$L89)*(1+Controls!G$26*Smooth!$M89)*(1+Controls!G$27*Smooth!$N89)*(1+Controls!G$28*Smooth!$O89)),2))</f>
        <v>56.02</v>
      </c>
      <c r="C89" s="10">
        <f t="array" ref="C89">IF(OR($A89="",2&gt;Controls!$B$6),"",ROUND(MAX(0,Smooth!C89*Controls!C$17*INDEX(Controls!$B$21:$H$21,1,WEEKDAY($A89,2))*(1+Controls!$B$11)^87*(1+Controls!H$25*Smooth!$L89)*(1+Controls!H$26*Smooth!$M89)*(1+Controls!H$27*Smooth!$N89)*(1+Controls!H$28*Smooth!$O89)),2))</f>
        <v>60.94</v>
      </c>
      <c r="D89" s="10">
        <f t="array" ref="D89">IF(OR($A89="",3&gt;Controls!$B$6),"",ROUND(MAX(0,Smooth!D89*Controls!D$17*INDEX(Controls!$B$21:$H$21,1,WEEKDAY($A89,2))*(1+Controls!$B$11)^87*(1+Controls!I$25*Smooth!$L89)*(1+Controls!I$26*Smooth!$M89)*(1+Controls!I$27*Smooth!$N89)*(1+Controls!I$28*Smooth!$O89)),2))</f>
        <v>55.63</v>
      </c>
      <c r="E89" s="10" t="str">
        <f t="array" ref="E89">IF(OR($A89="",4&gt;Controls!$B$6),"",ROUND(MAX(0,Smooth!E89*Controls!E$17*INDEX(Controls!$B$21:$H$21,1,WEEKDAY($A89,2))*(1+Controls!$B$11)^87*(1+Controls!J$25*Smooth!$L89)*(1+Controls!J$26*Smooth!$M89)*(1+Controls!J$27*Smooth!$N89)*(1+Controls!J$28*Smooth!$O89)),2))</f>
        <v/>
      </c>
      <c r="F89" s="10" t="str">
        <f t="array" ref="F89">IF(OR($A89="",5&gt;Controls!$B$6),"",ROUND(MAX(0,Smooth!F89*Controls!F$17*INDEX(Controls!$B$21:$H$21,1,WEEKDAY($A89,2))*(1+Controls!$B$11)^87*(1+Controls!K$25*Smooth!$L89)*(1+Controls!K$26*Smooth!$M89)*(1+Controls!K$27*Smooth!$N89)*(1+Controls!K$28*Smooth!$O89)),2))</f>
        <v/>
      </c>
      <c r="G89" s="10" t="str">
        <f t="array" ref="G89">IF(OR($A89="",6&gt;Controls!$B$6),"",ROUND(MAX(0,Smooth!G89*Controls!G$17*INDEX(Controls!$B$21:$H$21,1,WEEKDAY($A89,2))*(1+Controls!$B$11)^87*(1+Controls!L$25*Smooth!$L89)*(1+Controls!L$26*Smooth!$M89)*(1+Controls!L$27*Smooth!$N89)*(1+Controls!L$28*Smooth!$O89)),2))</f>
        <v/>
      </c>
      <c r="H89" s="10" t="str">
        <f t="array" ref="H89">IF(OR($A89="",7&gt;Controls!$B$6),"",ROUND(MAX(0,Smooth!H89*Controls!H$17*INDEX(Controls!$B$21:$H$21,1,WEEKDAY($A89,2))*(1+Controls!$B$11)^87*(1+Controls!M$25*Smooth!$L89)*(1+Controls!M$26*Smooth!$M89)*(1+Controls!M$27*Smooth!$N89)*(1+Controls!M$28*Smooth!$O89)),2))</f>
        <v/>
      </c>
      <c r="I89" s="10" t="str">
        <f t="array" ref="I89">IF(OR($A89="",8&gt;Controls!$B$6),"",ROUND(MAX(0,Smooth!I89*Controls!I$17*INDEX(Controls!$B$21:$H$21,1,WEEKDAY($A89,2))*(1+Controls!$B$11)^87*(1+Controls!N$25*Smooth!$L89)*(1+Controls!N$26*Smooth!$M89)*(1+Controls!N$27*Smooth!$N89)*(1+Controls!N$28*Smooth!$O89)),2))</f>
        <v/>
      </c>
      <c r="J89" s="10" t="str">
        <f t="array" ref="J89">IF(OR($A89="",9&gt;Controls!$B$6),"",ROUND(MAX(0,Smooth!J89*Controls!J$17*INDEX(Controls!$B$21:$H$21,1,WEEKDAY($A89,2))*(1+Controls!$B$11)^87*(1+Controls!O$25*Smooth!$L89)*(1+Controls!O$26*Smooth!$M89)*(1+Controls!O$27*Smooth!$N89)*(1+Controls!O$28*Smooth!$O89)),2))</f>
        <v/>
      </c>
      <c r="K89" s="10" t="str">
        <f t="array" ref="K89">IF(OR($A89="",10&gt;Controls!$B$6),"",ROUND(MAX(0,Smooth!K89*Controls!K$17*INDEX(Controls!$B$21:$H$21,1,WEEKDAY($A89,2))*(1+Controls!$B$11)^87*(1+Controls!P$25*Smooth!$L89)*(1+Controls!P$26*Smooth!$M89)*(1+Controls!P$27*Smooth!$N89)*(1+Controls!P$28*Smooth!$O89)),2))</f>
        <v/>
      </c>
      <c r="L89" s="18">
        <f t="shared" si="1"/>
        <v>172.59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21.0" customHeight="1">
      <c r="A90" s="7">
        <f>IF(89&lt;=Controls!$B$5,Controls!$B$4+88,"")</f>
        <v>73079</v>
      </c>
      <c r="B90" s="10">
        <f t="array" ref="B90">IF(OR($A90="",1&gt;Controls!$B$6),"",ROUND(MAX(0,Smooth!B90*Controls!B$17*INDEX(Controls!$B$21:$H$21,1,WEEKDAY($A90,2))*(1+Controls!$B$11)^88*(1+Controls!G$25*Smooth!$L90)*(1+Controls!G$26*Smooth!$M90)*(1+Controls!G$27*Smooth!$N90)*(1+Controls!G$28*Smooth!$O90)),2))</f>
        <v>69.82</v>
      </c>
      <c r="C90" s="10">
        <f t="array" ref="C90">IF(OR($A90="",2&gt;Controls!$B$6),"",ROUND(MAX(0,Smooth!C90*Controls!C$17*INDEX(Controls!$B$21:$H$21,1,WEEKDAY($A90,2))*(1+Controls!$B$11)^88*(1+Controls!H$25*Smooth!$L90)*(1+Controls!H$26*Smooth!$M90)*(1+Controls!H$27*Smooth!$N90)*(1+Controls!H$28*Smooth!$O90)),2))</f>
        <v>54.79</v>
      </c>
      <c r="D90" s="10">
        <f t="array" ref="D90">IF(OR($A90="",3&gt;Controls!$B$6),"",ROUND(MAX(0,Smooth!D90*Controls!D$17*INDEX(Controls!$B$21:$H$21,1,WEEKDAY($A90,2))*(1+Controls!$B$11)^88*(1+Controls!I$25*Smooth!$L90)*(1+Controls!I$26*Smooth!$M90)*(1+Controls!I$27*Smooth!$N90)*(1+Controls!I$28*Smooth!$O90)),2))</f>
        <v>62.76</v>
      </c>
      <c r="E90" s="10" t="str">
        <f t="array" ref="E90">IF(OR($A90="",4&gt;Controls!$B$6),"",ROUND(MAX(0,Smooth!E90*Controls!E$17*INDEX(Controls!$B$21:$H$21,1,WEEKDAY($A90,2))*(1+Controls!$B$11)^88*(1+Controls!J$25*Smooth!$L90)*(1+Controls!J$26*Smooth!$M90)*(1+Controls!J$27*Smooth!$N90)*(1+Controls!J$28*Smooth!$O90)),2))</f>
        <v/>
      </c>
      <c r="F90" s="10" t="str">
        <f t="array" ref="F90">IF(OR($A90="",5&gt;Controls!$B$6),"",ROUND(MAX(0,Smooth!F90*Controls!F$17*INDEX(Controls!$B$21:$H$21,1,WEEKDAY($A90,2))*(1+Controls!$B$11)^88*(1+Controls!K$25*Smooth!$L90)*(1+Controls!K$26*Smooth!$M90)*(1+Controls!K$27*Smooth!$N90)*(1+Controls!K$28*Smooth!$O90)),2))</f>
        <v/>
      </c>
      <c r="G90" s="10" t="str">
        <f t="array" ref="G90">IF(OR($A90="",6&gt;Controls!$B$6),"",ROUND(MAX(0,Smooth!G90*Controls!G$17*INDEX(Controls!$B$21:$H$21,1,WEEKDAY($A90,2))*(1+Controls!$B$11)^88*(1+Controls!L$25*Smooth!$L90)*(1+Controls!L$26*Smooth!$M90)*(1+Controls!L$27*Smooth!$N90)*(1+Controls!L$28*Smooth!$O90)),2))</f>
        <v/>
      </c>
      <c r="H90" s="10" t="str">
        <f t="array" ref="H90">IF(OR($A90="",7&gt;Controls!$B$6),"",ROUND(MAX(0,Smooth!H90*Controls!H$17*INDEX(Controls!$B$21:$H$21,1,WEEKDAY($A90,2))*(1+Controls!$B$11)^88*(1+Controls!M$25*Smooth!$L90)*(1+Controls!M$26*Smooth!$M90)*(1+Controls!M$27*Smooth!$N90)*(1+Controls!M$28*Smooth!$O90)),2))</f>
        <v/>
      </c>
      <c r="I90" s="10" t="str">
        <f t="array" ref="I90">IF(OR($A90="",8&gt;Controls!$B$6),"",ROUND(MAX(0,Smooth!I90*Controls!I$17*INDEX(Controls!$B$21:$H$21,1,WEEKDAY($A90,2))*(1+Controls!$B$11)^88*(1+Controls!N$25*Smooth!$L90)*(1+Controls!N$26*Smooth!$M90)*(1+Controls!N$27*Smooth!$N90)*(1+Controls!N$28*Smooth!$O90)),2))</f>
        <v/>
      </c>
      <c r="J90" s="10" t="str">
        <f t="array" ref="J90">IF(OR($A90="",9&gt;Controls!$B$6),"",ROUND(MAX(0,Smooth!J90*Controls!J$17*INDEX(Controls!$B$21:$H$21,1,WEEKDAY($A90,2))*(1+Controls!$B$11)^88*(1+Controls!O$25*Smooth!$L90)*(1+Controls!O$26*Smooth!$M90)*(1+Controls!O$27*Smooth!$N90)*(1+Controls!O$28*Smooth!$O90)),2))</f>
        <v/>
      </c>
      <c r="K90" s="10" t="str">
        <f t="array" ref="K90">IF(OR($A90="",10&gt;Controls!$B$6),"",ROUND(MAX(0,Smooth!K90*Controls!K$17*INDEX(Controls!$B$21:$H$21,1,WEEKDAY($A90,2))*(1+Controls!$B$11)^88*(1+Controls!P$25*Smooth!$L90)*(1+Controls!P$26*Smooth!$M90)*(1+Controls!P$27*Smooth!$N90)*(1+Controls!P$28*Smooth!$O90)),2))</f>
        <v/>
      </c>
      <c r="L90" s="18">
        <f t="shared" si="1"/>
        <v>187.37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21.0" customHeight="1">
      <c r="A91" s="7">
        <f>IF(90&lt;=Controls!$B$5,Controls!$B$4+89,"")</f>
        <v>73080</v>
      </c>
      <c r="B91" s="10">
        <f t="array" ref="B91">IF(OR($A91="",1&gt;Controls!$B$6),"",ROUND(MAX(0,Smooth!B91*Controls!B$17*INDEX(Controls!$B$21:$H$21,1,WEEKDAY($A91,2))*(1+Controls!$B$11)^89*(1+Controls!G$25*Smooth!$L91)*(1+Controls!G$26*Smooth!$M91)*(1+Controls!G$27*Smooth!$N91)*(1+Controls!G$28*Smooth!$O91)),2))</f>
        <v>63.97</v>
      </c>
      <c r="C91" s="10">
        <f t="array" ref="C91">IF(OR($A91="",2&gt;Controls!$B$6),"",ROUND(MAX(0,Smooth!C91*Controls!C$17*INDEX(Controls!$B$21:$H$21,1,WEEKDAY($A91,2))*(1+Controls!$B$11)^89*(1+Controls!H$25*Smooth!$L91)*(1+Controls!H$26*Smooth!$M91)*(1+Controls!H$27*Smooth!$N91)*(1+Controls!H$28*Smooth!$O91)),2))</f>
        <v>43.87</v>
      </c>
      <c r="D91" s="10">
        <f t="array" ref="D91">IF(OR($A91="",3&gt;Controls!$B$6),"",ROUND(MAX(0,Smooth!D91*Controls!D$17*INDEX(Controls!$B$21:$H$21,1,WEEKDAY($A91,2))*(1+Controls!$B$11)^89*(1+Controls!I$25*Smooth!$L91)*(1+Controls!I$26*Smooth!$M91)*(1+Controls!I$27*Smooth!$N91)*(1+Controls!I$28*Smooth!$O91)),2))</f>
        <v>50.73</v>
      </c>
      <c r="E91" s="10" t="str">
        <f t="array" ref="E91">IF(OR($A91="",4&gt;Controls!$B$6),"",ROUND(MAX(0,Smooth!E91*Controls!E$17*INDEX(Controls!$B$21:$H$21,1,WEEKDAY($A91,2))*(1+Controls!$B$11)^89*(1+Controls!J$25*Smooth!$L91)*(1+Controls!J$26*Smooth!$M91)*(1+Controls!J$27*Smooth!$N91)*(1+Controls!J$28*Smooth!$O91)),2))</f>
        <v/>
      </c>
      <c r="F91" s="10" t="str">
        <f t="array" ref="F91">IF(OR($A91="",5&gt;Controls!$B$6),"",ROUND(MAX(0,Smooth!F91*Controls!F$17*INDEX(Controls!$B$21:$H$21,1,WEEKDAY($A91,2))*(1+Controls!$B$11)^89*(1+Controls!K$25*Smooth!$L91)*(1+Controls!K$26*Smooth!$M91)*(1+Controls!K$27*Smooth!$N91)*(1+Controls!K$28*Smooth!$O91)),2))</f>
        <v/>
      </c>
      <c r="G91" s="10" t="str">
        <f t="array" ref="G91">IF(OR($A91="",6&gt;Controls!$B$6),"",ROUND(MAX(0,Smooth!G91*Controls!G$17*INDEX(Controls!$B$21:$H$21,1,WEEKDAY($A91,2))*(1+Controls!$B$11)^89*(1+Controls!L$25*Smooth!$L91)*(1+Controls!L$26*Smooth!$M91)*(1+Controls!L$27*Smooth!$N91)*(1+Controls!L$28*Smooth!$O91)),2))</f>
        <v/>
      </c>
      <c r="H91" s="10" t="str">
        <f t="array" ref="H91">IF(OR($A91="",7&gt;Controls!$B$6),"",ROUND(MAX(0,Smooth!H91*Controls!H$17*INDEX(Controls!$B$21:$H$21,1,WEEKDAY($A91,2))*(1+Controls!$B$11)^89*(1+Controls!M$25*Smooth!$L91)*(1+Controls!M$26*Smooth!$M91)*(1+Controls!M$27*Smooth!$N91)*(1+Controls!M$28*Smooth!$O91)),2))</f>
        <v/>
      </c>
      <c r="I91" s="10" t="str">
        <f t="array" ref="I91">IF(OR($A91="",8&gt;Controls!$B$6),"",ROUND(MAX(0,Smooth!I91*Controls!I$17*INDEX(Controls!$B$21:$H$21,1,WEEKDAY($A91,2))*(1+Controls!$B$11)^89*(1+Controls!N$25*Smooth!$L91)*(1+Controls!N$26*Smooth!$M91)*(1+Controls!N$27*Smooth!$N91)*(1+Controls!N$28*Smooth!$O91)),2))</f>
        <v/>
      </c>
      <c r="J91" s="10" t="str">
        <f t="array" ref="J91">IF(OR($A91="",9&gt;Controls!$B$6),"",ROUND(MAX(0,Smooth!J91*Controls!J$17*INDEX(Controls!$B$21:$H$21,1,WEEKDAY($A91,2))*(1+Controls!$B$11)^89*(1+Controls!O$25*Smooth!$L91)*(1+Controls!O$26*Smooth!$M91)*(1+Controls!O$27*Smooth!$N91)*(1+Controls!O$28*Smooth!$O91)),2))</f>
        <v/>
      </c>
      <c r="K91" s="10" t="str">
        <f t="array" ref="K91">IF(OR($A91="",10&gt;Controls!$B$6),"",ROUND(MAX(0,Smooth!K91*Controls!K$17*INDEX(Controls!$B$21:$H$21,1,WEEKDAY($A91,2))*(1+Controls!$B$11)^89*(1+Controls!P$25*Smooth!$L91)*(1+Controls!P$26*Smooth!$M91)*(1+Controls!P$27*Smooth!$N91)*(1+Controls!P$28*Smooth!$O91)),2))</f>
        <v/>
      </c>
      <c r="L91" s="18">
        <f t="shared" si="1"/>
        <v>158.57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21.0" customHeight="1">
      <c r="A92" s="7" t="str">
        <f>IF(91&lt;=Controls!$B$5,Controls!$B$4+90,"")</f>
        <v/>
      </c>
      <c r="B92" s="10" t="str">
        <f t="array" ref="B92">IF(OR($A92="",1&gt;Controls!$B$6),"",ROUND(MAX(0,Smooth!B92*Controls!B$17*INDEX(Controls!$B$21:$H$21,1,WEEKDAY($A92,2))*(1+Controls!$B$11)^90*(1+Controls!G$25*Smooth!$L92)*(1+Controls!G$26*Smooth!$M92)*(1+Controls!G$27*Smooth!$N92)*(1+Controls!G$28*Smooth!$O92)),2))</f>
        <v/>
      </c>
      <c r="C92" s="10" t="str">
        <f t="array" ref="C92">IF(OR($A92="",2&gt;Controls!$B$6),"",ROUND(MAX(0,Smooth!C92*Controls!C$17*INDEX(Controls!$B$21:$H$21,1,WEEKDAY($A92,2))*(1+Controls!$B$11)^90*(1+Controls!H$25*Smooth!$L92)*(1+Controls!H$26*Smooth!$M92)*(1+Controls!H$27*Smooth!$N92)*(1+Controls!H$28*Smooth!$O92)),2))</f>
        <v/>
      </c>
      <c r="D92" s="10" t="str">
        <f t="array" ref="D92">IF(OR($A92="",3&gt;Controls!$B$6),"",ROUND(MAX(0,Smooth!D92*Controls!D$17*INDEX(Controls!$B$21:$H$21,1,WEEKDAY($A92,2))*(1+Controls!$B$11)^90*(1+Controls!I$25*Smooth!$L92)*(1+Controls!I$26*Smooth!$M92)*(1+Controls!I$27*Smooth!$N92)*(1+Controls!I$28*Smooth!$O92)),2))</f>
        <v/>
      </c>
      <c r="E92" s="10" t="str">
        <f t="array" ref="E92">IF(OR($A92="",4&gt;Controls!$B$6),"",ROUND(MAX(0,Smooth!E92*Controls!E$17*INDEX(Controls!$B$21:$H$21,1,WEEKDAY($A92,2))*(1+Controls!$B$11)^90*(1+Controls!J$25*Smooth!$L92)*(1+Controls!J$26*Smooth!$M92)*(1+Controls!J$27*Smooth!$N92)*(1+Controls!J$28*Smooth!$O92)),2))</f>
        <v/>
      </c>
      <c r="F92" s="10" t="str">
        <f t="array" ref="F92">IF(OR($A92="",5&gt;Controls!$B$6),"",ROUND(MAX(0,Smooth!F92*Controls!F$17*INDEX(Controls!$B$21:$H$21,1,WEEKDAY($A92,2))*(1+Controls!$B$11)^90*(1+Controls!K$25*Smooth!$L92)*(1+Controls!K$26*Smooth!$M92)*(1+Controls!K$27*Smooth!$N92)*(1+Controls!K$28*Smooth!$O92)),2))</f>
        <v/>
      </c>
      <c r="G92" s="10" t="str">
        <f t="array" ref="G92">IF(OR($A92="",6&gt;Controls!$B$6),"",ROUND(MAX(0,Smooth!G92*Controls!G$17*INDEX(Controls!$B$21:$H$21,1,WEEKDAY($A92,2))*(1+Controls!$B$11)^90*(1+Controls!L$25*Smooth!$L92)*(1+Controls!L$26*Smooth!$M92)*(1+Controls!L$27*Smooth!$N92)*(1+Controls!L$28*Smooth!$O92)),2))</f>
        <v/>
      </c>
      <c r="H92" s="10" t="str">
        <f t="array" ref="H92">IF(OR($A92="",7&gt;Controls!$B$6),"",ROUND(MAX(0,Smooth!H92*Controls!H$17*INDEX(Controls!$B$21:$H$21,1,WEEKDAY($A92,2))*(1+Controls!$B$11)^90*(1+Controls!M$25*Smooth!$L92)*(1+Controls!M$26*Smooth!$M92)*(1+Controls!M$27*Smooth!$N92)*(1+Controls!M$28*Smooth!$O92)),2))</f>
        <v/>
      </c>
      <c r="I92" s="10" t="str">
        <f t="array" ref="I92">IF(OR($A92="",8&gt;Controls!$B$6),"",ROUND(MAX(0,Smooth!I92*Controls!I$17*INDEX(Controls!$B$21:$H$21,1,WEEKDAY($A92,2))*(1+Controls!$B$11)^90*(1+Controls!N$25*Smooth!$L92)*(1+Controls!N$26*Smooth!$M92)*(1+Controls!N$27*Smooth!$N92)*(1+Controls!N$28*Smooth!$O92)),2))</f>
        <v/>
      </c>
      <c r="J92" s="10" t="str">
        <f t="array" ref="J92">IF(OR($A92="",9&gt;Controls!$B$6),"",ROUND(MAX(0,Smooth!J92*Controls!J$17*INDEX(Controls!$B$21:$H$21,1,WEEKDAY($A92,2))*(1+Controls!$B$11)^90*(1+Controls!O$25*Smooth!$L92)*(1+Controls!O$26*Smooth!$M92)*(1+Controls!O$27*Smooth!$N92)*(1+Controls!O$28*Smooth!$O92)),2))</f>
        <v/>
      </c>
      <c r="K92" s="10" t="str">
        <f t="array" ref="K92">IF(OR($A92="",10&gt;Controls!$B$6),"",ROUND(MAX(0,Smooth!K92*Controls!K$17*INDEX(Controls!$B$21:$H$21,1,WEEKDAY($A92,2))*(1+Controls!$B$11)^90*(1+Controls!P$25*Smooth!$L92)*(1+Controls!P$26*Smooth!$M92)*(1+Controls!P$27*Smooth!$N92)*(1+Controls!P$28*Smooth!$O92)),2))</f>
        <v/>
      </c>
      <c r="L92" s="18" t="str">
        <f t="shared" si="1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21.0" customHeight="1">
      <c r="A93" s="7" t="str">
        <f>IF(92&lt;=Controls!$B$5,Controls!$B$4+91,"")</f>
        <v/>
      </c>
      <c r="B93" s="10" t="str">
        <f t="array" ref="B93">IF(OR($A93="",1&gt;Controls!$B$6),"",ROUND(MAX(0,Smooth!B93*Controls!B$17*INDEX(Controls!$B$21:$H$21,1,WEEKDAY($A93,2))*(1+Controls!$B$11)^91*(1+Controls!G$25*Smooth!$L93)*(1+Controls!G$26*Smooth!$M93)*(1+Controls!G$27*Smooth!$N93)*(1+Controls!G$28*Smooth!$O93)),2))</f>
        <v/>
      </c>
      <c r="C93" s="10" t="str">
        <f t="array" ref="C93">IF(OR($A93="",2&gt;Controls!$B$6),"",ROUND(MAX(0,Smooth!C93*Controls!C$17*INDEX(Controls!$B$21:$H$21,1,WEEKDAY($A93,2))*(1+Controls!$B$11)^91*(1+Controls!H$25*Smooth!$L93)*(1+Controls!H$26*Smooth!$M93)*(1+Controls!H$27*Smooth!$N93)*(1+Controls!H$28*Smooth!$O93)),2))</f>
        <v/>
      </c>
      <c r="D93" s="10" t="str">
        <f t="array" ref="D93">IF(OR($A93="",3&gt;Controls!$B$6),"",ROUND(MAX(0,Smooth!D93*Controls!D$17*INDEX(Controls!$B$21:$H$21,1,WEEKDAY($A93,2))*(1+Controls!$B$11)^91*(1+Controls!I$25*Smooth!$L93)*(1+Controls!I$26*Smooth!$M93)*(1+Controls!I$27*Smooth!$N93)*(1+Controls!I$28*Smooth!$O93)),2))</f>
        <v/>
      </c>
      <c r="E93" s="10" t="str">
        <f t="array" ref="E93">IF(OR($A93="",4&gt;Controls!$B$6),"",ROUND(MAX(0,Smooth!E93*Controls!E$17*INDEX(Controls!$B$21:$H$21,1,WEEKDAY($A93,2))*(1+Controls!$B$11)^91*(1+Controls!J$25*Smooth!$L93)*(1+Controls!J$26*Smooth!$M93)*(1+Controls!J$27*Smooth!$N93)*(1+Controls!J$28*Smooth!$O93)),2))</f>
        <v/>
      </c>
      <c r="F93" s="10" t="str">
        <f t="array" ref="F93">IF(OR($A93="",5&gt;Controls!$B$6),"",ROUND(MAX(0,Smooth!F93*Controls!F$17*INDEX(Controls!$B$21:$H$21,1,WEEKDAY($A93,2))*(1+Controls!$B$11)^91*(1+Controls!K$25*Smooth!$L93)*(1+Controls!K$26*Smooth!$M93)*(1+Controls!K$27*Smooth!$N93)*(1+Controls!K$28*Smooth!$O93)),2))</f>
        <v/>
      </c>
      <c r="G93" s="10" t="str">
        <f t="array" ref="G93">IF(OR($A93="",6&gt;Controls!$B$6),"",ROUND(MAX(0,Smooth!G93*Controls!G$17*INDEX(Controls!$B$21:$H$21,1,WEEKDAY($A93,2))*(1+Controls!$B$11)^91*(1+Controls!L$25*Smooth!$L93)*(1+Controls!L$26*Smooth!$M93)*(1+Controls!L$27*Smooth!$N93)*(1+Controls!L$28*Smooth!$O93)),2))</f>
        <v/>
      </c>
      <c r="H93" s="10" t="str">
        <f t="array" ref="H93">IF(OR($A93="",7&gt;Controls!$B$6),"",ROUND(MAX(0,Smooth!H93*Controls!H$17*INDEX(Controls!$B$21:$H$21,1,WEEKDAY($A93,2))*(1+Controls!$B$11)^91*(1+Controls!M$25*Smooth!$L93)*(1+Controls!M$26*Smooth!$M93)*(1+Controls!M$27*Smooth!$N93)*(1+Controls!M$28*Smooth!$O93)),2))</f>
        <v/>
      </c>
      <c r="I93" s="10" t="str">
        <f t="array" ref="I93">IF(OR($A93="",8&gt;Controls!$B$6),"",ROUND(MAX(0,Smooth!I93*Controls!I$17*INDEX(Controls!$B$21:$H$21,1,WEEKDAY($A93,2))*(1+Controls!$B$11)^91*(1+Controls!N$25*Smooth!$L93)*(1+Controls!N$26*Smooth!$M93)*(1+Controls!N$27*Smooth!$N93)*(1+Controls!N$28*Smooth!$O93)),2))</f>
        <v/>
      </c>
      <c r="J93" s="10" t="str">
        <f t="array" ref="J93">IF(OR($A93="",9&gt;Controls!$B$6),"",ROUND(MAX(0,Smooth!J93*Controls!J$17*INDEX(Controls!$B$21:$H$21,1,WEEKDAY($A93,2))*(1+Controls!$B$11)^91*(1+Controls!O$25*Smooth!$L93)*(1+Controls!O$26*Smooth!$M93)*(1+Controls!O$27*Smooth!$N93)*(1+Controls!O$28*Smooth!$O93)),2))</f>
        <v/>
      </c>
      <c r="K93" s="10" t="str">
        <f t="array" ref="K93">IF(OR($A93="",10&gt;Controls!$B$6),"",ROUND(MAX(0,Smooth!K93*Controls!K$17*INDEX(Controls!$B$21:$H$21,1,WEEKDAY($A93,2))*(1+Controls!$B$11)^91*(1+Controls!P$25*Smooth!$L93)*(1+Controls!P$26*Smooth!$M93)*(1+Controls!P$27*Smooth!$N93)*(1+Controls!P$28*Smooth!$O93)),2))</f>
        <v/>
      </c>
      <c r="L93" s="18" t="str">
        <f t="shared" si="1"/>
        <v/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21.0" customHeight="1">
      <c r="A94" s="7" t="str">
        <f>IF(93&lt;=Controls!$B$5,Controls!$B$4+92,"")</f>
        <v/>
      </c>
      <c r="B94" s="10" t="str">
        <f t="array" ref="B94">IF(OR($A94="",1&gt;Controls!$B$6),"",ROUND(MAX(0,Smooth!B94*Controls!B$17*INDEX(Controls!$B$21:$H$21,1,WEEKDAY($A94,2))*(1+Controls!$B$11)^92*(1+Controls!G$25*Smooth!$L94)*(1+Controls!G$26*Smooth!$M94)*(1+Controls!G$27*Smooth!$N94)*(1+Controls!G$28*Smooth!$O94)),2))</f>
        <v/>
      </c>
      <c r="C94" s="10" t="str">
        <f t="array" ref="C94">IF(OR($A94="",2&gt;Controls!$B$6),"",ROUND(MAX(0,Smooth!C94*Controls!C$17*INDEX(Controls!$B$21:$H$21,1,WEEKDAY($A94,2))*(1+Controls!$B$11)^92*(1+Controls!H$25*Smooth!$L94)*(1+Controls!H$26*Smooth!$M94)*(1+Controls!H$27*Smooth!$N94)*(1+Controls!H$28*Smooth!$O94)),2))</f>
        <v/>
      </c>
      <c r="D94" s="10" t="str">
        <f t="array" ref="D94">IF(OR($A94="",3&gt;Controls!$B$6),"",ROUND(MAX(0,Smooth!D94*Controls!D$17*INDEX(Controls!$B$21:$H$21,1,WEEKDAY($A94,2))*(1+Controls!$B$11)^92*(1+Controls!I$25*Smooth!$L94)*(1+Controls!I$26*Smooth!$M94)*(1+Controls!I$27*Smooth!$N94)*(1+Controls!I$28*Smooth!$O94)),2))</f>
        <v/>
      </c>
      <c r="E94" s="10" t="str">
        <f t="array" ref="E94">IF(OR($A94="",4&gt;Controls!$B$6),"",ROUND(MAX(0,Smooth!E94*Controls!E$17*INDEX(Controls!$B$21:$H$21,1,WEEKDAY($A94,2))*(1+Controls!$B$11)^92*(1+Controls!J$25*Smooth!$L94)*(1+Controls!J$26*Smooth!$M94)*(1+Controls!J$27*Smooth!$N94)*(1+Controls!J$28*Smooth!$O94)),2))</f>
        <v/>
      </c>
      <c r="F94" s="10" t="str">
        <f t="array" ref="F94">IF(OR($A94="",5&gt;Controls!$B$6),"",ROUND(MAX(0,Smooth!F94*Controls!F$17*INDEX(Controls!$B$21:$H$21,1,WEEKDAY($A94,2))*(1+Controls!$B$11)^92*(1+Controls!K$25*Smooth!$L94)*(1+Controls!K$26*Smooth!$M94)*(1+Controls!K$27*Smooth!$N94)*(1+Controls!K$28*Smooth!$O94)),2))</f>
        <v/>
      </c>
      <c r="G94" s="10" t="str">
        <f t="array" ref="G94">IF(OR($A94="",6&gt;Controls!$B$6),"",ROUND(MAX(0,Smooth!G94*Controls!G$17*INDEX(Controls!$B$21:$H$21,1,WEEKDAY($A94,2))*(1+Controls!$B$11)^92*(1+Controls!L$25*Smooth!$L94)*(1+Controls!L$26*Smooth!$M94)*(1+Controls!L$27*Smooth!$N94)*(1+Controls!L$28*Smooth!$O94)),2))</f>
        <v/>
      </c>
      <c r="H94" s="10" t="str">
        <f t="array" ref="H94">IF(OR($A94="",7&gt;Controls!$B$6),"",ROUND(MAX(0,Smooth!H94*Controls!H$17*INDEX(Controls!$B$21:$H$21,1,WEEKDAY($A94,2))*(1+Controls!$B$11)^92*(1+Controls!M$25*Smooth!$L94)*(1+Controls!M$26*Smooth!$M94)*(1+Controls!M$27*Smooth!$N94)*(1+Controls!M$28*Smooth!$O94)),2))</f>
        <v/>
      </c>
      <c r="I94" s="10" t="str">
        <f t="array" ref="I94">IF(OR($A94="",8&gt;Controls!$B$6),"",ROUND(MAX(0,Smooth!I94*Controls!I$17*INDEX(Controls!$B$21:$H$21,1,WEEKDAY($A94,2))*(1+Controls!$B$11)^92*(1+Controls!N$25*Smooth!$L94)*(1+Controls!N$26*Smooth!$M94)*(1+Controls!N$27*Smooth!$N94)*(1+Controls!N$28*Smooth!$O94)),2))</f>
        <v/>
      </c>
      <c r="J94" s="10" t="str">
        <f t="array" ref="J94">IF(OR($A94="",9&gt;Controls!$B$6),"",ROUND(MAX(0,Smooth!J94*Controls!J$17*INDEX(Controls!$B$21:$H$21,1,WEEKDAY($A94,2))*(1+Controls!$B$11)^92*(1+Controls!O$25*Smooth!$L94)*(1+Controls!O$26*Smooth!$M94)*(1+Controls!O$27*Smooth!$N94)*(1+Controls!O$28*Smooth!$O94)),2))</f>
        <v/>
      </c>
      <c r="K94" s="10" t="str">
        <f t="array" ref="K94">IF(OR($A94="",10&gt;Controls!$B$6),"",ROUND(MAX(0,Smooth!K94*Controls!K$17*INDEX(Controls!$B$21:$H$21,1,WEEKDAY($A94,2))*(1+Controls!$B$11)^92*(1+Controls!P$25*Smooth!$L94)*(1+Controls!P$26*Smooth!$M94)*(1+Controls!P$27*Smooth!$N94)*(1+Controls!P$28*Smooth!$O94)),2))</f>
        <v/>
      </c>
      <c r="L94" s="18" t="str">
        <f t="shared" si="1"/>
        <v/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21.0" customHeight="1">
      <c r="A95" s="7" t="str">
        <f>IF(94&lt;=Controls!$B$5,Controls!$B$4+93,"")</f>
        <v/>
      </c>
      <c r="B95" s="10" t="str">
        <f t="array" ref="B95">IF(OR($A95="",1&gt;Controls!$B$6),"",ROUND(MAX(0,Smooth!B95*Controls!B$17*INDEX(Controls!$B$21:$H$21,1,WEEKDAY($A95,2))*(1+Controls!$B$11)^93*(1+Controls!G$25*Smooth!$L95)*(1+Controls!G$26*Smooth!$M95)*(1+Controls!G$27*Smooth!$N95)*(1+Controls!G$28*Smooth!$O95)),2))</f>
        <v/>
      </c>
      <c r="C95" s="10" t="str">
        <f t="array" ref="C95">IF(OR($A95="",2&gt;Controls!$B$6),"",ROUND(MAX(0,Smooth!C95*Controls!C$17*INDEX(Controls!$B$21:$H$21,1,WEEKDAY($A95,2))*(1+Controls!$B$11)^93*(1+Controls!H$25*Smooth!$L95)*(1+Controls!H$26*Smooth!$M95)*(1+Controls!H$27*Smooth!$N95)*(1+Controls!H$28*Smooth!$O95)),2))</f>
        <v/>
      </c>
      <c r="D95" s="10" t="str">
        <f t="array" ref="D95">IF(OR($A95="",3&gt;Controls!$B$6),"",ROUND(MAX(0,Smooth!D95*Controls!D$17*INDEX(Controls!$B$21:$H$21,1,WEEKDAY($A95,2))*(1+Controls!$B$11)^93*(1+Controls!I$25*Smooth!$L95)*(1+Controls!I$26*Smooth!$M95)*(1+Controls!I$27*Smooth!$N95)*(1+Controls!I$28*Smooth!$O95)),2))</f>
        <v/>
      </c>
      <c r="E95" s="10" t="str">
        <f t="array" ref="E95">IF(OR($A95="",4&gt;Controls!$B$6),"",ROUND(MAX(0,Smooth!E95*Controls!E$17*INDEX(Controls!$B$21:$H$21,1,WEEKDAY($A95,2))*(1+Controls!$B$11)^93*(1+Controls!J$25*Smooth!$L95)*(1+Controls!J$26*Smooth!$M95)*(1+Controls!J$27*Smooth!$N95)*(1+Controls!J$28*Smooth!$O95)),2))</f>
        <v/>
      </c>
      <c r="F95" s="10" t="str">
        <f t="array" ref="F95">IF(OR($A95="",5&gt;Controls!$B$6),"",ROUND(MAX(0,Smooth!F95*Controls!F$17*INDEX(Controls!$B$21:$H$21,1,WEEKDAY($A95,2))*(1+Controls!$B$11)^93*(1+Controls!K$25*Smooth!$L95)*(1+Controls!K$26*Smooth!$M95)*(1+Controls!K$27*Smooth!$N95)*(1+Controls!K$28*Smooth!$O95)),2))</f>
        <v/>
      </c>
      <c r="G95" s="10" t="str">
        <f t="array" ref="G95">IF(OR($A95="",6&gt;Controls!$B$6),"",ROUND(MAX(0,Smooth!G95*Controls!G$17*INDEX(Controls!$B$21:$H$21,1,WEEKDAY($A95,2))*(1+Controls!$B$11)^93*(1+Controls!L$25*Smooth!$L95)*(1+Controls!L$26*Smooth!$M95)*(1+Controls!L$27*Smooth!$N95)*(1+Controls!L$28*Smooth!$O95)),2))</f>
        <v/>
      </c>
      <c r="H95" s="10" t="str">
        <f t="array" ref="H95">IF(OR($A95="",7&gt;Controls!$B$6),"",ROUND(MAX(0,Smooth!H95*Controls!H$17*INDEX(Controls!$B$21:$H$21,1,WEEKDAY($A95,2))*(1+Controls!$B$11)^93*(1+Controls!M$25*Smooth!$L95)*(1+Controls!M$26*Smooth!$M95)*(1+Controls!M$27*Smooth!$N95)*(1+Controls!M$28*Smooth!$O95)),2))</f>
        <v/>
      </c>
      <c r="I95" s="10" t="str">
        <f t="array" ref="I95">IF(OR($A95="",8&gt;Controls!$B$6),"",ROUND(MAX(0,Smooth!I95*Controls!I$17*INDEX(Controls!$B$21:$H$21,1,WEEKDAY($A95,2))*(1+Controls!$B$11)^93*(1+Controls!N$25*Smooth!$L95)*(1+Controls!N$26*Smooth!$M95)*(1+Controls!N$27*Smooth!$N95)*(1+Controls!N$28*Smooth!$O95)),2))</f>
        <v/>
      </c>
      <c r="J95" s="10" t="str">
        <f t="array" ref="J95">IF(OR($A95="",9&gt;Controls!$B$6),"",ROUND(MAX(0,Smooth!J95*Controls!J$17*INDEX(Controls!$B$21:$H$21,1,WEEKDAY($A95,2))*(1+Controls!$B$11)^93*(1+Controls!O$25*Smooth!$L95)*(1+Controls!O$26*Smooth!$M95)*(1+Controls!O$27*Smooth!$N95)*(1+Controls!O$28*Smooth!$O95)),2))</f>
        <v/>
      </c>
      <c r="K95" s="10" t="str">
        <f t="array" ref="K95">IF(OR($A95="",10&gt;Controls!$B$6),"",ROUND(MAX(0,Smooth!K95*Controls!K$17*INDEX(Controls!$B$21:$H$21,1,WEEKDAY($A95,2))*(1+Controls!$B$11)^93*(1+Controls!P$25*Smooth!$L95)*(1+Controls!P$26*Smooth!$M95)*(1+Controls!P$27*Smooth!$N95)*(1+Controls!P$28*Smooth!$O95)),2))</f>
        <v/>
      </c>
      <c r="L95" s="18" t="str">
        <f t="shared" si="1"/>
        <v/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21.0" customHeight="1">
      <c r="A96" s="7" t="str">
        <f>IF(95&lt;=Controls!$B$5,Controls!$B$4+94,"")</f>
        <v/>
      </c>
      <c r="B96" s="10" t="str">
        <f t="array" ref="B96">IF(OR($A96="",1&gt;Controls!$B$6),"",ROUND(MAX(0,Smooth!B96*Controls!B$17*INDEX(Controls!$B$21:$H$21,1,WEEKDAY($A96,2))*(1+Controls!$B$11)^94*(1+Controls!G$25*Smooth!$L96)*(1+Controls!G$26*Smooth!$M96)*(1+Controls!G$27*Smooth!$N96)*(1+Controls!G$28*Smooth!$O96)),2))</f>
        <v/>
      </c>
      <c r="C96" s="10" t="str">
        <f t="array" ref="C96">IF(OR($A96="",2&gt;Controls!$B$6),"",ROUND(MAX(0,Smooth!C96*Controls!C$17*INDEX(Controls!$B$21:$H$21,1,WEEKDAY($A96,2))*(1+Controls!$B$11)^94*(1+Controls!H$25*Smooth!$L96)*(1+Controls!H$26*Smooth!$M96)*(1+Controls!H$27*Smooth!$N96)*(1+Controls!H$28*Smooth!$O96)),2))</f>
        <v/>
      </c>
      <c r="D96" s="10" t="str">
        <f t="array" ref="D96">IF(OR($A96="",3&gt;Controls!$B$6),"",ROUND(MAX(0,Smooth!D96*Controls!D$17*INDEX(Controls!$B$21:$H$21,1,WEEKDAY($A96,2))*(1+Controls!$B$11)^94*(1+Controls!I$25*Smooth!$L96)*(1+Controls!I$26*Smooth!$M96)*(1+Controls!I$27*Smooth!$N96)*(1+Controls!I$28*Smooth!$O96)),2))</f>
        <v/>
      </c>
      <c r="E96" s="10" t="str">
        <f t="array" ref="E96">IF(OR($A96="",4&gt;Controls!$B$6),"",ROUND(MAX(0,Smooth!E96*Controls!E$17*INDEX(Controls!$B$21:$H$21,1,WEEKDAY($A96,2))*(1+Controls!$B$11)^94*(1+Controls!J$25*Smooth!$L96)*(1+Controls!J$26*Smooth!$M96)*(1+Controls!J$27*Smooth!$N96)*(1+Controls!J$28*Smooth!$O96)),2))</f>
        <v/>
      </c>
      <c r="F96" s="10" t="str">
        <f t="array" ref="F96">IF(OR($A96="",5&gt;Controls!$B$6),"",ROUND(MAX(0,Smooth!F96*Controls!F$17*INDEX(Controls!$B$21:$H$21,1,WEEKDAY($A96,2))*(1+Controls!$B$11)^94*(1+Controls!K$25*Smooth!$L96)*(1+Controls!K$26*Smooth!$M96)*(1+Controls!K$27*Smooth!$N96)*(1+Controls!K$28*Smooth!$O96)),2))</f>
        <v/>
      </c>
      <c r="G96" s="10" t="str">
        <f t="array" ref="G96">IF(OR($A96="",6&gt;Controls!$B$6),"",ROUND(MAX(0,Smooth!G96*Controls!G$17*INDEX(Controls!$B$21:$H$21,1,WEEKDAY($A96,2))*(1+Controls!$B$11)^94*(1+Controls!L$25*Smooth!$L96)*(1+Controls!L$26*Smooth!$M96)*(1+Controls!L$27*Smooth!$N96)*(1+Controls!L$28*Smooth!$O96)),2))</f>
        <v/>
      </c>
      <c r="H96" s="10" t="str">
        <f t="array" ref="H96">IF(OR($A96="",7&gt;Controls!$B$6),"",ROUND(MAX(0,Smooth!H96*Controls!H$17*INDEX(Controls!$B$21:$H$21,1,WEEKDAY($A96,2))*(1+Controls!$B$11)^94*(1+Controls!M$25*Smooth!$L96)*(1+Controls!M$26*Smooth!$M96)*(1+Controls!M$27*Smooth!$N96)*(1+Controls!M$28*Smooth!$O96)),2))</f>
        <v/>
      </c>
      <c r="I96" s="10" t="str">
        <f t="array" ref="I96">IF(OR($A96="",8&gt;Controls!$B$6),"",ROUND(MAX(0,Smooth!I96*Controls!I$17*INDEX(Controls!$B$21:$H$21,1,WEEKDAY($A96,2))*(1+Controls!$B$11)^94*(1+Controls!N$25*Smooth!$L96)*(1+Controls!N$26*Smooth!$M96)*(1+Controls!N$27*Smooth!$N96)*(1+Controls!N$28*Smooth!$O96)),2))</f>
        <v/>
      </c>
      <c r="J96" s="10" t="str">
        <f t="array" ref="J96">IF(OR($A96="",9&gt;Controls!$B$6),"",ROUND(MAX(0,Smooth!J96*Controls!J$17*INDEX(Controls!$B$21:$H$21,1,WEEKDAY($A96,2))*(1+Controls!$B$11)^94*(1+Controls!O$25*Smooth!$L96)*(1+Controls!O$26*Smooth!$M96)*(1+Controls!O$27*Smooth!$N96)*(1+Controls!O$28*Smooth!$O96)),2))</f>
        <v/>
      </c>
      <c r="K96" s="10" t="str">
        <f t="array" ref="K96">IF(OR($A96="",10&gt;Controls!$B$6),"",ROUND(MAX(0,Smooth!K96*Controls!K$17*INDEX(Controls!$B$21:$H$21,1,WEEKDAY($A96,2))*(1+Controls!$B$11)^94*(1+Controls!P$25*Smooth!$L96)*(1+Controls!P$26*Smooth!$M96)*(1+Controls!P$27*Smooth!$N96)*(1+Controls!P$28*Smooth!$O96)),2))</f>
        <v/>
      </c>
      <c r="L96" s="18" t="str">
        <f t="shared" si="1"/>
        <v/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21.0" customHeight="1">
      <c r="A97" s="7" t="str">
        <f>IF(96&lt;=Controls!$B$5,Controls!$B$4+95,"")</f>
        <v/>
      </c>
      <c r="B97" s="10" t="str">
        <f t="array" ref="B97">IF(OR($A97="",1&gt;Controls!$B$6),"",ROUND(MAX(0,Smooth!B97*Controls!B$17*INDEX(Controls!$B$21:$H$21,1,WEEKDAY($A97,2))*(1+Controls!$B$11)^95*(1+Controls!G$25*Smooth!$L97)*(1+Controls!G$26*Smooth!$M97)*(1+Controls!G$27*Smooth!$N97)*(1+Controls!G$28*Smooth!$O97)),2))</f>
        <v/>
      </c>
      <c r="C97" s="10" t="str">
        <f t="array" ref="C97">IF(OR($A97="",2&gt;Controls!$B$6),"",ROUND(MAX(0,Smooth!C97*Controls!C$17*INDEX(Controls!$B$21:$H$21,1,WEEKDAY($A97,2))*(1+Controls!$B$11)^95*(1+Controls!H$25*Smooth!$L97)*(1+Controls!H$26*Smooth!$M97)*(1+Controls!H$27*Smooth!$N97)*(1+Controls!H$28*Smooth!$O97)),2))</f>
        <v/>
      </c>
      <c r="D97" s="10" t="str">
        <f t="array" ref="D97">IF(OR($A97="",3&gt;Controls!$B$6),"",ROUND(MAX(0,Smooth!D97*Controls!D$17*INDEX(Controls!$B$21:$H$21,1,WEEKDAY($A97,2))*(1+Controls!$B$11)^95*(1+Controls!I$25*Smooth!$L97)*(1+Controls!I$26*Smooth!$M97)*(1+Controls!I$27*Smooth!$N97)*(1+Controls!I$28*Smooth!$O97)),2))</f>
        <v/>
      </c>
      <c r="E97" s="10" t="str">
        <f t="array" ref="E97">IF(OR($A97="",4&gt;Controls!$B$6),"",ROUND(MAX(0,Smooth!E97*Controls!E$17*INDEX(Controls!$B$21:$H$21,1,WEEKDAY($A97,2))*(1+Controls!$B$11)^95*(1+Controls!J$25*Smooth!$L97)*(1+Controls!J$26*Smooth!$M97)*(1+Controls!J$27*Smooth!$N97)*(1+Controls!J$28*Smooth!$O97)),2))</f>
        <v/>
      </c>
      <c r="F97" s="10" t="str">
        <f t="array" ref="F97">IF(OR($A97="",5&gt;Controls!$B$6),"",ROUND(MAX(0,Smooth!F97*Controls!F$17*INDEX(Controls!$B$21:$H$21,1,WEEKDAY($A97,2))*(1+Controls!$B$11)^95*(1+Controls!K$25*Smooth!$L97)*(1+Controls!K$26*Smooth!$M97)*(1+Controls!K$27*Smooth!$N97)*(1+Controls!K$28*Smooth!$O97)),2))</f>
        <v/>
      </c>
      <c r="G97" s="10" t="str">
        <f t="array" ref="G97">IF(OR($A97="",6&gt;Controls!$B$6),"",ROUND(MAX(0,Smooth!G97*Controls!G$17*INDEX(Controls!$B$21:$H$21,1,WEEKDAY($A97,2))*(1+Controls!$B$11)^95*(1+Controls!L$25*Smooth!$L97)*(1+Controls!L$26*Smooth!$M97)*(1+Controls!L$27*Smooth!$N97)*(1+Controls!L$28*Smooth!$O97)),2))</f>
        <v/>
      </c>
      <c r="H97" s="10" t="str">
        <f t="array" ref="H97">IF(OR($A97="",7&gt;Controls!$B$6),"",ROUND(MAX(0,Smooth!H97*Controls!H$17*INDEX(Controls!$B$21:$H$21,1,WEEKDAY($A97,2))*(1+Controls!$B$11)^95*(1+Controls!M$25*Smooth!$L97)*(1+Controls!M$26*Smooth!$M97)*(1+Controls!M$27*Smooth!$N97)*(1+Controls!M$28*Smooth!$O97)),2))</f>
        <v/>
      </c>
      <c r="I97" s="10" t="str">
        <f t="array" ref="I97">IF(OR($A97="",8&gt;Controls!$B$6),"",ROUND(MAX(0,Smooth!I97*Controls!I$17*INDEX(Controls!$B$21:$H$21,1,WEEKDAY($A97,2))*(1+Controls!$B$11)^95*(1+Controls!N$25*Smooth!$L97)*(1+Controls!N$26*Smooth!$M97)*(1+Controls!N$27*Smooth!$N97)*(1+Controls!N$28*Smooth!$O97)),2))</f>
        <v/>
      </c>
      <c r="J97" s="10" t="str">
        <f t="array" ref="J97">IF(OR($A97="",9&gt;Controls!$B$6),"",ROUND(MAX(0,Smooth!J97*Controls!J$17*INDEX(Controls!$B$21:$H$21,1,WEEKDAY($A97,2))*(1+Controls!$B$11)^95*(1+Controls!O$25*Smooth!$L97)*(1+Controls!O$26*Smooth!$M97)*(1+Controls!O$27*Smooth!$N97)*(1+Controls!O$28*Smooth!$O97)),2))</f>
        <v/>
      </c>
      <c r="K97" s="10" t="str">
        <f t="array" ref="K97">IF(OR($A97="",10&gt;Controls!$B$6),"",ROUND(MAX(0,Smooth!K97*Controls!K$17*INDEX(Controls!$B$21:$H$21,1,WEEKDAY($A97,2))*(1+Controls!$B$11)^95*(1+Controls!P$25*Smooth!$L97)*(1+Controls!P$26*Smooth!$M97)*(1+Controls!P$27*Smooth!$N97)*(1+Controls!P$28*Smooth!$O97)),2))</f>
        <v/>
      </c>
      <c r="L97" s="18" t="str">
        <f t="shared" si="1"/>
        <v/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21.0" customHeight="1">
      <c r="A98" s="7" t="str">
        <f>IF(97&lt;=Controls!$B$5,Controls!$B$4+96,"")</f>
        <v/>
      </c>
      <c r="B98" s="10" t="str">
        <f t="array" ref="B98">IF(OR($A98="",1&gt;Controls!$B$6),"",ROUND(MAX(0,Smooth!B98*Controls!B$17*INDEX(Controls!$B$21:$H$21,1,WEEKDAY($A98,2))*(1+Controls!$B$11)^96*(1+Controls!G$25*Smooth!$L98)*(1+Controls!G$26*Smooth!$M98)*(1+Controls!G$27*Smooth!$N98)*(1+Controls!G$28*Smooth!$O98)),2))</f>
        <v/>
      </c>
      <c r="C98" s="10" t="str">
        <f t="array" ref="C98">IF(OR($A98="",2&gt;Controls!$B$6),"",ROUND(MAX(0,Smooth!C98*Controls!C$17*INDEX(Controls!$B$21:$H$21,1,WEEKDAY($A98,2))*(1+Controls!$B$11)^96*(1+Controls!H$25*Smooth!$L98)*(1+Controls!H$26*Smooth!$M98)*(1+Controls!H$27*Smooth!$N98)*(1+Controls!H$28*Smooth!$O98)),2))</f>
        <v/>
      </c>
      <c r="D98" s="10" t="str">
        <f t="array" ref="D98">IF(OR($A98="",3&gt;Controls!$B$6),"",ROUND(MAX(0,Smooth!D98*Controls!D$17*INDEX(Controls!$B$21:$H$21,1,WEEKDAY($A98,2))*(1+Controls!$B$11)^96*(1+Controls!I$25*Smooth!$L98)*(1+Controls!I$26*Smooth!$M98)*(1+Controls!I$27*Smooth!$N98)*(1+Controls!I$28*Smooth!$O98)),2))</f>
        <v/>
      </c>
      <c r="E98" s="10" t="str">
        <f t="array" ref="E98">IF(OR($A98="",4&gt;Controls!$B$6),"",ROUND(MAX(0,Smooth!E98*Controls!E$17*INDEX(Controls!$B$21:$H$21,1,WEEKDAY($A98,2))*(1+Controls!$B$11)^96*(1+Controls!J$25*Smooth!$L98)*(1+Controls!J$26*Smooth!$M98)*(1+Controls!J$27*Smooth!$N98)*(1+Controls!J$28*Smooth!$O98)),2))</f>
        <v/>
      </c>
      <c r="F98" s="10" t="str">
        <f t="array" ref="F98">IF(OR($A98="",5&gt;Controls!$B$6),"",ROUND(MAX(0,Smooth!F98*Controls!F$17*INDEX(Controls!$B$21:$H$21,1,WEEKDAY($A98,2))*(1+Controls!$B$11)^96*(1+Controls!K$25*Smooth!$L98)*(1+Controls!K$26*Smooth!$M98)*(1+Controls!K$27*Smooth!$N98)*(1+Controls!K$28*Smooth!$O98)),2))</f>
        <v/>
      </c>
      <c r="G98" s="10" t="str">
        <f t="array" ref="G98">IF(OR($A98="",6&gt;Controls!$B$6),"",ROUND(MAX(0,Smooth!G98*Controls!G$17*INDEX(Controls!$B$21:$H$21,1,WEEKDAY($A98,2))*(1+Controls!$B$11)^96*(1+Controls!L$25*Smooth!$L98)*(1+Controls!L$26*Smooth!$M98)*(1+Controls!L$27*Smooth!$N98)*(1+Controls!L$28*Smooth!$O98)),2))</f>
        <v/>
      </c>
      <c r="H98" s="10" t="str">
        <f t="array" ref="H98">IF(OR($A98="",7&gt;Controls!$B$6),"",ROUND(MAX(0,Smooth!H98*Controls!H$17*INDEX(Controls!$B$21:$H$21,1,WEEKDAY($A98,2))*(1+Controls!$B$11)^96*(1+Controls!M$25*Smooth!$L98)*(1+Controls!M$26*Smooth!$M98)*(1+Controls!M$27*Smooth!$N98)*(1+Controls!M$28*Smooth!$O98)),2))</f>
        <v/>
      </c>
      <c r="I98" s="10" t="str">
        <f t="array" ref="I98">IF(OR($A98="",8&gt;Controls!$B$6),"",ROUND(MAX(0,Smooth!I98*Controls!I$17*INDEX(Controls!$B$21:$H$21,1,WEEKDAY($A98,2))*(1+Controls!$B$11)^96*(1+Controls!N$25*Smooth!$L98)*(1+Controls!N$26*Smooth!$M98)*(1+Controls!N$27*Smooth!$N98)*(1+Controls!N$28*Smooth!$O98)),2))</f>
        <v/>
      </c>
      <c r="J98" s="10" t="str">
        <f t="array" ref="J98">IF(OR($A98="",9&gt;Controls!$B$6),"",ROUND(MAX(0,Smooth!J98*Controls!J$17*INDEX(Controls!$B$21:$H$21,1,WEEKDAY($A98,2))*(1+Controls!$B$11)^96*(1+Controls!O$25*Smooth!$L98)*(1+Controls!O$26*Smooth!$M98)*(1+Controls!O$27*Smooth!$N98)*(1+Controls!O$28*Smooth!$O98)),2))</f>
        <v/>
      </c>
      <c r="K98" s="10" t="str">
        <f t="array" ref="K98">IF(OR($A98="",10&gt;Controls!$B$6),"",ROUND(MAX(0,Smooth!K98*Controls!K$17*INDEX(Controls!$B$21:$H$21,1,WEEKDAY($A98,2))*(1+Controls!$B$11)^96*(1+Controls!P$25*Smooth!$L98)*(1+Controls!P$26*Smooth!$M98)*(1+Controls!P$27*Smooth!$N98)*(1+Controls!P$28*Smooth!$O98)),2))</f>
        <v/>
      </c>
      <c r="L98" s="18" t="str">
        <f t="shared" si="1"/>
        <v/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21.0" customHeight="1">
      <c r="A99" s="7" t="str">
        <f>IF(98&lt;=Controls!$B$5,Controls!$B$4+97,"")</f>
        <v/>
      </c>
      <c r="B99" s="10" t="str">
        <f t="array" ref="B99">IF(OR($A99="",1&gt;Controls!$B$6),"",ROUND(MAX(0,Smooth!B99*Controls!B$17*INDEX(Controls!$B$21:$H$21,1,WEEKDAY($A99,2))*(1+Controls!$B$11)^97*(1+Controls!G$25*Smooth!$L99)*(1+Controls!G$26*Smooth!$M99)*(1+Controls!G$27*Smooth!$N99)*(1+Controls!G$28*Smooth!$O99)),2))</f>
        <v/>
      </c>
      <c r="C99" s="10" t="str">
        <f t="array" ref="C99">IF(OR($A99="",2&gt;Controls!$B$6),"",ROUND(MAX(0,Smooth!C99*Controls!C$17*INDEX(Controls!$B$21:$H$21,1,WEEKDAY($A99,2))*(1+Controls!$B$11)^97*(1+Controls!H$25*Smooth!$L99)*(1+Controls!H$26*Smooth!$M99)*(1+Controls!H$27*Smooth!$N99)*(1+Controls!H$28*Smooth!$O99)),2))</f>
        <v/>
      </c>
      <c r="D99" s="10" t="str">
        <f t="array" ref="D99">IF(OR($A99="",3&gt;Controls!$B$6),"",ROUND(MAX(0,Smooth!D99*Controls!D$17*INDEX(Controls!$B$21:$H$21,1,WEEKDAY($A99,2))*(1+Controls!$B$11)^97*(1+Controls!I$25*Smooth!$L99)*(1+Controls!I$26*Smooth!$M99)*(1+Controls!I$27*Smooth!$N99)*(1+Controls!I$28*Smooth!$O99)),2))</f>
        <v/>
      </c>
      <c r="E99" s="10" t="str">
        <f t="array" ref="E99">IF(OR($A99="",4&gt;Controls!$B$6),"",ROUND(MAX(0,Smooth!E99*Controls!E$17*INDEX(Controls!$B$21:$H$21,1,WEEKDAY($A99,2))*(1+Controls!$B$11)^97*(1+Controls!J$25*Smooth!$L99)*(1+Controls!J$26*Smooth!$M99)*(1+Controls!J$27*Smooth!$N99)*(1+Controls!J$28*Smooth!$O99)),2))</f>
        <v/>
      </c>
      <c r="F99" s="10" t="str">
        <f t="array" ref="F99">IF(OR($A99="",5&gt;Controls!$B$6),"",ROUND(MAX(0,Smooth!F99*Controls!F$17*INDEX(Controls!$B$21:$H$21,1,WEEKDAY($A99,2))*(1+Controls!$B$11)^97*(1+Controls!K$25*Smooth!$L99)*(1+Controls!K$26*Smooth!$M99)*(1+Controls!K$27*Smooth!$N99)*(1+Controls!K$28*Smooth!$O99)),2))</f>
        <v/>
      </c>
      <c r="G99" s="10" t="str">
        <f t="array" ref="G99">IF(OR($A99="",6&gt;Controls!$B$6),"",ROUND(MAX(0,Smooth!G99*Controls!G$17*INDEX(Controls!$B$21:$H$21,1,WEEKDAY($A99,2))*(1+Controls!$B$11)^97*(1+Controls!L$25*Smooth!$L99)*(1+Controls!L$26*Smooth!$M99)*(1+Controls!L$27*Smooth!$N99)*(1+Controls!L$28*Smooth!$O99)),2))</f>
        <v/>
      </c>
      <c r="H99" s="10" t="str">
        <f t="array" ref="H99">IF(OR($A99="",7&gt;Controls!$B$6),"",ROUND(MAX(0,Smooth!H99*Controls!H$17*INDEX(Controls!$B$21:$H$21,1,WEEKDAY($A99,2))*(1+Controls!$B$11)^97*(1+Controls!M$25*Smooth!$L99)*(1+Controls!M$26*Smooth!$M99)*(1+Controls!M$27*Smooth!$N99)*(1+Controls!M$28*Smooth!$O99)),2))</f>
        <v/>
      </c>
      <c r="I99" s="10" t="str">
        <f t="array" ref="I99">IF(OR($A99="",8&gt;Controls!$B$6),"",ROUND(MAX(0,Smooth!I99*Controls!I$17*INDEX(Controls!$B$21:$H$21,1,WEEKDAY($A99,2))*(1+Controls!$B$11)^97*(1+Controls!N$25*Smooth!$L99)*(1+Controls!N$26*Smooth!$M99)*(1+Controls!N$27*Smooth!$N99)*(1+Controls!N$28*Smooth!$O99)),2))</f>
        <v/>
      </c>
      <c r="J99" s="10" t="str">
        <f t="array" ref="J99">IF(OR($A99="",9&gt;Controls!$B$6),"",ROUND(MAX(0,Smooth!J99*Controls!J$17*INDEX(Controls!$B$21:$H$21,1,WEEKDAY($A99,2))*(1+Controls!$B$11)^97*(1+Controls!O$25*Smooth!$L99)*(1+Controls!O$26*Smooth!$M99)*(1+Controls!O$27*Smooth!$N99)*(1+Controls!O$28*Smooth!$O99)),2))</f>
        <v/>
      </c>
      <c r="K99" s="10" t="str">
        <f t="array" ref="K99">IF(OR($A99="",10&gt;Controls!$B$6),"",ROUND(MAX(0,Smooth!K99*Controls!K$17*INDEX(Controls!$B$21:$H$21,1,WEEKDAY($A99,2))*(1+Controls!$B$11)^97*(1+Controls!P$25*Smooth!$L99)*(1+Controls!P$26*Smooth!$M99)*(1+Controls!P$27*Smooth!$N99)*(1+Controls!P$28*Smooth!$O99)),2))</f>
        <v/>
      </c>
      <c r="L99" s="18" t="str">
        <f t="shared" si="1"/>
        <v/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21.0" customHeight="1">
      <c r="A100" s="7" t="str">
        <f>IF(99&lt;=Controls!$B$5,Controls!$B$4+98,"")</f>
        <v/>
      </c>
      <c r="B100" s="10" t="str">
        <f t="array" ref="B100">IF(OR($A100="",1&gt;Controls!$B$6),"",ROUND(MAX(0,Smooth!B100*Controls!B$17*INDEX(Controls!$B$21:$H$21,1,WEEKDAY($A100,2))*(1+Controls!$B$11)^98*(1+Controls!G$25*Smooth!$L100)*(1+Controls!G$26*Smooth!$M100)*(1+Controls!G$27*Smooth!$N100)*(1+Controls!G$28*Smooth!$O100)),2))</f>
        <v/>
      </c>
      <c r="C100" s="10" t="str">
        <f t="array" ref="C100">IF(OR($A100="",2&gt;Controls!$B$6),"",ROUND(MAX(0,Smooth!C100*Controls!C$17*INDEX(Controls!$B$21:$H$21,1,WEEKDAY($A100,2))*(1+Controls!$B$11)^98*(1+Controls!H$25*Smooth!$L100)*(1+Controls!H$26*Smooth!$M100)*(1+Controls!H$27*Smooth!$N100)*(1+Controls!H$28*Smooth!$O100)),2))</f>
        <v/>
      </c>
      <c r="D100" s="10" t="str">
        <f t="array" ref="D100">IF(OR($A100="",3&gt;Controls!$B$6),"",ROUND(MAX(0,Smooth!D100*Controls!D$17*INDEX(Controls!$B$21:$H$21,1,WEEKDAY($A100,2))*(1+Controls!$B$11)^98*(1+Controls!I$25*Smooth!$L100)*(1+Controls!I$26*Smooth!$M100)*(1+Controls!I$27*Smooth!$N100)*(1+Controls!I$28*Smooth!$O100)),2))</f>
        <v/>
      </c>
      <c r="E100" s="10" t="str">
        <f t="array" ref="E100">IF(OR($A100="",4&gt;Controls!$B$6),"",ROUND(MAX(0,Smooth!E100*Controls!E$17*INDEX(Controls!$B$21:$H$21,1,WEEKDAY($A100,2))*(1+Controls!$B$11)^98*(1+Controls!J$25*Smooth!$L100)*(1+Controls!J$26*Smooth!$M100)*(1+Controls!J$27*Smooth!$N100)*(1+Controls!J$28*Smooth!$O100)),2))</f>
        <v/>
      </c>
      <c r="F100" s="10" t="str">
        <f t="array" ref="F100">IF(OR($A100="",5&gt;Controls!$B$6),"",ROUND(MAX(0,Smooth!F100*Controls!F$17*INDEX(Controls!$B$21:$H$21,1,WEEKDAY($A100,2))*(1+Controls!$B$11)^98*(1+Controls!K$25*Smooth!$L100)*(1+Controls!K$26*Smooth!$M100)*(1+Controls!K$27*Smooth!$N100)*(1+Controls!K$28*Smooth!$O100)),2))</f>
        <v/>
      </c>
      <c r="G100" s="10" t="str">
        <f t="array" ref="G100">IF(OR($A100="",6&gt;Controls!$B$6),"",ROUND(MAX(0,Smooth!G100*Controls!G$17*INDEX(Controls!$B$21:$H$21,1,WEEKDAY($A100,2))*(1+Controls!$B$11)^98*(1+Controls!L$25*Smooth!$L100)*(1+Controls!L$26*Smooth!$M100)*(1+Controls!L$27*Smooth!$N100)*(1+Controls!L$28*Smooth!$O100)),2))</f>
        <v/>
      </c>
      <c r="H100" s="10" t="str">
        <f t="array" ref="H100">IF(OR($A100="",7&gt;Controls!$B$6),"",ROUND(MAX(0,Smooth!H100*Controls!H$17*INDEX(Controls!$B$21:$H$21,1,WEEKDAY($A100,2))*(1+Controls!$B$11)^98*(1+Controls!M$25*Smooth!$L100)*(1+Controls!M$26*Smooth!$M100)*(1+Controls!M$27*Smooth!$N100)*(1+Controls!M$28*Smooth!$O100)),2))</f>
        <v/>
      </c>
      <c r="I100" s="10" t="str">
        <f t="array" ref="I100">IF(OR($A100="",8&gt;Controls!$B$6),"",ROUND(MAX(0,Smooth!I100*Controls!I$17*INDEX(Controls!$B$21:$H$21,1,WEEKDAY($A100,2))*(1+Controls!$B$11)^98*(1+Controls!N$25*Smooth!$L100)*(1+Controls!N$26*Smooth!$M100)*(1+Controls!N$27*Smooth!$N100)*(1+Controls!N$28*Smooth!$O100)),2))</f>
        <v/>
      </c>
      <c r="J100" s="10" t="str">
        <f t="array" ref="J100">IF(OR($A100="",9&gt;Controls!$B$6),"",ROUND(MAX(0,Smooth!J100*Controls!J$17*INDEX(Controls!$B$21:$H$21,1,WEEKDAY($A100,2))*(1+Controls!$B$11)^98*(1+Controls!O$25*Smooth!$L100)*(1+Controls!O$26*Smooth!$M100)*(1+Controls!O$27*Smooth!$N100)*(1+Controls!O$28*Smooth!$O100)),2))</f>
        <v/>
      </c>
      <c r="K100" s="10" t="str">
        <f t="array" ref="K100">IF(OR($A100="",10&gt;Controls!$B$6),"",ROUND(MAX(0,Smooth!K100*Controls!K$17*INDEX(Controls!$B$21:$H$21,1,WEEKDAY($A100,2))*(1+Controls!$B$11)^98*(1+Controls!P$25*Smooth!$L100)*(1+Controls!P$26*Smooth!$M100)*(1+Controls!P$27*Smooth!$N100)*(1+Controls!P$28*Smooth!$O100)),2))</f>
        <v/>
      </c>
      <c r="L100" s="18" t="str">
        <f t="shared" si="1"/>
        <v/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1.0" customHeight="1">
      <c r="A101" s="7" t="str">
        <f>IF(100&lt;=Controls!$B$5,Controls!$B$4+99,"")</f>
        <v/>
      </c>
      <c r="B101" s="10" t="str">
        <f t="array" ref="B101">IF(OR($A101="",1&gt;Controls!$B$6),"",ROUND(MAX(0,Smooth!B101*Controls!B$17*INDEX(Controls!$B$21:$H$21,1,WEEKDAY($A101,2))*(1+Controls!$B$11)^99*(1+Controls!G$25*Smooth!$L101)*(1+Controls!G$26*Smooth!$M101)*(1+Controls!G$27*Smooth!$N101)*(1+Controls!G$28*Smooth!$O101)),2))</f>
        <v/>
      </c>
      <c r="C101" s="10" t="str">
        <f t="array" ref="C101">IF(OR($A101="",2&gt;Controls!$B$6),"",ROUND(MAX(0,Smooth!C101*Controls!C$17*INDEX(Controls!$B$21:$H$21,1,WEEKDAY($A101,2))*(1+Controls!$B$11)^99*(1+Controls!H$25*Smooth!$L101)*(1+Controls!H$26*Smooth!$M101)*(1+Controls!H$27*Smooth!$N101)*(1+Controls!H$28*Smooth!$O101)),2))</f>
        <v/>
      </c>
      <c r="D101" s="10" t="str">
        <f t="array" ref="D101">IF(OR($A101="",3&gt;Controls!$B$6),"",ROUND(MAX(0,Smooth!D101*Controls!D$17*INDEX(Controls!$B$21:$H$21,1,WEEKDAY($A101,2))*(1+Controls!$B$11)^99*(1+Controls!I$25*Smooth!$L101)*(1+Controls!I$26*Smooth!$M101)*(1+Controls!I$27*Smooth!$N101)*(1+Controls!I$28*Smooth!$O101)),2))</f>
        <v/>
      </c>
      <c r="E101" s="10" t="str">
        <f t="array" ref="E101">IF(OR($A101="",4&gt;Controls!$B$6),"",ROUND(MAX(0,Smooth!E101*Controls!E$17*INDEX(Controls!$B$21:$H$21,1,WEEKDAY($A101,2))*(1+Controls!$B$11)^99*(1+Controls!J$25*Smooth!$L101)*(1+Controls!J$26*Smooth!$M101)*(1+Controls!J$27*Smooth!$N101)*(1+Controls!J$28*Smooth!$O101)),2))</f>
        <v/>
      </c>
      <c r="F101" s="10" t="str">
        <f t="array" ref="F101">IF(OR($A101="",5&gt;Controls!$B$6),"",ROUND(MAX(0,Smooth!F101*Controls!F$17*INDEX(Controls!$B$21:$H$21,1,WEEKDAY($A101,2))*(1+Controls!$B$11)^99*(1+Controls!K$25*Smooth!$L101)*(1+Controls!K$26*Smooth!$M101)*(1+Controls!K$27*Smooth!$N101)*(1+Controls!K$28*Smooth!$O101)),2))</f>
        <v/>
      </c>
      <c r="G101" s="10" t="str">
        <f t="array" ref="G101">IF(OR($A101="",6&gt;Controls!$B$6),"",ROUND(MAX(0,Smooth!G101*Controls!G$17*INDEX(Controls!$B$21:$H$21,1,WEEKDAY($A101,2))*(1+Controls!$B$11)^99*(1+Controls!L$25*Smooth!$L101)*(1+Controls!L$26*Smooth!$M101)*(1+Controls!L$27*Smooth!$N101)*(1+Controls!L$28*Smooth!$O101)),2))</f>
        <v/>
      </c>
      <c r="H101" s="10" t="str">
        <f t="array" ref="H101">IF(OR($A101="",7&gt;Controls!$B$6),"",ROUND(MAX(0,Smooth!H101*Controls!H$17*INDEX(Controls!$B$21:$H$21,1,WEEKDAY($A101,2))*(1+Controls!$B$11)^99*(1+Controls!M$25*Smooth!$L101)*(1+Controls!M$26*Smooth!$M101)*(1+Controls!M$27*Smooth!$N101)*(1+Controls!M$28*Smooth!$O101)),2))</f>
        <v/>
      </c>
      <c r="I101" s="10" t="str">
        <f t="array" ref="I101">IF(OR($A101="",8&gt;Controls!$B$6),"",ROUND(MAX(0,Smooth!I101*Controls!I$17*INDEX(Controls!$B$21:$H$21,1,WEEKDAY($A101,2))*(1+Controls!$B$11)^99*(1+Controls!N$25*Smooth!$L101)*(1+Controls!N$26*Smooth!$M101)*(1+Controls!N$27*Smooth!$N101)*(1+Controls!N$28*Smooth!$O101)),2))</f>
        <v/>
      </c>
      <c r="J101" s="10" t="str">
        <f t="array" ref="J101">IF(OR($A101="",9&gt;Controls!$B$6),"",ROUND(MAX(0,Smooth!J101*Controls!J$17*INDEX(Controls!$B$21:$H$21,1,WEEKDAY($A101,2))*(1+Controls!$B$11)^99*(1+Controls!O$25*Smooth!$L101)*(1+Controls!O$26*Smooth!$M101)*(1+Controls!O$27*Smooth!$N101)*(1+Controls!O$28*Smooth!$O101)),2))</f>
        <v/>
      </c>
      <c r="K101" s="10" t="str">
        <f t="array" ref="K101">IF(OR($A101="",10&gt;Controls!$B$6),"",ROUND(MAX(0,Smooth!K101*Controls!K$17*INDEX(Controls!$B$21:$H$21,1,WEEKDAY($A101,2))*(1+Controls!$B$11)^99*(1+Controls!P$25*Smooth!$L101)*(1+Controls!P$26*Smooth!$M101)*(1+Controls!P$27*Smooth!$N101)*(1+Controls!P$28*Smooth!$O101)),2))</f>
        <v/>
      </c>
      <c r="L101" s="18" t="str">
        <f t="shared" si="1"/>
        <v/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21.0" customHeight="1">
      <c r="A102" s="7" t="str">
        <f>IF(101&lt;=Controls!$B$5,Controls!$B$4+100,"")</f>
        <v/>
      </c>
      <c r="B102" s="10" t="str">
        <f t="array" ref="B102">IF(OR($A102="",1&gt;Controls!$B$6),"",ROUND(MAX(0,Smooth!B102*Controls!B$17*INDEX(Controls!$B$21:$H$21,1,WEEKDAY($A102,2))*(1+Controls!$B$11)^100*(1+Controls!G$25*Smooth!$L102)*(1+Controls!G$26*Smooth!$M102)*(1+Controls!G$27*Smooth!$N102)*(1+Controls!G$28*Smooth!$O102)),2))</f>
        <v/>
      </c>
      <c r="C102" s="10" t="str">
        <f t="array" ref="C102">IF(OR($A102="",2&gt;Controls!$B$6),"",ROUND(MAX(0,Smooth!C102*Controls!C$17*INDEX(Controls!$B$21:$H$21,1,WEEKDAY($A102,2))*(1+Controls!$B$11)^100*(1+Controls!H$25*Smooth!$L102)*(1+Controls!H$26*Smooth!$M102)*(1+Controls!H$27*Smooth!$N102)*(1+Controls!H$28*Smooth!$O102)),2))</f>
        <v/>
      </c>
      <c r="D102" s="10" t="str">
        <f t="array" ref="D102">IF(OR($A102="",3&gt;Controls!$B$6),"",ROUND(MAX(0,Smooth!D102*Controls!D$17*INDEX(Controls!$B$21:$H$21,1,WEEKDAY($A102,2))*(1+Controls!$B$11)^100*(1+Controls!I$25*Smooth!$L102)*(1+Controls!I$26*Smooth!$M102)*(1+Controls!I$27*Smooth!$N102)*(1+Controls!I$28*Smooth!$O102)),2))</f>
        <v/>
      </c>
      <c r="E102" s="10" t="str">
        <f t="array" ref="E102">IF(OR($A102="",4&gt;Controls!$B$6),"",ROUND(MAX(0,Smooth!E102*Controls!E$17*INDEX(Controls!$B$21:$H$21,1,WEEKDAY($A102,2))*(1+Controls!$B$11)^100*(1+Controls!J$25*Smooth!$L102)*(1+Controls!J$26*Smooth!$M102)*(1+Controls!J$27*Smooth!$N102)*(1+Controls!J$28*Smooth!$O102)),2))</f>
        <v/>
      </c>
      <c r="F102" s="10" t="str">
        <f t="array" ref="F102">IF(OR($A102="",5&gt;Controls!$B$6),"",ROUND(MAX(0,Smooth!F102*Controls!F$17*INDEX(Controls!$B$21:$H$21,1,WEEKDAY($A102,2))*(1+Controls!$B$11)^100*(1+Controls!K$25*Smooth!$L102)*(1+Controls!K$26*Smooth!$M102)*(1+Controls!K$27*Smooth!$N102)*(1+Controls!K$28*Smooth!$O102)),2))</f>
        <v/>
      </c>
      <c r="G102" s="10" t="str">
        <f t="array" ref="G102">IF(OR($A102="",6&gt;Controls!$B$6),"",ROUND(MAX(0,Smooth!G102*Controls!G$17*INDEX(Controls!$B$21:$H$21,1,WEEKDAY($A102,2))*(1+Controls!$B$11)^100*(1+Controls!L$25*Smooth!$L102)*(1+Controls!L$26*Smooth!$M102)*(1+Controls!L$27*Smooth!$N102)*(1+Controls!L$28*Smooth!$O102)),2))</f>
        <v/>
      </c>
      <c r="H102" s="10" t="str">
        <f t="array" ref="H102">IF(OR($A102="",7&gt;Controls!$B$6),"",ROUND(MAX(0,Smooth!H102*Controls!H$17*INDEX(Controls!$B$21:$H$21,1,WEEKDAY($A102,2))*(1+Controls!$B$11)^100*(1+Controls!M$25*Smooth!$L102)*(1+Controls!M$26*Smooth!$M102)*(1+Controls!M$27*Smooth!$N102)*(1+Controls!M$28*Smooth!$O102)),2))</f>
        <v/>
      </c>
      <c r="I102" s="10" t="str">
        <f t="array" ref="I102">IF(OR($A102="",8&gt;Controls!$B$6),"",ROUND(MAX(0,Smooth!I102*Controls!I$17*INDEX(Controls!$B$21:$H$21,1,WEEKDAY($A102,2))*(1+Controls!$B$11)^100*(1+Controls!N$25*Smooth!$L102)*(1+Controls!N$26*Smooth!$M102)*(1+Controls!N$27*Smooth!$N102)*(1+Controls!N$28*Smooth!$O102)),2))</f>
        <v/>
      </c>
      <c r="J102" s="10" t="str">
        <f t="array" ref="J102">IF(OR($A102="",9&gt;Controls!$B$6),"",ROUND(MAX(0,Smooth!J102*Controls!J$17*INDEX(Controls!$B$21:$H$21,1,WEEKDAY($A102,2))*(1+Controls!$B$11)^100*(1+Controls!O$25*Smooth!$L102)*(1+Controls!O$26*Smooth!$M102)*(1+Controls!O$27*Smooth!$N102)*(1+Controls!O$28*Smooth!$O102)),2))</f>
        <v/>
      </c>
      <c r="K102" s="10" t="str">
        <f t="array" ref="K102">IF(OR($A102="",10&gt;Controls!$B$6),"",ROUND(MAX(0,Smooth!K102*Controls!K$17*INDEX(Controls!$B$21:$H$21,1,WEEKDAY($A102,2))*(1+Controls!$B$11)^100*(1+Controls!P$25*Smooth!$L102)*(1+Controls!P$26*Smooth!$M102)*(1+Controls!P$27*Smooth!$N102)*(1+Controls!P$28*Smooth!$O102)),2))</f>
        <v/>
      </c>
      <c r="L102" s="18" t="str">
        <f t="shared" si="1"/>
        <v/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21.0" customHeight="1">
      <c r="A103" s="7" t="str">
        <f>IF(102&lt;=Controls!$B$5,Controls!$B$4+101,"")</f>
        <v/>
      </c>
      <c r="B103" s="10" t="str">
        <f t="array" ref="B103">IF(OR($A103="",1&gt;Controls!$B$6),"",ROUND(MAX(0,Smooth!B103*Controls!B$17*INDEX(Controls!$B$21:$H$21,1,WEEKDAY($A103,2))*(1+Controls!$B$11)^101*(1+Controls!G$25*Smooth!$L103)*(1+Controls!G$26*Smooth!$M103)*(1+Controls!G$27*Smooth!$N103)*(1+Controls!G$28*Smooth!$O103)),2))</f>
        <v/>
      </c>
      <c r="C103" s="10" t="str">
        <f t="array" ref="C103">IF(OR($A103="",2&gt;Controls!$B$6),"",ROUND(MAX(0,Smooth!C103*Controls!C$17*INDEX(Controls!$B$21:$H$21,1,WEEKDAY($A103,2))*(1+Controls!$B$11)^101*(1+Controls!H$25*Smooth!$L103)*(1+Controls!H$26*Smooth!$M103)*(1+Controls!H$27*Smooth!$N103)*(1+Controls!H$28*Smooth!$O103)),2))</f>
        <v/>
      </c>
      <c r="D103" s="10" t="str">
        <f t="array" ref="D103">IF(OR($A103="",3&gt;Controls!$B$6),"",ROUND(MAX(0,Smooth!D103*Controls!D$17*INDEX(Controls!$B$21:$H$21,1,WEEKDAY($A103,2))*(1+Controls!$B$11)^101*(1+Controls!I$25*Smooth!$L103)*(1+Controls!I$26*Smooth!$M103)*(1+Controls!I$27*Smooth!$N103)*(1+Controls!I$28*Smooth!$O103)),2))</f>
        <v/>
      </c>
      <c r="E103" s="10" t="str">
        <f t="array" ref="E103">IF(OR($A103="",4&gt;Controls!$B$6),"",ROUND(MAX(0,Smooth!E103*Controls!E$17*INDEX(Controls!$B$21:$H$21,1,WEEKDAY($A103,2))*(1+Controls!$B$11)^101*(1+Controls!J$25*Smooth!$L103)*(1+Controls!J$26*Smooth!$M103)*(1+Controls!J$27*Smooth!$N103)*(1+Controls!J$28*Smooth!$O103)),2))</f>
        <v/>
      </c>
      <c r="F103" s="10" t="str">
        <f t="array" ref="F103">IF(OR($A103="",5&gt;Controls!$B$6),"",ROUND(MAX(0,Smooth!F103*Controls!F$17*INDEX(Controls!$B$21:$H$21,1,WEEKDAY($A103,2))*(1+Controls!$B$11)^101*(1+Controls!K$25*Smooth!$L103)*(1+Controls!K$26*Smooth!$M103)*(1+Controls!K$27*Smooth!$N103)*(1+Controls!K$28*Smooth!$O103)),2))</f>
        <v/>
      </c>
      <c r="G103" s="10" t="str">
        <f t="array" ref="G103">IF(OR($A103="",6&gt;Controls!$B$6),"",ROUND(MAX(0,Smooth!G103*Controls!G$17*INDEX(Controls!$B$21:$H$21,1,WEEKDAY($A103,2))*(1+Controls!$B$11)^101*(1+Controls!L$25*Smooth!$L103)*(1+Controls!L$26*Smooth!$M103)*(1+Controls!L$27*Smooth!$N103)*(1+Controls!L$28*Smooth!$O103)),2))</f>
        <v/>
      </c>
      <c r="H103" s="10" t="str">
        <f t="array" ref="H103">IF(OR($A103="",7&gt;Controls!$B$6),"",ROUND(MAX(0,Smooth!H103*Controls!H$17*INDEX(Controls!$B$21:$H$21,1,WEEKDAY($A103,2))*(1+Controls!$B$11)^101*(1+Controls!M$25*Smooth!$L103)*(1+Controls!M$26*Smooth!$M103)*(1+Controls!M$27*Smooth!$N103)*(1+Controls!M$28*Smooth!$O103)),2))</f>
        <v/>
      </c>
      <c r="I103" s="10" t="str">
        <f t="array" ref="I103">IF(OR($A103="",8&gt;Controls!$B$6),"",ROUND(MAX(0,Smooth!I103*Controls!I$17*INDEX(Controls!$B$21:$H$21,1,WEEKDAY($A103,2))*(1+Controls!$B$11)^101*(1+Controls!N$25*Smooth!$L103)*(1+Controls!N$26*Smooth!$M103)*(1+Controls!N$27*Smooth!$N103)*(1+Controls!N$28*Smooth!$O103)),2))</f>
        <v/>
      </c>
      <c r="J103" s="10" t="str">
        <f t="array" ref="J103">IF(OR($A103="",9&gt;Controls!$B$6),"",ROUND(MAX(0,Smooth!J103*Controls!J$17*INDEX(Controls!$B$21:$H$21,1,WEEKDAY($A103,2))*(1+Controls!$B$11)^101*(1+Controls!O$25*Smooth!$L103)*(1+Controls!O$26*Smooth!$M103)*(1+Controls!O$27*Smooth!$N103)*(1+Controls!O$28*Smooth!$O103)),2))</f>
        <v/>
      </c>
      <c r="K103" s="10" t="str">
        <f t="array" ref="K103">IF(OR($A103="",10&gt;Controls!$B$6),"",ROUND(MAX(0,Smooth!K103*Controls!K$17*INDEX(Controls!$B$21:$H$21,1,WEEKDAY($A103,2))*(1+Controls!$B$11)^101*(1+Controls!P$25*Smooth!$L103)*(1+Controls!P$26*Smooth!$M103)*(1+Controls!P$27*Smooth!$N103)*(1+Controls!P$28*Smooth!$O103)),2))</f>
        <v/>
      </c>
      <c r="L103" s="18" t="str">
        <f t="shared" si="1"/>
        <v/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21.0" customHeight="1">
      <c r="A104" s="7" t="str">
        <f>IF(103&lt;=Controls!$B$5,Controls!$B$4+102,"")</f>
        <v/>
      </c>
      <c r="B104" s="10" t="str">
        <f t="array" ref="B104">IF(OR($A104="",1&gt;Controls!$B$6),"",ROUND(MAX(0,Smooth!B104*Controls!B$17*INDEX(Controls!$B$21:$H$21,1,WEEKDAY($A104,2))*(1+Controls!$B$11)^102*(1+Controls!G$25*Smooth!$L104)*(1+Controls!G$26*Smooth!$M104)*(1+Controls!G$27*Smooth!$N104)*(1+Controls!G$28*Smooth!$O104)),2))</f>
        <v/>
      </c>
      <c r="C104" s="10" t="str">
        <f t="array" ref="C104">IF(OR($A104="",2&gt;Controls!$B$6),"",ROUND(MAX(0,Smooth!C104*Controls!C$17*INDEX(Controls!$B$21:$H$21,1,WEEKDAY($A104,2))*(1+Controls!$B$11)^102*(1+Controls!H$25*Smooth!$L104)*(1+Controls!H$26*Smooth!$M104)*(1+Controls!H$27*Smooth!$N104)*(1+Controls!H$28*Smooth!$O104)),2))</f>
        <v/>
      </c>
      <c r="D104" s="10" t="str">
        <f t="array" ref="D104">IF(OR($A104="",3&gt;Controls!$B$6),"",ROUND(MAX(0,Smooth!D104*Controls!D$17*INDEX(Controls!$B$21:$H$21,1,WEEKDAY($A104,2))*(1+Controls!$B$11)^102*(1+Controls!I$25*Smooth!$L104)*(1+Controls!I$26*Smooth!$M104)*(1+Controls!I$27*Smooth!$N104)*(1+Controls!I$28*Smooth!$O104)),2))</f>
        <v/>
      </c>
      <c r="E104" s="10" t="str">
        <f t="array" ref="E104">IF(OR($A104="",4&gt;Controls!$B$6),"",ROUND(MAX(0,Smooth!E104*Controls!E$17*INDEX(Controls!$B$21:$H$21,1,WEEKDAY($A104,2))*(1+Controls!$B$11)^102*(1+Controls!J$25*Smooth!$L104)*(1+Controls!J$26*Smooth!$M104)*(1+Controls!J$27*Smooth!$N104)*(1+Controls!J$28*Smooth!$O104)),2))</f>
        <v/>
      </c>
      <c r="F104" s="10" t="str">
        <f t="array" ref="F104">IF(OR($A104="",5&gt;Controls!$B$6),"",ROUND(MAX(0,Smooth!F104*Controls!F$17*INDEX(Controls!$B$21:$H$21,1,WEEKDAY($A104,2))*(1+Controls!$B$11)^102*(1+Controls!K$25*Smooth!$L104)*(1+Controls!K$26*Smooth!$M104)*(1+Controls!K$27*Smooth!$N104)*(1+Controls!K$28*Smooth!$O104)),2))</f>
        <v/>
      </c>
      <c r="G104" s="10" t="str">
        <f t="array" ref="G104">IF(OR($A104="",6&gt;Controls!$B$6),"",ROUND(MAX(0,Smooth!G104*Controls!G$17*INDEX(Controls!$B$21:$H$21,1,WEEKDAY($A104,2))*(1+Controls!$B$11)^102*(1+Controls!L$25*Smooth!$L104)*(1+Controls!L$26*Smooth!$M104)*(1+Controls!L$27*Smooth!$N104)*(1+Controls!L$28*Smooth!$O104)),2))</f>
        <v/>
      </c>
      <c r="H104" s="10" t="str">
        <f t="array" ref="H104">IF(OR($A104="",7&gt;Controls!$B$6),"",ROUND(MAX(0,Smooth!H104*Controls!H$17*INDEX(Controls!$B$21:$H$21,1,WEEKDAY($A104,2))*(1+Controls!$B$11)^102*(1+Controls!M$25*Smooth!$L104)*(1+Controls!M$26*Smooth!$M104)*(1+Controls!M$27*Smooth!$N104)*(1+Controls!M$28*Smooth!$O104)),2))</f>
        <v/>
      </c>
      <c r="I104" s="10" t="str">
        <f t="array" ref="I104">IF(OR($A104="",8&gt;Controls!$B$6),"",ROUND(MAX(0,Smooth!I104*Controls!I$17*INDEX(Controls!$B$21:$H$21,1,WEEKDAY($A104,2))*(1+Controls!$B$11)^102*(1+Controls!N$25*Smooth!$L104)*(1+Controls!N$26*Smooth!$M104)*(1+Controls!N$27*Smooth!$N104)*(1+Controls!N$28*Smooth!$O104)),2))</f>
        <v/>
      </c>
      <c r="J104" s="10" t="str">
        <f t="array" ref="J104">IF(OR($A104="",9&gt;Controls!$B$6),"",ROUND(MAX(0,Smooth!J104*Controls!J$17*INDEX(Controls!$B$21:$H$21,1,WEEKDAY($A104,2))*(1+Controls!$B$11)^102*(1+Controls!O$25*Smooth!$L104)*(1+Controls!O$26*Smooth!$M104)*(1+Controls!O$27*Smooth!$N104)*(1+Controls!O$28*Smooth!$O104)),2))</f>
        <v/>
      </c>
      <c r="K104" s="10" t="str">
        <f t="array" ref="K104">IF(OR($A104="",10&gt;Controls!$B$6),"",ROUND(MAX(0,Smooth!K104*Controls!K$17*INDEX(Controls!$B$21:$H$21,1,WEEKDAY($A104,2))*(1+Controls!$B$11)^102*(1+Controls!P$25*Smooth!$L104)*(1+Controls!P$26*Smooth!$M104)*(1+Controls!P$27*Smooth!$N104)*(1+Controls!P$28*Smooth!$O104)),2))</f>
        <v/>
      </c>
      <c r="L104" s="18" t="str">
        <f t="shared" si="1"/>
        <v/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1.0" customHeight="1">
      <c r="A105" s="7" t="str">
        <f>IF(104&lt;=Controls!$B$5,Controls!$B$4+103,"")</f>
        <v/>
      </c>
      <c r="B105" s="10" t="str">
        <f t="array" ref="B105">IF(OR($A105="",1&gt;Controls!$B$6),"",ROUND(MAX(0,Smooth!B105*Controls!B$17*INDEX(Controls!$B$21:$H$21,1,WEEKDAY($A105,2))*(1+Controls!$B$11)^103*(1+Controls!G$25*Smooth!$L105)*(1+Controls!G$26*Smooth!$M105)*(1+Controls!G$27*Smooth!$N105)*(1+Controls!G$28*Smooth!$O105)),2))</f>
        <v/>
      </c>
      <c r="C105" s="10" t="str">
        <f t="array" ref="C105">IF(OR($A105="",2&gt;Controls!$B$6),"",ROUND(MAX(0,Smooth!C105*Controls!C$17*INDEX(Controls!$B$21:$H$21,1,WEEKDAY($A105,2))*(1+Controls!$B$11)^103*(1+Controls!H$25*Smooth!$L105)*(1+Controls!H$26*Smooth!$M105)*(1+Controls!H$27*Smooth!$N105)*(1+Controls!H$28*Smooth!$O105)),2))</f>
        <v/>
      </c>
      <c r="D105" s="10" t="str">
        <f t="array" ref="D105">IF(OR($A105="",3&gt;Controls!$B$6),"",ROUND(MAX(0,Smooth!D105*Controls!D$17*INDEX(Controls!$B$21:$H$21,1,WEEKDAY($A105,2))*(1+Controls!$B$11)^103*(1+Controls!I$25*Smooth!$L105)*(1+Controls!I$26*Smooth!$M105)*(1+Controls!I$27*Smooth!$N105)*(1+Controls!I$28*Smooth!$O105)),2))</f>
        <v/>
      </c>
      <c r="E105" s="10" t="str">
        <f t="array" ref="E105">IF(OR($A105="",4&gt;Controls!$B$6),"",ROUND(MAX(0,Smooth!E105*Controls!E$17*INDEX(Controls!$B$21:$H$21,1,WEEKDAY($A105,2))*(1+Controls!$B$11)^103*(1+Controls!J$25*Smooth!$L105)*(1+Controls!J$26*Smooth!$M105)*(1+Controls!J$27*Smooth!$N105)*(1+Controls!J$28*Smooth!$O105)),2))</f>
        <v/>
      </c>
      <c r="F105" s="10" t="str">
        <f t="array" ref="F105">IF(OR($A105="",5&gt;Controls!$B$6),"",ROUND(MAX(0,Smooth!F105*Controls!F$17*INDEX(Controls!$B$21:$H$21,1,WEEKDAY($A105,2))*(1+Controls!$B$11)^103*(1+Controls!K$25*Smooth!$L105)*(1+Controls!K$26*Smooth!$M105)*(1+Controls!K$27*Smooth!$N105)*(1+Controls!K$28*Smooth!$O105)),2))</f>
        <v/>
      </c>
      <c r="G105" s="10" t="str">
        <f t="array" ref="G105">IF(OR($A105="",6&gt;Controls!$B$6),"",ROUND(MAX(0,Smooth!G105*Controls!G$17*INDEX(Controls!$B$21:$H$21,1,WEEKDAY($A105,2))*(1+Controls!$B$11)^103*(1+Controls!L$25*Smooth!$L105)*(1+Controls!L$26*Smooth!$M105)*(1+Controls!L$27*Smooth!$N105)*(1+Controls!L$28*Smooth!$O105)),2))</f>
        <v/>
      </c>
      <c r="H105" s="10" t="str">
        <f t="array" ref="H105">IF(OR($A105="",7&gt;Controls!$B$6),"",ROUND(MAX(0,Smooth!H105*Controls!H$17*INDEX(Controls!$B$21:$H$21,1,WEEKDAY($A105,2))*(1+Controls!$B$11)^103*(1+Controls!M$25*Smooth!$L105)*(1+Controls!M$26*Smooth!$M105)*(1+Controls!M$27*Smooth!$N105)*(1+Controls!M$28*Smooth!$O105)),2))</f>
        <v/>
      </c>
      <c r="I105" s="10" t="str">
        <f t="array" ref="I105">IF(OR($A105="",8&gt;Controls!$B$6),"",ROUND(MAX(0,Smooth!I105*Controls!I$17*INDEX(Controls!$B$21:$H$21,1,WEEKDAY($A105,2))*(1+Controls!$B$11)^103*(1+Controls!N$25*Smooth!$L105)*(1+Controls!N$26*Smooth!$M105)*(1+Controls!N$27*Smooth!$N105)*(1+Controls!N$28*Smooth!$O105)),2))</f>
        <v/>
      </c>
      <c r="J105" s="10" t="str">
        <f t="array" ref="J105">IF(OR($A105="",9&gt;Controls!$B$6),"",ROUND(MAX(0,Smooth!J105*Controls!J$17*INDEX(Controls!$B$21:$H$21,1,WEEKDAY($A105,2))*(1+Controls!$B$11)^103*(1+Controls!O$25*Smooth!$L105)*(1+Controls!O$26*Smooth!$M105)*(1+Controls!O$27*Smooth!$N105)*(1+Controls!O$28*Smooth!$O105)),2))</f>
        <v/>
      </c>
      <c r="K105" s="10" t="str">
        <f t="array" ref="K105">IF(OR($A105="",10&gt;Controls!$B$6),"",ROUND(MAX(0,Smooth!K105*Controls!K$17*INDEX(Controls!$B$21:$H$21,1,WEEKDAY($A105,2))*(1+Controls!$B$11)^103*(1+Controls!P$25*Smooth!$L105)*(1+Controls!P$26*Smooth!$M105)*(1+Controls!P$27*Smooth!$N105)*(1+Controls!P$28*Smooth!$O105)),2))</f>
        <v/>
      </c>
      <c r="L105" s="18" t="str">
        <f t="shared" si="1"/>
        <v/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21.0" customHeight="1">
      <c r="A106" s="7" t="str">
        <f>IF(105&lt;=Controls!$B$5,Controls!$B$4+104,"")</f>
        <v/>
      </c>
      <c r="B106" s="10" t="str">
        <f t="array" ref="B106">IF(OR($A106="",1&gt;Controls!$B$6),"",ROUND(MAX(0,Smooth!B106*Controls!B$17*INDEX(Controls!$B$21:$H$21,1,WEEKDAY($A106,2))*(1+Controls!$B$11)^104*(1+Controls!G$25*Smooth!$L106)*(1+Controls!G$26*Smooth!$M106)*(1+Controls!G$27*Smooth!$N106)*(1+Controls!G$28*Smooth!$O106)),2))</f>
        <v/>
      </c>
      <c r="C106" s="10" t="str">
        <f t="array" ref="C106">IF(OR($A106="",2&gt;Controls!$B$6),"",ROUND(MAX(0,Smooth!C106*Controls!C$17*INDEX(Controls!$B$21:$H$21,1,WEEKDAY($A106,2))*(1+Controls!$B$11)^104*(1+Controls!H$25*Smooth!$L106)*(1+Controls!H$26*Smooth!$M106)*(1+Controls!H$27*Smooth!$N106)*(1+Controls!H$28*Smooth!$O106)),2))</f>
        <v/>
      </c>
      <c r="D106" s="10" t="str">
        <f t="array" ref="D106">IF(OR($A106="",3&gt;Controls!$B$6),"",ROUND(MAX(0,Smooth!D106*Controls!D$17*INDEX(Controls!$B$21:$H$21,1,WEEKDAY($A106,2))*(1+Controls!$B$11)^104*(1+Controls!I$25*Smooth!$L106)*(1+Controls!I$26*Smooth!$M106)*(1+Controls!I$27*Smooth!$N106)*(1+Controls!I$28*Smooth!$O106)),2))</f>
        <v/>
      </c>
      <c r="E106" s="10" t="str">
        <f t="array" ref="E106">IF(OR($A106="",4&gt;Controls!$B$6),"",ROUND(MAX(0,Smooth!E106*Controls!E$17*INDEX(Controls!$B$21:$H$21,1,WEEKDAY($A106,2))*(1+Controls!$B$11)^104*(1+Controls!J$25*Smooth!$L106)*(1+Controls!J$26*Smooth!$M106)*(1+Controls!J$27*Smooth!$N106)*(1+Controls!J$28*Smooth!$O106)),2))</f>
        <v/>
      </c>
      <c r="F106" s="10" t="str">
        <f t="array" ref="F106">IF(OR($A106="",5&gt;Controls!$B$6),"",ROUND(MAX(0,Smooth!F106*Controls!F$17*INDEX(Controls!$B$21:$H$21,1,WEEKDAY($A106,2))*(1+Controls!$B$11)^104*(1+Controls!K$25*Smooth!$L106)*(1+Controls!K$26*Smooth!$M106)*(1+Controls!K$27*Smooth!$N106)*(1+Controls!K$28*Smooth!$O106)),2))</f>
        <v/>
      </c>
      <c r="G106" s="10" t="str">
        <f t="array" ref="G106">IF(OR($A106="",6&gt;Controls!$B$6),"",ROUND(MAX(0,Smooth!G106*Controls!G$17*INDEX(Controls!$B$21:$H$21,1,WEEKDAY($A106,2))*(1+Controls!$B$11)^104*(1+Controls!L$25*Smooth!$L106)*(1+Controls!L$26*Smooth!$M106)*(1+Controls!L$27*Smooth!$N106)*(1+Controls!L$28*Smooth!$O106)),2))</f>
        <v/>
      </c>
      <c r="H106" s="10" t="str">
        <f t="array" ref="H106">IF(OR($A106="",7&gt;Controls!$B$6),"",ROUND(MAX(0,Smooth!H106*Controls!H$17*INDEX(Controls!$B$21:$H$21,1,WEEKDAY($A106,2))*(1+Controls!$B$11)^104*(1+Controls!M$25*Smooth!$L106)*(1+Controls!M$26*Smooth!$M106)*(1+Controls!M$27*Smooth!$N106)*(1+Controls!M$28*Smooth!$O106)),2))</f>
        <v/>
      </c>
      <c r="I106" s="10" t="str">
        <f t="array" ref="I106">IF(OR($A106="",8&gt;Controls!$B$6),"",ROUND(MAX(0,Smooth!I106*Controls!I$17*INDEX(Controls!$B$21:$H$21,1,WEEKDAY($A106,2))*(1+Controls!$B$11)^104*(1+Controls!N$25*Smooth!$L106)*(1+Controls!N$26*Smooth!$M106)*(1+Controls!N$27*Smooth!$N106)*(1+Controls!N$28*Smooth!$O106)),2))</f>
        <v/>
      </c>
      <c r="J106" s="10" t="str">
        <f t="array" ref="J106">IF(OR($A106="",9&gt;Controls!$B$6),"",ROUND(MAX(0,Smooth!J106*Controls!J$17*INDEX(Controls!$B$21:$H$21,1,WEEKDAY($A106,2))*(1+Controls!$B$11)^104*(1+Controls!O$25*Smooth!$L106)*(1+Controls!O$26*Smooth!$M106)*(1+Controls!O$27*Smooth!$N106)*(1+Controls!O$28*Smooth!$O106)),2))</f>
        <v/>
      </c>
      <c r="K106" s="10" t="str">
        <f t="array" ref="K106">IF(OR($A106="",10&gt;Controls!$B$6),"",ROUND(MAX(0,Smooth!K106*Controls!K$17*INDEX(Controls!$B$21:$H$21,1,WEEKDAY($A106,2))*(1+Controls!$B$11)^104*(1+Controls!P$25*Smooth!$L106)*(1+Controls!P$26*Smooth!$M106)*(1+Controls!P$27*Smooth!$N106)*(1+Controls!P$28*Smooth!$O106)),2))</f>
        <v/>
      </c>
      <c r="L106" s="18" t="str">
        <f t="shared" si="1"/>
        <v/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21.0" customHeight="1">
      <c r="A107" s="7" t="str">
        <f>IF(106&lt;=Controls!$B$5,Controls!$B$4+105,"")</f>
        <v/>
      </c>
      <c r="B107" s="10" t="str">
        <f t="array" ref="B107">IF(OR($A107="",1&gt;Controls!$B$6),"",ROUND(MAX(0,Smooth!B107*Controls!B$17*INDEX(Controls!$B$21:$H$21,1,WEEKDAY($A107,2))*(1+Controls!$B$11)^105*(1+Controls!G$25*Smooth!$L107)*(1+Controls!G$26*Smooth!$M107)*(1+Controls!G$27*Smooth!$N107)*(1+Controls!G$28*Smooth!$O107)),2))</f>
        <v/>
      </c>
      <c r="C107" s="10" t="str">
        <f t="array" ref="C107">IF(OR($A107="",2&gt;Controls!$B$6),"",ROUND(MAX(0,Smooth!C107*Controls!C$17*INDEX(Controls!$B$21:$H$21,1,WEEKDAY($A107,2))*(1+Controls!$B$11)^105*(1+Controls!H$25*Smooth!$L107)*(1+Controls!H$26*Smooth!$M107)*(1+Controls!H$27*Smooth!$N107)*(1+Controls!H$28*Smooth!$O107)),2))</f>
        <v/>
      </c>
      <c r="D107" s="10" t="str">
        <f t="array" ref="D107">IF(OR($A107="",3&gt;Controls!$B$6),"",ROUND(MAX(0,Smooth!D107*Controls!D$17*INDEX(Controls!$B$21:$H$21,1,WEEKDAY($A107,2))*(1+Controls!$B$11)^105*(1+Controls!I$25*Smooth!$L107)*(1+Controls!I$26*Smooth!$M107)*(1+Controls!I$27*Smooth!$N107)*(1+Controls!I$28*Smooth!$O107)),2))</f>
        <v/>
      </c>
      <c r="E107" s="10" t="str">
        <f t="array" ref="E107">IF(OR($A107="",4&gt;Controls!$B$6),"",ROUND(MAX(0,Smooth!E107*Controls!E$17*INDEX(Controls!$B$21:$H$21,1,WEEKDAY($A107,2))*(1+Controls!$B$11)^105*(1+Controls!J$25*Smooth!$L107)*(1+Controls!J$26*Smooth!$M107)*(1+Controls!J$27*Smooth!$N107)*(1+Controls!J$28*Smooth!$O107)),2))</f>
        <v/>
      </c>
      <c r="F107" s="10" t="str">
        <f t="array" ref="F107">IF(OR($A107="",5&gt;Controls!$B$6),"",ROUND(MAX(0,Smooth!F107*Controls!F$17*INDEX(Controls!$B$21:$H$21,1,WEEKDAY($A107,2))*(1+Controls!$B$11)^105*(1+Controls!K$25*Smooth!$L107)*(1+Controls!K$26*Smooth!$M107)*(1+Controls!K$27*Smooth!$N107)*(1+Controls!K$28*Smooth!$O107)),2))</f>
        <v/>
      </c>
      <c r="G107" s="10" t="str">
        <f t="array" ref="G107">IF(OR($A107="",6&gt;Controls!$B$6),"",ROUND(MAX(0,Smooth!G107*Controls!G$17*INDEX(Controls!$B$21:$H$21,1,WEEKDAY($A107,2))*(1+Controls!$B$11)^105*(1+Controls!L$25*Smooth!$L107)*(1+Controls!L$26*Smooth!$M107)*(1+Controls!L$27*Smooth!$N107)*(1+Controls!L$28*Smooth!$O107)),2))</f>
        <v/>
      </c>
      <c r="H107" s="10" t="str">
        <f t="array" ref="H107">IF(OR($A107="",7&gt;Controls!$B$6),"",ROUND(MAX(0,Smooth!H107*Controls!H$17*INDEX(Controls!$B$21:$H$21,1,WEEKDAY($A107,2))*(1+Controls!$B$11)^105*(1+Controls!M$25*Smooth!$L107)*(1+Controls!M$26*Smooth!$M107)*(1+Controls!M$27*Smooth!$N107)*(1+Controls!M$28*Smooth!$O107)),2))</f>
        <v/>
      </c>
      <c r="I107" s="10" t="str">
        <f t="array" ref="I107">IF(OR($A107="",8&gt;Controls!$B$6),"",ROUND(MAX(0,Smooth!I107*Controls!I$17*INDEX(Controls!$B$21:$H$21,1,WEEKDAY($A107,2))*(1+Controls!$B$11)^105*(1+Controls!N$25*Smooth!$L107)*(1+Controls!N$26*Smooth!$M107)*(1+Controls!N$27*Smooth!$N107)*(1+Controls!N$28*Smooth!$O107)),2))</f>
        <v/>
      </c>
      <c r="J107" s="10" t="str">
        <f t="array" ref="J107">IF(OR($A107="",9&gt;Controls!$B$6),"",ROUND(MAX(0,Smooth!J107*Controls!J$17*INDEX(Controls!$B$21:$H$21,1,WEEKDAY($A107,2))*(1+Controls!$B$11)^105*(1+Controls!O$25*Smooth!$L107)*(1+Controls!O$26*Smooth!$M107)*(1+Controls!O$27*Smooth!$N107)*(1+Controls!O$28*Smooth!$O107)),2))</f>
        <v/>
      </c>
      <c r="K107" s="10" t="str">
        <f t="array" ref="K107">IF(OR($A107="",10&gt;Controls!$B$6),"",ROUND(MAX(0,Smooth!K107*Controls!K$17*INDEX(Controls!$B$21:$H$21,1,WEEKDAY($A107,2))*(1+Controls!$B$11)^105*(1+Controls!P$25*Smooth!$L107)*(1+Controls!P$26*Smooth!$M107)*(1+Controls!P$27*Smooth!$N107)*(1+Controls!P$28*Smooth!$O107)),2))</f>
        <v/>
      </c>
      <c r="L107" s="18" t="str">
        <f t="shared" si="1"/>
        <v/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21.0" customHeight="1">
      <c r="A108" s="7" t="str">
        <f>IF(107&lt;=Controls!$B$5,Controls!$B$4+106,"")</f>
        <v/>
      </c>
      <c r="B108" s="10" t="str">
        <f t="array" ref="B108">IF(OR($A108="",1&gt;Controls!$B$6),"",ROUND(MAX(0,Smooth!B108*Controls!B$17*INDEX(Controls!$B$21:$H$21,1,WEEKDAY($A108,2))*(1+Controls!$B$11)^106*(1+Controls!G$25*Smooth!$L108)*(1+Controls!G$26*Smooth!$M108)*(1+Controls!G$27*Smooth!$N108)*(1+Controls!G$28*Smooth!$O108)),2))</f>
        <v/>
      </c>
      <c r="C108" s="10" t="str">
        <f t="array" ref="C108">IF(OR($A108="",2&gt;Controls!$B$6),"",ROUND(MAX(0,Smooth!C108*Controls!C$17*INDEX(Controls!$B$21:$H$21,1,WEEKDAY($A108,2))*(1+Controls!$B$11)^106*(1+Controls!H$25*Smooth!$L108)*(1+Controls!H$26*Smooth!$M108)*(1+Controls!H$27*Smooth!$N108)*(1+Controls!H$28*Smooth!$O108)),2))</f>
        <v/>
      </c>
      <c r="D108" s="10" t="str">
        <f t="array" ref="D108">IF(OR($A108="",3&gt;Controls!$B$6),"",ROUND(MAX(0,Smooth!D108*Controls!D$17*INDEX(Controls!$B$21:$H$21,1,WEEKDAY($A108,2))*(1+Controls!$B$11)^106*(1+Controls!I$25*Smooth!$L108)*(1+Controls!I$26*Smooth!$M108)*(1+Controls!I$27*Smooth!$N108)*(1+Controls!I$28*Smooth!$O108)),2))</f>
        <v/>
      </c>
      <c r="E108" s="10" t="str">
        <f t="array" ref="E108">IF(OR($A108="",4&gt;Controls!$B$6),"",ROUND(MAX(0,Smooth!E108*Controls!E$17*INDEX(Controls!$B$21:$H$21,1,WEEKDAY($A108,2))*(1+Controls!$B$11)^106*(1+Controls!J$25*Smooth!$L108)*(1+Controls!J$26*Smooth!$M108)*(1+Controls!J$27*Smooth!$N108)*(1+Controls!J$28*Smooth!$O108)),2))</f>
        <v/>
      </c>
      <c r="F108" s="10" t="str">
        <f t="array" ref="F108">IF(OR($A108="",5&gt;Controls!$B$6),"",ROUND(MAX(0,Smooth!F108*Controls!F$17*INDEX(Controls!$B$21:$H$21,1,WEEKDAY($A108,2))*(1+Controls!$B$11)^106*(1+Controls!K$25*Smooth!$L108)*(1+Controls!K$26*Smooth!$M108)*(1+Controls!K$27*Smooth!$N108)*(1+Controls!K$28*Smooth!$O108)),2))</f>
        <v/>
      </c>
      <c r="G108" s="10" t="str">
        <f t="array" ref="G108">IF(OR($A108="",6&gt;Controls!$B$6),"",ROUND(MAX(0,Smooth!G108*Controls!G$17*INDEX(Controls!$B$21:$H$21,1,WEEKDAY($A108,2))*(1+Controls!$B$11)^106*(1+Controls!L$25*Smooth!$L108)*(1+Controls!L$26*Smooth!$M108)*(1+Controls!L$27*Smooth!$N108)*(1+Controls!L$28*Smooth!$O108)),2))</f>
        <v/>
      </c>
      <c r="H108" s="10" t="str">
        <f t="array" ref="H108">IF(OR($A108="",7&gt;Controls!$B$6),"",ROUND(MAX(0,Smooth!H108*Controls!H$17*INDEX(Controls!$B$21:$H$21,1,WEEKDAY($A108,2))*(1+Controls!$B$11)^106*(1+Controls!M$25*Smooth!$L108)*(1+Controls!M$26*Smooth!$M108)*(1+Controls!M$27*Smooth!$N108)*(1+Controls!M$28*Smooth!$O108)),2))</f>
        <v/>
      </c>
      <c r="I108" s="10" t="str">
        <f t="array" ref="I108">IF(OR($A108="",8&gt;Controls!$B$6),"",ROUND(MAX(0,Smooth!I108*Controls!I$17*INDEX(Controls!$B$21:$H$21,1,WEEKDAY($A108,2))*(1+Controls!$B$11)^106*(1+Controls!N$25*Smooth!$L108)*(1+Controls!N$26*Smooth!$M108)*(1+Controls!N$27*Smooth!$N108)*(1+Controls!N$28*Smooth!$O108)),2))</f>
        <v/>
      </c>
      <c r="J108" s="10" t="str">
        <f t="array" ref="J108">IF(OR($A108="",9&gt;Controls!$B$6),"",ROUND(MAX(0,Smooth!J108*Controls!J$17*INDEX(Controls!$B$21:$H$21,1,WEEKDAY($A108,2))*(1+Controls!$B$11)^106*(1+Controls!O$25*Smooth!$L108)*(1+Controls!O$26*Smooth!$M108)*(1+Controls!O$27*Smooth!$N108)*(1+Controls!O$28*Smooth!$O108)),2))</f>
        <v/>
      </c>
      <c r="K108" s="10" t="str">
        <f t="array" ref="K108">IF(OR($A108="",10&gt;Controls!$B$6),"",ROUND(MAX(0,Smooth!K108*Controls!K$17*INDEX(Controls!$B$21:$H$21,1,WEEKDAY($A108,2))*(1+Controls!$B$11)^106*(1+Controls!P$25*Smooth!$L108)*(1+Controls!P$26*Smooth!$M108)*(1+Controls!P$27*Smooth!$N108)*(1+Controls!P$28*Smooth!$O108)),2))</f>
        <v/>
      </c>
      <c r="L108" s="18" t="str">
        <f t="shared" si="1"/>
        <v/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21.0" customHeight="1">
      <c r="A109" s="7" t="str">
        <f>IF(108&lt;=Controls!$B$5,Controls!$B$4+107,"")</f>
        <v/>
      </c>
      <c r="B109" s="10" t="str">
        <f t="array" ref="B109">IF(OR($A109="",1&gt;Controls!$B$6),"",ROUND(MAX(0,Smooth!B109*Controls!B$17*INDEX(Controls!$B$21:$H$21,1,WEEKDAY($A109,2))*(1+Controls!$B$11)^107*(1+Controls!G$25*Smooth!$L109)*(1+Controls!G$26*Smooth!$M109)*(1+Controls!G$27*Smooth!$N109)*(1+Controls!G$28*Smooth!$O109)),2))</f>
        <v/>
      </c>
      <c r="C109" s="10" t="str">
        <f t="array" ref="C109">IF(OR($A109="",2&gt;Controls!$B$6),"",ROUND(MAX(0,Smooth!C109*Controls!C$17*INDEX(Controls!$B$21:$H$21,1,WEEKDAY($A109,2))*(1+Controls!$B$11)^107*(1+Controls!H$25*Smooth!$L109)*(1+Controls!H$26*Smooth!$M109)*(1+Controls!H$27*Smooth!$N109)*(1+Controls!H$28*Smooth!$O109)),2))</f>
        <v/>
      </c>
      <c r="D109" s="10" t="str">
        <f t="array" ref="D109">IF(OR($A109="",3&gt;Controls!$B$6),"",ROUND(MAX(0,Smooth!D109*Controls!D$17*INDEX(Controls!$B$21:$H$21,1,WEEKDAY($A109,2))*(1+Controls!$B$11)^107*(1+Controls!I$25*Smooth!$L109)*(1+Controls!I$26*Smooth!$M109)*(1+Controls!I$27*Smooth!$N109)*(1+Controls!I$28*Smooth!$O109)),2))</f>
        <v/>
      </c>
      <c r="E109" s="10" t="str">
        <f t="array" ref="E109">IF(OR($A109="",4&gt;Controls!$B$6),"",ROUND(MAX(0,Smooth!E109*Controls!E$17*INDEX(Controls!$B$21:$H$21,1,WEEKDAY($A109,2))*(1+Controls!$B$11)^107*(1+Controls!J$25*Smooth!$L109)*(1+Controls!J$26*Smooth!$M109)*(1+Controls!J$27*Smooth!$N109)*(1+Controls!J$28*Smooth!$O109)),2))</f>
        <v/>
      </c>
      <c r="F109" s="10" t="str">
        <f t="array" ref="F109">IF(OR($A109="",5&gt;Controls!$B$6),"",ROUND(MAX(0,Smooth!F109*Controls!F$17*INDEX(Controls!$B$21:$H$21,1,WEEKDAY($A109,2))*(1+Controls!$B$11)^107*(1+Controls!K$25*Smooth!$L109)*(1+Controls!K$26*Smooth!$M109)*(1+Controls!K$27*Smooth!$N109)*(1+Controls!K$28*Smooth!$O109)),2))</f>
        <v/>
      </c>
      <c r="G109" s="10" t="str">
        <f t="array" ref="G109">IF(OR($A109="",6&gt;Controls!$B$6),"",ROUND(MAX(0,Smooth!G109*Controls!G$17*INDEX(Controls!$B$21:$H$21,1,WEEKDAY($A109,2))*(1+Controls!$B$11)^107*(1+Controls!L$25*Smooth!$L109)*(1+Controls!L$26*Smooth!$M109)*(1+Controls!L$27*Smooth!$N109)*(1+Controls!L$28*Smooth!$O109)),2))</f>
        <v/>
      </c>
      <c r="H109" s="10" t="str">
        <f t="array" ref="H109">IF(OR($A109="",7&gt;Controls!$B$6),"",ROUND(MAX(0,Smooth!H109*Controls!H$17*INDEX(Controls!$B$21:$H$21,1,WEEKDAY($A109,2))*(1+Controls!$B$11)^107*(1+Controls!M$25*Smooth!$L109)*(1+Controls!M$26*Smooth!$M109)*(1+Controls!M$27*Smooth!$N109)*(1+Controls!M$28*Smooth!$O109)),2))</f>
        <v/>
      </c>
      <c r="I109" s="10" t="str">
        <f t="array" ref="I109">IF(OR($A109="",8&gt;Controls!$B$6),"",ROUND(MAX(0,Smooth!I109*Controls!I$17*INDEX(Controls!$B$21:$H$21,1,WEEKDAY($A109,2))*(1+Controls!$B$11)^107*(1+Controls!N$25*Smooth!$L109)*(1+Controls!N$26*Smooth!$M109)*(1+Controls!N$27*Smooth!$N109)*(1+Controls!N$28*Smooth!$O109)),2))</f>
        <v/>
      </c>
      <c r="J109" s="10" t="str">
        <f t="array" ref="J109">IF(OR($A109="",9&gt;Controls!$B$6),"",ROUND(MAX(0,Smooth!J109*Controls!J$17*INDEX(Controls!$B$21:$H$21,1,WEEKDAY($A109,2))*(1+Controls!$B$11)^107*(1+Controls!O$25*Smooth!$L109)*(1+Controls!O$26*Smooth!$M109)*(1+Controls!O$27*Smooth!$N109)*(1+Controls!O$28*Smooth!$O109)),2))</f>
        <v/>
      </c>
      <c r="K109" s="10" t="str">
        <f t="array" ref="K109">IF(OR($A109="",10&gt;Controls!$B$6),"",ROUND(MAX(0,Smooth!K109*Controls!K$17*INDEX(Controls!$B$21:$H$21,1,WEEKDAY($A109,2))*(1+Controls!$B$11)^107*(1+Controls!P$25*Smooth!$L109)*(1+Controls!P$26*Smooth!$M109)*(1+Controls!P$27*Smooth!$N109)*(1+Controls!P$28*Smooth!$O109)),2))</f>
        <v/>
      </c>
      <c r="L109" s="18" t="str">
        <f t="shared" si="1"/>
        <v/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21.0" customHeight="1">
      <c r="A110" s="7" t="str">
        <f>IF(109&lt;=Controls!$B$5,Controls!$B$4+108,"")</f>
        <v/>
      </c>
      <c r="B110" s="10" t="str">
        <f t="array" ref="B110">IF(OR($A110="",1&gt;Controls!$B$6),"",ROUND(MAX(0,Smooth!B110*Controls!B$17*INDEX(Controls!$B$21:$H$21,1,WEEKDAY($A110,2))*(1+Controls!$B$11)^108*(1+Controls!G$25*Smooth!$L110)*(1+Controls!G$26*Smooth!$M110)*(1+Controls!G$27*Smooth!$N110)*(1+Controls!G$28*Smooth!$O110)),2))</f>
        <v/>
      </c>
      <c r="C110" s="10" t="str">
        <f t="array" ref="C110">IF(OR($A110="",2&gt;Controls!$B$6),"",ROUND(MAX(0,Smooth!C110*Controls!C$17*INDEX(Controls!$B$21:$H$21,1,WEEKDAY($A110,2))*(1+Controls!$B$11)^108*(1+Controls!H$25*Smooth!$L110)*(1+Controls!H$26*Smooth!$M110)*(1+Controls!H$27*Smooth!$N110)*(1+Controls!H$28*Smooth!$O110)),2))</f>
        <v/>
      </c>
      <c r="D110" s="10" t="str">
        <f t="array" ref="D110">IF(OR($A110="",3&gt;Controls!$B$6),"",ROUND(MAX(0,Smooth!D110*Controls!D$17*INDEX(Controls!$B$21:$H$21,1,WEEKDAY($A110,2))*(1+Controls!$B$11)^108*(1+Controls!I$25*Smooth!$L110)*(1+Controls!I$26*Smooth!$M110)*(1+Controls!I$27*Smooth!$N110)*(1+Controls!I$28*Smooth!$O110)),2))</f>
        <v/>
      </c>
      <c r="E110" s="10" t="str">
        <f t="array" ref="E110">IF(OR($A110="",4&gt;Controls!$B$6),"",ROUND(MAX(0,Smooth!E110*Controls!E$17*INDEX(Controls!$B$21:$H$21,1,WEEKDAY($A110,2))*(1+Controls!$B$11)^108*(1+Controls!J$25*Smooth!$L110)*(1+Controls!J$26*Smooth!$M110)*(1+Controls!J$27*Smooth!$N110)*(1+Controls!J$28*Smooth!$O110)),2))</f>
        <v/>
      </c>
      <c r="F110" s="10" t="str">
        <f t="array" ref="F110">IF(OR($A110="",5&gt;Controls!$B$6),"",ROUND(MAX(0,Smooth!F110*Controls!F$17*INDEX(Controls!$B$21:$H$21,1,WEEKDAY($A110,2))*(1+Controls!$B$11)^108*(1+Controls!K$25*Smooth!$L110)*(1+Controls!K$26*Smooth!$M110)*(1+Controls!K$27*Smooth!$N110)*(1+Controls!K$28*Smooth!$O110)),2))</f>
        <v/>
      </c>
      <c r="G110" s="10" t="str">
        <f t="array" ref="G110">IF(OR($A110="",6&gt;Controls!$B$6),"",ROUND(MAX(0,Smooth!G110*Controls!G$17*INDEX(Controls!$B$21:$H$21,1,WEEKDAY($A110,2))*(1+Controls!$B$11)^108*(1+Controls!L$25*Smooth!$L110)*(1+Controls!L$26*Smooth!$M110)*(1+Controls!L$27*Smooth!$N110)*(1+Controls!L$28*Smooth!$O110)),2))</f>
        <v/>
      </c>
      <c r="H110" s="10" t="str">
        <f t="array" ref="H110">IF(OR($A110="",7&gt;Controls!$B$6),"",ROUND(MAX(0,Smooth!H110*Controls!H$17*INDEX(Controls!$B$21:$H$21,1,WEEKDAY($A110,2))*(1+Controls!$B$11)^108*(1+Controls!M$25*Smooth!$L110)*(1+Controls!M$26*Smooth!$M110)*(1+Controls!M$27*Smooth!$N110)*(1+Controls!M$28*Smooth!$O110)),2))</f>
        <v/>
      </c>
      <c r="I110" s="10" t="str">
        <f t="array" ref="I110">IF(OR($A110="",8&gt;Controls!$B$6),"",ROUND(MAX(0,Smooth!I110*Controls!I$17*INDEX(Controls!$B$21:$H$21,1,WEEKDAY($A110,2))*(1+Controls!$B$11)^108*(1+Controls!N$25*Smooth!$L110)*(1+Controls!N$26*Smooth!$M110)*(1+Controls!N$27*Smooth!$N110)*(1+Controls!N$28*Smooth!$O110)),2))</f>
        <v/>
      </c>
      <c r="J110" s="10" t="str">
        <f t="array" ref="J110">IF(OR($A110="",9&gt;Controls!$B$6),"",ROUND(MAX(0,Smooth!J110*Controls!J$17*INDEX(Controls!$B$21:$H$21,1,WEEKDAY($A110,2))*(1+Controls!$B$11)^108*(1+Controls!O$25*Smooth!$L110)*(1+Controls!O$26*Smooth!$M110)*(1+Controls!O$27*Smooth!$N110)*(1+Controls!O$28*Smooth!$O110)),2))</f>
        <v/>
      </c>
      <c r="K110" s="10" t="str">
        <f t="array" ref="K110">IF(OR($A110="",10&gt;Controls!$B$6),"",ROUND(MAX(0,Smooth!K110*Controls!K$17*INDEX(Controls!$B$21:$H$21,1,WEEKDAY($A110,2))*(1+Controls!$B$11)^108*(1+Controls!P$25*Smooth!$L110)*(1+Controls!P$26*Smooth!$M110)*(1+Controls!P$27*Smooth!$N110)*(1+Controls!P$28*Smooth!$O110)),2))</f>
        <v/>
      </c>
      <c r="L110" s="18" t="str">
        <f t="shared" si="1"/>
        <v/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21.0" customHeight="1">
      <c r="A111" s="7" t="str">
        <f>IF(110&lt;=Controls!$B$5,Controls!$B$4+109,"")</f>
        <v/>
      </c>
      <c r="B111" s="10" t="str">
        <f t="array" ref="B111">IF(OR($A111="",1&gt;Controls!$B$6),"",ROUND(MAX(0,Smooth!B111*Controls!B$17*INDEX(Controls!$B$21:$H$21,1,WEEKDAY($A111,2))*(1+Controls!$B$11)^109*(1+Controls!G$25*Smooth!$L111)*(1+Controls!G$26*Smooth!$M111)*(1+Controls!G$27*Smooth!$N111)*(1+Controls!G$28*Smooth!$O111)),2))</f>
        <v/>
      </c>
      <c r="C111" s="10" t="str">
        <f t="array" ref="C111">IF(OR($A111="",2&gt;Controls!$B$6),"",ROUND(MAX(0,Smooth!C111*Controls!C$17*INDEX(Controls!$B$21:$H$21,1,WEEKDAY($A111,2))*(1+Controls!$B$11)^109*(1+Controls!H$25*Smooth!$L111)*(1+Controls!H$26*Smooth!$M111)*(1+Controls!H$27*Smooth!$N111)*(1+Controls!H$28*Smooth!$O111)),2))</f>
        <v/>
      </c>
      <c r="D111" s="10" t="str">
        <f t="array" ref="D111">IF(OR($A111="",3&gt;Controls!$B$6),"",ROUND(MAX(0,Smooth!D111*Controls!D$17*INDEX(Controls!$B$21:$H$21,1,WEEKDAY($A111,2))*(1+Controls!$B$11)^109*(1+Controls!I$25*Smooth!$L111)*(1+Controls!I$26*Smooth!$M111)*(1+Controls!I$27*Smooth!$N111)*(1+Controls!I$28*Smooth!$O111)),2))</f>
        <v/>
      </c>
      <c r="E111" s="10" t="str">
        <f t="array" ref="E111">IF(OR($A111="",4&gt;Controls!$B$6),"",ROUND(MAX(0,Smooth!E111*Controls!E$17*INDEX(Controls!$B$21:$H$21,1,WEEKDAY($A111,2))*(1+Controls!$B$11)^109*(1+Controls!J$25*Smooth!$L111)*(1+Controls!J$26*Smooth!$M111)*(1+Controls!J$27*Smooth!$N111)*(1+Controls!J$28*Smooth!$O111)),2))</f>
        <v/>
      </c>
      <c r="F111" s="10" t="str">
        <f t="array" ref="F111">IF(OR($A111="",5&gt;Controls!$B$6),"",ROUND(MAX(0,Smooth!F111*Controls!F$17*INDEX(Controls!$B$21:$H$21,1,WEEKDAY($A111,2))*(1+Controls!$B$11)^109*(1+Controls!K$25*Smooth!$L111)*(1+Controls!K$26*Smooth!$M111)*(1+Controls!K$27*Smooth!$N111)*(1+Controls!K$28*Smooth!$O111)),2))</f>
        <v/>
      </c>
      <c r="G111" s="10" t="str">
        <f t="array" ref="G111">IF(OR($A111="",6&gt;Controls!$B$6),"",ROUND(MAX(0,Smooth!G111*Controls!G$17*INDEX(Controls!$B$21:$H$21,1,WEEKDAY($A111,2))*(1+Controls!$B$11)^109*(1+Controls!L$25*Smooth!$L111)*(1+Controls!L$26*Smooth!$M111)*(1+Controls!L$27*Smooth!$N111)*(1+Controls!L$28*Smooth!$O111)),2))</f>
        <v/>
      </c>
      <c r="H111" s="10" t="str">
        <f t="array" ref="H111">IF(OR($A111="",7&gt;Controls!$B$6),"",ROUND(MAX(0,Smooth!H111*Controls!H$17*INDEX(Controls!$B$21:$H$21,1,WEEKDAY($A111,2))*(1+Controls!$B$11)^109*(1+Controls!M$25*Smooth!$L111)*(1+Controls!M$26*Smooth!$M111)*(1+Controls!M$27*Smooth!$N111)*(1+Controls!M$28*Smooth!$O111)),2))</f>
        <v/>
      </c>
      <c r="I111" s="10" t="str">
        <f t="array" ref="I111">IF(OR($A111="",8&gt;Controls!$B$6),"",ROUND(MAX(0,Smooth!I111*Controls!I$17*INDEX(Controls!$B$21:$H$21,1,WEEKDAY($A111,2))*(1+Controls!$B$11)^109*(1+Controls!N$25*Smooth!$L111)*(1+Controls!N$26*Smooth!$M111)*(1+Controls!N$27*Smooth!$N111)*(1+Controls!N$28*Smooth!$O111)),2))</f>
        <v/>
      </c>
      <c r="J111" s="10" t="str">
        <f t="array" ref="J111">IF(OR($A111="",9&gt;Controls!$B$6),"",ROUND(MAX(0,Smooth!J111*Controls!J$17*INDEX(Controls!$B$21:$H$21,1,WEEKDAY($A111,2))*(1+Controls!$B$11)^109*(1+Controls!O$25*Smooth!$L111)*(1+Controls!O$26*Smooth!$M111)*(1+Controls!O$27*Smooth!$N111)*(1+Controls!O$28*Smooth!$O111)),2))</f>
        <v/>
      </c>
      <c r="K111" s="10" t="str">
        <f t="array" ref="K111">IF(OR($A111="",10&gt;Controls!$B$6),"",ROUND(MAX(0,Smooth!K111*Controls!K$17*INDEX(Controls!$B$21:$H$21,1,WEEKDAY($A111,2))*(1+Controls!$B$11)^109*(1+Controls!P$25*Smooth!$L111)*(1+Controls!P$26*Smooth!$M111)*(1+Controls!P$27*Smooth!$N111)*(1+Controls!P$28*Smooth!$O111)),2))</f>
        <v/>
      </c>
      <c r="L111" s="18" t="str">
        <f t="shared" si="1"/>
        <v/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21.0" customHeight="1">
      <c r="A112" s="7" t="str">
        <f>IF(111&lt;=Controls!$B$5,Controls!$B$4+110,"")</f>
        <v/>
      </c>
      <c r="B112" s="10" t="str">
        <f t="array" ref="B112">IF(OR($A112="",1&gt;Controls!$B$6),"",ROUND(MAX(0,Smooth!B112*Controls!B$17*INDEX(Controls!$B$21:$H$21,1,WEEKDAY($A112,2))*(1+Controls!$B$11)^110*(1+Controls!G$25*Smooth!$L112)*(1+Controls!G$26*Smooth!$M112)*(1+Controls!G$27*Smooth!$N112)*(1+Controls!G$28*Smooth!$O112)),2))</f>
        <v/>
      </c>
      <c r="C112" s="10" t="str">
        <f t="array" ref="C112">IF(OR($A112="",2&gt;Controls!$B$6),"",ROUND(MAX(0,Smooth!C112*Controls!C$17*INDEX(Controls!$B$21:$H$21,1,WEEKDAY($A112,2))*(1+Controls!$B$11)^110*(1+Controls!H$25*Smooth!$L112)*(1+Controls!H$26*Smooth!$M112)*(1+Controls!H$27*Smooth!$N112)*(1+Controls!H$28*Smooth!$O112)),2))</f>
        <v/>
      </c>
      <c r="D112" s="10" t="str">
        <f t="array" ref="D112">IF(OR($A112="",3&gt;Controls!$B$6),"",ROUND(MAX(0,Smooth!D112*Controls!D$17*INDEX(Controls!$B$21:$H$21,1,WEEKDAY($A112,2))*(1+Controls!$B$11)^110*(1+Controls!I$25*Smooth!$L112)*(1+Controls!I$26*Smooth!$M112)*(1+Controls!I$27*Smooth!$N112)*(1+Controls!I$28*Smooth!$O112)),2))</f>
        <v/>
      </c>
      <c r="E112" s="10" t="str">
        <f t="array" ref="E112">IF(OR($A112="",4&gt;Controls!$B$6),"",ROUND(MAX(0,Smooth!E112*Controls!E$17*INDEX(Controls!$B$21:$H$21,1,WEEKDAY($A112,2))*(1+Controls!$B$11)^110*(1+Controls!J$25*Smooth!$L112)*(1+Controls!J$26*Smooth!$M112)*(1+Controls!J$27*Smooth!$N112)*(1+Controls!J$28*Smooth!$O112)),2))</f>
        <v/>
      </c>
      <c r="F112" s="10" t="str">
        <f t="array" ref="F112">IF(OR($A112="",5&gt;Controls!$B$6),"",ROUND(MAX(0,Smooth!F112*Controls!F$17*INDEX(Controls!$B$21:$H$21,1,WEEKDAY($A112,2))*(1+Controls!$B$11)^110*(1+Controls!K$25*Smooth!$L112)*(1+Controls!K$26*Smooth!$M112)*(1+Controls!K$27*Smooth!$N112)*(1+Controls!K$28*Smooth!$O112)),2))</f>
        <v/>
      </c>
      <c r="G112" s="10" t="str">
        <f t="array" ref="G112">IF(OR($A112="",6&gt;Controls!$B$6),"",ROUND(MAX(0,Smooth!G112*Controls!G$17*INDEX(Controls!$B$21:$H$21,1,WEEKDAY($A112,2))*(1+Controls!$B$11)^110*(1+Controls!L$25*Smooth!$L112)*(1+Controls!L$26*Smooth!$M112)*(1+Controls!L$27*Smooth!$N112)*(1+Controls!L$28*Smooth!$O112)),2))</f>
        <v/>
      </c>
      <c r="H112" s="10" t="str">
        <f t="array" ref="H112">IF(OR($A112="",7&gt;Controls!$B$6),"",ROUND(MAX(0,Smooth!H112*Controls!H$17*INDEX(Controls!$B$21:$H$21,1,WEEKDAY($A112,2))*(1+Controls!$B$11)^110*(1+Controls!M$25*Smooth!$L112)*(1+Controls!M$26*Smooth!$M112)*(1+Controls!M$27*Smooth!$N112)*(1+Controls!M$28*Smooth!$O112)),2))</f>
        <v/>
      </c>
      <c r="I112" s="10" t="str">
        <f t="array" ref="I112">IF(OR($A112="",8&gt;Controls!$B$6),"",ROUND(MAX(0,Smooth!I112*Controls!I$17*INDEX(Controls!$B$21:$H$21,1,WEEKDAY($A112,2))*(1+Controls!$B$11)^110*(1+Controls!N$25*Smooth!$L112)*(1+Controls!N$26*Smooth!$M112)*(1+Controls!N$27*Smooth!$N112)*(1+Controls!N$28*Smooth!$O112)),2))</f>
        <v/>
      </c>
      <c r="J112" s="10" t="str">
        <f t="array" ref="J112">IF(OR($A112="",9&gt;Controls!$B$6),"",ROUND(MAX(0,Smooth!J112*Controls!J$17*INDEX(Controls!$B$21:$H$21,1,WEEKDAY($A112,2))*(1+Controls!$B$11)^110*(1+Controls!O$25*Smooth!$L112)*(1+Controls!O$26*Smooth!$M112)*(1+Controls!O$27*Smooth!$N112)*(1+Controls!O$28*Smooth!$O112)),2))</f>
        <v/>
      </c>
      <c r="K112" s="10" t="str">
        <f t="array" ref="K112">IF(OR($A112="",10&gt;Controls!$B$6),"",ROUND(MAX(0,Smooth!K112*Controls!K$17*INDEX(Controls!$B$21:$H$21,1,WEEKDAY($A112,2))*(1+Controls!$B$11)^110*(1+Controls!P$25*Smooth!$L112)*(1+Controls!P$26*Smooth!$M112)*(1+Controls!P$27*Smooth!$N112)*(1+Controls!P$28*Smooth!$O112)),2))</f>
        <v/>
      </c>
      <c r="L112" s="18" t="str">
        <f t="shared" si="1"/>
        <v/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21.0" customHeight="1">
      <c r="A113" s="7" t="str">
        <f>IF(112&lt;=Controls!$B$5,Controls!$B$4+111,"")</f>
        <v/>
      </c>
      <c r="B113" s="10" t="str">
        <f t="array" ref="B113">IF(OR($A113="",1&gt;Controls!$B$6),"",ROUND(MAX(0,Smooth!B113*Controls!B$17*INDEX(Controls!$B$21:$H$21,1,WEEKDAY($A113,2))*(1+Controls!$B$11)^111*(1+Controls!G$25*Smooth!$L113)*(1+Controls!G$26*Smooth!$M113)*(1+Controls!G$27*Smooth!$N113)*(1+Controls!G$28*Smooth!$O113)),2))</f>
        <v/>
      </c>
      <c r="C113" s="10" t="str">
        <f t="array" ref="C113">IF(OR($A113="",2&gt;Controls!$B$6),"",ROUND(MAX(0,Smooth!C113*Controls!C$17*INDEX(Controls!$B$21:$H$21,1,WEEKDAY($A113,2))*(1+Controls!$B$11)^111*(1+Controls!H$25*Smooth!$L113)*(1+Controls!H$26*Smooth!$M113)*(1+Controls!H$27*Smooth!$N113)*(1+Controls!H$28*Smooth!$O113)),2))</f>
        <v/>
      </c>
      <c r="D113" s="10" t="str">
        <f t="array" ref="D113">IF(OR($A113="",3&gt;Controls!$B$6),"",ROUND(MAX(0,Smooth!D113*Controls!D$17*INDEX(Controls!$B$21:$H$21,1,WEEKDAY($A113,2))*(1+Controls!$B$11)^111*(1+Controls!I$25*Smooth!$L113)*(1+Controls!I$26*Smooth!$M113)*(1+Controls!I$27*Smooth!$N113)*(1+Controls!I$28*Smooth!$O113)),2))</f>
        <v/>
      </c>
      <c r="E113" s="10" t="str">
        <f t="array" ref="E113">IF(OR($A113="",4&gt;Controls!$B$6),"",ROUND(MAX(0,Smooth!E113*Controls!E$17*INDEX(Controls!$B$21:$H$21,1,WEEKDAY($A113,2))*(1+Controls!$B$11)^111*(1+Controls!J$25*Smooth!$L113)*(1+Controls!J$26*Smooth!$M113)*(1+Controls!J$27*Smooth!$N113)*(1+Controls!J$28*Smooth!$O113)),2))</f>
        <v/>
      </c>
      <c r="F113" s="10" t="str">
        <f t="array" ref="F113">IF(OR($A113="",5&gt;Controls!$B$6),"",ROUND(MAX(0,Smooth!F113*Controls!F$17*INDEX(Controls!$B$21:$H$21,1,WEEKDAY($A113,2))*(1+Controls!$B$11)^111*(1+Controls!K$25*Smooth!$L113)*(1+Controls!K$26*Smooth!$M113)*(1+Controls!K$27*Smooth!$N113)*(1+Controls!K$28*Smooth!$O113)),2))</f>
        <v/>
      </c>
      <c r="G113" s="10" t="str">
        <f t="array" ref="G113">IF(OR($A113="",6&gt;Controls!$B$6),"",ROUND(MAX(0,Smooth!G113*Controls!G$17*INDEX(Controls!$B$21:$H$21,1,WEEKDAY($A113,2))*(1+Controls!$B$11)^111*(1+Controls!L$25*Smooth!$L113)*(1+Controls!L$26*Smooth!$M113)*(1+Controls!L$27*Smooth!$N113)*(1+Controls!L$28*Smooth!$O113)),2))</f>
        <v/>
      </c>
      <c r="H113" s="10" t="str">
        <f t="array" ref="H113">IF(OR($A113="",7&gt;Controls!$B$6),"",ROUND(MAX(0,Smooth!H113*Controls!H$17*INDEX(Controls!$B$21:$H$21,1,WEEKDAY($A113,2))*(1+Controls!$B$11)^111*(1+Controls!M$25*Smooth!$L113)*(1+Controls!M$26*Smooth!$M113)*(1+Controls!M$27*Smooth!$N113)*(1+Controls!M$28*Smooth!$O113)),2))</f>
        <v/>
      </c>
      <c r="I113" s="10" t="str">
        <f t="array" ref="I113">IF(OR($A113="",8&gt;Controls!$B$6),"",ROUND(MAX(0,Smooth!I113*Controls!I$17*INDEX(Controls!$B$21:$H$21,1,WEEKDAY($A113,2))*(1+Controls!$B$11)^111*(1+Controls!N$25*Smooth!$L113)*(1+Controls!N$26*Smooth!$M113)*(1+Controls!N$27*Smooth!$N113)*(1+Controls!N$28*Smooth!$O113)),2))</f>
        <v/>
      </c>
      <c r="J113" s="10" t="str">
        <f t="array" ref="J113">IF(OR($A113="",9&gt;Controls!$B$6),"",ROUND(MAX(0,Smooth!J113*Controls!J$17*INDEX(Controls!$B$21:$H$21,1,WEEKDAY($A113,2))*(1+Controls!$B$11)^111*(1+Controls!O$25*Smooth!$L113)*(1+Controls!O$26*Smooth!$M113)*(1+Controls!O$27*Smooth!$N113)*(1+Controls!O$28*Smooth!$O113)),2))</f>
        <v/>
      </c>
      <c r="K113" s="10" t="str">
        <f t="array" ref="K113">IF(OR($A113="",10&gt;Controls!$B$6),"",ROUND(MAX(0,Smooth!K113*Controls!K$17*INDEX(Controls!$B$21:$H$21,1,WEEKDAY($A113,2))*(1+Controls!$B$11)^111*(1+Controls!P$25*Smooth!$L113)*(1+Controls!P$26*Smooth!$M113)*(1+Controls!P$27*Smooth!$N113)*(1+Controls!P$28*Smooth!$O113)),2))</f>
        <v/>
      </c>
      <c r="L113" s="18" t="str">
        <f t="shared" si="1"/>
        <v/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21.0" customHeight="1">
      <c r="A114" s="7" t="str">
        <f>IF(113&lt;=Controls!$B$5,Controls!$B$4+112,"")</f>
        <v/>
      </c>
      <c r="B114" s="10" t="str">
        <f t="array" ref="B114">IF(OR($A114="",1&gt;Controls!$B$6),"",ROUND(MAX(0,Smooth!B114*Controls!B$17*INDEX(Controls!$B$21:$H$21,1,WEEKDAY($A114,2))*(1+Controls!$B$11)^112*(1+Controls!G$25*Smooth!$L114)*(1+Controls!G$26*Smooth!$M114)*(1+Controls!G$27*Smooth!$N114)*(1+Controls!G$28*Smooth!$O114)),2))</f>
        <v/>
      </c>
      <c r="C114" s="10" t="str">
        <f t="array" ref="C114">IF(OR($A114="",2&gt;Controls!$B$6),"",ROUND(MAX(0,Smooth!C114*Controls!C$17*INDEX(Controls!$B$21:$H$21,1,WEEKDAY($A114,2))*(1+Controls!$B$11)^112*(1+Controls!H$25*Smooth!$L114)*(1+Controls!H$26*Smooth!$M114)*(1+Controls!H$27*Smooth!$N114)*(1+Controls!H$28*Smooth!$O114)),2))</f>
        <v/>
      </c>
      <c r="D114" s="10" t="str">
        <f t="array" ref="D114">IF(OR($A114="",3&gt;Controls!$B$6),"",ROUND(MAX(0,Smooth!D114*Controls!D$17*INDEX(Controls!$B$21:$H$21,1,WEEKDAY($A114,2))*(1+Controls!$B$11)^112*(1+Controls!I$25*Smooth!$L114)*(1+Controls!I$26*Smooth!$M114)*(1+Controls!I$27*Smooth!$N114)*(1+Controls!I$28*Smooth!$O114)),2))</f>
        <v/>
      </c>
      <c r="E114" s="10" t="str">
        <f t="array" ref="E114">IF(OR($A114="",4&gt;Controls!$B$6),"",ROUND(MAX(0,Smooth!E114*Controls!E$17*INDEX(Controls!$B$21:$H$21,1,WEEKDAY($A114,2))*(1+Controls!$B$11)^112*(1+Controls!J$25*Smooth!$L114)*(1+Controls!J$26*Smooth!$M114)*(1+Controls!J$27*Smooth!$N114)*(1+Controls!J$28*Smooth!$O114)),2))</f>
        <v/>
      </c>
      <c r="F114" s="10" t="str">
        <f t="array" ref="F114">IF(OR($A114="",5&gt;Controls!$B$6),"",ROUND(MAX(0,Smooth!F114*Controls!F$17*INDEX(Controls!$B$21:$H$21,1,WEEKDAY($A114,2))*(1+Controls!$B$11)^112*(1+Controls!K$25*Smooth!$L114)*(1+Controls!K$26*Smooth!$M114)*(1+Controls!K$27*Smooth!$N114)*(1+Controls!K$28*Smooth!$O114)),2))</f>
        <v/>
      </c>
      <c r="G114" s="10" t="str">
        <f t="array" ref="G114">IF(OR($A114="",6&gt;Controls!$B$6),"",ROUND(MAX(0,Smooth!G114*Controls!G$17*INDEX(Controls!$B$21:$H$21,1,WEEKDAY($A114,2))*(1+Controls!$B$11)^112*(1+Controls!L$25*Smooth!$L114)*(1+Controls!L$26*Smooth!$M114)*(1+Controls!L$27*Smooth!$N114)*(1+Controls!L$28*Smooth!$O114)),2))</f>
        <v/>
      </c>
      <c r="H114" s="10" t="str">
        <f t="array" ref="H114">IF(OR($A114="",7&gt;Controls!$B$6),"",ROUND(MAX(0,Smooth!H114*Controls!H$17*INDEX(Controls!$B$21:$H$21,1,WEEKDAY($A114,2))*(1+Controls!$B$11)^112*(1+Controls!M$25*Smooth!$L114)*(1+Controls!M$26*Smooth!$M114)*(1+Controls!M$27*Smooth!$N114)*(1+Controls!M$28*Smooth!$O114)),2))</f>
        <v/>
      </c>
      <c r="I114" s="10" t="str">
        <f t="array" ref="I114">IF(OR($A114="",8&gt;Controls!$B$6),"",ROUND(MAX(0,Smooth!I114*Controls!I$17*INDEX(Controls!$B$21:$H$21,1,WEEKDAY($A114,2))*(1+Controls!$B$11)^112*(1+Controls!N$25*Smooth!$L114)*(1+Controls!N$26*Smooth!$M114)*(1+Controls!N$27*Smooth!$N114)*(1+Controls!N$28*Smooth!$O114)),2))</f>
        <v/>
      </c>
      <c r="J114" s="10" t="str">
        <f t="array" ref="J114">IF(OR($A114="",9&gt;Controls!$B$6),"",ROUND(MAX(0,Smooth!J114*Controls!J$17*INDEX(Controls!$B$21:$H$21,1,WEEKDAY($A114,2))*(1+Controls!$B$11)^112*(1+Controls!O$25*Smooth!$L114)*(1+Controls!O$26*Smooth!$M114)*(1+Controls!O$27*Smooth!$N114)*(1+Controls!O$28*Smooth!$O114)),2))</f>
        <v/>
      </c>
      <c r="K114" s="10" t="str">
        <f t="array" ref="K114">IF(OR($A114="",10&gt;Controls!$B$6),"",ROUND(MAX(0,Smooth!K114*Controls!K$17*INDEX(Controls!$B$21:$H$21,1,WEEKDAY($A114,2))*(1+Controls!$B$11)^112*(1+Controls!P$25*Smooth!$L114)*(1+Controls!P$26*Smooth!$M114)*(1+Controls!P$27*Smooth!$N114)*(1+Controls!P$28*Smooth!$O114)),2))</f>
        <v/>
      </c>
      <c r="L114" s="18" t="str">
        <f t="shared" si="1"/>
        <v/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21.0" customHeight="1">
      <c r="A115" s="7" t="str">
        <f>IF(114&lt;=Controls!$B$5,Controls!$B$4+113,"")</f>
        <v/>
      </c>
      <c r="B115" s="10" t="str">
        <f t="array" ref="B115">IF(OR($A115="",1&gt;Controls!$B$6),"",ROUND(MAX(0,Smooth!B115*Controls!B$17*INDEX(Controls!$B$21:$H$21,1,WEEKDAY($A115,2))*(1+Controls!$B$11)^113*(1+Controls!G$25*Smooth!$L115)*(1+Controls!G$26*Smooth!$M115)*(1+Controls!G$27*Smooth!$N115)*(1+Controls!G$28*Smooth!$O115)),2))</f>
        <v/>
      </c>
      <c r="C115" s="10" t="str">
        <f t="array" ref="C115">IF(OR($A115="",2&gt;Controls!$B$6),"",ROUND(MAX(0,Smooth!C115*Controls!C$17*INDEX(Controls!$B$21:$H$21,1,WEEKDAY($A115,2))*(1+Controls!$B$11)^113*(1+Controls!H$25*Smooth!$L115)*(1+Controls!H$26*Smooth!$M115)*(1+Controls!H$27*Smooth!$N115)*(1+Controls!H$28*Smooth!$O115)),2))</f>
        <v/>
      </c>
      <c r="D115" s="10" t="str">
        <f t="array" ref="D115">IF(OR($A115="",3&gt;Controls!$B$6),"",ROUND(MAX(0,Smooth!D115*Controls!D$17*INDEX(Controls!$B$21:$H$21,1,WEEKDAY($A115,2))*(1+Controls!$B$11)^113*(1+Controls!I$25*Smooth!$L115)*(1+Controls!I$26*Smooth!$M115)*(1+Controls!I$27*Smooth!$N115)*(1+Controls!I$28*Smooth!$O115)),2))</f>
        <v/>
      </c>
      <c r="E115" s="10" t="str">
        <f t="array" ref="E115">IF(OR($A115="",4&gt;Controls!$B$6),"",ROUND(MAX(0,Smooth!E115*Controls!E$17*INDEX(Controls!$B$21:$H$21,1,WEEKDAY($A115,2))*(1+Controls!$B$11)^113*(1+Controls!J$25*Smooth!$L115)*(1+Controls!J$26*Smooth!$M115)*(1+Controls!J$27*Smooth!$N115)*(1+Controls!J$28*Smooth!$O115)),2))</f>
        <v/>
      </c>
      <c r="F115" s="10" t="str">
        <f t="array" ref="F115">IF(OR($A115="",5&gt;Controls!$B$6),"",ROUND(MAX(0,Smooth!F115*Controls!F$17*INDEX(Controls!$B$21:$H$21,1,WEEKDAY($A115,2))*(1+Controls!$B$11)^113*(1+Controls!K$25*Smooth!$L115)*(1+Controls!K$26*Smooth!$M115)*(1+Controls!K$27*Smooth!$N115)*(1+Controls!K$28*Smooth!$O115)),2))</f>
        <v/>
      </c>
      <c r="G115" s="10" t="str">
        <f t="array" ref="G115">IF(OR($A115="",6&gt;Controls!$B$6),"",ROUND(MAX(0,Smooth!G115*Controls!G$17*INDEX(Controls!$B$21:$H$21,1,WEEKDAY($A115,2))*(1+Controls!$B$11)^113*(1+Controls!L$25*Smooth!$L115)*(1+Controls!L$26*Smooth!$M115)*(1+Controls!L$27*Smooth!$N115)*(1+Controls!L$28*Smooth!$O115)),2))</f>
        <v/>
      </c>
      <c r="H115" s="10" t="str">
        <f t="array" ref="H115">IF(OR($A115="",7&gt;Controls!$B$6),"",ROUND(MAX(0,Smooth!H115*Controls!H$17*INDEX(Controls!$B$21:$H$21,1,WEEKDAY($A115,2))*(1+Controls!$B$11)^113*(1+Controls!M$25*Smooth!$L115)*(1+Controls!M$26*Smooth!$M115)*(1+Controls!M$27*Smooth!$N115)*(1+Controls!M$28*Smooth!$O115)),2))</f>
        <v/>
      </c>
      <c r="I115" s="10" t="str">
        <f t="array" ref="I115">IF(OR($A115="",8&gt;Controls!$B$6),"",ROUND(MAX(0,Smooth!I115*Controls!I$17*INDEX(Controls!$B$21:$H$21,1,WEEKDAY($A115,2))*(1+Controls!$B$11)^113*(1+Controls!N$25*Smooth!$L115)*(1+Controls!N$26*Smooth!$M115)*(1+Controls!N$27*Smooth!$N115)*(1+Controls!N$28*Smooth!$O115)),2))</f>
        <v/>
      </c>
      <c r="J115" s="10" t="str">
        <f t="array" ref="J115">IF(OR($A115="",9&gt;Controls!$B$6),"",ROUND(MAX(0,Smooth!J115*Controls!J$17*INDEX(Controls!$B$21:$H$21,1,WEEKDAY($A115,2))*(1+Controls!$B$11)^113*(1+Controls!O$25*Smooth!$L115)*(1+Controls!O$26*Smooth!$M115)*(1+Controls!O$27*Smooth!$N115)*(1+Controls!O$28*Smooth!$O115)),2))</f>
        <v/>
      </c>
      <c r="K115" s="10" t="str">
        <f t="array" ref="K115">IF(OR($A115="",10&gt;Controls!$B$6),"",ROUND(MAX(0,Smooth!K115*Controls!K$17*INDEX(Controls!$B$21:$H$21,1,WEEKDAY($A115,2))*(1+Controls!$B$11)^113*(1+Controls!P$25*Smooth!$L115)*(1+Controls!P$26*Smooth!$M115)*(1+Controls!P$27*Smooth!$N115)*(1+Controls!P$28*Smooth!$O115)),2))</f>
        <v/>
      </c>
      <c r="L115" s="18" t="str">
        <f t="shared" si="1"/>
        <v/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21.0" customHeight="1">
      <c r="A116" s="7" t="str">
        <f>IF(115&lt;=Controls!$B$5,Controls!$B$4+114,"")</f>
        <v/>
      </c>
      <c r="B116" s="10" t="str">
        <f t="array" ref="B116">IF(OR($A116="",1&gt;Controls!$B$6),"",ROUND(MAX(0,Smooth!B116*Controls!B$17*INDEX(Controls!$B$21:$H$21,1,WEEKDAY($A116,2))*(1+Controls!$B$11)^114*(1+Controls!G$25*Smooth!$L116)*(1+Controls!G$26*Smooth!$M116)*(1+Controls!G$27*Smooth!$N116)*(1+Controls!G$28*Smooth!$O116)),2))</f>
        <v/>
      </c>
      <c r="C116" s="10" t="str">
        <f t="array" ref="C116">IF(OR($A116="",2&gt;Controls!$B$6),"",ROUND(MAX(0,Smooth!C116*Controls!C$17*INDEX(Controls!$B$21:$H$21,1,WEEKDAY($A116,2))*(1+Controls!$B$11)^114*(1+Controls!H$25*Smooth!$L116)*(1+Controls!H$26*Smooth!$M116)*(1+Controls!H$27*Smooth!$N116)*(1+Controls!H$28*Smooth!$O116)),2))</f>
        <v/>
      </c>
      <c r="D116" s="10" t="str">
        <f t="array" ref="D116">IF(OR($A116="",3&gt;Controls!$B$6),"",ROUND(MAX(0,Smooth!D116*Controls!D$17*INDEX(Controls!$B$21:$H$21,1,WEEKDAY($A116,2))*(1+Controls!$B$11)^114*(1+Controls!I$25*Smooth!$L116)*(1+Controls!I$26*Smooth!$M116)*(1+Controls!I$27*Smooth!$N116)*(1+Controls!I$28*Smooth!$O116)),2))</f>
        <v/>
      </c>
      <c r="E116" s="10" t="str">
        <f t="array" ref="E116">IF(OR($A116="",4&gt;Controls!$B$6),"",ROUND(MAX(0,Smooth!E116*Controls!E$17*INDEX(Controls!$B$21:$H$21,1,WEEKDAY($A116,2))*(1+Controls!$B$11)^114*(1+Controls!J$25*Smooth!$L116)*(1+Controls!J$26*Smooth!$M116)*(1+Controls!J$27*Smooth!$N116)*(1+Controls!J$28*Smooth!$O116)),2))</f>
        <v/>
      </c>
      <c r="F116" s="10" t="str">
        <f t="array" ref="F116">IF(OR($A116="",5&gt;Controls!$B$6),"",ROUND(MAX(0,Smooth!F116*Controls!F$17*INDEX(Controls!$B$21:$H$21,1,WEEKDAY($A116,2))*(1+Controls!$B$11)^114*(1+Controls!K$25*Smooth!$L116)*(1+Controls!K$26*Smooth!$M116)*(1+Controls!K$27*Smooth!$N116)*(1+Controls!K$28*Smooth!$O116)),2))</f>
        <v/>
      </c>
      <c r="G116" s="10" t="str">
        <f t="array" ref="G116">IF(OR($A116="",6&gt;Controls!$B$6),"",ROUND(MAX(0,Smooth!G116*Controls!G$17*INDEX(Controls!$B$21:$H$21,1,WEEKDAY($A116,2))*(1+Controls!$B$11)^114*(1+Controls!L$25*Smooth!$L116)*(1+Controls!L$26*Smooth!$M116)*(1+Controls!L$27*Smooth!$N116)*(1+Controls!L$28*Smooth!$O116)),2))</f>
        <v/>
      </c>
      <c r="H116" s="10" t="str">
        <f t="array" ref="H116">IF(OR($A116="",7&gt;Controls!$B$6),"",ROUND(MAX(0,Smooth!H116*Controls!H$17*INDEX(Controls!$B$21:$H$21,1,WEEKDAY($A116,2))*(1+Controls!$B$11)^114*(1+Controls!M$25*Smooth!$L116)*(1+Controls!M$26*Smooth!$M116)*(1+Controls!M$27*Smooth!$N116)*(1+Controls!M$28*Smooth!$O116)),2))</f>
        <v/>
      </c>
      <c r="I116" s="10" t="str">
        <f t="array" ref="I116">IF(OR($A116="",8&gt;Controls!$B$6),"",ROUND(MAX(0,Smooth!I116*Controls!I$17*INDEX(Controls!$B$21:$H$21,1,WEEKDAY($A116,2))*(1+Controls!$B$11)^114*(1+Controls!N$25*Smooth!$L116)*(1+Controls!N$26*Smooth!$M116)*(1+Controls!N$27*Smooth!$N116)*(1+Controls!N$28*Smooth!$O116)),2))</f>
        <v/>
      </c>
      <c r="J116" s="10" t="str">
        <f t="array" ref="J116">IF(OR($A116="",9&gt;Controls!$B$6),"",ROUND(MAX(0,Smooth!J116*Controls!J$17*INDEX(Controls!$B$21:$H$21,1,WEEKDAY($A116,2))*(1+Controls!$B$11)^114*(1+Controls!O$25*Smooth!$L116)*(1+Controls!O$26*Smooth!$M116)*(1+Controls!O$27*Smooth!$N116)*(1+Controls!O$28*Smooth!$O116)),2))</f>
        <v/>
      </c>
      <c r="K116" s="10" t="str">
        <f t="array" ref="K116">IF(OR($A116="",10&gt;Controls!$B$6),"",ROUND(MAX(0,Smooth!K116*Controls!K$17*INDEX(Controls!$B$21:$H$21,1,WEEKDAY($A116,2))*(1+Controls!$B$11)^114*(1+Controls!P$25*Smooth!$L116)*(1+Controls!P$26*Smooth!$M116)*(1+Controls!P$27*Smooth!$N116)*(1+Controls!P$28*Smooth!$O116)),2))</f>
        <v/>
      </c>
      <c r="L116" s="18" t="str">
        <f t="shared" si="1"/>
        <v/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21.0" customHeight="1">
      <c r="A117" s="7" t="str">
        <f>IF(116&lt;=Controls!$B$5,Controls!$B$4+115,"")</f>
        <v/>
      </c>
      <c r="B117" s="10" t="str">
        <f t="array" ref="B117">IF(OR($A117="",1&gt;Controls!$B$6),"",ROUND(MAX(0,Smooth!B117*Controls!B$17*INDEX(Controls!$B$21:$H$21,1,WEEKDAY($A117,2))*(1+Controls!$B$11)^115*(1+Controls!G$25*Smooth!$L117)*(1+Controls!G$26*Smooth!$M117)*(1+Controls!G$27*Smooth!$N117)*(1+Controls!G$28*Smooth!$O117)),2))</f>
        <v/>
      </c>
      <c r="C117" s="10" t="str">
        <f t="array" ref="C117">IF(OR($A117="",2&gt;Controls!$B$6),"",ROUND(MAX(0,Smooth!C117*Controls!C$17*INDEX(Controls!$B$21:$H$21,1,WEEKDAY($A117,2))*(1+Controls!$B$11)^115*(1+Controls!H$25*Smooth!$L117)*(1+Controls!H$26*Smooth!$M117)*(1+Controls!H$27*Smooth!$N117)*(1+Controls!H$28*Smooth!$O117)),2))</f>
        <v/>
      </c>
      <c r="D117" s="10" t="str">
        <f t="array" ref="D117">IF(OR($A117="",3&gt;Controls!$B$6),"",ROUND(MAX(0,Smooth!D117*Controls!D$17*INDEX(Controls!$B$21:$H$21,1,WEEKDAY($A117,2))*(1+Controls!$B$11)^115*(1+Controls!I$25*Smooth!$L117)*(1+Controls!I$26*Smooth!$M117)*(1+Controls!I$27*Smooth!$N117)*(1+Controls!I$28*Smooth!$O117)),2))</f>
        <v/>
      </c>
      <c r="E117" s="10" t="str">
        <f t="array" ref="E117">IF(OR($A117="",4&gt;Controls!$B$6),"",ROUND(MAX(0,Smooth!E117*Controls!E$17*INDEX(Controls!$B$21:$H$21,1,WEEKDAY($A117,2))*(1+Controls!$B$11)^115*(1+Controls!J$25*Smooth!$L117)*(1+Controls!J$26*Smooth!$M117)*(1+Controls!J$27*Smooth!$N117)*(1+Controls!J$28*Smooth!$O117)),2))</f>
        <v/>
      </c>
      <c r="F117" s="10" t="str">
        <f t="array" ref="F117">IF(OR($A117="",5&gt;Controls!$B$6),"",ROUND(MAX(0,Smooth!F117*Controls!F$17*INDEX(Controls!$B$21:$H$21,1,WEEKDAY($A117,2))*(1+Controls!$B$11)^115*(1+Controls!K$25*Smooth!$L117)*(1+Controls!K$26*Smooth!$M117)*(1+Controls!K$27*Smooth!$N117)*(1+Controls!K$28*Smooth!$O117)),2))</f>
        <v/>
      </c>
      <c r="G117" s="10" t="str">
        <f t="array" ref="G117">IF(OR($A117="",6&gt;Controls!$B$6),"",ROUND(MAX(0,Smooth!G117*Controls!G$17*INDEX(Controls!$B$21:$H$21,1,WEEKDAY($A117,2))*(1+Controls!$B$11)^115*(1+Controls!L$25*Smooth!$L117)*(1+Controls!L$26*Smooth!$M117)*(1+Controls!L$27*Smooth!$N117)*(1+Controls!L$28*Smooth!$O117)),2))</f>
        <v/>
      </c>
      <c r="H117" s="10" t="str">
        <f t="array" ref="H117">IF(OR($A117="",7&gt;Controls!$B$6),"",ROUND(MAX(0,Smooth!H117*Controls!H$17*INDEX(Controls!$B$21:$H$21,1,WEEKDAY($A117,2))*(1+Controls!$B$11)^115*(1+Controls!M$25*Smooth!$L117)*(1+Controls!M$26*Smooth!$M117)*(1+Controls!M$27*Smooth!$N117)*(1+Controls!M$28*Smooth!$O117)),2))</f>
        <v/>
      </c>
      <c r="I117" s="10" t="str">
        <f t="array" ref="I117">IF(OR($A117="",8&gt;Controls!$B$6),"",ROUND(MAX(0,Smooth!I117*Controls!I$17*INDEX(Controls!$B$21:$H$21,1,WEEKDAY($A117,2))*(1+Controls!$B$11)^115*(1+Controls!N$25*Smooth!$L117)*(1+Controls!N$26*Smooth!$M117)*(1+Controls!N$27*Smooth!$N117)*(1+Controls!N$28*Smooth!$O117)),2))</f>
        <v/>
      </c>
      <c r="J117" s="10" t="str">
        <f t="array" ref="J117">IF(OR($A117="",9&gt;Controls!$B$6),"",ROUND(MAX(0,Smooth!J117*Controls!J$17*INDEX(Controls!$B$21:$H$21,1,WEEKDAY($A117,2))*(1+Controls!$B$11)^115*(1+Controls!O$25*Smooth!$L117)*(1+Controls!O$26*Smooth!$M117)*(1+Controls!O$27*Smooth!$N117)*(1+Controls!O$28*Smooth!$O117)),2))</f>
        <v/>
      </c>
      <c r="K117" s="10" t="str">
        <f t="array" ref="K117">IF(OR($A117="",10&gt;Controls!$B$6),"",ROUND(MAX(0,Smooth!K117*Controls!K$17*INDEX(Controls!$B$21:$H$21,1,WEEKDAY($A117,2))*(1+Controls!$B$11)^115*(1+Controls!P$25*Smooth!$L117)*(1+Controls!P$26*Smooth!$M117)*(1+Controls!P$27*Smooth!$N117)*(1+Controls!P$28*Smooth!$O117)),2))</f>
        <v/>
      </c>
      <c r="L117" s="18" t="str">
        <f t="shared" si="1"/>
        <v/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21.0" customHeight="1">
      <c r="A118" s="7" t="str">
        <f>IF(117&lt;=Controls!$B$5,Controls!$B$4+116,"")</f>
        <v/>
      </c>
      <c r="B118" s="10" t="str">
        <f t="array" ref="B118">IF(OR($A118="",1&gt;Controls!$B$6),"",ROUND(MAX(0,Smooth!B118*Controls!B$17*INDEX(Controls!$B$21:$H$21,1,WEEKDAY($A118,2))*(1+Controls!$B$11)^116*(1+Controls!G$25*Smooth!$L118)*(1+Controls!G$26*Smooth!$M118)*(1+Controls!G$27*Smooth!$N118)*(1+Controls!G$28*Smooth!$O118)),2))</f>
        <v/>
      </c>
      <c r="C118" s="10" t="str">
        <f t="array" ref="C118">IF(OR($A118="",2&gt;Controls!$B$6),"",ROUND(MAX(0,Smooth!C118*Controls!C$17*INDEX(Controls!$B$21:$H$21,1,WEEKDAY($A118,2))*(1+Controls!$B$11)^116*(1+Controls!H$25*Smooth!$L118)*(1+Controls!H$26*Smooth!$M118)*(1+Controls!H$27*Smooth!$N118)*(1+Controls!H$28*Smooth!$O118)),2))</f>
        <v/>
      </c>
      <c r="D118" s="10" t="str">
        <f t="array" ref="D118">IF(OR($A118="",3&gt;Controls!$B$6),"",ROUND(MAX(0,Smooth!D118*Controls!D$17*INDEX(Controls!$B$21:$H$21,1,WEEKDAY($A118,2))*(1+Controls!$B$11)^116*(1+Controls!I$25*Smooth!$L118)*(1+Controls!I$26*Smooth!$M118)*(1+Controls!I$27*Smooth!$N118)*(1+Controls!I$28*Smooth!$O118)),2))</f>
        <v/>
      </c>
      <c r="E118" s="10" t="str">
        <f t="array" ref="E118">IF(OR($A118="",4&gt;Controls!$B$6),"",ROUND(MAX(0,Smooth!E118*Controls!E$17*INDEX(Controls!$B$21:$H$21,1,WEEKDAY($A118,2))*(1+Controls!$B$11)^116*(1+Controls!J$25*Smooth!$L118)*(1+Controls!J$26*Smooth!$M118)*(1+Controls!J$27*Smooth!$N118)*(1+Controls!J$28*Smooth!$O118)),2))</f>
        <v/>
      </c>
      <c r="F118" s="10" t="str">
        <f t="array" ref="F118">IF(OR($A118="",5&gt;Controls!$B$6),"",ROUND(MAX(0,Smooth!F118*Controls!F$17*INDEX(Controls!$B$21:$H$21,1,WEEKDAY($A118,2))*(1+Controls!$B$11)^116*(1+Controls!K$25*Smooth!$L118)*(1+Controls!K$26*Smooth!$M118)*(1+Controls!K$27*Smooth!$N118)*(1+Controls!K$28*Smooth!$O118)),2))</f>
        <v/>
      </c>
      <c r="G118" s="10" t="str">
        <f t="array" ref="G118">IF(OR($A118="",6&gt;Controls!$B$6),"",ROUND(MAX(0,Smooth!G118*Controls!G$17*INDEX(Controls!$B$21:$H$21,1,WEEKDAY($A118,2))*(1+Controls!$B$11)^116*(1+Controls!L$25*Smooth!$L118)*(1+Controls!L$26*Smooth!$M118)*(1+Controls!L$27*Smooth!$N118)*(1+Controls!L$28*Smooth!$O118)),2))</f>
        <v/>
      </c>
      <c r="H118" s="10" t="str">
        <f t="array" ref="H118">IF(OR($A118="",7&gt;Controls!$B$6),"",ROUND(MAX(0,Smooth!H118*Controls!H$17*INDEX(Controls!$B$21:$H$21,1,WEEKDAY($A118,2))*(1+Controls!$B$11)^116*(1+Controls!M$25*Smooth!$L118)*(1+Controls!M$26*Smooth!$M118)*(1+Controls!M$27*Smooth!$N118)*(1+Controls!M$28*Smooth!$O118)),2))</f>
        <v/>
      </c>
      <c r="I118" s="10" t="str">
        <f t="array" ref="I118">IF(OR($A118="",8&gt;Controls!$B$6),"",ROUND(MAX(0,Smooth!I118*Controls!I$17*INDEX(Controls!$B$21:$H$21,1,WEEKDAY($A118,2))*(1+Controls!$B$11)^116*(1+Controls!N$25*Smooth!$L118)*(1+Controls!N$26*Smooth!$M118)*(1+Controls!N$27*Smooth!$N118)*(1+Controls!N$28*Smooth!$O118)),2))</f>
        <v/>
      </c>
      <c r="J118" s="10" t="str">
        <f t="array" ref="J118">IF(OR($A118="",9&gt;Controls!$B$6),"",ROUND(MAX(0,Smooth!J118*Controls!J$17*INDEX(Controls!$B$21:$H$21,1,WEEKDAY($A118,2))*(1+Controls!$B$11)^116*(1+Controls!O$25*Smooth!$L118)*(1+Controls!O$26*Smooth!$M118)*(1+Controls!O$27*Smooth!$N118)*(1+Controls!O$28*Smooth!$O118)),2))</f>
        <v/>
      </c>
      <c r="K118" s="10" t="str">
        <f t="array" ref="K118">IF(OR($A118="",10&gt;Controls!$B$6),"",ROUND(MAX(0,Smooth!K118*Controls!K$17*INDEX(Controls!$B$21:$H$21,1,WEEKDAY($A118,2))*(1+Controls!$B$11)^116*(1+Controls!P$25*Smooth!$L118)*(1+Controls!P$26*Smooth!$M118)*(1+Controls!P$27*Smooth!$N118)*(1+Controls!P$28*Smooth!$O118)),2))</f>
        <v/>
      </c>
      <c r="L118" s="18" t="str">
        <f t="shared" si="1"/>
        <v/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21.0" customHeight="1">
      <c r="A119" s="7" t="str">
        <f>IF(118&lt;=Controls!$B$5,Controls!$B$4+117,"")</f>
        <v/>
      </c>
      <c r="B119" s="10" t="str">
        <f t="array" ref="B119">IF(OR($A119="",1&gt;Controls!$B$6),"",ROUND(MAX(0,Smooth!B119*Controls!B$17*INDEX(Controls!$B$21:$H$21,1,WEEKDAY($A119,2))*(1+Controls!$B$11)^117*(1+Controls!G$25*Smooth!$L119)*(1+Controls!G$26*Smooth!$M119)*(1+Controls!G$27*Smooth!$N119)*(1+Controls!G$28*Smooth!$O119)),2))</f>
        <v/>
      </c>
      <c r="C119" s="10" t="str">
        <f t="array" ref="C119">IF(OR($A119="",2&gt;Controls!$B$6),"",ROUND(MAX(0,Smooth!C119*Controls!C$17*INDEX(Controls!$B$21:$H$21,1,WEEKDAY($A119,2))*(1+Controls!$B$11)^117*(1+Controls!H$25*Smooth!$L119)*(1+Controls!H$26*Smooth!$M119)*(1+Controls!H$27*Smooth!$N119)*(1+Controls!H$28*Smooth!$O119)),2))</f>
        <v/>
      </c>
      <c r="D119" s="10" t="str">
        <f t="array" ref="D119">IF(OR($A119="",3&gt;Controls!$B$6),"",ROUND(MAX(0,Smooth!D119*Controls!D$17*INDEX(Controls!$B$21:$H$21,1,WEEKDAY($A119,2))*(1+Controls!$B$11)^117*(1+Controls!I$25*Smooth!$L119)*(1+Controls!I$26*Smooth!$M119)*(1+Controls!I$27*Smooth!$N119)*(1+Controls!I$28*Smooth!$O119)),2))</f>
        <v/>
      </c>
      <c r="E119" s="10" t="str">
        <f t="array" ref="E119">IF(OR($A119="",4&gt;Controls!$B$6),"",ROUND(MAX(0,Smooth!E119*Controls!E$17*INDEX(Controls!$B$21:$H$21,1,WEEKDAY($A119,2))*(1+Controls!$B$11)^117*(1+Controls!J$25*Smooth!$L119)*(1+Controls!J$26*Smooth!$M119)*(1+Controls!J$27*Smooth!$N119)*(1+Controls!J$28*Smooth!$O119)),2))</f>
        <v/>
      </c>
      <c r="F119" s="10" t="str">
        <f t="array" ref="F119">IF(OR($A119="",5&gt;Controls!$B$6),"",ROUND(MAX(0,Smooth!F119*Controls!F$17*INDEX(Controls!$B$21:$H$21,1,WEEKDAY($A119,2))*(1+Controls!$B$11)^117*(1+Controls!K$25*Smooth!$L119)*(1+Controls!K$26*Smooth!$M119)*(1+Controls!K$27*Smooth!$N119)*(1+Controls!K$28*Smooth!$O119)),2))</f>
        <v/>
      </c>
      <c r="G119" s="10" t="str">
        <f t="array" ref="G119">IF(OR($A119="",6&gt;Controls!$B$6),"",ROUND(MAX(0,Smooth!G119*Controls!G$17*INDEX(Controls!$B$21:$H$21,1,WEEKDAY($A119,2))*(1+Controls!$B$11)^117*(1+Controls!L$25*Smooth!$L119)*(1+Controls!L$26*Smooth!$M119)*(1+Controls!L$27*Smooth!$N119)*(1+Controls!L$28*Smooth!$O119)),2))</f>
        <v/>
      </c>
      <c r="H119" s="10" t="str">
        <f t="array" ref="H119">IF(OR($A119="",7&gt;Controls!$B$6),"",ROUND(MAX(0,Smooth!H119*Controls!H$17*INDEX(Controls!$B$21:$H$21,1,WEEKDAY($A119,2))*(1+Controls!$B$11)^117*(1+Controls!M$25*Smooth!$L119)*(1+Controls!M$26*Smooth!$M119)*(1+Controls!M$27*Smooth!$N119)*(1+Controls!M$28*Smooth!$O119)),2))</f>
        <v/>
      </c>
      <c r="I119" s="10" t="str">
        <f t="array" ref="I119">IF(OR($A119="",8&gt;Controls!$B$6),"",ROUND(MAX(0,Smooth!I119*Controls!I$17*INDEX(Controls!$B$21:$H$21,1,WEEKDAY($A119,2))*(1+Controls!$B$11)^117*(1+Controls!N$25*Smooth!$L119)*(1+Controls!N$26*Smooth!$M119)*(1+Controls!N$27*Smooth!$N119)*(1+Controls!N$28*Smooth!$O119)),2))</f>
        <v/>
      </c>
      <c r="J119" s="10" t="str">
        <f t="array" ref="J119">IF(OR($A119="",9&gt;Controls!$B$6),"",ROUND(MAX(0,Smooth!J119*Controls!J$17*INDEX(Controls!$B$21:$H$21,1,WEEKDAY($A119,2))*(1+Controls!$B$11)^117*(1+Controls!O$25*Smooth!$L119)*(1+Controls!O$26*Smooth!$M119)*(1+Controls!O$27*Smooth!$N119)*(1+Controls!O$28*Smooth!$O119)),2))</f>
        <v/>
      </c>
      <c r="K119" s="10" t="str">
        <f t="array" ref="K119">IF(OR($A119="",10&gt;Controls!$B$6),"",ROUND(MAX(0,Smooth!K119*Controls!K$17*INDEX(Controls!$B$21:$H$21,1,WEEKDAY($A119,2))*(1+Controls!$B$11)^117*(1+Controls!P$25*Smooth!$L119)*(1+Controls!P$26*Smooth!$M119)*(1+Controls!P$27*Smooth!$N119)*(1+Controls!P$28*Smooth!$O119)),2))</f>
        <v/>
      </c>
      <c r="L119" s="18" t="str">
        <f t="shared" si="1"/>
        <v/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21.0" customHeight="1">
      <c r="A120" s="7" t="str">
        <f>IF(119&lt;=Controls!$B$5,Controls!$B$4+118,"")</f>
        <v/>
      </c>
      <c r="B120" s="10" t="str">
        <f t="array" ref="B120">IF(OR($A120="",1&gt;Controls!$B$6),"",ROUND(MAX(0,Smooth!B120*Controls!B$17*INDEX(Controls!$B$21:$H$21,1,WEEKDAY($A120,2))*(1+Controls!$B$11)^118*(1+Controls!G$25*Smooth!$L120)*(1+Controls!G$26*Smooth!$M120)*(1+Controls!G$27*Smooth!$N120)*(1+Controls!G$28*Smooth!$O120)),2))</f>
        <v/>
      </c>
      <c r="C120" s="10" t="str">
        <f t="array" ref="C120">IF(OR($A120="",2&gt;Controls!$B$6),"",ROUND(MAX(0,Smooth!C120*Controls!C$17*INDEX(Controls!$B$21:$H$21,1,WEEKDAY($A120,2))*(1+Controls!$B$11)^118*(1+Controls!H$25*Smooth!$L120)*(1+Controls!H$26*Smooth!$M120)*(1+Controls!H$27*Smooth!$N120)*(1+Controls!H$28*Smooth!$O120)),2))</f>
        <v/>
      </c>
      <c r="D120" s="10" t="str">
        <f t="array" ref="D120">IF(OR($A120="",3&gt;Controls!$B$6),"",ROUND(MAX(0,Smooth!D120*Controls!D$17*INDEX(Controls!$B$21:$H$21,1,WEEKDAY($A120,2))*(1+Controls!$B$11)^118*(1+Controls!I$25*Smooth!$L120)*(1+Controls!I$26*Smooth!$M120)*(1+Controls!I$27*Smooth!$N120)*(1+Controls!I$28*Smooth!$O120)),2))</f>
        <v/>
      </c>
      <c r="E120" s="10" t="str">
        <f t="array" ref="E120">IF(OR($A120="",4&gt;Controls!$B$6),"",ROUND(MAX(0,Smooth!E120*Controls!E$17*INDEX(Controls!$B$21:$H$21,1,WEEKDAY($A120,2))*(1+Controls!$B$11)^118*(1+Controls!J$25*Smooth!$L120)*(1+Controls!J$26*Smooth!$M120)*(1+Controls!J$27*Smooth!$N120)*(1+Controls!J$28*Smooth!$O120)),2))</f>
        <v/>
      </c>
      <c r="F120" s="10" t="str">
        <f t="array" ref="F120">IF(OR($A120="",5&gt;Controls!$B$6),"",ROUND(MAX(0,Smooth!F120*Controls!F$17*INDEX(Controls!$B$21:$H$21,1,WEEKDAY($A120,2))*(1+Controls!$B$11)^118*(1+Controls!K$25*Smooth!$L120)*(1+Controls!K$26*Smooth!$M120)*(1+Controls!K$27*Smooth!$N120)*(1+Controls!K$28*Smooth!$O120)),2))</f>
        <v/>
      </c>
      <c r="G120" s="10" t="str">
        <f t="array" ref="G120">IF(OR($A120="",6&gt;Controls!$B$6),"",ROUND(MAX(0,Smooth!G120*Controls!G$17*INDEX(Controls!$B$21:$H$21,1,WEEKDAY($A120,2))*(1+Controls!$B$11)^118*(1+Controls!L$25*Smooth!$L120)*(1+Controls!L$26*Smooth!$M120)*(1+Controls!L$27*Smooth!$N120)*(1+Controls!L$28*Smooth!$O120)),2))</f>
        <v/>
      </c>
      <c r="H120" s="10" t="str">
        <f t="array" ref="H120">IF(OR($A120="",7&gt;Controls!$B$6),"",ROUND(MAX(0,Smooth!H120*Controls!H$17*INDEX(Controls!$B$21:$H$21,1,WEEKDAY($A120,2))*(1+Controls!$B$11)^118*(1+Controls!M$25*Smooth!$L120)*(1+Controls!M$26*Smooth!$M120)*(1+Controls!M$27*Smooth!$N120)*(1+Controls!M$28*Smooth!$O120)),2))</f>
        <v/>
      </c>
      <c r="I120" s="10" t="str">
        <f t="array" ref="I120">IF(OR($A120="",8&gt;Controls!$B$6),"",ROUND(MAX(0,Smooth!I120*Controls!I$17*INDEX(Controls!$B$21:$H$21,1,WEEKDAY($A120,2))*(1+Controls!$B$11)^118*(1+Controls!N$25*Smooth!$L120)*(1+Controls!N$26*Smooth!$M120)*(1+Controls!N$27*Smooth!$N120)*(1+Controls!N$28*Smooth!$O120)),2))</f>
        <v/>
      </c>
      <c r="J120" s="10" t="str">
        <f t="array" ref="J120">IF(OR($A120="",9&gt;Controls!$B$6),"",ROUND(MAX(0,Smooth!J120*Controls!J$17*INDEX(Controls!$B$21:$H$21,1,WEEKDAY($A120,2))*(1+Controls!$B$11)^118*(1+Controls!O$25*Smooth!$L120)*(1+Controls!O$26*Smooth!$M120)*(1+Controls!O$27*Smooth!$N120)*(1+Controls!O$28*Smooth!$O120)),2))</f>
        <v/>
      </c>
      <c r="K120" s="10" t="str">
        <f t="array" ref="K120">IF(OR($A120="",10&gt;Controls!$B$6),"",ROUND(MAX(0,Smooth!K120*Controls!K$17*INDEX(Controls!$B$21:$H$21,1,WEEKDAY($A120,2))*(1+Controls!$B$11)^118*(1+Controls!P$25*Smooth!$L120)*(1+Controls!P$26*Smooth!$M120)*(1+Controls!P$27*Smooth!$N120)*(1+Controls!P$28*Smooth!$O120)),2))</f>
        <v/>
      </c>
      <c r="L120" s="18" t="str">
        <f t="shared" si="1"/>
        <v/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21.0" customHeight="1">
      <c r="A121" s="7" t="str">
        <f>IF(120&lt;=Controls!$B$5,Controls!$B$4+119,"")</f>
        <v/>
      </c>
      <c r="B121" s="10" t="str">
        <f t="array" ref="B121">IF(OR($A121="",1&gt;Controls!$B$6),"",ROUND(MAX(0,Smooth!B121*Controls!B$17*INDEX(Controls!$B$21:$H$21,1,WEEKDAY($A121,2))*(1+Controls!$B$11)^119*(1+Controls!G$25*Smooth!$L121)*(1+Controls!G$26*Smooth!$M121)*(1+Controls!G$27*Smooth!$N121)*(1+Controls!G$28*Smooth!$O121)),2))</f>
        <v/>
      </c>
      <c r="C121" s="10" t="str">
        <f t="array" ref="C121">IF(OR($A121="",2&gt;Controls!$B$6),"",ROUND(MAX(0,Smooth!C121*Controls!C$17*INDEX(Controls!$B$21:$H$21,1,WEEKDAY($A121,2))*(1+Controls!$B$11)^119*(1+Controls!H$25*Smooth!$L121)*(1+Controls!H$26*Smooth!$M121)*(1+Controls!H$27*Smooth!$N121)*(1+Controls!H$28*Smooth!$O121)),2))</f>
        <v/>
      </c>
      <c r="D121" s="10" t="str">
        <f t="array" ref="D121">IF(OR($A121="",3&gt;Controls!$B$6),"",ROUND(MAX(0,Smooth!D121*Controls!D$17*INDEX(Controls!$B$21:$H$21,1,WEEKDAY($A121,2))*(1+Controls!$B$11)^119*(1+Controls!I$25*Smooth!$L121)*(1+Controls!I$26*Smooth!$M121)*(1+Controls!I$27*Smooth!$N121)*(1+Controls!I$28*Smooth!$O121)),2))</f>
        <v/>
      </c>
      <c r="E121" s="10" t="str">
        <f t="array" ref="E121">IF(OR($A121="",4&gt;Controls!$B$6),"",ROUND(MAX(0,Smooth!E121*Controls!E$17*INDEX(Controls!$B$21:$H$21,1,WEEKDAY($A121,2))*(1+Controls!$B$11)^119*(1+Controls!J$25*Smooth!$L121)*(1+Controls!J$26*Smooth!$M121)*(1+Controls!J$27*Smooth!$N121)*(1+Controls!J$28*Smooth!$O121)),2))</f>
        <v/>
      </c>
      <c r="F121" s="10" t="str">
        <f t="array" ref="F121">IF(OR($A121="",5&gt;Controls!$B$6),"",ROUND(MAX(0,Smooth!F121*Controls!F$17*INDEX(Controls!$B$21:$H$21,1,WEEKDAY($A121,2))*(1+Controls!$B$11)^119*(1+Controls!K$25*Smooth!$L121)*(1+Controls!K$26*Smooth!$M121)*(1+Controls!K$27*Smooth!$N121)*(1+Controls!K$28*Smooth!$O121)),2))</f>
        <v/>
      </c>
      <c r="G121" s="10" t="str">
        <f t="array" ref="G121">IF(OR($A121="",6&gt;Controls!$B$6),"",ROUND(MAX(0,Smooth!G121*Controls!G$17*INDEX(Controls!$B$21:$H$21,1,WEEKDAY($A121,2))*(1+Controls!$B$11)^119*(1+Controls!L$25*Smooth!$L121)*(1+Controls!L$26*Smooth!$M121)*(1+Controls!L$27*Smooth!$N121)*(1+Controls!L$28*Smooth!$O121)),2))</f>
        <v/>
      </c>
      <c r="H121" s="10" t="str">
        <f t="array" ref="H121">IF(OR($A121="",7&gt;Controls!$B$6),"",ROUND(MAX(0,Smooth!H121*Controls!H$17*INDEX(Controls!$B$21:$H$21,1,WEEKDAY($A121,2))*(1+Controls!$B$11)^119*(1+Controls!M$25*Smooth!$L121)*(1+Controls!M$26*Smooth!$M121)*(1+Controls!M$27*Smooth!$N121)*(1+Controls!M$28*Smooth!$O121)),2))</f>
        <v/>
      </c>
      <c r="I121" s="10" t="str">
        <f t="array" ref="I121">IF(OR($A121="",8&gt;Controls!$B$6),"",ROUND(MAX(0,Smooth!I121*Controls!I$17*INDEX(Controls!$B$21:$H$21,1,WEEKDAY($A121,2))*(1+Controls!$B$11)^119*(1+Controls!N$25*Smooth!$L121)*(1+Controls!N$26*Smooth!$M121)*(1+Controls!N$27*Smooth!$N121)*(1+Controls!N$28*Smooth!$O121)),2))</f>
        <v/>
      </c>
      <c r="J121" s="10" t="str">
        <f t="array" ref="J121">IF(OR($A121="",9&gt;Controls!$B$6),"",ROUND(MAX(0,Smooth!J121*Controls!J$17*INDEX(Controls!$B$21:$H$21,1,WEEKDAY($A121,2))*(1+Controls!$B$11)^119*(1+Controls!O$25*Smooth!$L121)*(1+Controls!O$26*Smooth!$M121)*(1+Controls!O$27*Smooth!$N121)*(1+Controls!O$28*Smooth!$O121)),2))</f>
        <v/>
      </c>
      <c r="K121" s="10" t="str">
        <f t="array" ref="K121">IF(OR($A121="",10&gt;Controls!$B$6),"",ROUND(MAX(0,Smooth!K121*Controls!K$17*INDEX(Controls!$B$21:$H$21,1,WEEKDAY($A121,2))*(1+Controls!$B$11)^119*(1+Controls!P$25*Smooth!$L121)*(1+Controls!P$26*Smooth!$M121)*(1+Controls!P$27*Smooth!$N121)*(1+Controls!P$28*Smooth!$O121)),2))</f>
        <v/>
      </c>
      <c r="L121" s="18" t="str">
        <f t="shared" si="1"/>
        <v/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21.0" customHeight="1">
      <c r="A122" s="7" t="str">
        <f>IF(121&lt;=Controls!$B$5,Controls!$B$4+120,"")</f>
        <v/>
      </c>
      <c r="B122" s="10" t="str">
        <f t="array" ref="B122">IF(OR($A122="",1&gt;Controls!$B$6),"",ROUND(MAX(0,Smooth!B122*Controls!B$17*INDEX(Controls!$B$21:$H$21,1,WEEKDAY($A122,2))*(1+Controls!$B$11)^120*(1+Controls!G$25*Smooth!$L122)*(1+Controls!G$26*Smooth!$M122)*(1+Controls!G$27*Smooth!$N122)*(1+Controls!G$28*Smooth!$O122)),2))</f>
        <v/>
      </c>
      <c r="C122" s="10" t="str">
        <f t="array" ref="C122">IF(OR($A122="",2&gt;Controls!$B$6),"",ROUND(MAX(0,Smooth!C122*Controls!C$17*INDEX(Controls!$B$21:$H$21,1,WEEKDAY($A122,2))*(1+Controls!$B$11)^120*(1+Controls!H$25*Smooth!$L122)*(1+Controls!H$26*Smooth!$M122)*(1+Controls!H$27*Smooth!$N122)*(1+Controls!H$28*Smooth!$O122)),2))</f>
        <v/>
      </c>
      <c r="D122" s="10" t="str">
        <f t="array" ref="D122">IF(OR($A122="",3&gt;Controls!$B$6),"",ROUND(MAX(0,Smooth!D122*Controls!D$17*INDEX(Controls!$B$21:$H$21,1,WEEKDAY($A122,2))*(1+Controls!$B$11)^120*(1+Controls!I$25*Smooth!$L122)*(1+Controls!I$26*Smooth!$M122)*(1+Controls!I$27*Smooth!$N122)*(1+Controls!I$28*Smooth!$O122)),2))</f>
        <v/>
      </c>
      <c r="E122" s="10" t="str">
        <f t="array" ref="E122">IF(OR($A122="",4&gt;Controls!$B$6),"",ROUND(MAX(0,Smooth!E122*Controls!E$17*INDEX(Controls!$B$21:$H$21,1,WEEKDAY($A122,2))*(1+Controls!$B$11)^120*(1+Controls!J$25*Smooth!$L122)*(1+Controls!J$26*Smooth!$M122)*(1+Controls!J$27*Smooth!$N122)*(1+Controls!J$28*Smooth!$O122)),2))</f>
        <v/>
      </c>
      <c r="F122" s="10" t="str">
        <f t="array" ref="F122">IF(OR($A122="",5&gt;Controls!$B$6),"",ROUND(MAX(0,Smooth!F122*Controls!F$17*INDEX(Controls!$B$21:$H$21,1,WEEKDAY($A122,2))*(1+Controls!$B$11)^120*(1+Controls!K$25*Smooth!$L122)*(1+Controls!K$26*Smooth!$M122)*(1+Controls!K$27*Smooth!$N122)*(1+Controls!K$28*Smooth!$O122)),2))</f>
        <v/>
      </c>
      <c r="G122" s="10" t="str">
        <f t="array" ref="G122">IF(OR($A122="",6&gt;Controls!$B$6),"",ROUND(MAX(0,Smooth!G122*Controls!G$17*INDEX(Controls!$B$21:$H$21,1,WEEKDAY($A122,2))*(1+Controls!$B$11)^120*(1+Controls!L$25*Smooth!$L122)*(1+Controls!L$26*Smooth!$M122)*(1+Controls!L$27*Smooth!$N122)*(1+Controls!L$28*Smooth!$O122)),2))</f>
        <v/>
      </c>
      <c r="H122" s="10" t="str">
        <f t="array" ref="H122">IF(OR($A122="",7&gt;Controls!$B$6),"",ROUND(MAX(0,Smooth!H122*Controls!H$17*INDEX(Controls!$B$21:$H$21,1,WEEKDAY($A122,2))*(1+Controls!$B$11)^120*(1+Controls!M$25*Smooth!$L122)*(1+Controls!M$26*Smooth!$M122)*(1+Controls!M$27*Smooth!$N122)*(1+Controls!M$28*Smooth!$O122)),2))</f>
        <v/>
      </c>
      <c r="I122" s="10" t="str">
        <f t="array" ref="I122">IF(OR($A122="",8&gt;Controls!$B$6),"",ROUND(MAX(0,Smooth!I122*Controls!I$17*INDEX(Controls!$B$21:$H$21,1,WEEKDAY($A122,2))*(1+Controls!$B$11)^120*(1+Controls!N$25*Smooth!$L122)*(1+Controls!N$26*Smooth!$M122)*(1+Controls!N$27*Smooth!$N122)*(1+Controls!N$28*Smooth!$O122)),2))</f>
        <v/>
      </c>
      <c r="J122" s="10" t="str">
        <f t="array" ref="J122">IF(OR($A122="",9&gt;Controls!$B$6),"",ROUND(MAX(0,Smooth!J122*Controls!J$17*INDEX(Controls!$B$21:$H$21,1,WEEKDAY($A122,2))*(1+Controls!$B$11)^120*(1+Controls!O$25*Smooth!$L122)*(1+Controls!O$26*Smooth!$M122)*(1+Controls!O$27*Smooth!$N122)*(1+Controls!O$28*Smooth!$O122)),2))</f>
        <v/>
      </c>
      <c r="K122" s="10" t="str">
        <f t="array" ref="K122">IF(OR($A122="",10&gt;Controls!$B$6),"",ROUND(MAX(0,Smooth!K122*Controls!K$17*INDEX(Controls!$B$21:$H$21,1,WEEKDAY($A122,2))*(1+Controls!$B$11)^120*(1+Controls!P$25*Smooth!$L122)*(1+Controls!P$26*Smooth!$M122)*(1+Controls!P$27*Smooth!$N122)*(1+Controls!P$28*Smooth!$O122)),2))</f>
        <v/>
      </c>
      <c r="L122" s="18" t="str">
        <f t="shared" si="1"/>
        <v/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21.0" customHeight="1">
      <c r="A123" s="7" t="str">
        <f>IF(122&lt;=Controls!$B$5,Controls!$B$4+121,"")</f>
        <v/>
      </c>
      <c r="B123" s="10" t="str">
        <f t="array" ref="B123">IF(OR($A123="",1&gt;Controls!$B$6),"",ROUND(MAX(0,Smooth!B123*Controls!B$17*INDEX(Controls!$B$21:$H$21,1,WEEKDAY($A123,2))*(1+Controls!$B$11)^121*(1+Controls!G$25*Smooth!$L123)*(1+Controls!G$26*Smooth!$M123)*(1+Controls!G$27*Smooth!$N123)*(1+Controls!G$28*Smooth!$O123)),2))</f>
        <v/>
      </c>
      <c r="C123" s="10" t="str">
        <f t="array" ref="C123">IF(OR($A123="",2&gt;Controls!$B$6),"",ROUND(MAX(0,Smooth!C123*Controls!C$17*INDEX(Controls!$B$21:$H$21,1,WEEKDAY($A123,2))*(1+Controls!$B$11)^121*(1+Controls!H$25*Smooth!$L123)*(1+Controls!H$26*Smooth!$M123)*(1+Controls!H$27*Smooth!$N123)*(1+Controls!H$28*Smooth!$O123)),2))</f>
        <v/>
      </c>
      <c r="D123" s="10" t="str">
        <f t="array" ref="D123">IF(OR($A123="",3&gt;Controls!$B$6),"",ROUND(MAX(0,Smooth!D123*Controls!D$17*INDEX(Controls!$B$21:$H$21,1,WEEKDAY($A123,2))*(1+Controls!$B$11)^121*(1+Controls!I$25*Smooth!$L123)*(1+Controls!I$26*Smooth!$M123)*(1+Controls!I$27*Smooth!$N123)*(1+Controls!I$28*Smooth!$O123)),2))</f>
        <v/>
      </c>
      <c r="E123" s="10" t="str">
        <f t="array" ref="E123">IF(OR($A123="",4&gt;Controls!$B$6),"",ROUND(MAX(0,Smooth!E123*Controls!E$17*INDEX(Controls!$B$21:$H$21,1,WEEKDAY($A123,2))*(1+Controls!$B$11)^121*(1+Controls!J$25*Smooth!$L123)*(1+Controls!J$26*Smooth!$M123)*(1+Controls!J$27*Smooth!$N123)*(1+Controls!J$28*Smooth!$O123)),2))</f>
        <v/>
      </c>
      <c r="F123" s="10" t="str">
        <f t="array" ref="F123">IF(OR($A123="",5&gt;Controls!$B$6),"",ROUND(MAX(0,Smooth!F123*Controls!F$17*INDEX(Controls!$B$21:$H$21,1,WEEKDAY($A123,2))*(1+Controls!$B$11)^121*(1+Controls!K$25*Smooth!$L123)*(1+Controls!K$26*Smooth!$M123)*(1+Controls!K$27*Smooth!$N123)*(1+Controls!K$28*Smooth!$O123)),2))</f>
        <v/>
      </c>
      <c r="G123" s="10" t="str">
        <f t="array" ref="G123">IF(OR($A123="",6&gt;Controls!$B$6),"",ROUND(MAX(0,Smooth!G123*Controls!G$17*INDEX(Controls!$B$21:$H$21,1,WEEKDAY($A123,2))*(1+Controls!$B$11)^121*(1+Controls!L$25*Smooth!$L123)*(1+Controls!L$26*Smooth!$M123)*(1+Controls!L$27*Smooth!$N123)*(1+Controls!L$28*Smooth!$O123)),2))</f>
        <v/>
      </c>
      <c r="H123" s="10" t="str">
        <f t="array" ref="H123">IF(OR($A123="",7&gt;Controls!$B$6),"",ROUND(MAX(0,Smooth!H123*Controls!H$17*INDEX(Controls!$B$21:$H$21,1,WEEKDAY($A123,2))*(1+Controls!$B$11)^121*(1+Controls!M$25*Smooth!$L123)*(1+Controls!M$26*Smooth!$M123)*(1+Controls!M$27*Smooth!$N123)*(1+Controls!M$28*Smooth!$O123)),2))</f>
        <v/>
      </c>
      <c r="I123" s="10" t="str">
        <f t="array" ref="I123">IF(OR($A123="",8&gt;Controls!$B$6),"",ROUND(MAX(0,Smooth!I123*Controls!I$17*INDEX(Controls!$B$21:$H$21,1,WEEKDAY($A123,2))*(1+Controls!$B$11)^121*(1+Controls!N$25*Smooth!$L123)*(1+Controls!N$26*Smooth!$M123)*(1+Controls!N$27*Smooth!$N123)*(1+Controls!N$28*Smooth!$O123)),2))</f>
        <v/>
      </c>
      <c r="J123" s="10" t="str">
        <f t="array" ref="J123">IF(OR($A123="",9&gt;Controls!$B$6),"",ROUND(MAX(0,Smooth!J123*Controls!J$17*INDEX(Controls!$B$21:$H$21,1,WEEKDAY($A123,2))*(1+Controls!$B$11)^121*(1+Controls!O$25*Smooth!$L123)*(1+Controls!O$26*Smooth!$M123)*(1+Controls!O$27*Smooth!$N123)*(1+Controls!O$28*Smooth!$O123)),2))</f>
        <v/>
      </c>
      <c r="K123" s="10" t="str">
        <f t="array" ref="K123">IF(OR($A123="",10&gt;Controls!$B$6),"",ROUND(MAX(0,Smooth!K123*Controls!K$17*INDEX(Controls!$B$21:$H$21,1,WEEKDAY($A123,2))*(1+Controls!$B$11)^121*(1+Controls!P$25*Smooth!$L123)*(1+Controls!P$26*Smooth!$M123)*(1+Controls!P$27*Smooth!$N123)*(1+Controls!P$28*Smooth!$O123)),2))</f>
        <v/>
      </c>
      <c r="L123" s="18" t="str">
        <f t="shared" si="1"/>
        <v/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21.0" customHeight="1">
      <c r="A124" s="7" t="str">
        <f>IF(123&lt;=Controls!$B$5,Controls!$B$4+122,"")</f>
        <v/>
      </c>
      <c r="B124" s="10" t="str">
        <f t="array" ref="B124">IF(OR($A124="",1&gt;Controls!$B$6),"",ROUND(MAX(0,Smooth!B124*Controls!B$17*INDEX(Controls!$B$21:$H$21,1,WEEKDAY($A124,2))*(1+Controls!$B$11)^122*(1+Controls!G$25*Smooth!$L124)*(1+Controls!G$26*Smooth!$M124)*(1+Controls!G$27*Smooth!$N124)*(1+Controls!G$28*Smooth!$O124)),2))</f>
        <v/>
      </c>
      <c r="C124" s="10" t="str">
        <f t="array" ref="C124">IF(OR($A124="",2&gt;Controls!$B$6),"",ROUND(MAX(0,Smooth!C124*Controls!C$17*INDEX(Controls!$B$21:$H$21,1,WEEKDAY($A124,2))*(1+Controls!$B$11)^122*(1+Controls!H$25*Smooth!$L124)*(1+Controls!H$26*Smooth!$M124)*(1+Controls!H$27*Smooth!$N124)*(1+Controls!H$28*Smooth!$O124)),2))</f>
        <v/>
      </c>
      <c r="D124" s="10" t="str">
        <f t="array" ref="D124">IF(OR($A124="",3&gt;Controls!$B$6),"",ROUND(MAX(0,Smooth!D124*Controls!D$17*INDEX(Controls!$B$21:$H$21,1,WEEKDAY($A124,2))*(1+Controls!$B$11)^122*(1+Controls!I$25*Smooth!$L124)*(1+Controls!I$26*Smooth!$M124)*(1+Controls!I$27*Smooth!$N124)*(1+Controls!I$28*Smooth!$O124)),2))</f>
        <v/>
      </c>
      <c r="E124" s="10" t="str">
        <f t="array" ref="E124">IF(OR($A124="",4&gt;Controls!$B$6),"",ROUND(MAX(0,Smooth!E124*Controls!E$17*INDEX(Controls!$B$21:$H$21,1,WEEKDAY($A124,2))*(1+Controls!$B$11)^122*(1+Controls!J$25*Smooth!$L124)*(1+Controls!J$26*Smooth!$M124)*(1+Controls!J$27*Smooth!$N124)*(1+Controls!J$28*Smooth!$O124)),2))</f>
        <v/>
      </c>
      <c r="F124" s="10" t="str">
        <f t="array" ref="F124">IF(OR($A124="",5&gt;Controls!$B$6),"",ROUND(MAX(0,Smooth!F124*Controls!F$17*INDEX(Controls!$B$21:$H$21,1,WEEKDAY($A124,2))*(1+Controls!$B$11)^122*(1+Controls!K$25*Smooth!$L124)*(1+Controls!K$26*Smooth!$M124)*(1+Controls!K$27*Smooth!$N124)*(1+Controls!K$28*Smooth!$O124)),2))</f>
        <v/>
      </c>
      <c r="G124" s="10" t="str">
        <f t="array" ref="G124">IF(OR($A124="",6&gt;Controls!$B$6),"",ROUND(MAX(0,Smooth!G124*Controls!G$17*INDEX(Controls!$B$21:$H$21,1,WEEKDAY($A124,2))*(1+Controls!$B$11)^122*(1+Controls!L$25*Smooth!$L124)*(1+Controls!L$26*Smooth!$M124)*(1+Controls!L$27*Smooth!$N124)*(1+Controls!L$28*Smooth!$O124)),2))</f>
        <v/>
      </c>
      <c r="H124" s="10" t="str">
        <f t="array" ref="H124">IF(OR($A124="",7&gt;Controls!$B$6),"",ROUND(MAX(0,Smooth!H124*Controls!H$17*INDEX(Controls!$B$21:$H$21,1,WEEKDAY($A124,2))*(1+Controls!$B$11)^122*(1+Controls!M$25*Smooth!$L124)*(1+Controls!M$26*Smooth!$M124)*(1+Controls!M$27*Smooth!$N124)*(1+Controls!M$28*Smooth!$O124)),2))</f>
        <v/>
      </c>
      <c r="I124" s="10" t="str">
        <f t="array" ref="I124">IF(OR($A124="",8&gt;Controls!$B$6),"",ROUND(MAX(0,Smooth!I124*Controls!I$17*INDEX(Controls!$B$21:$H$21,1,WEEKDAY($A124,2))*(1+Controls!$B$11)^122*(1+Controls!N$25*Smooth!$L124)*(1+Controls!N$26*Smooth!$M124)*(1+Controls!N$27*Smooth!$N124)*(1+Controls!N$28*Smooth!$O124)),2))</f>
        <v/>
      </c>
      <c r="J124" s="10" t="str">
        <f t="array" ref="J124">IF(OR($A124="",9&gt;Controls!$B$6),"",ROUND(MAX(0,Smooth!J124*Controls!J$17*INDEX(Controls!$B$21:$H$21,1,WEEKDAY($A124,2))*(1+Controls!$B$11)^122*(1+Controls!O$25*Smooth!$L124)*(1+Controls!O$26*Smooth!$M124)*(1+Controls!O$27*Smooth!$N124)*(1+Controls!O$28*Smooth!$O124)),2))</f>
        <v/>
      </c>
      <c r="K124" s="10" t="str">
        <f t="array" ref="K124">IF(OR($A124="",10&gt;Controls!$B$6),"",ROUND(MAX(0,Smooth!K124*Controls!K$17*INDEX(Controls!$B$21:$H$21,1,WEEKDAY($A124,2))*(1+Controls!$B$11)^122*(1+Controls!P$25*Smooth!$L124)*(1+Controls!P$26*Smooth!$M124)*(1+Controls!P$27*Smooth!$N124)*(1+Controls!P$28*Smooth!$O124)),2))</f>
        <v/>
      </c>
      <c r="L124" s="18" t="str">
        <f t="shared" si="1"/>
        <v/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21.0" customHeight="1">
      <c r="A125" s="7" t="str">
        <f>IF(124&lt;=Controls!$B$5,Controls!$B$4+123,"")</f>
        <v/>
      </c>
      <c r="B125" s="10" t="str">
        <f t="array" ref="B125">IF(OR($A125="",1&gt;Controls!$B$6),"",ROUND(MAX(0,Smooth!B125*Controls!B$17*INDEX(Controls!$B$21:$H$21,1,WEEKDAY($A125,2))*(1+Controls!$B$11)^123*(1+Controls!G$25*Smooth!$L125)*(1+Controls!G$26*Smooth!$M125)*(1+Controls!G$27*Smooth!$N125)*(1+Controls!G$28*Smooth!$O125)),2))</f>
        <v/>
      </c>
      <c r="C125" s="10" t="str">
        <f t="array" ref="C125">IF(OR($A125="",2&gt;Controls!$B$6),"",ROUND(MAX(0,Smooth!C125*Controls!C$17*INDEX(Controls!$B$21:$H$21,1,WEEKDAY($A125,2))*(1+Controls!$B$11)^123*(1+Controls!H$25*Smooth!$L125)*(1+Controls!H$26*Smooth!$M125)*(1+Controls!H$27*Smooth!$N125)*(1+Controls!H$28*Smooth!$O125)),2))</f>
        <v/>
      </c>
      <c r="D125" s="10" t="str">
        <f t="array" ref="D125">IF(OR($A125="",3&gt;Controls!$B$6),"",ROUND(MAX(0,Smooth!D125*Controls!D$17*INDEX(Controls!$B$21:$H$21,1,WEEKDAY($A125,2))*(1+Controls!$B$11)^123*(1+Controls!I$25*Smooth!$L125)*(1+Controls!I$26*Smooth!$M125)*(1+Controls!I$27*Smooth!$N125)*(1+Controls!I$28*Smooth!$O125)),2))</f>
        <v/>
      </c>
      <c r="E125" s="10" t="str">
        <f t="array" ref="E125">IF(OR($A125="",4&gt;Controls!$B$6),"",ROUND(MAX(0,Smooth!E125*Controls!E$17*INDEX(Controls!$B$21:$H$21,1,WEEKDAY($A125,2))*(1+Controls!$B$11)^123*(1+Controls!J$25*Smooth!$L125)*(1+Controls!J$26*Smooth!$M125)*(1+Controls!J$27*Smooth!$N125)*(1+Controls!J$28*Smooth!$O125)),2))</f>
        <v/>
      </c>
      <c r="F125" s="10" t="str">
        <f t="array" ref="F125">IF(OR($A125="",5&gt;Controls!$B$6),"",ROUND(MAX(0,Smooth!F125*Controls!F$17*INDEX(Controls!$B$21:$H$21,1,WEEKDAY($A125,2))*(1+Controls!$B$11)^123*(1+Controls!K$25*Smooth!$L125)*(1+Controls!K$26*Smooth!$M125)*(1+Controls!K$27*Smooth!$N125)*(1+Controls!K$28*Smooth!$O125)),2))</f>
        <v/>
      </c>
      <c r="G125" s="10" t="str">
        <f t="array" ref="G125">IF(OR($A125="",6&gt;Controls!$B$6),"",ROUND(MAX(0,Smooth!G125*Controls!G$17*INDEX(Controls!$B$21:$H$21,1,WEEKDAY($A125,2))*(1+Controls!$B$11)^123*(1+Controls!L$25*Smooth!$L125)*(1+Controls!L$26*Smooth!$M125)*(1+Controls!L$27*Smooth!$N125)*(1+Controls!L$28*Smooth!$O125)),2))</f>
        <v/>
      </c>
      <c r="H125" s="10" t="str">
        <f t="array" ref="H125">IF(OR($A125="",7&gt;Controls!$B$6),"",ROUND(MAX(0,Smooth!H125*Controls!H$17*INDEX(Controls!$B$21:$H$21,1,WEEKDAY($A125,2))*(1+Controls!$B$11)^123*(1+Controls!M$25*Smooth!$L125)*(1+Controls!M$26*Smooth!$M125)*(1+Controls!M$27*Smooth!$N125)*(1+Controls!M$28*Smooth!$O125)),2))</f>
        <v/>
      </c>
      <c r="I125" s="10" t="str">
        <f t="array" ref="I125">IF(OR($A125="",8&gt;Controls!$B$6),"",ROUND(MAX(0,Smooth!I125*Controls!I$17*INDEX(Controls!$B$21:$H$21,1,WEEKDAY($A125,2))*(1+Controls!$B$11)^123*(1+Controls!N$25*Smooth!$L125)*(1+Controls!N$26*Smooth!$M125)*(1+Controls!N$27*Smooth!$N125)*(1+Controls!N$28*Smooth!$O125)),2))</f>
        <v/>
      </c>
      <c r="J125" s="10" t="str">
        <f t="array" ref="J125">IF(OR($A125="",9&gt;Controls!$B$6),"",ROUND(MAX(0,Smooth!J125*Controls!J$17*INDEX(Controls!$B$21:$H$21,1,WEEKDAY($A125,2))*(1+Controls!$B$11)^123*(1+Controls!O$25*Smooth!$L125)*(1+Controls!O$26*Smooth!$M125)*(1+Controls!O$27*Smooth!$N125)*(1+Controls!O$28*Smooth!$O125)),2))</f>
        <v/>
      </c>
      <c r="K125" s="10" t="str">
        <f t="array" ref="K125">IF(OR($A125="",10&gt;Controls!$B$6),"",ROUND(MAX(0,Smooth!K125*Controls!K$17*INDEX(Controls!$B$21:$H$21,1,WEEKDAY($A125,2))*(1+Controls!$B$11)^123*(1+Controls!P$25*Smooth!$L125)*(1+Controls!P$26*Smooth!$M125)*(1+Controls!P$27*Smooth!$N125)*(1+Controls!P$28*Smooth!$O125)),2))</f>
        <v/>
      </c>
      <c r="L125" s="18" t="str">
        <f t="shared" si="1"/>
        <v/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21.0" customHeight="1">
      <c r="A126" s="7" t="str">
        <f>IF(125&lt;=Controls!$B$5,Controls!$B$4+124,"")</f>
        <v/>
      </c>
      <c r="B126" s="10" t="str">
        <f t="array" ref="B126">IF(OR($A126="",1&gt;Controls!$B$6),"",ROUND(MAX(0,Smooth!B126*Controls!B$17*INDEX(Controls!$B$21:$H$21,1,WEEKDAY($A126,2))*(1+Controls!$B$11)^124*(1+Controls!G$25*Smooth!$L126)*(1+Controls!G$26*Smooth!$M126)*(1+Controls!G$27*Smooth!$N126)*(1+Controls!G$28*Smooth!$O126)),2))</f>
        <v/>
      </c>
      <c r="C126" s="10" t="str">
        <f t="array" ref="C126">IF(OR($A126="",2&gt;Controls!$B$6),"",ROUND(MAX(0,Smooth!C126*Controls!C$17*INDEX(Controls!$B$21:$H$21,1,WEEKDAY($A126,2))*(1+Controls!$B$11)^124*(1+Controls!H$25*Smooth!$L126)*(1+Controls!H$26*Smooth!$M126)*(1+Controls!H$27*Smooth!$N126)*(1+Controls!H$28*Smooth!$O126)),2))</f>
        <v/>
      </c>
      <c r="D126" s="10" t="str">
        <f t="array" ref="D126">IF(OR($A126="",3&gt;Controls!$B$6),"",ROUND(MAX(0,Smooth!D126*Controls!D$17*INDEX(Controls!$B$21:$H$21,1,WEEKDAY($A126,2))*(1+Controls!$B$11)^124*(1+Controls!I$25*Smooth!$L126)*(1+Controls!I$26*Smooth!$M126)*(1+Controls!I$27*Smooth!$N126)*(1+Controls!I$28*Smooth!$O126)),2))</f>
        <v/>
      </c>
      <c r="E126" s="10" t="str">
        <f t="array" ref="E126">IF(OR($A126="",4&gt;Controls!$B$6),"",ROUND(MAX(0,Smooth!E126*Controls!E$17*INDEX(Controls!$B$21:$H$21,1,WEEKDAY($A126,2))*(1+Controls!$B$11)^124*(1+Controls!J$25*Smooth!$L126)*(1+Controls!J$26*Smooth!$M126)*(1+Controls!J$27*Smooth!$N126)*(1+Controls!J$28*Smooth!$O126)),2))</f>
        <v/>
      </c>
      <c r="F126" s="10" t="str">
        <f t="array" ref="F126">IF(OR($A126="",5&gt;Controls!$B$6),"",ROUND(MAX(0,Smooth!F126*Controls!F$17*INDEX(Controls!$B$21:$H$21,1,WEEKDAY($A126,2))*(1+Controls!$B$11)^124*(1+Controls!K$25*Smooth!$L126)*(1+Controls!K$26*Smooth!$M126)*(1+Controls!K$27*Smooth!$N126)*(1+Controls!K$28*Smooth!$O126)),2))</f>
        <v/>
      </c>
      <c r="G126" s="10" t="str">
        <f t="array" ref="G126">IF(OR($A126="",6&gt;Controls!$B$6),"",ROUND(MAX(0,Smooth!G126*Controls!G$17*INDEX(Controls!$B$21:$H$21,1,WEEKDAY($A126,2))*(1+Controls!$B$11)^124*(1+Controls!L$25*Smooth!$L126)*(1+Controls!L$26*Smooth!$M126)*(1+Controls!L$27*Smooth!$N126)*(1+Controls!L$28*Smooth!$O126)),2))</f>
        <v/>
      </c>
      <c r="H126" s="10" t="str">
        <f t="array" ref="H126">IF(OR($A126="",7&gt;Controls!$B$6),"",ROUND(MAX(0,Smooth!H126*Controls!H$17*INDEX(Controls!$B$21:$H$21,1,WEEKDAY($A126,2))*(1+Controls!$B$11)^124*(1+Controls!M$25*Smooth!$L126)*(1+Controls!M$26*Smooth!$M126)*(1+Controls!M$27*Smooth!$N126)*(1+Controls!M$28*Smooth!$O126)),2))</f>
        <v/>
      </c>
      <c r="I126" s="10" t="str">
        <f t="array" ref="I126">IF(OR($A126="",8&gt;Controls!$B$6),"",ROUND(MAX(0,Smooth!I126*Controls!I$17*INDEX(Controls!$B$21:$H$21,1,WEEKDAY($A126,2))*(1+Controls!$B$11)^124*(1+Controls!N$25*Smooth!$L126)*(1+Controls!N$26*Smooth!$M126)*(1+Controls!N$27*Smooth!$N126)*(1+Controls!N$28*Smooth!$O126)),2))</f>
        <v/>
      </c>
      <c r="J126" s="10" t="str">
        <f t="array" ref="J126">IF(OR($A126="",9&gt;Controls!$B$6),"",ROUND(MAX(0,Smooth!J126*Controls!J$17*INDEX(Controls!$B$21:$H$21,1,WEEKDAY($A126,2))*(1+Controls!$B$11)^124*(1+Controls!O$25*Smooth!$L126)*(1+Controls!O$26*Smooth!$M126)*(1+Controls!O$27*Smooth!$N126)*(1+Controls!O$28*Smooth!$O126)),2))</f>
        <v/>
      </c>
      <c r="K126" s="10" t="str">
        <f t="array" ref="K126">IF(OR($A126="",10&gt;Controls!$B$6),"",ROUND(MAX(0,Smooth!K126*Controls!K$17*INDEX(Controls!$B$21:$H$21,1,WEEKDAY($A126,2))*(1+Controls!$B$11)^124*(1+Controls!P$25*Smooth!$L126)*(1+Controls!P$26*Smooth!$M126)*(1+Controls!P$27*Smooth!$N126)*(1+Controls!P$28*Smooth!$O126)),2))</f>
        <v/>
      </c>
      <c r="L126" s="18" t="str">
        <f t="shared" si="1"/>
        <v/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21.0" customHeight="1">
      <c r="A127" s="7" t="str">
        <f>IF(126&lt;=Controls!$B$5,Controls!$B$4+125,"")</f>
        <v/>
      </c>
      <c r="B127" s="10" t="str">
        <f t="array" ref="B127">IF(OR($A127="",1&gt;Controls!$B$6),"",ROUND(MAX(0,Smooth!B127*Controls!B$17*INDEX(Controls!$B$21:$H$21,1,WEEKDAY($A127,2))*(1+Controls!$B$11)^125*(1+Controls!G$25*Smooth!$L127)*(1+Controls!G$26*Smooth!$M127)*(1+Controls!G$27*Smooth!$N127)*(1+Controls!G$28*Smooth!$O127)),2))</f>
        <v/>
      </c>
      <c r="C127" s="10" t="str">
        <f t="array" ref="C127">IF(OR($A127="",2&gt;Controls!$B$6),"",ROUND(MAX(0,Smooth!C127*Controls!C$17*INDEX(Controls!$B$21:$H$21,1,WEEKDAY($A127,2))*(1+Controls!$B$11)^125*(1+Controls!H$25*Smooth!$L127)*(1+Controls!H$26*Smooth!$M127)*(1+Controls!H$27*Smooth!$N127)*(1+Controls!H$28*Smooth!$O127)),2))</f>
        <v/>
      </c>
      <c r="D127" s="10" t="str">
        <f t="array" ref="D127">IF(OR($A127="",3&gt;Controls!$B$6),"",ROUND(MAX(0,Smooth!D127*Controls!D$17*INDEX(Controls!$B$21:$H$21,1,WEEKDAY($A127,2))*(1+Controls!$B$11)^125*(1+Controls!I$25*Smooth!$L127)*(1+Controls!I$26*Smooth!$M127)*(1+Controls!I$27*Smooth!$N127)*(1+Controls!I$28*Smooth!$O127)),2))</f>
        <v/>
      </c>
      <c r="E127" s="10" t="str">
        <f t="array" ref="E127">IF(OR($A127="",4&gt;Controls!$B$6),"",ROUND(MAX(0,Smooth!E127*Controls!E$17*INDEX(Controls!$B$21:$H$21,1,WEEKDAY($A127,2))*(1+Controls!$B$11)^125*(1+Controls!J$25*Smooth!$L127)*(1+Controls!J$26*Smooth!$M127)*(1+Controls!J$27*Smooth!$N127)*(1+Controls!J$28*Smooth!$O127)),2))</f>
        <v/>
      </c>
      <c r="F127" s="10" t="str">
        <f t="array" ref="F127">IF(OR($A127="",5&gt;Controls!$B$6),"",ROUND(MAX(0,Smooth!F127*Controls!F$17*INDEX(Controls!$B$21:$H$21,1,WEEKDAY($A127,2))*(1+Controls!$B$11)^125*(1+Controls!K$25*Smooth!$L127)*(1+Controls!K$26*Smooth!$M127)*(1+Controls!K$27*Smooth!$N127)*(1+Controls!K$28*Smooth!$O127)),2))</f>
        <v/>
      </c>
      <c r="G127" s="10" t="str">
        <f t="array" ref="G127">IF(OR($A127="",6&gt;Controls!$B$6),"",ROUND(MAX(0,Smooth!G127*Controls!G$17*INDEX(Controls!$B$21:$H$21,1,WEEKDAY($A127,2))*(1+Controls!$B$11)^125*(1+Controls!L$25*Smooth!$L127)*(1+Controls!L$26*Smooth!$M127)*(1+Controls!L$27*Smooth!$N127)*(1+Controls!L$28*Smooth!$O127)),2))</f>
        <v/>
      </c>
      <c r="H127" s="10" t="str">
        <f t="array" ref="H127">IF(OR($A127="",7&gt;Controls!$B$6),"",ROUND(MAX(0,Smooth!H127*Controls!H$17*INDEX(Controls!$B$21:$H$21,1,WEEKDAY($A127,2))*(1+Controls!$B$11)^125*(1+Controls!M$25*Smooth!$L127)*(1+Controls!M$26*Smooth!$M127)*(1+Controls!M$27*Smooth!$N127)*(1+Controls!M$28*Smooth!$O127)),2))</f>
        <v/>
      </c>
      <c r="I127" s="10" t="str">
        <f t="array" ref="I127">IF(OR($A127="",8&gt;Controls!$B$6),"",ROUND(MAX(0,Smooth!I127*Controls!I$17*INDEX(Controls!$B$21:$H$21,1,WEEKDAY($A127,2))*(1+Controls!$B$11)^125*(1+Controls!N$25*Smooth!$L127)*(1+Controls!N$26*Smooth!$M127)*(1+Controls!N$27*Smooth!$N127)*(1+Controls!N$28*Smooth!$O127)),2))</f>
        <v/>
      </c>
      <c r="J127" s="10" t="str">
        <f t="array" ref="J127">IF(OR($A127="",9&gt;Controls!$B$6),"",ROUND(MAX(0,Smooth!J127*Controls!J$17*INDEX(Controls!$B$21:$H$21,1,WEEKDAY($A127,2))*(1+Controls!$B$11)^125*(1+Controls!O$25*Smooth!$L127)*(1+Controls!O$26*Smooth!$M127)*(1+Controls!O$27*Smooth!$N127)*(1+Controls!O$28*Smooth!$O127)),2))</f>
        <v/>
      </c>
      <c r="K127" s="10" t="str">
        <f t="array" ref="K127">IF(OR($A127="",10&gt;Controls!$B$6),"",ROUND(MAX(0,Smooth!K127*Controls!K$17*INDEX(Controls!$B$21:$H$21,1,WEEKDAY($A127,2))*(1+Controls!$B$11)^125*(1+Controls!P$25*Smooth!$L127)*(1+Controls!P$26*Smooth!$M127)*(1+Controls!P$27*Smooth!$N127)*(1+Controls!P$28*Smooth!$O127)),2))</f>
        <v/>
      </c>
      <c r="L127" s="18" t="str">
        <f t="shared" si="1"/>
        <v/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21.0" customHeight="1">
      <c r="A128" s="7" t="str">
        <f>IF(127&lt;=Controls!$B$5,Controls!$B$4+126,"")</f>
        <v/>
      </c>
      <c r="B128" s="10" t="str">
        <f t="array" ref="B128">IF(OR($A128="",1&gt;Controls!$B$6),"",ROUND(MAX(0,Smooth!B128*Controls!B$17*INDEX(Controls!$B$21:$H$21,1,WEEKDAY($A128,2))*(1+Controls!$B$11)^126*(1+Controls!G$25*Smooth!$L128)*(1+Controls!G$26*Smooth!$M128)*(1+Controls!G$27*Smooth!$N128)*(1+Controls!G$28*Smooth!$O128)),2))</f>
        <v/>
      </c>
      <c r="C128" s="10" t="str">
        <f t="array" ref="C128">IF(OR($A128="",2&gt;Controls!$B$6),"",ROUND(MAX(0,Smooth!C128*Controls!C$17*INDEX(Controls!$B$21:$H$21,1,WEEKDAY($A128,2))*(1+Controls!$B$11)^126*(1+Controls!H$25*Smooth!$L128)*(1+Controls!H$26*Smooth!$M128)*(1+Controls!H$27*Smooth!$N128)*(1+Controls!H$28*Smooth!$O128)),2))</f>
        <v/>
      </c>
      <c r="D128" s="10" t="str">
        <f t="array" ref="D128">IF(OR($A128="",3&gt;Controls!$B$6),"",ROUND(MAX(0,Smooth!D128*Controls!D$17*INDEX(Controls!$B$21:$H$21,1,WEEKDAY($A128,2))*(1+Controls!$B$11)^126*(1+Controls!I$25*Smooth!$L128)*(1+Controls!I$26*Smooth!$M128)*(1+Controls!I$27*Smooth!$N128)*(1+Controls!I$28*Smooth!$O128)),2))</f>
        <v/>
      </c>
      <c r="E128" s="10" t="str">
        <f t="array" ref="E128">IF(OR($A128="",4&gt;Controls!$B$6),"",ROUND(MAX(0,Smooth!E128*Controls!E$17*INDEX(Controls!$B$21:$H$21,1,WEEKDAY($A128,2))*(1+Controls!$B$11)^126*(1+Controls!J$25*Smooth!$L128)*(1+Controls!J$26*Smooth!$M128)*(1+Controls!J$27*Smooth!$N128)*(1+Controls!J$28*Smooth!$O128)),2))</f>
        <v/>
      </c>
      <c r="F128" s="10" t="str">
        <f t="array" ref="F128">IF(OR($A128="",5&gt;Controls!$B$6),"",ROUND(MAX(0,Smooth!F128*Controls!F$17*INDEX(Controls!$B$21:$H$21,1,WEEKDAY($A128,2))*(1+Controls!$B$11)^126*(1+Controls!K$25*Smooth!$L128)*(1+Controls!K$26*Smooth!$M128)*(1+Controls!K$27*Smooth!$N128)*(1+Controls!K$28*Smooth!$O128)),2))</f>
        <v/>
      </c>
      <c r="G128" s="10" t="str">
        <f t="array" ref="G128">IF(OR($A128="",6&gt;Controls!$B$6),"",ROUND(MAX(0,Smooth!G128*Controls!G$17*INDEX(Controls!$B$21:$H$21,1,WEEKDAY($A128,2))*(1+Controls!$B$11)^126*(1+Controls!L$25*Smooth!$L128)*(1+Controls!L$26*Smooth!$M128)*(1+Controls!L$27*Smooth!$N128)*(1+Controls!L$28*Smooth!$O128)),2))</f>
        <v/>
      </c>
      <c r="H128" s="10" t="str">
        <f t="array" ref="H128">IF(OR($A128="",7&gt;Controls!$B$6),"",ROUND(MAX(0,Smooth!H128*Controls!H$17*INDEX(Controls!$B$21:$H$21,1,WEEKDAY($A128,2))*(1+Controls!$B$11)^126*(1+Controls!M$25*Smooth!$L128)*(1+Controls!M$26*Smooth!$M128)*(1+Controls!M$27*Smooth!$N128)*(1+Controls!M$28*Smooth!$O128)),2))</f>
        <v/>
      </c>
      <c r="I128" s="10" t="str">
        <f t="array" ref="I128">IF(OR($A128="",8&gt;Controls!$B$6),"",ROUND(MAX(0,Smooth!I128*Controls!I$17*INDEX(Controls!$B$21:$H$21,1,WEEKDAY($A128,2))*(1+Controls!$B$11)^126*(1+Controls!N$25*Smooth!$L128)*(1+Controls!N$26*Smooth!$M128)*(1+Controls!N$27*Smooth!$N128)*(1+Controls!N$28*Smooth!$O128)),2))</f>
        <v/>
      </c>
      <c r="J128" s="10" t="str">
        <f t="array" ref="J128">IF(OR($A128="",9&gt;Controls!$B$6),"",ROUND(MAX(0,Smooth!J128*Controls!J$17*INDEX(Controls!$B$21:$H$21,1,WEEKDAY($A128,2))*(1+Controls!$B$11)^126*(1+Controls!O$25*Smooth!$L128)*(1+Controls!O$26*Smooth!$M128)*(1+Controls!O$27*Smooth!$N128)*(1+Controls!O$28*Smooth!$O128)),2))</f>
        <v/>
      </c>
      <c r="K128" s="10" t="str">
        <f t="array" ref="K128">IF(OR($A128="",10&gt;Controls!$B$6),"",ROUND(MAX(0,Smooth!K128*Controls!K$17*INDEX(Controls!$B$21:$H$21,1,WEEKDAY($A128,2))*(1+Controls!$B$11)^126*(1+Controls!P$25*Smooth!$L128)*(1+Controls!P$26*Smooth!$M128)*(1+Controls!P$27*Smooth!$N128)*(1+Controls!P$28*Smooth!$O128)),2))</f>
        <v/>
      </c>
      <c r="L128" s="18" t="str">
        <f t="shared" si="1"/>
        <v/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21.0" customHeight="1">
      <c r="A129" s="7" t="str">
        <f>IF(128&lt;=Controls!$B$5,Controls!$B$4+127,"")</f>
        <v/>
      </c>
      <c r="B129" s="10" t="str">
        <f t="array" ref="B129">IF(OR($A129="",1&gt;Controls!$B$6),"",ROUND(MAX(0,Smooth!B129*Controls!B$17*INDEX(Controls!$B$21:$H$21,1,WEEKDAY($A129,2))*(1+Controls!$B$11)^127*(1+Controls!G$25*Smooth!$L129)*(1+Controls!G$26*Smooth!$M129)*(1+Controls!G$27*Smooth!$N129)*(1+Controls!G$28*Smooth!$O129)),2))</f>
        <v/>
      </c>
      <c r="C129" s="10" t="str">
        <f t="array" ref="C129">IF(OR($A129="",2&gt;Controls!$B$6),"",ROUND(MAX(0,Smooth!C129*Controls!C$17*INDEX(Controls!$B$21:$H$21,1,WEEKDAY($A129,2))*(1+Controls!$B$11)^127*(1+Controls!H$25*Smooth!$L129)*(1+Controls!H$26*Smooth!$M129)*(1+Controls!H$27*Smooth!$N129)*(1+Controls!H$28*Smooth!$O129)),2))</f>
        <v/>
      </c>
      <c r="D129" s="10" t="str">
        <f t="array" ref="D129">IF(OR($A129="",3&gt;Controls!$B$6),"",ROUND(MAX(0,Smooth!D129*Controls!D$17*INDEX(Controls!$B$21:$H$21,1,WEEKDAY($A129,2))*(1+Controls!$B$11)^127*(1+Controls!I$25*Smooth!$L129)*(1+Controls!I$26*Smooth!$M129)*(1+Controls!I$27*Smooth!$N129)*(1+Controls!I$28*Smooth!$O129)),2))</f>
        <v/>
      </c>
      <c r="E129" s="10" t="str">
        <f t="array" ref="E129">IF(OR($A129="",4&gt;Controls!$B$6),"",ROUND(MAX(0,Smooth!E129*Controls!E$17*INDEX(Controls!$B$21:$H$21,1,WEEKDAY($A129,2))*(1+Controls!$B$11)^127*(1+Controls!J$25*Smooth!$L129)*(1+Controls!J$26*Smooth!$M129)*(1+Controls!J$27*Smooth!$N129)*(1+Controls!J$28*Smooth!$O129)),2))</f>
        <v/>
      </c>
      <c r="F129" s="10" t="str">
        <f t="array" ref="F129">IF(OR($A129="",5&gt;Controls!$B$6),"",ROUND(MAX(0,Smooth!F129*Controls!F$17*INDEX(Controls!$B$21:$H$21,1,WEEKDAY($A129,2))*(1+Controls!$B$11)^127*(1+Controls!K$25*Smooth!$L129)*(1+Controls!K$26*Smooth!$M129)*(1+Controls!K$27*Smooth!$N129)*(1+Controls!K$28*Smooth!$O129)),2))</f>
        <v/>
      </c>
      <c r="G129" s="10" t="str">
        <f t="array" ref="G129">IF(OR($A129="",6&gt;Controls!$B$6),"",ROUND(MAX(0,Smooth!G129*Controls!G$17*INDEX(Controls!$B$21:$H$21,1,WEEKDAY($A129,2))*(1+Controls!$B$11)^127*(1+Controls!L$25*Smooth!$L129)*(1+Controls!L$26*Smooth!$M129)*(1+Controls!L$27*Smooth!$N129)*(1+Controls!L$28*Smooth!$O129)),2))</f>
        <v/>
      </c>
      <c r="H129" s="10" t="str">
        <f t="array" ref="H129">IF(OR($A129="",7&gt;Controls!$B$6),"",ROUND(MAX(0,Smooth!H129*Controls!H$17*INDEX(Controls!$B$21:$H$21,1,WEEKDAY($A129,2))*(1+Controls!$B$11)^127*(1+Controls!M$25*Smooth!$L129)*(1+Controls!M$26*Smooth!$M129)*(1+Controls!M$27*Smooth!$N129)*(1+Controls!M$28*Smooth!$O129)),2))</f>
        <v/>
      </c>
      <c r="I129" s="10" t="str">
        <f t="array" ref="I129">IF(OR($A129="",8&gt;Controls!$B$6),"",ROUND(MAX(0,Smooth!I129*Controls!I$17*INDEX(Controls!$B$21:$H$21,1,WEEKDAY($A129,2))*(1+Controls!$B$11)^127*(1+Controls!N$25*Smooth!$L129)*(1+Controls!N$26*Smooth!$M129)*(1+Controls!N$27*Smooth!$N129)*(1+Controls!N$28*Smooth!$O129)),2))</f>
        <v/>
      </c>
      <c r="J129" s="10" t="str">
        <f t="array" ref="J129">IF(OR($A129="",9&gt;Controls!$B$6),"",ROUND(MAX(0,Smooth!J129*Controls!J$17*INDEX(Controls!$B$21:$H$21,1,WEEKDAY($A129,2))*(1+Controls!$B$11)^127*(1+Controls!O$25*Smooth!$L129)*(1+Controls!O$26*Smooth!$M129)*(1+Controls!O$27*Smooth!$N129)*(1+Controls!O$28*Smooth!$O129)),2))</f>
        <v/>
      </c>
      <c r="K129" s="10" t="str">
        <f t="array" ref="K129">IF(OR($A129="",10&gt;Controls!$B$6),"",ROUND(MAX(0,Smooth!K129*Controls!K$17*INDEX(Controls!$B$21:$H$21,1,WEEKDAY($A129,2))*(1+Controls!$B$11)^127*(1+Controls!P$25*Smooth!$L129)*(1+Controls!P$26*Smooth!$M129)*(1+Controls!P$27*Smooth!$N129)*(1+Controls!P$28*Smooth!$O129)),2))</f>
        <v/>
      </c>
      <c r="L129" s="18" t="str">
        <f t="shared" si="1"/>
        <v/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21.0" customHeight="1">
      <c r="A130" s="7" t="str">
        <f>IF(129&lt;=Controls!$B$5,Controls!$B$4+128,"")</f>
        <v/>
      </c>
      <c r="B130" s="10" t="str">
        <f t="array" ref="B130">IF(OR($A130="",1&gt;Controls!$B$6),"",ROUND(MAX(0,Smooth!B130*Controls!B$17*INDEX(Controls!$B$21:$H$21,1,WEEKDAY($A130,2))*(1+Controls!$B$11)^128*(1+Controls!G$25*Smooth!$L130)*(1+Controls!G$26*Smooth!$M130)*(1+Controls!G$27*Smooth!$N130)*(1+Controls!G$28*Smooth!$O130)),2))</f>
        <v/>
      </c>
      <c r="C130" s="10" t="str">
        <f t="array" ref="C130">IF(OR($A130="",2&gt;Controls!$B$6),"",ROUND(MAX(0,Smooth!C130*Controls!C$17*INDEX(Controls!$B$21:$H$21,1,WEEKDAY($A130,2))*(1+Controls!$B$11)^128*(1+Controls!H$25*Smooth!$L130)*(1+Controls!H$26*Smooth!$M130)*(1+Controls!H$27*Smooth!$N130)*(1+Controls!H$28*Smooth!$O130)),2))</f>
        <v/>
      </c>
      <c r="D130" s="10" t="str">
        <f t="array" ref="D130">IF(OR($A130="",3&gt;Controls!$B$6),"",ROUND(MAX(0,Smooth!D130*Controls!D$17*INDEX(Controls!$B$21:$H$21,1,WEEKDAY($A130,2))*(1+Controls!$B$11)^128*(1+Controls!I$25*Smooth!$L130)*(1+Controls!I$26*Smooth!$M130)*(1+Controls!I$27*Smooth!$N130)*(1+Controls!I$28*Smooth!$O130)),2))</f>
        <v/>
      </c>
      <c r="E130" s="10" t="str">
        <f t="array" ref="E130">IF(OR($A130="",4&gt;Controls!$B$6),"",ROUND(MAX(0,Smooth!E130*Controls!E$17*INDEX(Controls!$B$21:$H$21,1,WEEKDAY($A130,2))*(1+Controls!$B$11)^128*(1+Controls!J$25*Smooth!$L130)*(1+Controls!J$26*Smooth!$M130)*(1+Controls!J$27*Smooth!$N130)*(1+Controls!J$28*Smooth!$O130)),2))</f>
        <v/>
      </c>
      <c r="F130" s="10" t="str">
        <f t="array" ref="F130">IF(OR($A130="",5&gt;Controls!$B$6),"",ROUND(MAX(0,Smooth!F130*Controls!F$17*INDEX(Controls!$B$21:$H$21,1,WEEKDAY($A130,2))*(1+Controls!$B$11)^128*(1+Controls!K$25*Smooth!$L130)*(1+Controls!K$26*Smooth!$M130)*(1+Controls!K$27*Smooth!$N130)*(1+Controls!K$28*Smooth!$O130)),2))</f>
        <v/>
      </c>
      <c r="G130" s="10" t="str">
        <f t="array" ref="G130">IF(OR($A130="",6&gt;Controls!$B$6),"",ROUND(MAX(0,Smooth!G130*Controls!G$17*INDEX(Controls!$B$21:$H$21,1,WEEKDAY($A130,2))*(1+Controls!$B$11)^128*(1+Controls!L$25*Smooth!$L130)*(1+Controls!L$26*Smooth!$M130)*(1+Controls!L$27*Smooth!$N130)*(1+Controls!L$28*Smooth!$O130)),2))</f>
        <v/>
      </c>
      <c r="H130" s="10" t="str">
        <f t="array" ref="H130">IF(OR($A130="",7&gt;Controls!$B$6),"",ROUND(MAX(0,Smooth!H130*Controls!H$17*INDEX(Controls!$B$21:$H$21,1,WEEKDAY($A130,2))*(1+Controls!$B$11)^128*(1+Controls!M$25*Smooth!$L130)*(1+Controls!M$26*Smooth!$M130)*(1+Controls!M$27*Smooth!$N130)*(1+Controls!M$28*Smooth!$O130)),2))</f>
        <v/>
      </c>
      <c r="I130" s="10" t="str">
        <f t="array" ref="I130">IF(OR($A130="",8&gt;Controls!$B$6),"",ROUND(MAX(0,Smooth!I130*Controls!I$17*INDEX(Controls!$B$21:$H$21,1,WEEKDAY($A130,2))*(1+Controls!$B$11)^128*(1+Controls!N$25*Smooth!$L130)*(1+Controls!N$26*Smooth!$M130)*(1+Controls!N$27*Smooth!$N130)*(1+Controls!N$28*Smooth!$O130)),2))</f>
        <v/>
      </c>
      <c r="J130" s="10" t="str">
        <f t="array" ref="J130">IF(OR($A130="",9&gt;Controls!$B$6),"",ROUND(MAX(0,Smooth!J130*Controls!J$17*INDEX(Controls!$B$21:$H$21,1,WEEKDAY($A130,2))*(1+Controls!$B$11)^128*(1+Controls!O$25*Smooth!$L130)*(1+Controls!O$26*Smooth!$M130)*(1+Controls!O$27*Smooth!$N130)*(1+Controls!O$28*Smooth!$O130)),2))</f>
        <v/>
      </c>
      <c r="K130" s="10" t="str">
        <f t="array" ref="K130">IF(OR($A130="",10&gt;Controls!$B$6),"",ROUND(MAX(0,Smooth!K130*Controls!K$17*INDEX(Controls!$B$21:$H$21,1,WEEKDAY($A130,2))*(1+Controls!$B$11)^128*(1+Controls!P$25*Smooth!$L130)*(1+Controls!P$26*Smooth!$M130)*(1+Controls!P$27*Smooth!$N130)*(1+Controls!P$28*Smooth!$O130)),2))</f>
        <v/>
      </c>
      <c r="L130" s="18" t="str">
        <f t="shared" si="1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21.0" customHeight="1">
      <c r="A131" s="7" t="str">
        <f>IF(130&lt;=Controls!$B$5,Controls!$B$4+129,"")</f>
        <v/>
      </c>
      <c r="B131" s="10" t="str">
        <f t="array" ref="B131">IF(OR($A131="",1&gt;Controls!$B$6),"",ROUND(MAX(0,Smooth!B131*Controls!B$17*INDEX(Controls!$B$21:$H$21,1,WEEKDAY($A131,2))*(1+Controls!$B$11)^129*(1+Controls!G$25*Smooth!$L131)*(1+Controls!G$26*Smooth!$M131)*(1+Controls!G$27*Smooth!$N131)*(1+Controls!G$28*Smooth!$O131)),2))</f>
        <v/>
      </c>
      <c r="C131" s="10" t="str">
        <f t="array" ref="C131">IF(OR($A131="",2&gt;Controls!$B$6),"",ROUND(MAX(0,Smooth!C131*Controls!C$17*INDEX(Controls!$B$21:$H$21,1,WEEKDAY($A131,2))*(1+Controls!$B$11)^129*(1+Controls!H$25*Smooth!$L131)*(1+Controls!H$26*Smooth!$M131)*(1+Controls!H$27*Smooth!$N131)*(1+Controls!H$28*Smooth!$O131)),2))</f>
        <v/>
      </c>
      <c r="D131" s="10" t="str">
        <f t="array" ref="D131">IF(OR($A131="",3&gt;Controls!$B$6),"",ROUND(MAX(0,Smooth!D131*Controls!D$17*INDEX(Controls!$B$21:$H$21,1,WEEKDAY($A131,2))*(1+Controls!$B$11)^129*(1+Controls!I$25*Smooth!$L131)*(1+Controls!I$26*Smooth!$M131)*(1+Controls!I$27*Smooth!$N131)*(1+Controls!I$28*Smooth!$O131)),2))</f>
        <v/>
      </c>
      <c r="E131" s="10" t="str">
        <f t="array" ref="E131">IF(OR($A131="",4&gt;Controls!$B$6),"",ROUND(MAX(0,Smooth!E131*Controls!E$17*INDEX(Controls!$B$21:$H$21,1,WEEKDAY($A131,2))*(1+Controls!$B$11)^129*(1+Controls!J$25*Smooth!$L131)*(1+Controls!J$26*Smooth!$M131)*(1+Controls!J$27*Smooth!$N131)*(1+Controls!J$28*Smooth!$O131)),2))</f>
        <v/>
      </c>
      <c r="F131" s="10" t="str">
        <f t="array" ref="F131">IF(OR($A131="",5&gt;Controls!$B$6),"",ROUND(MAX(0,Smooth!F131*Controls!F$17*INDEX(Controls!$B$21:$H$21,1,WEEKDAY($A131,2))*(1+Controls!$B$11)^129*(1+Controls!K$25*Smooth!$L131)*(1+Controls!K$26*Smooth!$M131)*(1+Controls!K$27*Smooth!$N131)*(1+Controls!K$28*Smooth!$O131)),2))</f>
        <v/>
      </c>
      <c r="G131" s="10" t="str">
        <f t="array" ref="G131">IF(OR($A131="",6&gt;Controls!$B$6),"",ROUND(MAX(0,Smooth!G131*Controls!G$17*INDEX(Controls!$B$21:$H$21,1,WEEKDAY($A131,2))*(1+Controls!$B$11)^129*(1+Controls!L$25*Smooth!$L131)*(1+Controls!L$26*Smooth!$M131)*(1+Controls!L$27*Smooth!$N131)*(1+Controls!L$28*Smooth!$O131)),2))</f>
        <v/>
      </c>
      <c r="H131" s="10" t="str">
        <f t="array" ref="H131">IF(OR($A131="",7&gt;Controls!$B$6),"",ROUND(MAX(0,Smooth!H131*Controls!H$17*INDEX(Controls!$B$21:$H$21,1,WEEKDAY($A131,2))*(1+Controls!$B$11)^129*(1+Controls!M$25*Smooth!$L131)*(1+Controls!M$26*Smooth!$M131)*(1+Controls!M$27*Smooth!$N131)*(1+Controls!M$28*Smooth!$O131)),2))</f>
        <v/>
      </c>
      <c r="I131" s="10" t="str">
        <f t="array" ref="I131">IF(OR($A131="",8&gt;Controls!$B$6),"",ROUND(MAX(0,Smooth!I131*Controls!I$17*INDEX(Controls!$B$21:$H$21,1,WEEKDAY($A131,2))*(1+Controls!$B$11)^129*(1+Controls!N$25*Smooth!$L131)*(1+Controls!N$26*Smooth!$M131)*(1+Controls!N$27*Smooth!$N131)*(1+Controls!N$28*Smooth!$O131)),2))</f>
        <v/>
      </c>
      <c r="J131" s="10" t="str">
        <f t="array" ref="J131">IF(OR($A131="",9&gt;Controls!$B$6),"",ROUND(MAX(0,Smooth!J131*Controls!J$17*INDEX(Controls!$B$21:$H$21,1,WEEKDAY($A131,2))*(1+Controls!$B$11)^129*(1+Controls!O$25*Smooth!$L131)*(1+Controls!O$26*Smooth!$M131)*(1+Controls!O$27*Smooth!$N131)*(1+Controls!O$28*Smooth!$O131)),2))</f>
        <v/>
      </c>
      <c r="K131" s="10" t="str">
        <f t="array" ref="K131">IF(OR($A131="",10&gt;Controls!$B$6),"",ROUND(MAX(0,Smooth!K131*Controls!K$17*INDEX(Controls!$B$21:$H$21,1,WEEKDAY($A131,2))*(1+Controls!$B$11)^129*(1+Controls!P$25*Smooth!$L131)*(1+Controls!P$26*Smooth!$M131)*(1+Controls!P$27*Smooth!$N131)*(1+Controls!P$28*Smooth!$O131)),2))</f>
        <v/>
      </c>
      <c r="L131" s="18" t="str">
        <f t="shared" si="1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21.0" customHeight="1">
      <c r="A132" s="7" t="str">
        <f>IF(131&lt;=Controls!$B$5,Controls!$B$4+130,"")</f>
        <v/>
      </c>
      <c r="B132" s="10" t="str">
        <f t="array" ref="B132">IF(OR($A132="",1&gt;Controls!$B$6),"",ROUND(MAX(0,Smooth!B132*Controls!B$17*INDEX(Controls!$B$21:$H$21,1,WEEKDAY($A132,2))*(1+Controls!$B$11)^130*(1+Controls!G$25*Smooth!$L132)*(1+Controls!G$26*Smooth!$M132)*(1+Controls!G$27*Smooth!$N132)*(1+Controls!G$28*Smooth!$O132)),2))</f>
        <v/>
      </c>
      <c r="C132" s="10" t="str">
        <f t="array" ref="C132">IF(OR($A132="",2&gt;Controls!$B$6),"",ROUND(MAX(0,Smooth!C132*Controls!C$17*INDEX(Controls!$B$21:$H$21,1,WEEKDAY($A132,2))*(1+Controls!$B$11)^130*(1+Controls!H$25*Smooth!$L132)*(1+Controls!H$26*Smooth!$M132)*(1+Controls!H$27*Smooth!$N132)*(1+Controls!H$28*Smooth!$O132)),2))</f>
        <v/>
      </c>
      <c r="D132" s="10" t="str">
        <f t="array" ref="D132">IF(OR($A132="",3&gt;Controls!$B$6),"",ROUND(MAX(0,Smooth!D132*Controls!D$17*INDEX(Controls!$B$21:$H$21,1,WEEKDAY($A132,2))*(1+Controls!$B$11)^130*(1+Controls!I$25*Smooth!$L132)*(1+Controls!I$26*Smooth!$M132)*(1+Controls!I$27*Smooth!$N132)*(1+Controls!I$28*Smooth!$O132)),2))</f>
        <v/>
      </c>
      <c r="E132" s="10" t="str">
        <f t="array" ref="E132">IF(OR($A132="",4&gt;Controls!$B$6),"",ROUND(MAX(0,Smooth!E132*Controls!E$17*INDEX(Controls!$B$21:$H$21,1,WEEKDAY($A132,2))*(1+Controls!$B$11)^130*(1+Controls!J$25*Smooth!$L132)*(1+Controls!J$26*Smooth!$M132)*(1+Controls!J$27*Smooth!$N132)*(1+Controls!J$28*Smooth!$O132)),2))</f>
        <v/>
      </c>
      <c r="F132" s="10" t="str">
        <f t="array" ref="F132">IF(OR($A132="",5&gt;Controls!$B$6),"",ROUND(MAX(0,Smooth!F132*Controls!F$17*INDEX(Controls!$B$21:$H$21,1,WEEKDAY($A132,2))*(1+Controls!$B$11)^130*(1+Controls!K$25*Smooth!$L132)*(1+Controls!K$26*Smooth!$M132)*(1+Controls!K$27*Smooth!$N132)*(1+Controls!K$28*Smooth!$O132)),2))</f>
        <v/>
      </c>
      <c r="G132" s="10" t="str">
        <f t="array" ref="G132">IF(OR($A132="",6&gt;Controls!$B$6),"",ROUND(MAX(0,Smooth!G132*Controls!G$17*INDEX(Controls!$B$21:$H$21,1,WEEKDAY($A132,2))*(1+Controls!$B$11)^130*(1+Controls!L$25*Smooth!$L132)*(1+Controls!L$26*Smooth!$M132)*(1+Controls!L$27*Smooth!$N132)*(1+Controls!L$28*Smooth!$O132)),2))</f>
        <v/>
      </c>
      <c r="H132" s="10" t="str">
        <f t="array" ref="H132">IF(OR($A132="",7&gt;Controls!$B$6),"",ROUND(MAX(0,Smooth!H132*Controls!H$17*INDEX(Controls!$B$21:$H$21,1,WEEKDAY($A132,2))*(1+Controls!$B$11)^130*(1+Controls!M$25*Smooth!$L132)*(1+Controls!M$26*Smooth!$M132)*(1+Controls!M$27*Smooth!$N132)*(1+Controls!M$28*Smooth!$O132)),2))</f>
        <v/>
      </c>
      <c r="I132" s="10" t="str">
        <f t="array" ref="I132">IF(OR($A132="",8&gt;Controls!$B$6),"",ROUND(MAX(0,Smooth!I132*Controls!I$17*INDEX(Controls!$B$21:$H$21,1,WEEKDAY($A132,2))*(1+Controls!$B$11)^130*(1+Controls!N$25*Smooth!$L132)*(1+Controls!N$26*Smooth!$M132)*(1+Controls!N$27*Smooth!$N132)*(1+Controls!N$28*Smooth!$O132)),2))</f>
        <v/>
      </c>
      <c r="J132" s="10" t="str">
        <f t="array" ref="J132">IF(OR($A132="",9&gt;Controls!$B$6),"",ROUND(MAX(0,Smooth!J132*Controls!J$17*INDEX(Controls!$B$21:$H$21,1,WEEKDAY($A132,2))*(1+Controls!$B$11)^130*(1+Controls!O$25*Smooth!$L132)*(1+Controls!O$26*Smooth!$M132)*(1+Controls!O$27*Smooth!$N132)*(1+Controls!O$28*Smooth!$O132)),2))</f>
        <v/>
      </c>
      <c r="K132" s="10" t="str">
        <f t="array" ref="K132">IF(OR($A132="",10&gt;Controls!$B$6),"",ROUND(MAX(0,Smooth!K132*Controls!K$17*INDEX(Controls!$B$21:$H$21,1,WEEKDAY($A132,2))*(1+Controls!$B$11)^130*(1+Controls!P$25*Smooth!$L132)*(1+Controls!P$26*Smooth!$M132)*(1+Controls!P$27*Smooth!$N132)*(1+Controls!P$28*Smooth!$O132)),2))</f>
        <v/>
      </c>
      <c r="L132" s="18" t="str">
        <f t="shared" si="1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21.0" customHeight="1">
      <c r="A133" s="7" t="str">
        <f>IF(132&lt;=Controls!$B$5,Controls!$B$4+131,"")</f>
        <v/>
      </c>
      <c r="B133" s="10" t="str">
        <f t="array" ref="B133">IF(OR($A133="",1&gt;Controls!$B$6),"",ROUND(MAX(0,Smooth!B133*Controls!B$17*INDEX(Controls!$B$21:$H$21,1,WEEKDAY($A133,2))*(1+Controls!$B$11)^131*(1+Controls!G$25*Smooth!$L133)*(1+Controls!G$26*Smooth!$M133)*(1+Controls!G$27*Smooth!$N133)*(1+Controls!G$28*Smooth!$O133)),2))</f>
        <v/>
      </c>
      <c r="C133" s="10" t="str">
        <f t="array" ref="C133">IF(OR($A133="",2&gt;Controls!$B$6),"",ROUND(MAX(0,Smooth!C133*Controls!C$17*INDEX(Controls!$B$21:$H$21,1,WEEKDAY($A133,2))*(1+Controls!$B$11)^131*(1+Controls!H$25*Smooth!$L133)*(1+Controls!H$26*Smooth!$M133)*(1+Controls!H$27*Smooth!$N133)*(1+Controls!H$28*Smooth!$O133)),2))</f>
        <v/>
      </c>
      <c r="D133" s="10" t="str">
        <f t="array" ref="D133">IF(OR($A133="",3&gt;Controls!$B$6),"",ROUND(MAX(0,Smooth!D133*Controls!D$17*INDEX(Controls!$B$21:$H$21,1,WEEKDAY($A133,2))*(1+Controls!$B$11)^131*(1+Controls!I$25*Smooth!$L133)*(1+Controls!I$26*Smooth!$M133)*(1+Controls!I$27*Smooth!$N133)*(1+Controls!I$28*Smooth!$O133)),2))</f>
        <v/>
      </c>
      <c r="E133" s="10" t="str">
        <f t="array" ref="E133">IF(OR($A133="",4&gt;Controls!$B$6),"",ROUND(MAX(0,Smooth!E133*Controls!E$17*INDEX(Controls!$B$21:$H$21,1,WEEKDAY($A133,2))*(1+Controls!$B$11)^131*(1+Controls!J$25*Smooth!$L133)*(1+Controls!J$26*Smooth!$M133)*(1+Controls!J$27*Smooth!$N133)*(1+Controls!J$28*Smooth!$O133)),2))</f>
        <v/>
      </c>
      <c r="F133" s="10" t="str">
        <f t="array" ref="F133">IF(OR($A133="",5&gt;Controls!$B$6),"",ROUND(MAX(0,Smooth!F133*Controls!F$17*INDEX(Controls!$B$21:$H$21,1,WEEKDAY($A133,2))*(1+Controls!$B$11)^131*(1+Controls!K$25*Smooth!$L133)*(1+Controls!K$26*Smooth!$M133)*(1+Controls!K$27*Smooth!$N133)*(1+Controls!K$28*Smooth!$O133)),2))</f>
        <v/>
      </c>
      <c r="G133" s="10" t="str">
        <f t="array" ref="G133">IF(OR($A133="",6&gt;Controls!$B$6),"",ROUND(MAX(0,Smooth!G133*Controls!G$17*INDEX(Controls!$B$21:$H$21,1,WEEKDAY($A133,2))*(1+Controls!$B$11)^131*(1+Controls!L$25*Smooth!$L133)*(1+Controls!L$26*Smooth!$M133)*(1+Controls!L$27*Smooth!$N133)*(1+Controls!L$28*Smooth!$O133)),2))</f>
        <v/>
      </c>
      <c r="H133" s="10" t="str">
        <f t="array" ref="H133">IF(OR($A133="",7&gt;Controls!$B$6),"",ROUND(MAX(0,Smooth!H133*Controls!H$17*INDEX(Controls!$B$21:$H$21,1,WEEKDAY($A133,2))*(1+Controls!$B$11)^131*(1+Controls!M$25*Smooth!$L133)*(1+Controls!M$26*Smooth!$M133)*(1+Controls!M$27*Smooth!$N133)*(1+Controls!M$28*Smooth!$O133)),2))</f>
        <v/>
      </c>
      <c r="I133" s="10" t="str">
        <f t="array" ref="I133">IF(OR($A133="",8&gt;Controls!$B$6),"",ROUND(MAX(0,Smooth!I133*Controls!I$17*INDEX(Controls!$B$21:$H$21,1,WEEKDAY($A133,2))*(1+Controls!$B$11)^131*(1+Controls!N$25*Smooth!$L133)*(1+Controls!N$26*Smooth!$M133)*(1+Controls!N$27*Smooth!$N133)*(1+Controls!N$28*Smooth!$O133)),2))</f>
        <v/>
      </c>
      <c r="J133" s="10" t="str">
        <f t="array" ref="J133">IF(OR($A133="",9&gt;Controls!$B$6),"",ROUND(MAX(0,Smooth!J133*Controls!J$17*INDEX(Controls!$B$21:$H$21,1,WEEKDAY($A133,2))*(1+Controls!$B$11)^131*(1+Controls!O$25*Smooth!$L133)*(1+Controls!O$26*Smooth!$M133)*(1+Controls!O$27*Smooth!$N133)*(1+Controls!O$28*Smooth!$O133)),2))</f>
        <v/>
      </c>
      <c r="K133" s="10" t="str">
        <f t="array" ref="K133">IF(OR($A133="",10&gt;Controls!$B$6),"",ROUND(MAX(0,Smooth!K133*Controls!K$17*INDEX(Controls!$B$21:$H$21,1,WEEKDAY($A133,2))*(1+Controls!$B$11)^131*(1+Controls!P$25*Smooth!$L133)*(1+Controls!P$26*Smooth!$M133)*(1+Controls!P$27*Smooth!$N133)*(1+Controls!P$28*Smooth!$O133)),2))</f>
        <v/>
      </c>
      <c r="L133" s="18" t="str">
        <f t="shared" si="1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21.0" customHeight="1">
      <c r="A134" s="7" t="str">
        <f>IF(133&lt;=Controls!$B$5,Controls!$B$4+132,"")</f>
        <v/>
      </c>
      <c r="B134" s="10" t="str">
        <f t="array" ref="B134">IF(OR($A134="",1&gt;Controls!$B$6),"",ROUND(MAX(0,Smooth!B134*Controls!B$17*INDEX(Controls!$B$21:$H$21,1,WEEKDAY($A134,2))*(1+Controls!$B$11)^132*(1+Controls!G$25*Smooth!$L134)*(1+Controls!G$26*Smooth!$M134)*(1+Controls!G$27*Smooth!$N134)*(1+Controls!G$28*Smooth!$O134)),2))</f>
        <v/>
      </c>
      <c r="C134" s="10" t="str">
        <f t="array" ref="C134">IF(OR($A134="",2&gt;Controls!$B$6),"",ROUND(MAX(0,Smooth!C134*Controls!C$17*INDEX(Controls!$B$21:$H$21,1,WEEKDAY($A134,2))*(1+Controls!$B$11)^132*(1+Controls!H$25*Smooth!$L134)*(1+Controls!H$26*Smooth!$M134)*(1+Controls!H$27*Smooth!$N134)*(1+Controls!H$28*Smooth!$O134)),2))</f>
        <v/>
      </c>
      <c r="D134" s="10" t="str">
        <f t="array" ref="D134">IF(OR($A134="",3&gt;Controls!$B$6),"",ROUND(MAX(0,Smooth!D134*Controls!D$17*INDEX(Controls!$B$21:$H$21,1,WEEKDAY($A134,2))*(1+Controls!$B$11)^132*(1+Controls!I$25*Smooth!$L134)*(1+Controls!I$26*Smooth!$M134)*(1+Controls!I$27*Smooth!$N134)*(1+Controls!I$28*Smooth!$O134)),2))</f>
        <v/>
      </c>
      <c r="E134" s="10" t="str">
        <f t="array" ref="E134">IF(OR($A134="",4&gt;Controls!$B$6),"",ROUND(MAX(0,Smooth!E134*Controls!E$17*INDEX(Controls!$B$21:$H$21,1,WEEKDAY($A134,2))*(1+Controls!$B$11)^132*(1+Controls!J$25*Smooth!$L134)*(1+Controls!J$26*Smooth!$M134)*(1+Controls!J$27*Smooth!$N134)*(1+Controls!J$28*Smooth!$O134)),2))</f>
        <v/>
      </c>
      <c r="F134" s="10" t="str">
        <f t="array" ref="F134">IF(OR($A134="",5&gt;Controls!$B$6),"",ROUND(MAX(0,Smooth!F134*Controls!F$17*INDEX(Controls!$B$21:$H$21,1,WEEKDAY($A134,2))*(1+Controls!$B$11)^132*(1+Controls!K$25*Smooth!$L134)*(1+Controls!K$26*Smooth!$M134)*(1+Controls!K$27*Smooth!$N134)*(1+Controls!K$28*Smooth!$O134)),2))</f>
        <v/>
      </c>
      <c r="G134" s="10" t="str">
        <f t="array" ref="G134">IF(OR($A134="",6&gt;Controls!$B$6),"",ROUND(MAX(0,Smooth!G134*Controls!G$17*INDEX(Controls!$B$21:$H$21,1,WEEKDAY($A134,2))*(1+Controls!$B$11)^132*(1+Controls!L$25*Smooth!$L134)*(1+Controls!L$26*Smooth!$M134)*(1+Controls!L$27*Smooth!$N134)*(1+Controls!L$28*Smooth!$O134)),2))</f>
        <v/>
      </c>
      <c r="H134" s="10" t="str">
        <f t="array" ref="H134">IF(OR($A134="",7&gt;Controls!$B$6),"",ROUND(MAX(0,Smooth!H134*Controls!H$17*INDEX(Controls!$B$21:$H$21,1,WEEKDAY($A134,2))*(1+Controls!$B$11)^132*(1+Controls!M$25*Smooth!$L134)*(1+Controls!M$26*Smooth!$M134)*(1+Controls!M$27*Smooth!$N134)*(1+Controls!M$28*Smooth!$O134)),2))</f>
        <v/>
      </c>
      <c r="I134" s="10" t="str">
        <f t="array" ref="I134">IF(OR($A134="",8&gt;Controls!$B$6),"",ROUND(MAX(0,Smooth!I134*Controls!I$17*INDEX(Controls!$B$21:$H$21,1,WEEKDAY($A134,2))*(1+Controls!$B$11)^132*(1+Controls!N$25*Smooth!$L134)*(1+Controls!N$26*Smooth!$M134)*(1+Controls!N$27*Smooth!$N134)*(1+Controls!N$28*Smooth!$O134)),2))</f>
        <v/>
      </c>
      <c r="J134" s="10" t="str">
        <f t="array" ref="J134">IF(OR($A134="",9&gt;Controls!$B$6),"",ROUND(MAX(0,Smooth!J134*Controls!J$17*INDEX(Controls!$B$21:$H$21,1,WEEKDAY($A134,2))*(1+Controls!$B$11)^132*(1+Controls!O$25*Smooth!$L134)*(1+Controls!O$26*Smooth!$M134)*(1+Controls!O$27*Smooth!$N134)*(1+Controls!O$28*Smooth!$O134)),2))</f>
        <v/>
      </c>
      <c r="K134" s="10" t="str">
        <f t="array" ref="K134">IF(OR($A134="",10&gt;Controls!$B$6),"",ROUND(MAX(0,Smooth!K134*Controls!K$17*INDEX(Controls!$B$21:$H$21,1,WEEKDAY($A134,2))*(1+Controls!$B$11)^132*(1+Controls!P$25*Smooth!$L134)*(1+Controls!P$26*Smooth!$M134)*(1+Controls!P$27*Smooth!$N134)*(1+Controls!P$28*Smooth!$O134)),2))</f>
        <v/>
      </c>
      <c r="L134" s="18" t="str">
        <f t="shared" si="1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21.0" customHeight="1">
      <c r="A135" s="7" t="str">
        <f>IF(134&lt;=Controls!$B$5,Controls!$B$4+133,"")</f>
        <v/>
      </c>
      <c r="B135" s="10" t="str">
        <f t="array" ref="B135">IF(OR($A135="",1&gt;Controls!$B$6),"",ROUND(MAX(0,Smooth!B135*Controls!B$17*INDEX(Controls!$B$21:$H$21,1,WEEKDAY($A135,2))*(1+Controls!$B$11)^133*(1+Controls!G$25*Smooth!$L135)*(1+Controls!G$26*Smooth!$M135)*(1+Controls!G$27*Smooth!$N135)*(1+Controls!G$28*Smooth!$O135)),2))</f>
        <v/>
      </c>
      <c r="C135" s="10" t="str">
        <f t="array" ref="C135">IF(OR($A135="",2&gt;Controls!$B$6),"",ROUND(MAX(0,Smooth!C135*Controls!C$17*INDEX(Controls!$B$21:$H$21,1,WEEKDAY($A135,2))*(1+Controls!$B$11)^133*(1+Controls!H$25*Smooth!$L135)*(1+Controls!H$26*Smooth!$M135)*(1+Controls!H$27*Smooth!$N135)*(1+Controls!H$28*Smooth!$O135)),2))</f>
        <v/>
      </c>
      <c r="D135" s="10" t="str">
        <f t="array" ref="D135">IF(OR($A135="",3&gt;Controls!$B$6),"",ROUND(MAX(0,Smooth!D135*Controls!D$17*INDEX(Controls!$B$21:$H$21,1,WEEKDAY($A135,2))*(1+Controls!$B$11)^133*(1+Controls!I$25*Smooth!$L135)*(1+Controls!I$26*Smooth!$M135)*(1+Controls!I$27*Smooth!$N135)*(1+Controls!I$28*Smooth!$O135)),2))</f>
        <v/>
      </c>
      <c r="E135" s="10" t="str">
        <f t="array" ref="E135">IF(OR($A135="",4&gt;Controls!$B$6),"",ROUND(MAX(0,Smooth!E135*Controls!E$17*INDEX(Controls!$B$21:$H$21,1,WEEKDAY($A135,2))*(1+Controls!$B$11)^133*(1+Controls!J$25*Smooth!$L135)*(1+Controls!J$26*Smooth!$M135)*(1+Controls!J$27*Smooth!$N135)*(1+Controls!J$28*Smooth!$O135)),2))</f>
        <v/>
      </c>
      <c r="F135" s="10" t="str">
        <f t="array" ref="F135">IF(OR($A135="",5&gt;Controls!$B$6),"",ROUND(MAX(0,Smooth!F135*Controls!F$17*INDEX(Controls!$B$21:$H$21,1,WEEKDAY($A135,2))*(1+Controls!$B$11)^133*(1+Controls!K$25*Smooth!$L135)*(1+Controls!K$26*Smooth!$M135)*(1+Controls!K$27*Smooth!$N135)*(1+Controls!K$28*Smooth!$O135)),2))</f>
        <v/>
      </c>
      <c r="G135" s="10" t="str">
        <f t="array" ref="G135">IF(OR($A135="",6&gt;Controls!$B$6),"",ROUND(MAX(0,Smooth!G135*Controls!G$17*INDEX(Controls!$B$21:$H$21,1,WEEKDAY($A135,2))*(1+Controls!$B$11)^133*(1+Controls!L$25*Smooth!$L135)*(1+Controls!L$26*Smooth!$M135)*(1+Controls!L$27*Smooth!$N135)*(1+Controls!L$28*Smooth!$O135)),2))</f>
        <v/>
      </c>
      <c r="H135" s="10" t="str">
        <f t="array" ref="H135">IF(OR($A135="",7&gt;Controls!$B$6),"",ROUND(MAX(0,Smooth!H135*Controls!H$17*INDEX(Controls!$B$21:$H$21,1,WEEKDAY($A135,2))*(1+Controls!$B$11)^133*(1+Controls!M$25*Smooth!$L135)*(1+Controls!M$26*Smooth!$M135)*(1+Controls!M$27*Smooth!$N135)*(1+Controls!M$28*Smooth!$O135)),2))</f>
        <v/>
      </c>
      <c r="I135" s="10" t="str">
        <f t="array" ref="I135">IF(OR($A135="",8&gt;Controls!$B$6),"",ROUND(MAX(0,Smooth!I135*Controls!I$17*INDEX(Controls!$B$21:$H$21,1,WEEKDAY($A135,2))*(1+Controls!$B$11)^133*(1+Controls!N$25*Smooth!$L135)*(1+Controls!N$26*Smooth!$M135)*(1+Controls!N$27*Smooth!$N135)*(1+Controls!N$28*Smooth!$O135)),2))</f>
        <v/>
      </c>
      <c r="J135" s="10" t="str">
        <f t="array" ref="J135">IF(OR($A135="",9&gt;Controls!$B$6),"",ROUND(MAX(0,Smooth!J135*Controls!J$17*INDEX(Controls!$B$21:$H$21,1,WEEKDAY($A135,2))*(1+Controls!$B$11)^133*(1+Controls!O$25*Smooth!$L135)*(1+Controls!O$26*Smooth!$M135)*(1+Controls!O$27*Smooth!$N135)*(1+Controls!O$28*Smooth!$O135)),2))</f>
        <v/>
      </c>
      <c r="K135" s="10" t="str">
        <f t="array" ref="K135">IF(OR($A135="",10&gt;Controls!$B$6),"",ROUND(MAX(0,Smooth!K135*Controls!K$17*INDEX(Controls!$B$21:$H$21,1,WEEKDAY($A135,2))*(1+Controls!$B$11)^133*(1+Controls!P$25*Smooth!$L135)*(1+Controls!P$26*Smooth!$M135)*(1+Controls!P$27*Smooth!$N135)*(1+Controls!P$28*Smooth!$O135)),2))</f>
        <v/>
      </c>
      <c r="L135" s="18" t="str">
        <f t="shared" si="1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21.0" customHeight="1">
      <c r="A136" s="7" t="str">
        <f>IF(135&lt;=Controls!$B$5,Controls!$B$4+134,"")</f>
        <v/>
      </c>
      <c r="B136" s="10" t="str">
        <f t="array" ref="B136">IF(OR($A136="",1&gt;Controls!$B$6),"",ROUND(MAX(0,Smooth!B136*Controls!B$17*INDEX(Controls!$B$21:$H$21,1,WEEKDAY($A136,2))*(1+Controls!$B$11)^134*(1+Controls!G$25*Smooth!$L136)*(1+Controls!G$26*Smooth!$M136)*(1+Controls!G$27*Smooth!$N136)*(1+Controls!G$28*Smooth!$O136)),2))</f>
        <v/>
      </c>
      <c r="C136" s="10" t="str">
        <f t="array" ref="C136">IF(OR($A136="",2&gt;Controls!$B$6),"",ROUND(MAX(0,Smooth!C136*Controls!C$17*INDEX(Controls!$B$21:$H$21,1,WEEKDAY($A136,2))*(1+Controls!$B$11)^134*(1+Controls!H$25*Smooth!$L136)*(1+Controls!H$26*Smooth!$M136)*(1+Controls!H$27*Smooth!$N136)*(1+Controls!H$28*Smooth!$O136)),2))</f>
        <v/>
      </c>
      <c r="D136" s="10" t="str">
        <f t="array" ref="D136">IF(OR($A136="",3&gt;Controls!$B$6),"",ROUND(MAX(0,Smooth!D136*Controls!D$17*INDEX(Controls!$B$21:$H$21,1,WEEKDAY($A136,2))*(1+Controls!$B$11)^134*(1+Controls!I$25*Smooth!$L136)*(1+Controls!I$26*Smooth!$M136)*(1+Controls!I$27*Smooth!$N136)*(1+Controls!I$28*Smooth!$O136)),2))</f>
        <v/>
      </c>
      <c r="E136" s="10" t="str">
        <f t="array" ref="E136">IF(OR($A136="",4&gt;Controls!$B$6),"",ROUND(MAX(0,Smooth!E136*Controls!E$17*INDEX(Controls!$B$21:$H$21,1,WEEKDAY($A136,2))*(1+Controls!$B$11)^134*(1+Controls!J$25*Smooth!$L136)*(1+Controls!J$26*Smooth!$M136)*(1+Controls!J$27*Smooth!$N136)*(1+Controls!J$28*Smooth!$O136)),2))</f>
        <v/>
      </c>
      <c r="F136" s="10" t="str">
        <f t="array" ref="F136">IF(OR($A136="",5&gt;Controls!$B$6),"",ROUND(MAX(0,Smooth!F136*Controls!F$17*INDEX(Controls!$B$21:$H$21,1,WEEKDAY($A136,2))*(1+Controls!$B$11)^134*(1+Controls!K$25*Smooth!$L136)*(1+Controls!K$26*Smooth!$M136)*(1+Controls!K$27*Smooth!$N136)*(1+Controls!K$28*Smooth!$O136)),2))</f>
        <v/>
      </c>
      <c r="G136" s="10" t="str">
        <f t="array" ref="G136">IF(OR($A136="",6&gt;Controls!$B$6),"",ROUND(MAX(0,Smooth!G136*Controls!G$17*INDEX(Controls!$B$21:$H$21,1,WEEKDAY($A136,2))*(1+Controls!$B$11)^134*(1+Controls!L$25*Smooth!$L136)*(1+Controls!L$26*Smooth!$M136)*(1+Controls!L$27*Smooth!$N136)*(1+Controls!L$28*Smooth!$O136)),2))</f>
        <v/>
      </c>
      <c r="H136" s="10" t="str">
        <f t="array" ref="H136">IF(OR($A136="",7&gt;Controls!$B$6),"",ROUND(MAX(0,Smooth!H136*Controls!H$17*INDEX(Controls!$B$21:$H$21,1,WEEKDAY($A136,2))*(1+Controls!$B$11)^134*(1+Controls!M$25*Smooth!$L136)*(1+Controls!M$26*Smooth!$M136)*(1+Controls!M$27*Smooth!$N136)*(1+Controls!M$28*Smooth!$O136)),2))</f>
        <v/>
      </c>
      <c r="I136" s="10" t="str">
        <f t="array" ref="I136">IF(OR($A136="",8&gt;Controls!$B$6),"",ROUND(MAX(0,Smooth!I136*Controls!I$17*INDEX(Controls!$B$21:$H$21,1,WEEKDAY($A136,2))*(1+Controls!$B$11)^134*(1+Controls!N$25*Smooth!$L136)*(1+Controls!N$26*Smooth!$M136)*(1+Controls!N$27*Smooth!$N136)*(1+Controls!N$28*Smooth!$O136)),2))</f>
        <v/>
      </c>
      <c r="J136" s="10" t="str">
        <f t="array" ref="J136">IF(OR($A136="",9&gt;Controls!$B$6),"",ROUND(MAX(0,Smooth!J136*Controls!J$17*INDEX(Controls!$B$21:$H$21,1,WEEKDAY($A136,2))*(1+Controls!$B$11)^134*(1+Controls!O$25*Smooth!$L136)*(1+Controls!O$26*Smooth!$M136)*(1+Controls!O$27*Smooth!$N136)*(1+Controls!O$28*Smooth!$O136)),2))</f>
        <v/>
      </c>
      <c r="K136" s="10" t="str">
        <f t="array" ref="K136">IF(OR($A136="",10&gt;Controls!$B$6),"",ROUND(MAX(0,Smooth!K136*Controls!K$17*INDEX(Controls!$B$21:$H$21,1,WEEKDAY($A136,2))*(1+Controls!$B$11)^134*(1+Controls!P$25*Smooth!$L136)*(1+Controls!P$26*Smooth!$M136)*(1+Controls!P$27*Smooth!$N136)*(1+Controls!P$28*Smooth!$O136)),2))</f>
        <v/>
      </c>
      <c r="L136" s="18" t="str">
        <f t="shared" si="1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21.0" customHeight="1">
      <c r="A137" s="7" t="str">
        <f>IF(136&lt;=Controls!$B$5,Controls!$B$4+135,"")</f>
        <v/>
      </c>
      <c r="B137" s="10" t="str">
        <f t="array" ref="B137">IF(OR($A137="",1&gt;Controls!$B$6),"",ROUND(MAX(0,Smooth!B137*Controls!B$17*INDEX(Controls!$B$21:$H$21,1,WEEKDAY($A137,2))*(1+Controls!$B$11)^135*(1+Controls!G$25*Smooth!$L137)*(1+Controls!G$26*Smooth!$M137)*(1+Controls!G$27*Smooth!$N137)*(1+Controls!G$28*Smooth!$O137)),2))</f>
        <v/>
      </c>
      <c r="C137" s="10" t="str">
        <f t="array" ref="C137">IF(OR($A137="",2&gt;Controls!$B$6),"",ROUND(MAX(0,Smooth!C137*Controls!C$17*INDEX(Controls!$B$21:$H$21,1,WEEKDAY($A137,2))*(1+Controls!$B$11)^135*(1+Controls!H$25*Smooth!$L137)*(1+Controls!H$26*Smooth!$M137)*(1+Controls!H$27*Smooth!$N137)*(1+Controls!H$28*Smooth!$O137)),2))</f>
        <v/>
      </c>
      <c r="D137" s="10" t="str">
        <f t="array" ref="D137">IF(OR($A137="",3&gt;Controls!$B$6),"",ROUND(MAX(0,Smooth!D137*Controls!D$17*INDEX(Controls!$B$21:$H$21,1,WEEKDAY($A137,2))*(1+Controls!$B$11)^135*(1+Controls!I$25*Smooth!$L137)*(1+Controls!I$26*Smooth!$M137)*(1+Controls!I$27*Smooth!$N137)*(1+Controls!I$28*Smooth!$O137)),2))</f>
        <v/>
      </c>
      <c r="E137" s="10" t="str">
        <f t="array" ref="E137">IF(OR($A137="",4&gt;Controls!$B$6),"",ROUND(MAX(0,Smooth!E137*Controls!E$17*INDEX(Controls!$B$21:$H$21,1,WEEKDAY($A137,2))*(1+Controls!$B$11)^135*(1+Controls!J$25*Smooth!$L137)*(1+Controls!J$26*Smooth!$M137)*(1+Controls!J$27*Smooth!$N137)*(1+Controls!J$28*Smooth!$O137)),2))</f>
        <v/>
      </c>
      <c r="F137" s="10" t="str">
        <f t="array" ref="F137">IF(OR($A137="",5&gt;Controls!$B$6),"",ROUND(MAX(0,Smooth!F137*Controls!F$17*INDEX(Controls!$B$21:$H$21,1,WEEKDAY($A137,2))*(1+Controls!$B$11)^135*(1+Controls!K$25*Smooth!$L137)*(1+Controls!K$26*Smooth!$M137)*(1+Controls!K$27*Smooth!$N137)*(1+Controls!K$28*Smooth!$O137)),2))</f>
        <v/>
      </c>
      <c r="G137" s="10" t="str">
        <f t="array" ref="G137">IF(OR($A137="",6&gt;Controls!$B$6),"",ROUND(MAX(0,Smooth!G137*Controls!G$17*INDEX(Controls!$B$21:$H$21,1,WEEKDAY($A137,2))*(1+Controls!$B$11)^135*(1+Controls!L$25*Smooth!$L137)*(1+Controls!L$26*Smooth!$M137)*(1+Controls!L$27*Smooth!$N137)*(1+Controls!L$28*Smooth!$O137)),2))</f>
        <v/>
      </c>
      <c r="H137" s="10" t="str">
        <f t="array" ref="H137">IF(OR($A137="",7&gt;Controls!$B$6),"",ROUND(MAX(0,Smooth!H137*Controls!H$17*INDEX(Controls!$B$21:$H$21,1,WEEKDAY($A137,2))*(1+Controls!$B$11)^135*(1+Controls!M$25*Smooth!$L137)*(1+Controls!M$26*Smooth!$M137)*(1+Controls!M$27*Smooth!$N137)*(1+Controls!M$28*Smooth!$O137)),2))</f>
        <v/>
      </c>
      <c r="I137" s="10" t="str">
        <f t="array" ref="I137">IF(OR($A137="",8&gt;Controls!$B$6),"",ROUND(MAX(0,Smooth!I137*Controls!I$17*INDEX(Controls!$B$21:$H$21,1,WEEKDAY($A137,2))*(1+Controls!$B$11)^135*(1+Controls!N$25*Smooth!$L137)*(1+Controls!N$26*Smooth!$M137)*(1+Controls!N$27*Smooth!$N137)*(1+Controls!N$28*Smooth!$O137)),2))</f>
        <v/>
      </c>
      <c r="J137" s="10" t="str">
        <f t="array" ref="J137">IF(OR($A137="",9&gt;Controls!$B$6),"",ROUND(MAX(0,Smooth!J137*Controls!J$17*INDEX(Controls!$B$21:$H$21,1,WEEKDAY($A137,2))*(1+Controls!$B$11)^135*(1+Controls!O$25*Smooth!$L137)*(1+Controls!O$26*Smooth!$M137)*(1+Controls!O$27*Smooth!$N137)*(1+Controls!O$28*Smooth!$O137)),2))</f>
        <v/>
      </c>
      <c r="K137" s="10" t="str">
        <f t="array" ref="K137">IF(OR($A137="",10&gt;Controls!$B$6),"",ROUND(MAX(0,Smooth!K137*Controls!K$17*INDEX(Controls!$B$21:$H$21,1,WEEKDAY($A137,2))*(1+Controls!$B$11)^135*(1+Controls!P$25*Smooth!$L137)*(1+Controls!P$26*Smooth!$M137)*(1+Controls!P$27*Smooth!$N137)*(1+Controls!P$28*Smooth!$O137)),2))</f>
        <v/>
      </c>
      <c r="L137" s="18" t="str">
        <f t="shared" si="1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21.0" customHeight="1">
      <c r="A138" s="7" t="str">
        <f>IF(137&lt;=Controls!$B$5,Controls!$B$4+136,"")</f>
        <v/>
      </c>
      <c r="B138" s="10" t="str">
        <f t="array" ref="B138">IF(OR($A138="",1&gt;Controls!$B$6),"",ROUND(MAX(0,Smooth!B138*Controls!B$17*INDEX(Controls!$B$21:$H$21,1,WEEKDAY($A138,2))*(1+Controls!$B$11)^136*(1+Controls!G$25*Smooth!$L138)*(1+Controls!G$26*Smooth!$M138)*(1+Controls!G$27*Smooth!$N138)*(1+Controls!G$28*Smooth!$O138)),2))</f>
        <v/>
      </c>
      <c r="C138" s="10" t="str">
        <f t="array" ref="C138">IF(OR($A138="",2&gt;Controls!$B$6),"",ROUND(MAX(0,Smooth!C138*Controls!C$17*INDEX(Controls!$B$21:$H$21,1,WEEKDAY($A138,2))*(1+Controls!$B$11)^136*(1+Controls!H$25*Smooth!$L138)*(1+Controls!H$26*Smooth!$M138)*(1+Controls!H$27*Smooth!$N138)*(1+Controls!H$28*Smooth!$O138)),2))</f>
        <v/>
      </c>
      <c r="D138" s="10" t="str">
        <f t="array" ref="D138">IF(OR($A138="",3&gt;Controls!$B$6),"",ROUND(MAX(0,Smooth!D138*Controls!D$17*INDEX(Controls!$B$21:$H$21,1,WEEKDAY($A138,2))*(1+Controls!$B$11)^136*(1+Controls!I$25*Smooth!$L138)*(1+Controls!I$26*Smooth!$M138)*(1+Controls!I$27*Smooth!$N138)*(1+Controls!I$28*Smooth!$O138)),2))</f>
        <v/>
      </c>
      <c r="E138" s="10" t="str">
        <f t="array" ref="E138">IF(OR($A138="",4&gt;Controls!$B$6),"",ROUND(MAX(0,Smooth!E138*Controls!E$17*INDEX(Controls!$B$21:$H$21,1,WEEKDAY($A138,2))*(1+Controls!$B$11)^136*(1+Controls!J$25*Smooth!$L138)*(1+Controls!J$26*Smooth!$M138)*(1+Controls!J$27*Smooth!$N138)*(1+Controls!J$28*Smooth!$O138)),2))</f>
        <v/>
      </c>
      <c r="F138" s="10" t="str">
        <f t="array" ref="F138">IF(OR($A138="",5&gt;Controls!$B$6),"",ROUND(MAX(0,Smooth!F138*Controls!F$17*INDEX(Controls!$B$21:$H$21,1,WEEKDAY($A138,2))*(1+Controls!$B$11)^136*(1+Controls!K$25*Smooth!$L138)*(1+Controls!K$26*Smooth!$M138)*(1+Controls!K$27*Smooth!$N138)*(1+Controls!K$28*Smooth!$O138)),2))</f>
        <v/>
      </c>
      <c r="G138" s="10" t="str">
        <f t="array" ref="G138">IF(OR($A138="",6&gt;Controls!$B$6),"",ROUND(MAX(0,Smooth!G138*Controls!G$17*INDEX(Controls!$B$21:$H$21,1,WEEKDAY($A138,2))*(1+Controls!$B$11)^136*(1+Controls!L$25*Smooth!$L138)*(1+Controls!L$26*Smooth!$M138)*(1+Controls!L$27*Smooth!$N138)*(1+Controls!L$28*Smooth!$O138)),2))</f>
        <v/>
      </c>
      <c r="H138" s="10" t="str">
        <f t="array" ref="H138">IF(OR($A138="",7&gt;Controls!$B$6),"",ROUND(MAX(0,Smooth!H138*Controls!H$17*INDEX(Controls!$B$21:$H$21,1,WEEKDAY($A138,2))*(1+Controls!$B$11)^136*(1+Controls!M$25*Smooth!$L138)*(1+Controls!M$26*Smooth!$M138)*(1+Controls!M$27*Smooth!$N138)*(1+Controls!M$28*Smooth!$O138)),2))</f>
        <v/>
      </c>
      <c r="I138" s="10" t="str">
        <f t="array" ref="I138">IF(OR($A138="",8&gt;Controls!$B$6),"",ROUND(MAX(0,Smooth!I138*Controls!I$17*INDEX(Controls!$B$21:$H$21,1,WEEKDAY($A138,2))*(1+Controls!$B$11)^136*(1+Controls!N$25*Smooth!$L138)*(1+Controls!N$26*Smooth!$M138)*(1+Controls!N$27*Smooth!$N138)*(1+Controls!N$28*Smooth!$O138)),2))</f>
        <v/>
      </c>
      <c r="J138" s="10" t="str">
        <f t="array" ref="J138">IF(OR($A138="",9&gt;Controls!$B$6),"",ROUND(MAX(0,Smooth!J138*Controls!J$17*INDEX(Controls!$B$21:$H$21,1,WEEKDAY($A138,2))*(1+Controls!$B$11)^136*(1+Controls!O$25*Smooth!$L138)*(1+Controls!O$26*Smooth!$M138)*(1+Controls!O$27*Smooth!$N138)*(1+Controls!O$28*Smooth!$O138)),2))</f>
        <v/>
      </c>
      <c r="K138" s="10" t="str">
        <f t="array" ref="K138">IF(OR($A138="",10&gt;Controls!$B$6),"",ROUND(MAX(0,Smooth!K138*Controls!K$17*INDEX(Controls!$B$21:$H$21,1,WEEKDAY($A138,2))*(1+Controls!$B$11)^136*(1+Controls!P$25*Smooth!$L138)*(1+Controls!P$26*Smooth!$M138)*(1+Controls!P$27*Smooth!$N138)*(1+Controls!P$28*Smooth!$O138)),2))</f>
        <v/>
      </c>
      <c r="L138" s="18" t="str">
        <f t="shared" si="1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21.0" customHeight="1">
      <c r="A139" s="7" t="str">
        <f>IF(138&lt;=Controls!$B$5,Controls!$B$4+137,"")</f>
        <v/>
      </c>
      <c r="B139" s="10" t="str">
        <f t="array" ref="B139">IF(OR($A139="",1&gt;Controls!$B$6),"",ROUND(MAX(0,Smooth!B139*Controls!B$17*INDEX(Controls!$B$21:$H$21,1,WEEKDAY($A139,2))*(1+Controls!$B$11)^137*(1+Controls!G$25*Smooth!$L139)*(1+Controls!G$26*Smooth!$M139)*(1+Controls!G$27*Smooth!$N139)*(1+Controls!G$28*Smooth!$O139)),2))</f>
        <v/>
      </c>
      <c r="C139" s="10" t="str">
        <f t="array" ref="C139">IF(OR($A139="",2&gt;Controls!$B$6),"",ROUND(MAX(0,Smooth!C139*Controls!C$17*INDEX(Controls!$B$21:$H$21,1,WEEKDAY($A139,2))*(1+Controls!$B$11)^137*(1+Controls!H$25*Smooth!$L139)*(1+Controls!H$26*Smooth!$M139)*(1+Controls!H$27*Smooth!$N139)*(1+Controls!H$28*Smooth!$O139)),2))</f>
        <v/>
      </c>
      <c r="D139" s="10" t="str">
        <f t="array" ref="D139">IF(OR($A139="",3&gt;Controls!$B$6),"",ROUND(MAX(0,Smooth!D139*Controls!D$17*INDEX(Controls!$B$21:$H$21,1,WEEKDAY($A139,2))*(1+Controls!$B$11)^137*(1+Controls!I$25*Smooth!$L139)*(1+Controls!I$26*Smooth!$M139)*(1+Controls!I$27*Smooth!$N139)*(1+Controls!I$28*Smooth!$O139)),2))</f>
        <v/>
      </c>
      <c r="E139" s="10" t="str">
        <f t="array" ref="E139">IF(OR($A139="",4&gt;Controls!$B$6),"",ROUND(MAX(0,Smooth!E139*Controls!E$17*INDEX(Controls!$B$21:$H$21,1,WEEKDAY($A139,2))*(1+Controls!$B$11)^137*(1+Controls!J$25*Smooth!$L139)*(1+Controls!J$26*Smooth!$M139)*(1+Controls!J$27*Smooth!$N139)*(1+Controls!J$28*Smooth!$O139)),2))</f>
        <v/>
      </c>
      <c r="F139" s="10" t="str">
        <f t="array" ref="F139">IF(OR($A139="",5&gt;Controls!$B$6),"",ROUND(MAX(0,Smooth!F139*Controls!F$17*INDEX(Controls!$B$21:$H$21,1,WEEKDAY($A139,2))*(1+Controls!$B$11)^137*(1+Controls!K$25*Smooth!$L139)*(1+Controls!K$26*Smooth!$M139)*(1+Controls!K$27*Smooth!$N139)*(1+Controls!K$28*Smooth!$O139)),2))</f>
        <v/>
      </c>
      <c r="G139" s="10" t="str">
        <f t="array" ref="G139">IF(OR($A139="",6&gt;Controls!$B$6),"",ROUND(MAX(0,Smooth!G139*Controls!G$17*INDEX(Controls!$B$21:$H$21,1,WEEKDAY($A139,2))*(1+Controls!$B$11)^137*(1+Controls!L$25*Smooth!$L139)*(1+Controls!L$26*Smooth!$M139)*(1+Controls!L$27*Smooth!$N139)*(1+Controls!L$28*Smooth!$O139)),2))</f>
        <v/>
      </c>
      <c r="H139" s="10" t="str">
        <f t="array" ref="H139">IF(OR($A139="",7&gt;Controls!$B$6),"",ROUND(MAX(0,Smooth!H139*Controls!H$17*INDEX(Controls!$B$21:$H$21,1,WEEKDAY($A139,2))*(1+Controls!$B$11)^137*(1+Controls!M$25*Smooth!$L139)*(1+Controls!M$26*Smooth!$M139)*(1+Controls!M$27*Smooth!$N139)*(1+Controls!M$28*Smooth!$O139)),2))</f>
        <v/>
      </c>
      <c r="I139" s="10" t="str">
        <f t="array" ref="I139">IF(OR($A139="",8&gt;Controls!$B$6),"",ROUND(MAX(0,Smooth!I139*Controls!I$17*INDEX(Controls!$B$21:$H$21,1,WEEKDAY($A139,2))*(1+Controls!$B$11)^137*(1+Controls!N$25*Smooth!$L139)*(1+Controls!N$26*Smooth!$M139)*(1+Controls!N$27*Smooth!$N139)*(1+Controls!N$28*Smooth!$O139)),2))</f>
        <v/>
      </c>
      <c r="J139" s="10" t="str">
        <f t="array" ref="J139">IF(OR($A139="",9&gt;Controls!$B$6),"",ROUND(MAX(0,Smooth!J139*Controls!J$17*INDEX(Controls!$B$21:$H$21,1,WEEKDAY($A139,2))*(1+Controls!$B$11)^137*(1+Controls!O$25*Smooth!$L139)*(1+Controls!O$26*Smooth!$M139)*(1+Controls!O$27*Smooth!$N139)*(1+Controls!O$28*Smooth!$O139)),2))</f>
        <v/>
      </c>
      <c r="K139" s="10" t="str">
        <f t="array" ref="K139">IF(OR($A139="",10&gt;Controls!$B$6),"",ROUND(MAX(0,Smooth!K139*Controls!K$17*INDEX(Controls!$B$21:$H$21,1,WEEKDAY($A139,2))*(1+Controls!$B$11)^137*(1+Controls!P$25*Smooth!$L139)*(1+Controls!P$26*Smooth!$M139)*(1+Controls!P$27*Smooth!$N139)*(1+Controls!P$28*Smooth!$O139)),2))</f>
        <v/>
      </c>
      <c r="L139" s="18" t="str">
        <f t="shared" si="1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21.0" customHeight="1">
      <c r="A140" s="7" t="str">
        <f>IF(139&lt;=Controls!$B$5,Controls!$B$4+138,"")</f>
        <v/>
      </c>
      <c r="B140" s="10" t="str">
        <f t="array" ref="B140">IF(OR($A140="",1&gt;Controls!$B$6),"",ROUND(MAX(0,Smooth!B140*Controls!B$17*INDEX(Controls!$B$21:$H$21,1,WEEKDAY($A140,2))*(1+Controls!$B$11)^138*(1+Controls!G$25*Smooth!$L140)*(1+Controls!G$26*Smooth!$M140)*(1+Controls!G$27*Smooth!$N140)*(1+Controls!G$28*Smooth!$O140)),2))</f>
        <v/>
      </c>
      <c r="C140" s="10" t="str">
        <f t="array" ref="C140">IF(OR($A140="",2&gt;Controls!$B$6),"",ROUND(MAX(0,Smooth!C140*Controls!C$17*INDEX(Controls!$B$21:$H$21,1,WEEKDAY($A140,2))*(1+Controls!$B$11)^138*(1+Controls!H$25*Smooth!$L140)*(1+Controls!H$26*Smooth!$M140)*(1+Controls!H$27*Smooth!$N140)*(1+Controls!H$28*Smooth!$O140)),2))</f>
        <v/>
      </c>
      <c r="D140" s="10" t="str">
        <f t="array" ref="D140">IF(OR($A140="",3&gt;Controls!$B$6),"",ROUND(MAX(0,Smooth!D140*Controls!D$17*INDEX(Controls!$B$21:$H$21,1,WEEKDAY($A140,2))*(1+Controls!$B$11)^138*(1+Controls!I$25*Smooth!$L140)*(1+Controls!I$26*Smooth!$M140)*(1+Controls!I$27*Smooth!$N140)*(1+Controls!I$28*Smooth!$O140)),2))</f>
        <v/>
      </c>
      <c r="E140" s="10" t="str">
        <f t="array" ref="E140">IF(OR($A140="",4&gt;Controls!$B$6),"",ROUND(MAX(0,Smooth!E140*Controls!E$17*INDEX(Controls!$B$21:$H$21,1,WEEKDAY($A140,2))*(1+Controls!$B$11)^138*(1+Controls!J$25*Smooth!$L140)*(1+Controls!J$26*Smooth!$M140)*(1+Controls!J$27*Smooth!$N140)*(1+Controls!J$28*Smooth!$O140)),2))</f>
        <v/>
      </c>
      <c r="F140" s="10" t="str">
        <f t="array" ref="F140">IF(OR($A140="",5&gt;Controls!$B$6),"",ROUND(MAX(0,Smooth!F140*Controls!F$17*INDEX(Controls!$B$21:$H$21,1,WEEKDAY($A140,2))*(1+Controls!$B$11)^138*(1+Controls!K$25*Smooth!$L140)*(1+Controls!K$26*Smooth!$M140)*(1+Controls!K$27*Smooth!$N140)*(1+Controls!K$28*Smooth!$O140)),2))</f>
        <v/>
      </c>
      <c r="G140" s="10" t="str">
        <f t="array" ref="G140">IF(OR($A140="",6&gt;Controls!$B$6),"",ROUND(MAX(0,Smooth!G140*Controls!G$17*INDEX(Controls!$B$21:$H$21,1,WEEKDAY($A140,2))*(1+Controls!$B$11)^138*(1+Controls!L$25*Smooth!$L140)*(1+Controls!L$26*Smooth!$M140)*(1+Controls!L$27*Smooth!$N140)*(1+Controls!L$28*Smooth!$O140)),2))</f>
        <v/>
      </c>
      <c r="H140" s="10" t="str">
        <f t="array" ref="H140">IF(OR($A140="",7&gt;Controls!$B$6),"",ROUND(MAX(0,Smooth!H140*Controls!H$17*INDEX(Controls!$B$21:$H$21,1,WEEKDAY($A140,2))*(1+Controls!$B$11)^138*(1+Controls!M$25*Smooth!$L140)*(1+Controls!M$26*Smooth!$M140)*(1+Controls!M$27*Smooth!$N140)*(1+Controls!M$28*Smooth!$O140)),2))</f>
        <v/>
      </c>
      <c r="I140" s="10" t="str">
        <f t="array" ref="I140">IF(OR($A140="",8&gt;Controls!$B$6),"",ROUND(MAX(0,Smooth!I140*Controls!I$17*INDEX(Controls!$B$21:$H$21,1,WEEKDAY($A140,2))*(1+Controls!$B$11)^138*(1+Controls!N$25*Smooth!$L140)*(1+Controls!N$26*Smooth!$M140)*(1+Controls!N$27*Smooth!$N140)*(1+Controls!N$28*Smooth!$O140)),2))</f>
        <v/>
      </c>
      <c r="J140" s="10" t="str">
        <f t="array" ref="J140">IF(OR($A140="",9&gt;Controls!$B$6),"",ROUND(MAX(0,Smooth!J140*Controls!J$17*INDEX(Controls!$B$21:$H$21,1,WEEKDAY($A140,2))*(1+Controls!$B$11)^138*(1+Controls!O$25*Smooth!$L140)*(1+Controls!O$26*Smooth!$M140)*(1+Controls!O$27*Smooth!$N140)*(1+Controls!O$28*Smooth!$O140)),2))</f>
        <v/>
      </c>
      <c r="K140" s="10" t="str">
        <f t="array" ref="K140">IF(OR($A140="",10&gt;Controls!$B$6),"",ROUND(MAX(0,Smooth!K140*Controls!K$17*INDEX(Controls!$B$21:$H$21,1,WEEKDAY($A140,2))*(1+Controls!$B$11)^138*(1+Controls!P$25*Smooth!$L140)*(1+Controls!P$26*Smooth!$M140)*(1+Controls!P$27*Smooth!$N140)*(1+Controls!P$28*Smooth!$O140)),2))</f>
        <v/>
      </c>
      <c r="L140" s="18" t="str">
        <f t="shared" si="1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21.0" customHeight="1">
      <c r="A141" s="7" t="str">
        <f>IF(140&lt;=Controls!$B$5,Controls!$B$4+139,"")</f>
        <v/>
      </c>
      <c r="B141" s="10" t="str">
        <f t="array" ref="B141">IF(OR($A141="",1&gt;Controls!$B$6),"",ROUND(MAX(0,Smooth!B141*Controls!B$17*INDEX(Controls!$B$21:$H$21,1,WEEKDAY($A141,2))*(1+Controls!$B$11)^139*(1+Controls!G$25*Smooth!$L141)*(1+Controls!G$26*Smooth!$M141)*(1+Controls!G$27*Smooth!$N141)*(1+Controls!G$28*Smooth!$O141)),2))</f>
        <v/>
      </c>
      <c r="C141" s="10" t="str">
        <f t="array" ref="C141">IF(OR($A141="",2&gt;Controls!$B$6),"",ROUND(MAX(0,Smooth!C141*Controls!C$17*INDEX(Controls!$B$21:$H$21,1,WEEKDAY($A141,2))*(1+Controls!$B$11)^139*(1+Controls!H$25*Smooth!$L141)*(1+Controls!H$26*Smooth!$M141)*(1+Controls!H$27*Smooth!$N141)*(1+Controls!H$28*Smooth!$O141)),2))</f>
        <v/>
      </c>
      <c r="D141" s="10" t="str">
        <f t="array" ref="D141">IF(OR($A141="",3&gt;Controls!$B$6),"",ROUND(MAX(0,Smooth!D141*Controls!D$17*INDEX(Controls!$B$21:$H$21,1,WEEKDAY($A141,2))*(1+Controls!$B$11)^139*(1+Controls!I$25*Smooth!$L141)*(1+Controls!I$26*Smooth!$M141)*(1+Controls!I$27*Smooth!$N141)*(1+Controls!I$28*Smooth!$O141)),2))</f>
        <v/>
      </c>
      <c r="E141" s="10" t="str">
        <f t="array" ref="E141">IF(OR($A141="",4&gt;Controls!$B$6),"",ROUND(MAX(0,Smooth!E141*Controls!E$17*INDEX(Controls!$B$21:$H$21,1,WEEKDAY($A141,2))*(1+Controls!$B$11)^139*(1+Controls!J$25*Smooth!$L141)*(1+Controls!J$26*Smooth!$M141)*(1+Controls!J$27*Smooth!$N141)*(1+Controls!J$28*Smooth!$O141)),2))</f>
        <v/>
      </c>
      <c r="F141" s="10" t="str">
        <f t="array" ref="F141">IF(OR($A141="",5&gt;Controls!$B$6),"",ROUND(MAX(0,Smooth!F141*Controls!F$17*INDEX(Controls!$B$21:$H$21,1,WEEKDAY($A141,2))*(1+Controls!$B$11)^139*(1+Controls!K$25*Smooth!$L141)*(1+Controls!K$26*Smooth!$M141)*(1+Controls!K$27*Smooth!$N141)*(1+Controls!K$28*Smooth!$O141)),2))</f>
        <v/>
      </c>
      <c r="G141" s="10" t="str">
        <f t="array" ref="G141">IF(OR($A141="",6&gt;Controls!$B$6),"",ROUND(MAX(0,Smooth!G141*Controls!G$17*INDEX(Controls!$B$21:$H$21,1,WEEKDAY($A141,2))*(1+Controls!$B$11)^139*(1+Controls!L$25*Smooth!$L141)*(1+Controls!L$26*Smooth!$M141)*(1+Controls!L$27*Smooth!$N141)*(1+Controls!L$28*Smooth!$O141)),2))</f>
        <v/>
      </c>
      <c r="H141" s="10" t="str">
        <f t="array" ref="H141">IF(OR($A141="",7&gt;Controls!$B$6),"",ROUND(MAX(0,Smooth!H141*Controls!H$17*INDEX(Controls!$B$21:$H$21,1,WEEKDAY($A141,2))*(1+Controls!$B$11)^139*(1+Controls!M$25*Smooth!$L141)*(1+Controls!M$26*Smooth!$M141)*(1+Controls!M$27*Smooth!$N141)*(1+Controls!M$28*Smooth!$O141)),2))</f>
        <v/>
      </c>
      <c r="I141" s="10" t="str">
        <f t="array" ref="I141">IF(OR($A141="",8&gt;Controls!$B$6),"",ROUND(MAX(0,Smooth!I141*Controls!I$17*INDEX(Controls!$B$21:$H$21,1,WEEKDAY($A141,2))*(1+Controls!$B$11)^139*(1+Controls!N$25*Smooth!$L141)*(1+Controls!N$26*Smooth!$M141)*(1+Controls!N$27*Smooth!$N141)*(1+Controls!N$28*Smooth!$O141)),2))</f>
        <v/>
      </c>
      <c r="J141" s="10" t="str">
        <f t="array" ref="J141">IF(OR($A141="",9&gt;Controls!$B$6),"",ROUND(MAX(0,Smooth!J141*Controls!J$17*INDEX(Controls!$B$21:$H$21,1,WEEKDAY($A141,2))*(1+Controls!$B$11)^139*(1+Controls!O$25*Smooth!$L141)*(1+Controls!O$26*Smooth!$M141)*(1+Controls!O$27*Smooth!$N141)*(1+Controls!O$28*Smooth!$O141)),2))</f>
        <v/>
      </c>
      <c r="K141" s="10" t="str">
        <f t="array" ref="K141">IF(OR($A141="",10&gt;Controls!$B$6),"",ROUND(MAX(0,Smooth!K141*Controls!K$17*INDEX(Controls!$B$21:$H$21,1,WEEKDAY($A141,2))*(1+Controls!$B$11)^139*(1+Controls!P$25*Smooth!$L141)*(1+Controls!P$26*Smooth!$M141)*(1+Controls!P$27*Smooth!$N141)*(1+Controls!P$28*Smooth!$O141)),2))</f>
        <v/>
      </c>
      <c r="L141" s="18" t="str">
        <f t="shared" si="1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21.0" customHeight="1">
      <c r="A142" s="7" t="str">
        <f>IF(141&lt;=Controls!$B$5,Controls!$B$4+140,"")</f>
        <v/>
      </c>
      <c r="B142" s="10" t="str">
        <f t="array" ref="B142">IF(OR($A142="",1&gt;Controls!$B$6),"",ROUND(MAX(0,Smooth!B142*Controls!B$17*INDEX(Controls!$B$21:$H$21,1,WEEKDAY($A142,2))*(1+Controls!$B$11)^140*(1+Controls!G$25*Smooth!$L142)*(1+Controls!G$26*Smooth!$M142)*(1+Controls!G$27*Smooth!$N142)*(1+Controls!G$28*Smooth!$O142)),2))</f>
        <v/>
      </c>
      <c r="C142" s="10" t="str">
        <f t="array" ref="C142">IF(OR($A142="",2&gt;Controls!$B$6),"",ROUND(MAX(0,Smooth!C142*Controls!C$17*INDEX(Controls!$B$21:$H$21,1,WEEKDAY($A142,2))*(1+Controls!$B$11)^140*(1+Controls!H$25*Smooth!$L142)*(1+Controls!H$26*Smooth!$M142)*(1+Controls!H$27*Smooth!$N142)*(1+Controls!H$28*Smooth!$O142)),2))</f>
        <v/>
      </c>
      <c r="D142" s="10" t="str">
        <f t="array" ref="D142">IF(OR($A142="",3&gt;Controls!$B$6),"",ROUND(MAX(0,Smooth!D142*Controls!D$17*INDEX(Controls!$B$21:$H$21,1,WEEKDAY($A142,2))*(1+Controls!$B$11)^140*(1+Controls!I$25*Smooth!$L142)*(1+Controls!I$26*Smooth!$M142)*(1+Controls!I$27*Smooth!$N142)*(1+Controls!I$28*Smooth!$O142)),2))</f>
        <v/>
      </c>
      <c r="E142" s="10" t="str">
        <f t="array" ref="E142">IF(OR($A142="",4&gt;Controls!$B$6),"",ROUND(MAX(0,Smooth!E142*Controls!E$17*INDEX(Controls!$B$21:$H$21,1,WEEKDAY($A142,2))*(1+Controls!$B$11)^140*(1+Controls!J$25*Smooth!$L142)*(1+Controls!J$26*Smooth!$M142)*(1+Controls!J$27*Smooth!$N142)*(1+Controls!J$28*Smooth!$O142)),2))</f>
        <v/>
      </c>
      <c r="F142" s="10" t="str">
        <f t="array" ref="F142">IF(OR($A142="",5&gt;Controls!$B$6),"",ROUND(MAX(0,Smooth!F142*Controls!F$17*INDEX(Controls!$B$21:$H$21,1,WEEKDAY($A142,2))*(1+Controls!$B$11)^140*(1+Controls!K$25*Smooth!$L142)*(1+Controls!K$26*Smooth!$M142)*(1+Controls!K$27*Smooth!$N142)*(1+Controls!K$28*Smooth!$O142)),2))</f>
        <v/>
      </c>
      <c r="G142" s="10" t="str">
        <f t="array" ref="G142">IF(OR($A142="",6&gt;Controls!$B$6),"",ROUND(MAX(0,Smooth!G142*Controls!G$17*INDEX(Controls!$B$21:$H$21,1,WEEKDAY($A142,2))*(1+Controls!$B$11)^140*(1+Controls!L$25*Smooth!$L142)*(1+Controls!L$26*Smooth!$M142)*(1+Controls!L$27*Smooth!$N142)*(1+Controls!L$28*Smooth!$O142)),2))</f>
        <v/>
      </c>
      <c r="H142" s="10" t="str">
        <f t="array" ref="H142">IF(OR($A142="",7&gt;Controls!$B$6),"",ROUND(MAX(0,Smooth!H142*Controls!H$17*INDEX(Controls!$B$21:$H$21,1,WEEKDAY($A142,2))*(1+Controls!$B$11)^140*(1+Controls!M$25*Smooth!$L142)*(1+Controls!M$26*Smooth!$M142)*(1+Controls!M$27*Smooth!$N142)*(1+Controls!M$28*Smooth!$O142)),2))</f>
        <v/>
      </c>
      <c r="I142" s="10" t="str">
        <f t="array" ref="I142">IF(OR($A142="",8&gt;Controls!$B$6),"",ROUND(MAX(0,Smooth!I142*Controls!I$17*INDEX(Controls!$B$21:$H$21,1,WEEKDAY($A142,2))*(1+Controls!$B$11)^140*(1+Controls!N$25*Smooth!$L142)*(1+Controls!N$26*Smooth!$M142)*(1+Controls!N$27*Smooth!$N142)*(1+Controls!N$28*Smooth!$O142)),2))</f>
        <v/>
      </c>
      <c r="J142" s="10" t="str">
        <f t="array" ref="J142">IF(OR($A142="",9&gt;Controls!$B$6),"",ROUND(MAX(0,Smooth!J142*Controls!J$17*INDEX(Controls!$B$21:$H$21,1,WEEKDAY($A142,2))*(1+Controls!$B$11)^140*(1+Controls!O$25*Smooth!$L142)*(1+Controls!O$26*Smooth!$M142)*(1+Controls!O$27*Smooth!$N142)*(1+Controls!O$28*Smooth!$O142)),2))</f>
        <v/>
      </c>
      <c r="K142" s="10" t="str">
        <f t="array" ref="K142">IF(OR($A142="",10&gt;Controls!$B$6),"",ROUND(MAX(0,Smooth!K142*Controls!K$17*INDEX(Controls!$B$21:$H$21,1,WEEKDAY($A142,2))*(1+Controls!$B$11)^140*(1+Controls!P$25*Smooth!$L142)*(1+Controls!P$26*Smooth!$M142)*(1+Controls!P$27*Smooth!$N142)*(1+Controls!P$28*Smooth!$O142)),2))</f>
        <v/>
      </c>
      <c r="L142" s="18" t="str">
        <f t="shared" si="1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21.0" customHeight="1">
      <c r="A143" s="7" t="str">
        <f>IF(142&lt;=Controls!$B$5,Controls!$B$4+141,"")</f>
        <v/>
      </c>
      <c r="B143" s="10" t="str">
        <f t="array" ref="B143">IF(OR($A143="",1&gt;Controls!$B$6),"",ROUND(MAX(0,Smooth!B143*Controls!B$17*INDEX(Controls!$B$21:$H$21,1,WEEKDAY($A143,2))*(1+Controls!$B$11)^141*(1+Controls!G$25*Smooth!$L143)*(1+Controls!G$26*Smooth!$M143)*(1+Controls!G$27*Smooth!$N143)*(1+Controls!G$28*Smooth!$O143)),2))</f>
        <v/>
      </c>
      <c r="C143" s="10" t="str">
        <f t="array" ref="C143">IF(OR($A143="",2&gt;Controls!$B$6),"",ROUND(MAX(0,Smooth!C143*Controls!C$17*INDEX(Controls!$B$21:$H$21,1,WEEKDAY($A143,2))*(1+Controls!$B$11)^141*(1+Controls!H$25*Smooth!$L143)*(1+Controls!H$26*Smooth!$M143)*(1+Controls!H$27*Smooth!$N143)*(1+Controls!H$28*Smooth!$O143)),2))</f>
        <v/>
      </c>
      <c r="D143" s="10" t="str">
        <f t="array" ref="D143">IF(OR($A143="",3&gt;Controls!$B$6),"",ROUND(MAX(0,Smooth!D143*Controls!D$17*INDEX(Controls!$B$21:$H$21,1,WEEKDAY($A143,2))*(1+Controls!$B$11)^141*(1+Controls!I$25*Smooth!$L143)*(1+Controls!I$26*Smooth!$M143)*(1+Controls!I$27*Smooth!$N143)*(1+Controls!I$28*Smooth!$O143)),2))</f>
        <v/>
      </c>
      <c r="E143" s="10" t="str">
        <f t="array" ref="E143">IF(OR($A143="",4&gt;Controls!$B$6),"",ROUND(MAX(0,Smooth!E143*Controls!E$17*INDEX(Controls!$B$21:$H$21,1,WEEKDAY($A143,2))*(1+Controls!$B$11)^141*(1+Controls!J$25*Smooth!$L143)*(1+Controls!J$26*Smooth!$M143)*(1+Controls!J$27*Smooth!$N143)*(1+Controls!J$28*Smooth!$O143)),2))</f>
        <v/>
      </c>
      <c r="F143" s="10" t="str">
        <f t="array" ref="F143">IF(OR($A143="",5&gt;Controls!$B$6),"",ROUND(MAX(0,Smooth!F143*Controls!F$17*INDEX(Controls!$B$21:$H$21,1,WEEKDAY($A143,2))*(1+Controls!$B$11)^141*(1+Controls!K$25*Smooth!$L143)*(1+Controls!K$26*Smooth!$M143)*(1+Controls!K$27*Smooth!$N143)*(1+Controls!K$28*Smooth!$O143)),2))</f>
        <v/>
      </c>
      <c r="G143" s="10" t="str">
        <f t="array" ref="G143">IF(OR($A143="",6&gt;Controls!$B$6),"",ROUND(MAX(0,Smooth!G143*Controls!G$17*INDEX(Controls!$B$21:$H$21,1,WEEKDAY($A143,2))*(1+Controls!$B$11)^141*(1+Controls!L$25*Smooth!$L143)*(1+Controls!L$26*Smooth!$M143)*(1+Controls!L$27*Smooth!$N143)*(1+Controls!L$28*Smooth!$O143)),2))</f>
        <v/>
      </c>
      <c r="H143" s="10" t="str">
        <f t="array" ref="H143">IF(OR($A143="",7&gt;Controls!$B$6),"",ROUND(MAX(0,Smooth!H143*Controls!H$17*INDEX(Controls!$B$21:$H$21,1,WEEKDAY($A143,2))*(1+Controls!$B$11)^141*(1+Controls!M$25*Smooth!$L143)*(1+Controls!M$26*Smooth!$M143)*(1+Controls!M$27*Smooth!$N143)*(1+Controls!M$28*Smooth!$O143)),2))</f>
        <v/>
      </c>
      <c r="I143" s="10" t="str">
        <f t="array" ref="I143">IF(OR($A143="",8&gt;Controls!$B$6),"",ROUND(MAX(0,Smooth!I143*Controls!I$17*INDEX(Controls!$B$21:$H$21,1,WEEKDAY($A143,2))*(1+Controls!$B$11)^141*(1+Controls!N$25*Smooth!$L143)*(1+Controls!N$26*Smooth!$M143)*(1+Controls!N$27*Smooth!$N143)*(1+Controls!N$28*Smooth!$O143)),2))</f>
        <v/>
      </c>
      <c r="J143" s="10" t="str">
        <f t="array" ref="J143">IF(OR($A143="",9&gt;Controls!$B$6),"",ROUND(MAX(0,Smooth!J143*Controls!J$17*INDEX(Controls!$B$21:$H$21,1,WEEKDAY($A143,2))*(1+Controls!$B$11)^141*(1+Controls!O$25*Smooth!$L143)*(1+Controls!O$26*Smooth!$M143)*(1+Controls!O$27*Smooth!$N143)*(1+Controls!O$28*Smooth!$O143)),2))</f>
        <v/>
      </c>
      <c r="K143" s="10" t="str">
        <f t="array" ref="K143">IF(OR($A143="",10&gt;Controls!$B$6),"",ROUND(MAX(0,Smooth!K143*Controls!K$17*INDEX(Controls!$B$21:$H$21,1,WEEKDAY($A143,2))*(1+Controls!$B$11)^141*(1+Controls!P$25*Smooth!$L143)*(1+Controls!P$26*Smooth!$M143)*(1+Controls!P$27*Smooth!$N143)*(1+Controls!P$28*Smooth!$O143)),2))</f>
        <v/>
      </c>
      <c r="L143" s="18" t="str">
        <f t="shared" si="1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21.0" customHeight="1">
      <c r="A144" s="7" t="str">
        <f>IF(143&lt;=Controls!$B$5,Controls!$B$4+142,"")</f>
        <v/>
      </c>
      <c r="B144" s="10" t="str">
        <f t="array" ref="B144">IF(OR($A144="",1&gt;Controls!$B$6),"",ROUND(MAX(0,Smooth!B144*Controls!B$17*INDEX(Controls!$B$21:$H$21,1,WEEKDAY($A144,2))*(1+Controls!$B$11)^142*(1+Controls!G$25*Smooth!$L144)*(1+Controls!G$26*Smooth!$M144)*(1+Controls!G$27*Smooth!$N144)*(1+Controls!G$28*Smooth!$O144)),2))</f>
        <v/>
      </c>
      <c r="C144" s="10" t="str">
        <f t="array" ref="C144">IF(OR($A144="",2&gt;Controls!$B$6),"",ROUND(MAX(0,Smooth!C144*Controls!C$17*INDEX(Controls!$B$21:$H$21,1,WEEKDAY($A144,2))*(1+Controls!$B$11)^142*(1+Controls!H$25*Smooth!$L144)*(1+Controls!H$26*Smooth!$M144)*(1+Controls!H$27*Smooth!$N144)*(1+Controls!H$28*Smooth!$O144)),2))</f>
        <v/>
      </c>
      <c r="D144" s="10" t="str">
        <f t="array" ref="D144">IF(OR($A144="",3&gt;Controls!$B$6),"",ROUND(MAX(0,Smooth!D144*Controls!D$17*INDEX(Controls!$B$21:$H$21,1,WEEKDAY($A144,2))*(1+Controls!$B$11)^142*(1+Controls!I$25*Smooth!$L144)*(1+Controls!I$26*Smooth!$M144)*(1+Controls!I$27*Smooth!$N144)*(1+Controls!I$28*Smooth!$O144)),2))</f>
        <v/>
      </c>
      <c r="E144" s="10" t="str">
        <f t="array" ref="E144">IF(OR($A144="",4&gt;Controls!$B$6),"",ROUND(MAX(0,Smooth!E144*Controls!E$17*INDEX(Controls!$B$21:$H$21,1,WEEKDAY($A144,2))*(1+Controls!$B$11)^142*(1+Controls!J$25*Smooth!$L144)*(1+Controls!J$26*Smooth!$M144)*(1+Controls!J$27*Smooth!$N144)*(1+Controls!J$28*Smooth!$O144)),2))</f>
        <v/>
      </c>
      <c r="F144" s="10" t="str">
        <f t="array" ref="F144">IF(OR($A144="",5&gt;Controls!$B$6),"",ROUND(MAX(0,Smooth!F144*Controls!F$17*INDEX(Controls!$B$21:$H$21,1,WEEKDAY($A144,2))*(1+Controls!$B$11)^142*(1+Controls!K$25*Smooth!$L144)*(1+Controls!K$26*Smooth!$M144)*(1+Controls!K$27*Smooth!$N144)*(1+Controls!K$28*Smooth!$O144)),2))</f>
        <v/>
      </c>
      <c r="G144" s="10" t="str">
        <f t="array" ref="G144">IF(OR($A144="",6&gt;Controls!$B$6),"",ROUND(MAX(0,Smooth!G144*Controls!G$17*INDEX(Controls!$B$21:$H$21,1,WEEKDAY($A144,2))*(1+Controls!$B$11)^142*(1+Controls!L$25*Smooth!$L144)*(1+Controls!L$26*Smooth!$M144)*(1+Controls!L$27*Smooth!$N144)*(1+Controls!L$28*Smooth!$O144)),2))</f>
        <v/>
      </c>
      <c r="H144" s="10" t="str">
        <f t="array" ref="H144">IF(OR($A144="",7&gt;Controls!$B$6),"",ROUND(MAX(0,Smooth!H144*Controls!H$17*INDEX(Controls!$B$21:$H$21,1,WEEKDAY($A144,2))*(1+Controls!$B$11)^142*(1+Controls!M$25*Smooth!$L144)*(1+Controls!M$26*Smooth!$M144)*(1+Controls!M$27*Smooth!$N144)*(1+Controls!M$28*Smooth!$O144)),2))</f>
        <v/>
      </c>
      <c r="I144" s="10" t="str">
        <f t="array" ref="I144">IF(OR($A144="",8&gt;Controls!$B$6),"",ROUND(MAX(0,Smooth!I144*Controls!I$17*INDEX(Controls!$B$21:$H$21,1,WEEKDAY($A144,2))*(1+Controls!$B$11)^142*(1+Controls!N$25*Smooth!$L144)*(1+Controls!N$26*Smooth!$M144)*(1+Controls!N$27*Smooth!$N144)*(1+Controls!N$28*Smooth!$O144)),2))</f>
        <v/>
      </c>
      <c r="J144" s="10" t="str">
        <f t="array" ref="J144">IF(OR($A144="",9&gt;Controls!$B$6),"",ROUND(MAX(0,Smooth!J144*Controls!J$17*INDEX(Controls!$B$21:$H$21,1,WEEKDAY($A144,2))*(1+Controls!$B$11)^142*(1+Controls!O$25*Smooth!$L144)*(1+Controls!O$26*Smooth!$M144)*(1+Controls!O$27*Smooth!$N144)*(1+Controls!O$28*Smooth!$O144)),2))</f>
        <v/>
      </c>
      <c r="K144" s="10" t="str">
        <f t="array" ref="K144">IF(OR($A144="",10&gt;Controls!$B$6),"",ROUND(MAX(0,Smooth!K144*Controls!K$17*INDEX(Controls!$B$21:$H$21,1,WEEKDAY($A144,2))*(1+Controls!$B$11)^142*(1+Controls!P$25*Smooth!$L144)*(1+Controls!P$26*Smooth!$M144)*(1+Controls!P$27*Smooth!$N144)*(1+Controls!P$28*Smooth!$O144)),2))</f>
        <v/>
      </c>
      <c r="L144" s="18" t="str">
        <f t="shared" si="1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21.0" customHeight="1">
      <c r="A145" s="7" t="str">
        <f>IF(144&lt;=Controls!$B$5,Controls!$B$4+143,"")</f>
        <v/>
      </c>
      <c r="B145" s="10" t="str">
        <f t="array" ref="B145">IF(OR($A145="",1&gt;Controls!$B$6),"",ROUND(MAX(0,Smooth!B145*Controls!B$17*INDEX(Controls!$B$21:$H$21,1,WEEKDAY($A145,2))*(1+Controls!$B$11)^143*(1+Controls!G$25*Smooth!$L145)*(1+Controls!G$26*Smooth!$M145)*(1+Controls!G$27*Smooth!$N145)*(1+Controls!G$28*Smooth!$O145)),2))</f>
        <v/>
      </c>
      <c r="C145" s="10" t="str">
        <f t="array" ref="C145">IF(OR($A145="",2&gt;Controls!$B$6),"",ROUND(MAX(0,Smooth!C145*Controls!C$17*INDEX(Controls!$B$21:$H$21,1,WEEKDAY($A145,2))*(1+Controls!$B$11)^143*(1+Controls!H$25*Smooth!$L145)*(1+Controls!H$26*Smooth!$M145)*(1+Controls!H$27*Smooth!$N145)*(1+Controls!H$28*Smooth!$O145)),2))</f>
        <v/>
      </c>
      <c r="D145" s="10" t="str">
        <f t="array" ref="D145">IF(OR($A145="",3&gt;Controls!$B$6),"",ROUND(MAX(0,Smooth!D145*Controls!D$17*INDEX(Controls!$B$21:$H$21,1,WEEKDAY($A145,2))*(1+Controls!$B$11)^143*(1+Controls!I$25*Smooth!$L145)*(1+Controls!I$26*Smooth!$M145)*(1+Controls!I$27*Smooth!$N145)*(1+Controls!I$28*Smooth!$O145)),2))</f>
        <v/>
      </c>
      <c r="E145" s="10" t="str">
        <f t="array" ref="E145">IF(OR($A145="",4&gt;Controls!$B$6),"",ROUND(MAX(0,Smooth!E145*Controls!E$17*INDEX(Controls!$B$21:$H$21,1,WEEKDAY($A145,2))*(1+Controls!$B$11)^143*(1+Controls!J$25*Smooth!$L145)*(1+Controls!J$26*Smooth!$M145)*(1+Controls!J$27*Smooth!$N145)*(1+Controls!J$28*Smooth!$O145)),2))</f>
        <v/>
      </c>
      <c r="F145" s="10" t="str">
        <f t="array" ref="F145">IF(OR($A145="",5&gt;Controls!$B$6),"",ROUND(MAX(0,Smooth!F145*Controls!F$17*INDEX(Controls!$B$21:$H$21,1,WEEKDAY($A145,2))*(1+Controls!$B$11)^143*(1+Controls!K$25*Smooth!$L145)*(1+Controls!K$26*Smooth!$M145)*(1+Controls!K$27*Smooth!$N145)*(1+Controls!K$28*Smooth!$O145)),2))</f>
        <v/>
      </c>
      <c r="G145" s="10" t="str">
        <f t="array" ref="G145">IF(OR($A145="",6&gt;Controls!$B$6),"",ROUND(MAX(0,Smooth!G145*Controls!G$17*INDEX(Controls!$B$21:$H$21,1,WEEKDAY($A145,2))*(1+Controls!$B$11)^143*(1+Controls!L$25*Smooth!$L145)*(1+Controls!L$26*Smooth!$M145)*(1+Controls!L$27*Smooth!$N145)*(1+Controls!L$28*Smooth!$O145)),2))</f>
        <v/>
      </c>
      <c r="H145" s="10" t="str">
        <f t="array" ref="H145">IF(OR($A145="",7&gt;Controls!$B$6),"",ROUND(MAX(0,Smooth!H145*Controls!H$17*INDEX(Controls!$B$21:$H$21,1,WEEKDAY($A145,2))*(1+Controls!$B$11)^143*(1+Controls!M$25*Smooth!$L145)*(1+Controls!M$26*Smooth!$M145)*(1+Controls!M$27*Smooth!$N145)*(1+Controls!M$28*Smooth!$O145)),2))</f>
        <v/>
      </c>
      <c r="I145" s="10" t="str">
        <f t="array" ref="I145">IF(OR($A145="",8&gt;Controls!$B$6),"",ROUND(MAX(0,Smooth!I145*Controls!I$17*INDEX(Controls!$B$21:$H$21,1,WEEKDAY($A145,2))*(1+Controls!$B$11)^143*(1+Controls!N$25*Smooth!$L145)*(1+Controls!N$26*Smooth!$M145)*(1+Controls!N$27*Smooth!$N145)*(1+Controls!N$28*Smooth!$O145)),2))</f>
        <v/>
      </c>
      <c r="J145" s="10" t="str">
        <f t="array" ref="J145">IF(OR($A145="",9&gt;Controls!$B$6),"",ROUND(MAX(0,Smooth!J145*Controls!J$17*INDEX(Controls!$B$21:$H$21,1,WEEKDAY($A145,2))*(1+Controls!$B$11)^143*(1+Controls!O$25*Smooth!$L145)*(1+Controls!O$26*Smooth!$M145)*(1+Controls!O$27*Smooth!$N145)*(1+Controls!O$28*Smooth!$O145)),2))</f>
        <v/>
      </c>
      <c r="K145" s="10" t="str">
        <f t="array" ref="K145">IF(OR($A145="",10&gt;Controls!$B$6),"",ROUND(MAX(0,Smooth!K145*Controls!K$17*INDEX(Controls!$B$21:$H$21,1,WEEKDAY($A145,2))*(1+Controls!$B$11)^143*(1+Controls!P$25*Smooth!$L145)*(1+Controls!P$26*Smooth!$M145)*(1+Controls!P$27*Smooth!$N145)*(1+Controls!P$28*Smooth!$O145)),2))</f>
        <v/>
      </c>
      <c r="L145" s="18" t="str">
        <f t="shared" si="1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21.0" customHeight="1">
      <c r="A146" s="7" t="str">
        <f>IF(145&lt;=Controls!$B$5,Controls!$B$4+144,"")</f>
        <v/>
      </c>
      <c r="B146" s="10" t="str">
        <f t="array" ref="B146">IF(OR($A146="",1&gt;Controls!$B$6),"",ROUND(MAX(0,Smooth!B146*Controls!B$17*INDEX(Controls!$B$21:$H$21,1,WEEKDAY($A146,2))*(1+Controls!$B$11)^144*(1+Controls!G$25*Smooth!$L146)*(1+Controls!G$26*Smooth!$M146)*(1+Controls!G$27*Smooth!$N146)*(1+Controls!G$28*Smooth!$O146)),2))</f>
        <v/>
      </c>
      <c r="C146" s="10" t="str">
        <f t="array" ref="C146">IF(OR($A146="",2&gt;Controls!$B$6),"",ROUND(MAX(0,Smooth!C146*Controls!C$17*INDEX(Controls!$B$21:$H$21,1,WEEKDAY($A146,2))*(1+Controls!$B$11)^144*(1+Controls!H$25*Smooth!$L146)*(1+Controls!H$26*Smooth!$M146)*(1+Controls!H$27*Smooth!$N146)*(1+Controls!H$28*Smooth!$O146)),2))</f>
        <v/>
      </c>
      <c r="D146" s="10" t="str">
        <f t="array" ref="D146">IF(OR($A146="",3&gt;Controls!$B$6),"",ROUND(MAX(0,Smooth!D146*Controls!D$17*INDEX(Controls!$B$21:$H$21,1,WEEKDAY($A146,2))*(1+Controls!$B$11)^144*(1+Controls!I$25*Smooth!$L146)*(1+Controls!I$26*Smooth!$M146)*(1+Controls!I$27*Smooth!$N146)*(1+Controls!I$28*Smooth!$O146)),2))</f>
        <v/>
      </c>
      <c r="E146" s="10" t="str">
        <f t="array" ref="E146">IF(OR($A146="",4&gt;Controls!$B$6),"",ROUND(MAX(0,Smooth!E146*Controls!E$17*INDEX(Controls!$B$21:$H$21,1,WEEKDAY($A146,2))*(1+Controls!$B$11)^144*(1+Controls!J$25*Smooth!$L146)*(1+Controls!J$26*Smooth!$M146)*(1+Controls!J$27*Smooth!$N146)*(1+Controls!J$28*Smooth!$O146)),2))</f>
        <v/>
      </c>
      <c r="F146" s="10" t="str">
        <f t="array" ref="F146">IF(OR($A146="",5&gt;Controls!$B$6),"",ROUND(MAX(0,Smooth!F146*Controls!F$17*INDEX(Controls!$B$21:$H$21,1,WEEKDAY($A146,2))*(1+Controls!$B$11)^144*(1+Controls!K$25*Smooth!$L146)*(1+Controls!K$26*Smooth!$M146)*(1+Controls!K$27*Smooth!$N146)*(1+Controls!K$28*Smooth!$O146)),2))</f>
        <v/>
      </c>
      <c r="G146" s="10" t="str">
        <f t="array" ref="G146">IF(OR($A146="",6&gt;Controls!$B$6),"",ROUND(MAX(0,Smooth!G146*Controls!G$17*INDEX(Controls!$B$21:$H$21,1,WEEKDAY($A146,2))*(1+Controls!$B$11)^144*(1+Controls!L$25*Smooth!$L146)*(1+Controls!L$26*Smooth!$M146)*(1+Controls!L$27*Smooth!$N146)*(1+Controls!L$28*Smooth!$O146)),2))</f>
        <v/>
      </c>
      <c r="H146" s="10" t="str">
        <f t="array" ref="H146">IF(OR($A146="",7&gt;Controls!$B$6),"",ROUND(MAX(0,Smooth!H146*Controls!H$17*INDEX(Controls!$B$21:$H$21,1,WEEKDAY($A146,2))*(1+Controls!$B$11)^144*(1+Controls!M$25*Smooth!$L146)*(1+Controls!M$26*Smooth!$M146)*(1+Controls!M$27*Smooth!$N146)*(1+Controls!M$28*Smooth!$O146)),2))</f>
        <v/>
      </c>
      <c r="I146" s="10" t="str">
        <f t="array" ref="I146">IF(OR($A146="",8&gt;Controls!$B$6),"",ROUND(MAX(0,Smooth!I146*Controls!I$17*INDEX(Controls!$B$21:$H$21,1,WEEKDAY($A146,2))*(1+Controls!$B$11)^144*(1+Controls!N$25*Smooth!$L146)*(1+Controls!N$26*Smooth!$M146)*(1+Controls!N$27*Smooth!$N146)*(1+Controls!N$28*Smooth!$O146)),2))</f>
        <v/>
      </c>
      <c r="J146" s="10" t="str">
        <f t="array" ref="J146">IF(OR($A146="",9&gt;Controls!$B$6),"",ROUND(MAX(0,Smooth!J146*Controls!J$17*INDEX(Controls!$B$21:$H$21,1,WEEKDAY($A146,2))*(1+Controls!$B$11)^144*(1+Controls!O$25*Smooth!$L146)*(1+Controls!O$26*Smooth!$M146)*(1+Controls!O$27*Smooth!$N146)*(1+Controls!O$28*Smooth!$O146)),2))</f>
        <v/>
      </c>
      <c r="K146" s="10" t="str">
        <f t="array" ref="K146">IF(OR($A146="",10&gt;Controls!$B$6),"",ROUND(MAX(0,Smooth!K146*Controls!K$17*INDEX(Controls!$B$21:$H$21,1,WEEKDAY($A146,2))*(1+Controls!$B$11)^144*(1+Controls!P$25*Smooth!$L146)*(1+Controls!P$26*Smooth!$M146)*(1+Controls!P$27*Smooth!$N146)*(1+Controls!P$28*Smooth!$O146)),2))</f>
        <v/>
      </c>
      <c r="L146" s="18" t="str">
        <f t="shared" si="1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21.0" customHeight="1">
      <c r="A147" s="7" t="str">
        <f>IF(146&lt;=Controls!$B$5,Controls!$B$4+145,"")</f>
        <v/>
      </c>
      <c r="B147" s="10" t="str">
        <f t="array" ref="B147">IF(OR($A147="",1&gt;Controls!$B$6),"",ROUND(MAX(0,Smooth!B147*Controls!B$17*INDEX(Controls!$B$21:$H$21,1,WEEKDAY($A147,2))*(1+Controls!$B$11)^145*(1+Controls!G$25*Smooth!$L147)*(1+Controls!G$26*Smooth!$M147)*(1+Controls!G$27*Smooth!$N147)*(1+Controls!G$28*Smooth!$O147)),2))</f>
        <v/>
      </c>
      <c r="C147" s="10" t="str">
        <f t="array" ref="C147">IF(OR($A147="",2&gt;Controls!$B$6),"",ROUND(MAX(0,Smooth!C147*Controls!C$17*INDEX(Controls!$B$21:$H$21,1,WEEKDAY($A147,2))*(1+Controls!$B$11)^145*(1+Controls!H$25*Smooth!$L147)*(1+Controls!H$26*Smooth!$M147)*(1+Controls!H$27*Smooth!$N147)*(1+Controls!H$28*Smooth!$O147)),2))</f>
        <v/>
      </c>
      <c r="D147" s="10" t="str">
        <f t="array" ref="D147">IF(OR($A147="",3&gt;Controls!$B$6),"",ROUND(MAX(0,Smooth!D147*Controls!D$17*INDEX(Controls!$B$21:$H$21,1,WEEKDAY($A147,2))*(1+Controls!$B$11)^145*(1+Controls!I$25*Smooth!$L147)*(1+Controls!I$26*Smooth!$M147)*(1+Controls!I$27*Smooth!$N147)*(1+Controls!I$28*Smooth!$O147)),2))</f>
        <v/>
      </c>
      <c r="E147" s="10" t="str">
        <f t="array" ref="E147">IF(OR($A147="",4&gt;Controls!$B$6),"",ROUND(MAX(0,Smooth!E147*Controls!E$17*INDEX(Controls!$B$21:$H$21,1,WEEKDAY($A147,2))*(1+Controls!$B$11)^145*(1+Controls!J$25*Smooth!$L147)*(1+Controls!J$26*Smooth!$M147)*(1+Controls!J$27*Smooth!$N147)*(1+Controls!J$28*Smooth!$O147)),2))</f>
        <v/>
      </c>
      <c r="F147" s="10" t="str">
        <f t="array" ref="F147">IF(OR($A147="",5&gt;Controls!$B$6),"",ROUND(MAX(0,Smooth!F147*Controls!F$17*INDEX(Controls!$B$21:$H$21,1,WEEKDAY($A147,2))*(1+Controls!$B$11)^145*(1+Controls!K$25*Smooth!$L147)*(1+Controls!K$26*Smooth!$M147)*(1+Controls!K$27*Smooth!$N147)*(1+Controls!K$28*Smooth!$O147)),2))</f>
        <v/>
      </c>
      <c r="G147" s="10" t="str">
        <f t="array" ref="G147">IF(OR($A147="",6&gt;Controls!$B$6),"",ROUND(MAX(0,Smooth!G147*Controls!G$17*INDEX(Controls!$B$21:$H$21,1,WEEKDAY($A147,2))*(1+Controls!$B$11)^145*(1+Controls!L$25*Smooth!$L147)*(1+Controls!L$26*Smooth!$M147)*(1+Controls!L$27*Smooth!$N147)*(1+Controls!L$28*Smooth!$O147)),2))</f>
        <v/>
      </c>
      <c r="H147" s="10" t="str">
        <f t="array" ref="H147">IF(OR($A147="",7&gt;Controls!$B$6),"",ROUND(MAX(0,Smooth!H147*Controls!H$17*INDEX(Controls!$B$21:$H$21,1,WEEKDAY($A147,2))*(1+Controls!$B$11)^145*(1+Controls!M$25*Smooth!$L147)*(1+Controls!M$26*Smooth!$M147)*(1+Controls!M$27*Smooth!$N147)*(1+Controls!M$28*Smooth!$O147)),2))</f>
        <v/>
      </c>
      <c r="I147" s="10" t="str">
        <f t="array" ref="I147">IF(OR($A147="",8&gt;Controls!$B$6),"",ROUND(MAX(0,Smooth!I147*Controls!I$17*INDEX(Controls!$B$21:$H$21,1,WEEKDAY($A147,2))*(1+Controls!$B$11)^145*(1+Controls!N$25*Smooth!$L147)*(1+Controls!N$26*Smooth!$M147)*(1+Controls!N$27*Smooth!$N147)*(1+Controls!N$28*Smooth!$O147)),2))</f>
        <v/>
      </c>
      <c r="J147" s="10" t="str">
        <f t="array" ref="J147">IF(OR($A147="",9&gt;Controls!$B$6),"",ROUND(MAX(0,Smooth!J147*Controls!J$17*INDEX(Controls!$B$21:$H$21,1,WEEKDAY($A147,2))*(1+Controls!$B$11)^145*(1+Controls!O$25*Smooth!$L147)*(1+Controls!O$26*Smooth!$M147)*(1+Controls!O$27*Smooth!$N147)*(1+Controls!O$28*Smooth!$O147)),2))</f>
        <v/>
      </c>
      <c r="K147" s="10" t="str">
        <f t="array" ref="K147">IF(OR($A147="",10&gt;Controls!$B$6),"",ROUND(MAX(0,Smooth!K147*Controls!K$17*INDEX(Controls!$B$21:$H$21,1,WEEKDAY($A147,2))*(1+Controls!$B$11)^145*(1+Controls!P$25*Smooth!$L147)*(1+Controls!P$26*Smooth!$M147)*(1+Controls!P$27*Smooth!$N147)*(1+Controls!P$28*Smooth!$O147)),2))</f>
        <v/>
      </c>
      <c r="L147" s="18" t="str">
        <f t="shared" si="1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21.0" customHeight="1">
      <c r="A148" s="7" t="str">
        <f>IF(147&lt;=Controls!$B$5,Controls!$B$4+146,"")</f>
        <v/>
      </c>
      <c r="B148" s="10" t="str">
        <f t="array" ref="B148">IF(OR($A148="",1&gt;Controls!$B$6),"",ROUND(MAX(0,Smooth!B148*Controls!B$17*INDEX(Controls!$B$21:$H$21,1,WEEKDAY($A148,2))*(1+Controls!$B$11)^146*(1+Controls!G$25*Smooth!$L148)*(1+Controls!G$26*Smooth!$M148)*(1+Controls!G$27*Smooth!$N148)*(1+Controls!G$28*Smooth!$O148)),2))</f>
        <v/>
      </c>
      <c r="C148" s="10" t="str">
        <f t="array" ref="C148">IF(OR($A148="",2&gt;Controls!$B$6),"",ROUND(MAX(0,Smooth!C148*Controls!C$17*INDEX(Controls!$B$21:$H$21,1,WEEKDAY($A148,2))*(1+Controls!$B$11)^146*(1+Controls!H$25*Smooth!$L148)*(1+Controls!H$26*Smooth!$M148)*(1+Controls!H$27*Smooth!$N148)*(1+Controls!H$28*Smooth!$O148)),2))</f>
        <v/>
      </c>
      <c r="D148" s="10" t="str">
        <f t="array" ref="D148">IF(OR($A148="",3&gt;Controls!$B$6),"",ROUND(MAX(0,Smooth!D148*Controls!D$17*INDEX(Controls!$B$21:$H$21,1,WEEKDAY($A148,2))*(1+Controls!$B$11)^146*(1+Controls!I$25*Smooth!$L148)*(1+Controls!I$26*Smooth!$M148)*(1+Controls!I$27*Smooth!$N148)*(1+Controls!I$28*Smooth!$O148)),2))</f>
        <v/>
      </c>
      <c r="E148" s="10" t="str">
        <f t="array" ref="E148">IF(OR($A148="",4&gt;Controls!$B$6),"",ROUND(MAX(0,Smooth!E148*Controls!E$17*INDEX(Controls!$B$21:$H$21,1,WEEKDAY($A148,2))*(1+Controls!$B$11)^146*(1+Controls!J$25*Smooth!$L148)*(1+Controls!J$26*Smooth!$M148)*(1+Controls!J$27*Smooth!$N148)*(1+Controls!J$28*Smooth!$O148)),2))</f>
        <v/>
      </c>
      <c r="F148" s="10" t="str">
        <f t="array" ref="F148">IF(OR($A148="",5&gt;Controls!$B$6),"",ROUND(MAX(0,Smooth!F148*Controls!F$17*INDEX(Controls!$B$21:$H$21,1,WEEKDAY($A148,2))*(1+Controls!$B$11)^146*(1+Controls!K$25*Smooth!$L148)*(1+Controls!K$26*Smooth!$M148)*(1+Controls!K$27*Smooth!$N148)*(1+Controls!K$28*Smooth!$O148)),2))</f>
        <v/>
      </c>
      <c r="G148" s="10" t="str">
        <f t="array" ref="G148">IF(OR($A148="",6&gt;Controls!$B$6),"",ROUND(MAX(0,Smooth!G148*Controls!G$17*INDEX(Controls!$B$21:$H$21,1,WEEKDAY($A148,2))*(1+Controls!$B$11)^146*(1+Controls!L$25*Smooth!$L148)*(1+Controls!L$26*Smooth!$M148)*(1+Controls!L$27*Smooth!$N148)*(1+Controls!L$28*Smooth!$O148)),2))</f>
        <v/>
      </c>
      <c r="H148" s="10" t="str">
        <f t="array" ref="H148">IF(OR($A148="",7&gt;Controls!$B$6),"",ROUND(MAX(0,Smooth!H148*Controls!H$17*INDEX(Controls!$B$21:$H$21,1,WEEKDAY($A148,2))*(1+Controls!$B$11)^146*(1+Controls!M$25*Smooth!$L148)*(1+Controls!M$26*Smooth!$M148)*(1+Controls!M$27*Smooth!$N148)*(1+Controls!M$28*Smooth!$O148)),2))</f>
        <v/>
      </c>
      <c r="I148" s="10" t="str">
        <f t="array" ref="I148">IF(OR($A148="",8&gt;Controls!$B$6),"",ROUND(MAX(0,Smooth!I148*Controls!I$17*INDEX(Controls!$B$21:$H$21,1,WEEKDAY($A148,2))*(1+Controls!$B$11)^146*(1+Controls!N$25*Smooth!$L148)*(1+Controls!N$26*Smooth!$M148)*(1+Controls!N$27*Smooth!$N148)*(1+Controls!N$28*Smooth!$O148)),2))</f>
        <v/>
      </c>
      <c r="J148" s="10" t="str">
        <f t="array" ref="J148">IF(OR($A148="",9&gt;Controls!$B$6),"",ROUND(MAX(0,Smooth!J148*Controls!J$17*INDEX(Controls!$B$21:$H$21,1,WEEKDAY($A148,2))*(1+Controls!$B$11)^146*(1+Controls!O$25*Smooth!$L148)*(1+Controls!O$26*Smooth!$M148)*(1+Controls!O$27*Smooth!$N148)*(1+Controls!O$28*Smooth!$O148)),2))</f>
        <v/>
      </c>
      <c r="K148" s="10" t="str">
        <f t="array" ref="K148">IF(OR($A148="",10&gt;Controls!$B$6),"",ROUND(MAX(0,Smooth!K148*Controls!K$17*INDEX(Controls!$B$21:$H$21,1,WEEKDAY($A148,2))*(1+Controls!$B$11)^146*(1+Controls!P$25*Smooth!$L148)*(1+Controls!P$26*Smooth!$M148)*(1+Controls!P$27*Smooth!$N148)*(1+Controls!P$28*Smooth!$O148)),2))</f>
        <v/>
      </c>
      <c r="L148" s="18" t="str">
        <f t="shared" si="1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21.0" customHeight="1">
      <c r="A149" s="7" t="str">
        <f>IF(148&lt;=Controls!$B$5,Controls!$B$4+147,"")</f>
        <v/>
      </c>
      <c r="B149" s="10" t="str">
        <f t="array" ref="B149">IF(OR($A149="",1&gt;Controls!$B$6),"",ROUND(MAX(0,Smooth!B149*Controls!B$17*INDEX(Controls!$B$21:$H$21,1,WEEKDAY($A149,2))*(1+Controls!$B$11)^147*(1+Controls!G$25*Smooth!$L149)*(1+Controls!G$26*Smooth!$M149)*(1+Controls!G$27*Smooth!$N149)*(1+Controls!G$28*Smooth!$O149)),2))</f>
        <v/>
      </c>
      <c r="C149" s="10" t="str">
        <f t="array" ref="C149">IF(OR($A149="",2&gt;Controls!$B$6),"",ROUND(MAX(0,Smooth!C149*Controls!C$17*INDEX(Controls!$B$21:$H$21,1,WEEKDAY($A149,2))*(1+Controls!$B$11)^147*(1+Controls!H$25*Smooth!$L149)*(1+Controls!H$26*Smooth!$M149)*(1+Controls!H$27*Smooth!$N149)*(1+Controls!H$28*Smooth!$O149)),2))</f>
        <v/>
      </c>
      <c r="D149" s="10" t="str">
        <f t="array" ref="D149">IF(OR($A149="",3&gt;Controls!$B$6),"",ROUND(MAX(0,Smooth!D149*Controls!D$17*INDEX(Controls!$B$21:$H$21,1,WEEKDAY($A149,2))*(1+Controls!$B$11)^147*(1+Controls!I$25*Smooth!$L149)*(1+Controls!I$26*Smooth!$M149)*(1+Controls!I$27*Smooth!$N149)*(1+Controls!I$28*Smooth!$O149)),2))</f>
        <v/>
      </c>
      <c r="E149" s="10" t="str">
        <f t="array" ref="E149">IF(OR($A149="",4&gt;Controls!$B$6),"",ROUND(MAX(0,Smooth!E149*Controls!E$17*INDEX(Controls!$B$21:$H$21,1,WEEKDAY($A149,2))*(1+Controls!$B$11)^147*(1+Controls!J$25*Smooth!$L149)*(1+Controls!J$26*Smooth!$M149)*(1+Controls!J$27*Smooth!$N149)*(1+Controls!J$28*Smooth!$O149)),2))</f>
        <v/>
      </c>
      <c r="F149" s="10" t="str">
        <f t="array" ref="F149">IF(OR($A149="",5&gt;Controls!$B$6),"",ROUND(MAX(0,Smooth!F149*Controls!F$17*INDEX(Controls!$B$21:$H$21,1,WEEKDAY($A149,2))*(1+Controls!$B$11)^147*(1+Controls!K$25*Smooth!$L149)*(1+Controls!K$26*Smooth!$M149)*(1+Controls!K$27*Smooth!$N149)*(1+Controls!K$28*Smooth!$O149)),2))</f>
        <v/>
      </c>
      <c r="G149" s="10" t="str">
        <f t="array" ref="G149">IF(OR($A149="",6&gt;Controls!$B$6),"",ROUND(MAX(0,Smooth!G149*Controls!G$17*INDEX(Controls!$B$21:$H$21,1,WEEKDAY($A149,2))*(1+Controls!$B$11)^147*(1+Controls!L$25*Smooth!$L149)*(1+Controls!L$26*Smooth!$M149)*(1+Controls!L$27*Smooth!$N149)*(1+Controls!L$28*Smooth!$O149)),2))</f>
        <v/>
      </c>
      <c r="H149" s="10" t="str">
        <f t="array" ref="H149">IF(OR($A149="",7&gt;Controls!$B$6),"",ROUND(MAX(0,Smooth!H149*Controls!H$17*INDEX(Controls!$B$21:$H$21,1,WEEKDAY($A149,2))*(1+Controls!$B$11)^147*(1+Controls!M$25*Smooth!$L149)*(1+Controls!M$26*Smooth!$M149)*(1+Controls!M$27*Smooth!$N149)*(1+Controls!M$28*Smooth!$O149)),2))</f>
        <v/>
      </c>
      <c r="I149" s="10" t="str">
        <f t="array" ref="I149">IF(OR($A149="",8&gt;Controls!$B$6),"",ROUND(MAX(0,Smooth!I149*Controls!I$17*INDEX(Controls!$B$21:$H$21,1,WEEKDAY($A149,2))*(1+Controls!$B$11)^147*(1+Controls!N$25*Smooth!$L149)*(1+Controls!N$26*Smooth!$M149)*(1+Controls!N$27*Smooth!$N149)*(1+Controls!N$28*Smooth!$O149)),2))</f>
        <v/>
      </c>
      <c r="J149" s="10" t="str">
        <f t="array" ref="J149">IF(OR($A149="",9&gt;Controls!$B$6),"",ROUND(MAX(0,Smooth!J149*Controls!J$17*INDEX(Controls!$B$21:$H$21,1,WEEKDAY($A149,2))*(1+Controls!$B$11)^147*(1+Controls!O$25*Smooth!$L149)*(1+Controls!O$26*Smooth!$M149)*(1+Controls!O$27*Smooth!$N149)*(1+Controls!O$28*Smooth!$O149)),2))</f>
        <v/>
      </c>
      <c r="K149" s="10" t="str">
        <f t="array" ref="K149">IF(OR($A149="",10&gt;Controls!$B$6),"",ROUND(MAX(0,Smooth!K149*Controls!K$17*INDEX(Controls!$B$21:$H$21,1,WEEKDAY($A149,2))*(1+Controls!$B$11)^147*(1+Controls!P$25*Smooth!$L149)*(1+Controls!P$26*Smooth!$M149)*(1+Controls!P$27*Smooth!$N149)*(1+Controls!P$28*Smooth!$O149)),2))</f>
        <v/>
      </c>
      <c r="L149" s="18" t="str">
        <f t="shared" si="1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21.0" customHeight="1">
      <c r="A150" s="7" t="str">
        <f>IF(149&lt;=Controls!$B$5,Controls!$B$4+148,"")</f>
        <v/>
      </c>
      <c r="B150" s="10" t="str">
        <f t="array" ref="B150">IF(OR($A150="",1&gt;Controls!$B$6),"",ROUND(MAX(0,Smooth!B150*Controls!B$17*INDEX(Controls!$B$21:$H$21,1,WEEKDAY($A150,2))*(1+Controls!$B$11)^148*(1+Controls!G$25*Smooth!$L150)*(1+Controls!G$26*Smooth!$M150)*(1+Controls!G$27*Smooth!$N150)*(1+Controls!G$28*Smooth!$O150)),2))</f>
        <v/>
      </c>
      <c r="C150" s="10" t="str">
        <f t="array" ref="C150">IF(OR($A150="",2&gt;Controls!$B$6),"",ROUND(MAX(0,Smooth!C150*Controls!C$17*INDEX(Controls!$B$21:$H$21,1,WEEKDAY($A150,2))*(1+Controls!$B$11)^148*(1+Controls!H$25*Smooth!$L150)*(1+Controls!H$26*Smooth!$M150)*(1+Controls!H$27*Smooth!$N150)*(1+Controls!H$28*Smooth!$O150)),2))</f>
        <v/>
      </c>
      <c r="D150" s="10" t="str">
        <f t="array" ref="D150">IF(OR($A150="",3&gt;Controls!$B$6),"",ROUND(MAX(0,Smooth!D150*Controls!D$17*INDEX(Controls!$B$21:$H$21,1,WEEKDAY($A150,2))*(1+Controls!$B$11)^148*(1+Controls!I$25*Smooth!$L150)*(1+Controls!I$26*Smooth!$M150)*(1+Controls!I$27*Smooth!$N150)*(1+Controls!I$28*Smooth!$O150)),2))</f>
        <v/>
      </c>
      <c r="E150" s="10" t="str">
        <f t="array" ref="E150">IF(OR($A150="",4&gt;Controls!$B$6),"",ROUND(MAX(0,Smooth!E150*Controls!E$17*INDEX(Controls!$B$21:$H$21,1,WEEKDAY($A150,2))*(1+Controls!$B$11)^148*(1+Controls!J$25*Smooth!$L150)*(1+Controls!J$26*Smooth!$M150)*(1+Controls!J$27*Smooth!$N150)*(1+Controls!J$28*Smooth!$O150)),2))</f>
        <v/>
      </c>
      <c r="F150" s="10" t="str">
        <f t="array" ref="F150">IF(OR($A150="",5&gt;Controls!$B$6),"",ROUND(MAX(0,Smooth!F150*Controls!F$17*INDEX(Controls!$B$21:$H$21,1,WEEKDAY($A150,2))*(1+Controls!$B$11)^148*(1+Controls!K$25*Smooth!$L150)*(1+Controls!K$26*Smooth!$M150)*(1+Controls!K$27*Smooth!$N150)*(1+Controls!K$28*Smooth!$O150)),2))</f>
        <v/>
      </c>
      <c r="G150" s="10" t="str">
        <f t="array" ref="G150">IF(OR($A150="",6&gt;Controls!$B$6),"",ROUND(MAX(0,Smooth!G150*Controls!G$17*INDEX(Controls!$B$21:$H$21,1,WEEKDAY($A150,2))*(1+Controls!$B$11)^148*(1+Controls!L$25*Smooth!$L150)*(1+Controls!L$26*Smooth!$M150)*(1+Controls!L$27*Smooth!$N150)*(1+Controls!L$28*Smooth!$O150)),2))</f>
        <v/>
      </c>
      <c r="H150" s="10" t="str">
        <f t="array" ref="H150">IF(OR($A150="",7&gt;Controls!$B$6),"",ROUND(MAX(0,Smooth!H150*Controls!H$17*INDEX(Controls!$B$21:$H$21,1,WEEKDAY($A150,2))*(1+Controls!$B$11)^148*(1+Controls!M$25*Smooth!$L150)*(1+Controls!M$26*Smooth!$M150)*(1+Controls!M$27*Smooth!$N150)*(1+Controls!M$28*Smooth!$O150)),2))</f>
        <v/>
      </c>
      <c r="I150" s="10" t="str">
        <f t="array" ref="I150">IF(OR($A150="",8&gt;Controls!$B$6),"",ROUND(MAX(0,Smooth!I150*Controls!I$17*INDEX(Controls!$B$21:$H$21,1,WEEKDAY($A150,2))*(1+Controls!$B$11)^148*(1+Controls!N$25*Smooth!$L150)*(1+Controls!N$26*Smooth!$M150)*(1+Controls!N$27*Smooth!$N150)*(1+Controls!N$28*Smooth!$O150)),2))</f>
        <v/>
      </c>
      <c r="J150" s="10" t="str">
        <f t="array" ref="J150">IF(OR($A150="",9&gt;Controls!$B$6),"",ROUND(MAX(0,Smooth!J150*Controls!J$17*INDEX(Controls!$B$21:$H$21,1,WEEKDAY($A150,2))*(1+Controls!$B$11)^148*(1+Controls!O$25*Smooth!$L150)*(1+Controls!O$26*Smooth!$M150)*(1+Controls!O$27*Smooth!$N150)*(1+Controls!O$28*Smooth!$O150)),2))</f>
        <v/>
      </c>
      <c r="K150" s="10" t="str">
        <f t="array" ref="K150">IF(OR($A150="",10&gt;Controls!$B$6),"",ROUND(MAX(0,Smooth!K150*Controls!K$17*INDEX(Controls!$B$21:$H$21,1,WEEKDAY($A150,2))*(1+Controls!$B$11)^148*(1+Controls!P$25*Smooth!$L150)*(1+Controls!P$26*Smooth!$M150)*(1+Controls!P$27*Smooth!$N150)*(1+Controls!P$28*Smooth!$O150)),2))</f>
        <v/>
      </c>
      <c r="L150" s="18" t="str">
        <f t="shared" si="1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21.0" customHeight="1">
      <c r="A151" s="7" t="str">
        <f>IF(150&lt;=Controls!$B$5,Controls!$B$4+149,"")</f>
        <v/>
      </c>
      <c r="B151" s="10" t="str">
        <f t="array" ref="B151">IF(OR($A151="",1&gt;Controls!$B$6),"",ROUND(MAX(0,Smooth!B151*Controls!B$17*INDEX(Controls!$B$21:$H$21,1,WEEKDAY($A151,2))*(1+Controls!$B$11)^149*(1+Controls!G$25*Smooth!$L151)*(1+Controls!G$26*Smooth!$M151)*(1+Controls!G$27*Smooth!$N151)*(1+Controls!G$28*Smooth!$O151)),2))</f>
        <v/>
      </c>
      <c r="C151" s="10" t="str">
        <f t="array" ref="C151">IF(OR($A151="",2&gt;Controls!$B$6),"",ROUND(MAX(0,Smooth!C151*Controls!C$17*INDEX(Controls!$B$21:$H$21,1,WEEKDAY($A151,2))*(1+Controls!$B$11)^149*(1+Controls!H$25*Smooth!$L151)*(1+Controls!H$26*Smooth!$M151)*(1+Controls!H$27*Smooth!$N151)*(1+Controls!H$28*Smooth!$O151)),2))</f>
        <v/>
      </c>
      <c r="D151" s="10" t="str">
        <f t="array" ref="D151">IF(OR($A151="",3&gt;Controls!$B$6),"",ROUND(MAX(0,Smooth!D151*Controls!D$17*INDEX(Controls!$B$21:$H$21,1,WEEKDAY($A151,2))*(1+Controls!$B$11)^149*(1+Controls!I$25*Smooth!$L151)*(1+Controls!I$26*Smooth!$M151)*(1+Controls!I$27*Smooth!$N151)*(1+Controls!I$28*Smooth!$O151)),2))</f>
        <v/>
      </c>
      <c r="E151" s="10" t="str">
        <f t="array" ref="E151">IF(OR($A151="",4&gt;Controls!$B$6),"",ROUND(MAX(0,Smooth!E151*Controls!E$17*INDEX(Controls!$B$21:$H$21,1,WEEKDAY($A151,2))*(1+Controls!$B$11)^149*(1+Controls!J$25*Smooth!$L151)*(1+Controls!J$26*Smooth!$M151)*(1+Controls!J$27*Smooth!$N151)*(1+Controls!J$28*Smooth!$O151)),2))</f>
        <v/>
      </c>
      <c r="F151" s="10" t="str">
        <f t="array" ref="F151">IF(OR($A151="",5&gt;Controls!$B$6),"",ROUND(MAX(0,Smooth!F151*Controls!F$17*INDEX(Controls!$B$21:$H$21,1,WEEKDAY($A151,2))*(1+Controls!$B$11)^149*(1+Controls!K$25*Smooth!$L151)*(1+Controls!K$26*Smooth!$M151)*(1+Controls!K$27*Smooth!$N151)*(1+Controls!K$28*Smooth!$O151)),2))</f>
        <v/>
      </c>
      <c r="G151" s="10" t="str">
        <f t="array" ref="G151">IF(OR($A151="",6&gt;Controls!$B$6),"",ROUND(MAX(0,Smooth!G151*Controls!G$17*INDEX(Controls!$B$21:$H$21,1,WEEKDAY($A151,2))*(1+Controls!$B$11)^149*(1+Controls!L$25*Smooth!$L151)*(1+Controls!L$26*Smooth!$M151)*(1+Controls!L$27*Smooth!$N151)*(1+Controls!L$28*Smooth!$O151)),2))</f>
        <v/>
      </c>
      <c r="H151" s="10" t="str">
        <f t="array" ref="H151">IF(OR($A151="",7&gt;Controls!$B$6),"",ROUND(MAX(0,Smooth!H151*Controls!H$17*INDEX(Controls!$B$21:$H$21,1,WEEKDAY($A151,2))*(1+Controls!$B$11)^149*(1+Controls!M$25*Smooth!$L151)*(1+Controls!M$26*Smooth!$M151)*(1+Controls!M$27*Smooth!$N151)*(1+Controls!M$28*Smooth!$O151)),2))</f>
        <v/>
      </c>
      <c r="I151" s="10" t="str">
        <f t="array" ref="I151">IF(OR($A151="",8&gt;Controls!$B$6),"",ROUND(MAX(0,Smooth!I151*Controls!I$17*INDEX(Controls!$B$21:$H$21,1,WEEKDAY($A151,2))*(1+Controls!$B$11)^149*(1+Controls!N$25*Smooth!$L151)*(1+Controls!N$26*Smooth!$M151)*(1+Controls!N$27*Smooth!$N151)*(1+Controls!N$28*Smooth!$O151)),2))</f>
        <v/>
      </c>
      <c r="J151" s="10" t="str">
        <f t="array" ref="J151">IF(OR($A151="",9&gt;Controls!$B$6),"",ROUND(MAX(0,Smooth!J151*Controls!J$17*INDEX(Controls!$B$21:$H$21,1,WEEKDAY($A151,2))*(1+Controls!$B$11)^149*(1+Controls!O$25*Smooth!$L151)*(1+Controls!O$26*Smooth!$M151)*(1+Controls!O$27*Smooth!$N151)*(1+Controls!O$28*Smooth!$O151)),2))</f>
        <v/>
      </c>
      <c r="K151" s="10" t="str">
        <f t="array" ref="K151">IF(OR($A151="",10&gt;Controls!$B$6),"",ROUND(MAX(0,Smooth!K151*Controls!K$17*INDEX(Controls!$B$21:$H$21,1,WEEKDAY($A151,2))*(1+Controls!$B$11)^149*(1+Controls!P$25*Smooth!$L151)*(1+Controls!P$26*Smooth!$M151)*(1+Controls!P$27*Smooth!$N151)*(1+Controls!P$28*Smooth!$O151)),2))</f>
        <v/>
      </c>
      <c r="L151" s="18" t="str">
        <f t="shared" si="1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21.0" customHeight="1">
      <c r="A152" s="7" t="str">
        <f>IF(151&lt;=Controls!$B$5,Controls!$B$4+150,"")</f>
        <v/>
      </c>
      <c r="B152" s="10" t="str">
        <f t="array" ref="B152">IF(OR($A152="",1&gt;Controls!$B$6),"",ROUND(MAX(0,Smooth!B152*Controls!B$17*INDEX(Controls!$B$21:$H$21,1,WEEKDAY($A152,2))*(1+Controls!$B$11)^150*(1+Controls!G$25*Smooth!$L152)*(1+Controls!G$26*Smooth!$M152)*(1+Controls!G$27*Smooth!$N152)*(1+Controls!G$28*Smooth!$O152)),2))</f>
        <v/>
      </c>
      <c r="C152" s="10" t="str">
        <f t="array" ref="C152">IF(OR($A152="",2&gt;Controls!$B$6),"",ROUND(MAX(0,Smooth!C152*Controls!C$17*INDEX(Controls!$B$21:$H$21,1,WEEKDAY($A152,2))*(1+Controls!$B$11)^150*(1+Controls!H$25*Smooth!$L152)*(1+Controls!H$26*Smooth!$M152)*(1+Controls!H$27*Smooth!$N152)*(1+Controls!H$28*Smooth!$O152)),2))</f>
        <v/>
      </c>
      <c r="D152" s="10" t="str">
        <f t="array" ref="D152">IF(OR($A152="",3&gt;Controls!$B$6),"",ROUND(MAX(0,Smooth!D152*Controls!D$17*INDEX(Controls!$B$21:$H$21,1,WEEKDAY($A152,2))*(1+Controls!$B$11)^150*(1+Controls!I$25*Smooth!$L152)*(1+Controls!I$26*Smooth!$M152)*(1+Controls!I$27*Smooth!$N152)*(1+Controls!I$28*Smooth!$O152)),2))</f>
        <v/>
      </c>
      <c r="E152" s="10" t="str">
        <f t="array" ref="E152">IF(OR($A152="",4&gt;Controls!$B$6),"",ROUND(MAX(0,Smooth!E152*Controls!E$17*INDEX(Controls!$B$21:$H$21,1,WEEKDAY($A152,2))*(1+Controls!$B$11)^150*(1+Controls!J$25*Smooth!$L152)*(1+Controls!J$26*Smooth!$M152)*(1+Controls!J$27*Smooth!$N152)*(1+Controls!J$28*Smooth!$O152)),2))</f>
        <v/>
      </c>
      <c r="F152" s="10" t="str">
        <f t="array" ref="F152">IF(OR($A152="",5&gt;Controls!$B$6),"",ROUND(MAX(0,Smooth!F152*Controls!F$17*INDEX(Controls!$B$21:$H$21,1,WEEKDAY($A152,2))*(1+Controls!$B$11)^150*(1+Controls!K$25*Smooth!$L152)*(1+Controls!K$26*Smooth!$M152)*(1+Controls!K$27*Smooth!$N152)*(1+Controls!K$28*Smooth!$O152)),2))</f>
        <v/>
      </c>
      <c r="G152" s="10" t="str">
        <f t="array" ref="G152">IF(OR($A152="",6&gt;Controls!$B$6),"",ROUND(MAX(0,Smooth!G152*Controls!G$17*INDEX(Controls!$B$21:$H$21,1,WEEKDAY($A152,2))*(1+Controls!$B$11)^150*(1+Controls!L$25*Smooth!$L152)*(1+Controls!L$26*Smooth!$M152)*(1+Controls!L$27*Smooth!$N152)*(1+Controls!L$28*Smooth!$O152)),2))</f>
        <v/>
      </c>
      <c r="H152" s="10" t="str">
        <f t="array" ref="H152">IF(OR($A152="",7&gt;Controls!$B$6),"",ROUND(MAX(0,Smooth!H152*Controls!H$17*INDEX(Controls!$B$21:$H$21,1,WEEKDAY($A152,2))*(1+Controls!$B$11)^150*(1+Controls!M$25*Smooth!$L152)*(1+Controls!M$26*Smooth!$M152)*(1+Controls!M$27*Smooth!$N152)*(1+Controls!M$28*Smooth!$O152)),2))</f>
        <v/>
      </c>
      <c r="I152" s="10" t="str">
        <f t="array" ref="I152">IF(OR($A152="",8&gt;Controls!$B$6),"",ROUND(MAX(0,Smooth!I152*Controls!I$17*INDEX(Controls!$B$21:$H$21,1,WEEKDAY($A152,2))*(1+Controls!$B$11)^150*(1+Controls!N$25*Smooth!$L152)*(1+Controls!N$26*Smooth!$M152)*(1+Controls!N$27*Smooth!$N152)*(1+Controls!N$28*Smooth!$O152)),2))</f>
        <v/>
      </c>
      <c r="J152" s="10" t="str">
        <f t="array" ref="J152">IF(OR($A152="",9&gt;Controls!$B$6),"",ROUND(MAX(0,Smooth!J152*Controls!J$17*INDEX(Controls!$B$21:$H$21,1,WEEKDAY($A152,2))*(1+Controls!$B$11)^150*(1+Controls!O$25*Smooth!$L152)*(1+Controls!O$26*Smooth!$M152)*(1+Controls!O$27*Smooth!$N152)*(1+Controls!O$28*Smooth!$O152)),2))</f>
        <v/>
      </c>
      <c r="K152" s="10" t="str">
        <f t="array" ref="K152">IF(OR($A152="",10&gt;Controls!$B$6),"",ROUND(MAX(0,Smooth!K152*Controls!K$17*INDEX(Controls!$B$21:$H$21,1,WEEKDAY($A152,2))*(1+Controls!$B$11)^150*(1+Controls!P$25*Smooth!$L152)*(1+Controls!P$26*Smooth!$M152)*(1+Controls!P$27*Smooth!$N152)*(1+Controls!P$28*Smooth!$O152)),2))</f>
        <v/>
      </c>
      <c r="L152" s="18" t="str">
        <f t="shared" si="1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21.0" customHeight="1">
      <c r="A153" s="7" t="str">
        <f>IF(152&lt;=Controls!$B$5,Controls!$B$4+151,"")</f>
        <v/>
      </c>
      <c r="B153" s="10" t="str">
        <f t="array" ref="B153">IF(OR($A153="",1&gt;Controls!$B$6),"",ROUND(MAX(0,Smooth!B153*Controls!B$17*INDEX(Controls!$B$21:$H$21,1,WEEKDAY($A153,2))*(1+Controls!$B$11)^151*(1+Controls!G$25*Smooth!$L153)*(1+Controls!G$26*Smooth!$M153)*(1+Controls!G$27*Smooth!$N153)*(1+Controls!G$28*Smooth!$O153)),2))</f>
        <v/>
      </c>
      <c r="C153" s="10" t="str">
        <f t="array" ref="C153">IF(OR($A153="",2&gt;Controls!$B$6),"",ROUND(MAX(0,Smooth!C153*Controls!C$17*INDEX(Controls!$B$21:$H$21,1,WEEKDAY($A153,2))*(1+Controls!$B$11)^151*(1+Controls!H$25*Smooth!$L153)*(1+Controls!H$26*Smooth!$M153)*(1+Controls!H$27*Smooth!$N153)*(1+Controls!H$28*Smooth!$O153)),2))</f>
        <v/>
      </c>
      <c r="D153" s="10" t="str">
        <f t="array" ref="D153">IF(OR($A153="",3&gt;Controls!$B$6),"",ROUND(MAX(0,Smooth!D153*Controls!D$17*INDEX(Controls!$B$21:$H$21,1,WEEKDAY($A153,2))*(1+Controls!$B$11)^151*(1+Controls!I$25*Smooth!$L153)*(1+Controls!I$26*Smooth!$M153)*(1+Controls!I$27*Smooth!$N153)*(1+Controls!I$28*Smooth!$O153)),2))</f>
        <v/>
      </c>
      <c r="E153" s="10" t="str">
        <f t="array" ref="E153">IF(OR($A153="",4&gt;Controls!$B$6),"",ROUND(MAX(0,Smooth!E153*Controls!E$17*INDEX(Controls!$B$21:$H$21,1,WEEKDAY($A153,2))*(1+Controls!$B$11)^151*(1+Controls!J$25*Smooth!$L153)*(1+Controls!J$26*Smooth!$M153)*(1+Controls!J$27*Smooth!$N153)*(1+Controls!J$28*Smooth!$O153)),2))</f>
        <v/>
      </c>
      <c r="F153" s="10" t="str">
        <f t="array" ref="F153">IF(OR($A153="",5&gt;Controls!$B$6),"",ROUND(MAX(0,Smooth!F153*Controls!F$17*INDEX(Controls!$B$21:$H$21,1,WEEKDAY($A153,2))*(1+Controls!$B$11)^151*(1+Controls!K$25*Smooth!$L153)*(1+Controls!K$26*Smooth!$M153)*(1+Controls!K$27*Smooth!$N153)*(1+Controls!K$28*Smooth!$O153)),2))</f>
        <v/>
      </c>
      <c r="G153" s="10" t="str">
        <f t="array" ref="G153">IF(OR($A153="",6&gt;Controls!$B$6),"",ROUND(MAX(0,Smooth!G153*Controls!G$17*INDEX(Controls!$B$21:$H$21,1,WEEKDAY($A153,2))*(1+Controls!$B$11)^151*(1+Controls!L$25*Smooth!$L153)*(1+Controls!L$26*Smooth!$M153)*(1+Controls!L$27*Smooth!$N153)*(1+Controls!L$28*Smooth!$O153)),2))</f>
        <v/>
      </c>
      <c r="H153" s="10" t="str">
        <f t="array" ref="H153">IF(OR($A153="",7&gt;Controls!$B$6),"",ROUND(MAX(0,Smooth!H153*Controls!H$17*INDEX(Controls!$B$21:$H$21,1,WEEKDAY($A153,2))*(1+Controls!$B$11)^151*(1+Controls!M$25*Smooth!$L153)*(1+Controls!M$26*Smooth!$M153)*(1+Controls!M$27*Smooth!$N153)*(1+Controls!M$28*Smooth!$O153)),2))</f>
        <v/>
      </c>
      <c r="I153" s="10" t="str">
        <f t="array" ref="I153">IF(OR($A153="",8&gt;Controls!$B$6),"",ROUND(MAX(0,Smooth!I153*Controls!I$17*INDEX(Controls!$B$21:$H$21,1,WEEKDAY($A153,2))*(1+Controls!$B$11)^151*(1+Controls!N$25*Smooth!$L153)*(1+Controls!N$26*Smooth!$M153)*(1+Controls!N$27*Smooth!$N153)*(1+Controls!N$28*Smooth!$O153)),2))</f>
        <v/>
      </c>
      <c r="J153" s="10" t="str">
        <f t="array" ref="J153">IF(OR($A153="",9&gt;Controls!$B$6),"",ROUND(MAX(0,Smooth!J153*Controls!J$17*INDEX(Controls!$B$21:$H$21,1,WEEKDAY($A153,2))*(1+Controls!$B$11)^151*(1+Controls!O$25*Smooth!$L153)*(1+Controls!O$26*Smooth!$M153)*(1+Controls!O$27*Smooth!$N153)*(1+Controls!O$28*Smooth!$O153)),2))</f>
        <v/>
      </c>
      <c r="K153" s="10" t="str">
        <f t="array" ref="K153">IF(OR($A153="",10&gt;Controls!$B$6),"",ROUND(MAX(0,Smooth!K153*Controls!K$17*INDEX(Controls!$B$21:$H$21,1,WEEKDAY($A153,2))*(1+Controls!$B$11)^151*(1+Controls!P$25*Smooth!$L153)*(1+Controls!P$26*Smooth!$M153)*(1+Controls!P$27*Smooth!$N153)*(1+Controls!P$28*Smooth!$O153)),2))</f>
        <v/>
      </c>
      <c r="L153" s="18" t="str">
        <f t="shared" si="1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21.0" customHeight="1">
      <c r="A154" s="7" t="str">
        <f>IF(153&lt;=Controls!$B$5,Controls!$B$4+152,"")</f>
        <v/>
      </c>
      <c r="B154" s="10" t="str">
        <f t="array" ref="B154">IF(OR($A154="",1&gt;Controls!$B$6),"",ROUND(MAX(0,Smooth!B154*Controls!B$17*INDEX(Controls!$B$21:$H$21,1,WEEKDAY($A154,2))*(1+Controls!$B$11)^152*(1+Controls!G$25*Smooth!$L154)*(1+Controls!G$26*Smooth!$M154)*(1+Controls!G$27*Smooth!$N154)*(1+Controls!G$28*Smooth!$O154)),2))</f>
        <v/>
      </c>
      <c r="C154" s="10" t="str">
        <f t="array" ref="C154">IF(OR($A154="",2&gt;Controls!$B$6),"",ROUND(MAX(0,Smooth!C154*Controls!C$17*INDEX(Controls!$B$21:$H$21,1,WEEKDAY($A154,2))*(1+Controls!$B$11)^152*(1+Controls!H$25*Smooth!$L154)*(1+Controls!H$26*Smooth!$M154)*(1+Controls!H$27*Smooth!$N154)*(1+Controls!H$28*Smooth!$O154)),2))</f>
        <v/>
      </c>
      <c r="D154" s="10" t="str">
        <f t="array" ref="D154">IF(OR($A154="",3&gt;Controls!$B$6),"",ROUND(MAX(0,Smooth!D154*Controls!D$17*INDEX(Controls!$B$21:$H$21,1,WEEKDAY($A154,2))*(1+Controls!$B$11)^152*(1+Controls!I$25*Smooth!$L154)*(1+Controls!I$26*Smooth!$M154)*(1+Controls!I$27*Smooth!$N154)*(1+Controls!I$28*Smooth!$O154)),2))</f>
        <v/>
      </c>
      <c r="E154" s="10" t="str">
        <f t="array" ref="E154">IF(OR($A154="",4&gt;Controls!$B$6),"",ROUND(MAX(0,Smooth!E154*Controls!E$17*INDEX(Controls!$B$21:$H$21,1,WEEKDAY($A154,2))*(1+Controls!$B$11)^152*(1+Controls!J$25*Smooth!$L154)*(1+Controls!J$26*Smooth!$M154)*(1+Controls!J$27*Smooth!$N154)*(1+Controls!J$28*Smooth!$O154)),2))</f>
        <v/>
      </c>
      <c r="F154" s="10" t="str">
        <f t="array" ref="F154">IF(OR($A154="",5&gt;Controls!$B$6),"",ROUND(MAX(0,Smooth!F154*Controls!F$17*INDEX(Controls!$B$21:$H$21,1,WEEKDAY($A154,2))*(1+Controls!$B$11)^152*(1+Controls!K$25*Smooth!$L154)*(1+Controls!K$26*Smooth!$M154)*(1+Controls!K$27*Smooth!$N154)*(1+Controls!K$28*Smooth!$O154)),2))</f>
        <v/>
      </c>
      <c r="G154" s="10" t="str">
        <f t="array" ref="G154">IF(OR($A154="",6&gt;Controls!$B$6),"",ROUND(MAX(0,Smooth!G154*Controls!G$17*INDEX(Controls!$B$21:$H$21,1,WEEKDAY($A154,2))*(1+Controls!$B$11)^152*(1+Controls!L$25*Smooth!$L154)*(1+Controls!L$26*Smooth!$M154)*(1+Controls!L$27*Smooth!$N154)*(1+Controls!L$28*Smooth!$O154)),2))</f>
        <v/>
      </c>
      <c r="H154" s="10" t="str">
        <f t="array" ref="H154">IF(OR($A154="",7&gt;Controls!$B$6),"",ROUND(MAX(0,Smooth!H154*Controls!H$17*INDEX(Controls!$B$21:$H$21,1,WEEKDAY($A154,2))*(1+Controls!$B$11)^152*(1+Controls!M$25*Smooth!$L154)*(1+Controls!M$26*Smooth!$M154)*(1+Controls!M$27*Smooth!$N154)*(1+Controls!M$28*Smooth!$O154)),2))</f>
        <v/>
      </c>
      <c r="I154" s="10" t="str">
        <f t="array" ref="I154">IF(OR($A154="",8&gt;Controls!$B$6),"",ROUND(MAX(0,Smooth!I154*Controls!I$17*INDEX(Controls!$B$21:$H$21,1,WEEKDAY($A154,2))*(1+Controls!$B$11)^152*(1+Controls!N$25*Smooth!$L154)*(1+Controls!N$26*Smooth!$M154)*(1+Controls!N$27*Smooth!$N154)*(1+Controls!N$28*Smooth!$O154)),2))</f>
        <v/>
      </c>
      <c r="J154" s="10" t="str">
        <f t="array" ref="J154">IF(OR($A154="",9&gt;Controls!$B$6),"",ROUND(MAX(0,Smooth!J154*Controls!J$17*INDEX(Controls!$B$21:$H$21,1,WEEKDAY($A154,2))*(1+Controls!$B$11)^152*(1+Controls!O$25*Smooth!$L154)*(1+Controls!O$26*Smooth!$M154)*(1+Controls!O$27*Smooth!$N154)*(1+Controls!O$28*Smooth!$O154)),2))</f>
        <v/>
      </c>
      <c r="K154" s="10" t="str">
        <f t="array" ref="K154">IF(OR($A154="",10&gt;Controls!$B$6),"",ROUND(MAX(0,Smooth!K154*Controls!K$17*INDEX(Controls!$B$21:$H$21,1,WEEKDAY($A154,2))*(1+Controls!$B$11)^152*(1+Controls!P$25*Smooth!$L154)*(1+Controls!P$26*Smooth!$M154)*(1+Controls!P$27*Smooth!$N154)*(1+Controls!P$28*Smooth!$O154)),2))</f>
        <v/>
      </c>
      <c r="L154" s="18" t="str">
        <f t="shared" si="1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21.0" customHeight="1">
      <c r="A155" s="7" t="str">
        <f>IF(154&lt;=Controls!$B$5,Controls!$B$4+153,"")</f>
        <v/>
      </c>
      <c r="B155" s="10" t="str">
        <f t="array" ref="B155">IF(OR($A155="",1&gt;Controls!$B$6),"",ROUND(MAX(0,Smooth!B155*Controls!B$17*INDEX(Controls!$B$21:$H$21,1,WEEKDAY($A155,2))*(1+Controls!$B$11)^153*(1+Controls!G$25*Smooth!$L155)*(1+Controls!G$26*Smooth!$M155)*(1+Controls!G$27*Smooth!$N155)*(1+Controls!G$28*Smooth!$O155)),2))</f>
        <v/>
      </c>
      <c r="C155" s="10" t="str">
        <f t="array" ref="C155">IF(OR($A155="",2&gt;Controls!$B$6),"",ROUND(MAX(0,Smooth!C155*Controls!C$17*INDEX(Controls!$B$21:$H$21,1,WEEKDAY($A155,2))*(1+Controls!$B$11)^153*(1+Controls!H$25*Smooth!$L155)*(1+Controls!H$26*Smooth!$M155)*(1+Controls!H$27*Smooth!$N155)*(1+Controls!H$28*Smooth!$O155)),2))</f>
        <v/>
      </c>
      <c r="D155" s="10" t="str">
        <f t="array" ref="D155">IF(OR($A155="",3&gt;Controls!$B$6),"",ROUND(MAX(0,Smooth!D155*Controls!D$17*INDEX(Controls!$B$21:$H$21,1,WEEKDAY($A155,2))*(1+Controls!$B$11)^153*(1+Controls!I$25*Smooth!$L155)*(1+Controls!I$26*Smooth!$M155)*(1+Controls!I$27*Smooth!$N155)*(1+Controls!I$28*Smooth!$O155)),2))</f>
        <v/>
      </c>
      <c r="E155" s="10" t="str">
        <f t="array" ref="E155">IF(OR($A155="",4&gt;Controls!$B$6),"",ROUND(MAX(0,Smooth!E155*Controls!E$17*INDEX(Controls!$B$21:$H$21,1,WEEKDAY($A155,2))*(1+Controls!$B$11)^153*(1+Controls!J$25*Smooth!$L155)*(1+Controls!J$26*Smooth!$M155)*(1+Controls!J$27*Smooth!$N155)*(1+Controls!J$28*Smooth!$O155)),2))</f>
        <v/>
      </c>
      <c r="F155" s="10" t="str">
        <f t="array" ref="F155">IF(OR($A155="",5&gt;Controls!$B$6),"",ROUND(MAX(0,Smooth!F155*Controls!F$17*INDEX(Controls!$B$21:$H$21,1,WEEKDAY($A155,2))*(1+Controls!$B$11)^153*(1+Controls!K$25*Smooth!$L155)*(1+Controls!K$26*Smooth!$M155)*(1+Controls!K$27*Smooth!$N155)*(1+Controls!K$28*Smooth!$O155)),2))</f>
        <v/>
      </c>
      <c r="G155" s="10" t="str">
        <f t="array" ref="G155">IF(OR($A155="",6&gt;Controls!$B$6),"",ROUND(MAX(0,Smooth!G155*Controls!G$17*INDEX(Controls!$B$21:$H$21,1,WEEKDAY($A155,2))*(1+Controls!$B$11)^153*(1+Controls!L$25*Smooth!$L155)*(1+Controls!L$26*Smooth!$M155)*(1+Controls!L$27*Smooth!$N155)*(1+Controls!L$28*Smooth!$O155)),2))</f>
        <v/>
      </c>
      <c r="H155" s="10" t="str">
        <f t="array" ref="H155">IF(OR($A155="",7&gt;Controls!$B$6),"",ROUND(MAX(0,Smooth!H155*Controls!H$17*INDEX(Controls!$B$21:$H$21,1,WEEKDAY($A155,2))*(1+Controls!$B$11)^153*(1+Controls!M$25*Smooth!$L155)*(1+Controls!M$26*Smooth!$M155)*(1+Controls!M$27*Smooth!$N155)*(1+Controls!M$28*Smooth!$O155)),2))</f>
        <v/>
      </c>
      <c r="I155" s="10" t="str">
        <f t="array" ref="I155">IF(OR($A155="",8&gt;Controls!$B$6),"",ROUND(MAX(0,Smooth!I155*Controls!I$17*INDEX(Controls!$B$21:$H$21,1,WEEKDAY($A155,2))*(1+Controls!$B$11)^153*(1+Controls!N$25*Smooth!$L155)*(1+Controls!N$26*Smooth!$M155)*(1+Controls!N$27*Smooth!$N155)*(1+Controls!N$28*Smooth!$O155)),2))</f>
        <v/>
      </c>
      <c r="J155" s="10" t="str">
        <f t="array" ref="J155">IF(OR($A155="",9&gt;Controls!$B$6),"",ROUND(MAX(0,Smooth!J155*Controls!J$17*INDEX(Controls!$B$21:$H$21,1,WEEKDAY($A155,2))*(1+Controls!$B$11)^153*(1+Controls!O$25*Smooth!$L155)*(1+Controls!O$26*Smooth!$M155)*(1+Controls!O$27*Smooth!$N155)*(1+Controls!O$28*Smooth!$O155)),2))</f>
        <v/>
      </c>
      <c r="K155" s="10" t="str">
        <f t="array" ref="K155">IF(OR($A155="",10&gt;Controls!$B$6),"",ROUND(MAX(0,Smooth!K155*Controls!K$17*INDEX(Controls!$B$21:$H$21,1,WEEKDAY($A155,2))*(1+Controls!$B$11)^153*(1+Controls!P$25*Smooth!$L155)*(1+Controls!P$26*Smooth!$M155)*(1+Controls!P$27*Smooth!$N155)*(1+Controls!P$28*Smooth!$O155)),2))</f>
        <v/>
      </c>
      <c r="L155" s="18" t="str">
        <f t="shared" si="1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21.0" customHeight="1">
      <c r="A156" s="7" t="str">
        <f>IF(155&lt;=Controls!$B$5,Controls!$B$4+154,"")</f>
        <v/>
      </c>
      <c r="B156" s="10" t="str">
        <f t="array" ref="B156">IF(OR($A156="",1&gt;Controls!$B$6),"",ROUND(MAX(0,Smooth!B156*Controls!B$17*INDEX(Controls!$B$21:$H$21,1,WEEKDAY($A156,2))*(1+Controls!$B$11)^154*(1+Controls!G$25*Smooth!$L156)*(1+Controls!G$26*Smooth!$M156)*(1+Controls!G$27*Smooth!$N156)*(1+Controls!G$28*Smooth!$O156)),2))</f>
        <v/>
      </c>
      <c r="C156" s="10" t="str">
        <f t="array" ref="C156">IF(OR($A156="",2&gt;Controls!$B$6),"",ROUND(MAX(0,Smooth!C156*Controls!C$17*INDEX(Controls!$B$21:$H$21,1,WEEKDAY($A156,2))*(1+Controls!$B$11)^154*(1+Controls!H$25*Smooth!$L156)*(1+Controls!H$26*Smooth!$M156)*(1+Controls!H$27*Smooth!$N156)*(1+Controls!H$28*Smooth!$O156)),2))</f>
        <v/>
      </c>
      <c r="D156" s="10" t="str">
        <f t="array" ref="D156">IF(OR($A156="",3&gt;Controls!$B$6),"",ROUND(MAX(0,Smooth!D156*Controls!D$17*INDEX(Controls!$B$21:$H$21,1,WEEKDAY($A156,2))*(1+Controls!$B$11)^154*(1+Controls!I$25*Smooth!$L156)*(1+Controls!I$26*Smooth!$M156)*(1+Controls!I$27*Smooth!$N156)*(1+Controls!I$28*Smooth!$O156)),2))</f>
        <v/>
      </c>
      <c r="E156" s="10" t="str">
        <f t="array" ref="E156">IF(OR($A156="",4&gt;Controls!$B$6),"",ROUND(MAX(0,Smooth!E156*Controls!E$17*INDEX(Controls!$B$21:$H$21,1,WEEKDAY($A156,2))*(1+Controls!$B$11)^154*(1+Controls!J$25*Smooth!$L156)*(1+Controls!J$26*Smooth!$M156)*(1+Controls!J$27*Smooth!$N156)*(1+Controls!J$28*Smooth!$O156)),2))</f>
        <v/>
      </c>
      <c r="F156" s="10" t="str">
        <f t="array" ref="F156">IF(OR($A156="",5&gt;Controls!$B$6),"",ROUND(MAX(0,Smooth!F156*Controls!F$17*INDEX(Controls!$B$21:$H$21,1,WEEKDAY($A156,2))*(1+Controls!$B$11)^154*(1+Controls!K$25*Smooth!$L156)*(1+Controls!K$26*Smooth!$M156)*(1+Controls!K$27*Smooth!$N156)*(1+Controls!K$28*Smooth!$O156)),2))</f>
        <v/>
      </c>
      <c r="G156" s="10" t="str">
        <f t="array" ref="G156">IF(OR($A156="",6&gt;Controls!$B$6),"",ROUND(MAX(0,Smooth!G156*Controls!G$17*INDEX(Controls!$B$21:$H$21,1,WEEKDAY($A156,2))*(1+Controls!$B$11)^154*(1+Controls!L$25*Smooth!$L156)*(1+Controls!L$26*Smooth!$M156)*(1+Controls!L$27*Smooth!$N156)*(1+Controls!L$28*Smooth!$O156)),2))</f>
        <v/>
      </c>
      <c r="H156" s="10" t="str">
        <f t="array" ref="H156">IF(OR($A156="",7&gt;Controls!$B$6),"",ROUND(MAX(0,Smooth!H156*Controls!H$17*INDEX(Controls!$B$21:$H$21,1,WEEKDAY($A156,2))*(1+Controls!$B$11)^154*(1+Controls!M$25*Smooth!$L156)*(1+Controls!M$26*Smooth!$M156)*(1+Controls!M$27*Smooth!$N156)*(1+Controls!M$28*Smooth!$O156)),2))</f>
        <v/>
      </c>
      <c r="I156" s="10" t="str">
        <f t="array" ref="I156">IF(OR($A156="",8&gt;Controls!$B$6),"",ROUND(MAX(0,Smooth!I156*Controls!I$17*INDEX(Controls!$B$21:$H$21,1,WEEKDAY($A156,2))*(1+Controls!$B$11)^154*(1+Controls!N$25*Smooth!$L156)*(1+Controls!N$26*Smooth!$M156)*(1+Controls!N$27*Smooth!$N156)*(1+Controls!N$28*Smooth!$O156)),2))</f>
        <v/>
      </c>
      <c r="J156" s="10" t="str">
        <f t="array" ref="J156">IF(OR($A156="",9&gt;Controls!$B$6),"",ROUND(MAX(0,Smooth!J156*Controls!J$17*INDEX(Controls!$B$21:$H$21,1,WEEKDAY($A156,2))*(1+Controls!$B$11)^154*(1+Controls!O$25*Smooth!$L156)*(1+Controls!O$26*Smooth!$M156)*(1+Controls!O$27*Smooth!$N156)*(1+Controls!O$28*Smooth!$O156)),2))</f>
        <v/>
      </c>
      <c r="K156" s="10" t="str">
        <f t="array" ref="K156">IF(OR($A156="",10&gt;Controls!$B$6),"",ROUND(MAX(0,Smooth!K156*Controls!K$17*INDEX(Controls!$B$21:$H$21,1,WEEKDAY($A156,2))*(1+Controls!$B$11)^154*(1+Controls!P$25*Smooth!$L156)*(1+Controls!P$26*Smooth!$M156)*(1+Controls!P$27*Smooth!$N156)*(1+Controls!P$28*Smooth!$O156)),2))</f>
        <v/>
      </c>
      <c r="L156" s="18" t="str">
        <f t="shared" si="1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21.0" customHeight="1">
      <c r="A157" s="7" t="str">
        <f>IF(156&lt;=Controls!$B$5,Controls!$B$4+155,"")</f>
        <v/>
      </c>
      <c r="B157" s="10" t="str">
        <f t="array" ref="B157">IF(OR($A157="",1&gt;Controls!$B$6),"",ROUND(MAX(0,Smooth!B157*Controls!B$17*INDEX(Controls!$B$21:$H$21,1,WEEKDAY($A157,2))*(1+Controls!$B$11)^155*(1+Controls!G$25*Smooth!$L157)*(1+Controls!G$26*Smooth!$M157)*(1+Controls!G$27*Smooth!$N157)*(1+Controls!G$28*Smooth!$O157)),2))</f>
        <v/>
      </c>
      <c r="C157" s="10" t="str">
        <f t="array" ref="C157">IF(OR($A157="",2&gt;Controls!$B$6),"",ROUND(MAX(0,Smooth!C157*Controls!C$17*INDEX(Controls!$B$21:$H$21,1,WEEKDAY($A157,2))*(1+Controls!$B$11)^155*(1+Controls!H$25*Smooth!$L157)*(1+Controls!H$26*Smooth!$M157)*(1+Controls!H$27*Smooth!$N157)*(1+Controls!H$28*Smooth!$O157)),2))</f>
        <v/>
      </c>
      <c r="D157" s="10" t="str">
        <f t="array" ref="D157">IF(OR($A157="",3&gt;Controls!$B$6),"",ROUND(MAX(0,Smooth!D157*Controls!D$17*INDEX(Controls!$B$21:$H$21,1,WEEKDAY($A157,2))*(1+Controls!$B$11)^155*(1+Controls!I$25*Smooth!$L157)*(1+Controls!I$26*Smooth!$M157)*(1+Controls!I$27*Smooth!$N157)*(1+Controls!I$28*Smooth!$O157)),2))</f>
        <v/>
      </c>
      <c r="E157" s="10" t="str">
        <f t="array" ref="E157">IF(OR($A157="",4&gt;Controls!$B$6),"",ROUND(MAX(0,Smooth!E157*Controls!E$17*INDEX(Controls!$B$21:$H$21,1,WEEKDAY($A157,2))*(1+Controls!$B$11)^155*(1+Controls!J$25*Smooth!$L157)*(1+Controls!J$26*Smooth!$M157)*(1+Controls!J$27*Smooth!$N157)*(1+Controls!J$28*Smooth!$O157)),2))</f>
        <v/>
      </c>
      <c r="F157" s="10" t="str">
        <f t="array" ref="F157">IF(OR($A157="",5&gt;Controls!$B$6),"",ROUND(MAX(0,Smooth!F157*Controls!F$17*INDEX(Controls!$B$21:$H$21,1,WEEKDAY($A157,2))*(1+Controls!$B$11)^155*(1+Controls!K$25*Smooth!$L157)*(1+Controls!K$26*Smooth!$M157)*(1+Controls!K$27*Smooth!$N157)*(1+Controls!K$28*Smooth!$O157)),2))</f>
        <v/>
      </c>
      <c r="G157" s="10" t="str">
        <f t="array" ref="G157">IF(OR($A157="",6&gt;Controls!$B$6),"",ROUND(MAX(0,Smooth!G157*Controls!G$17*INDEX(Controls!$B$21:$H$21,1,WEEKDAY($A157,2))*(1+Controls!$B$11)^155*(1+Controls!L$25*Smooth!$L157)*(1+Controls!L$26*Smooth!$M157)*(1+Controls!L$27*Smooth!$N157)*(1+Controls!L$28*Smooth!$O157)),2))</f>
        <v/>
      </c>
      <c r="H157" s="10" t="str">
        <f t="array" ref="H157">IF(OR($A157="",7&gt;Controls!$B$6),"",ROUND(MAX(0,Smooth!H157*Controls!H$17*INDEX(Controls!$B$21:$H$21,1,WEEKDAY($A157,2))*(1+Controls!$B$11)^155*(1+Controls!M$25*Smooth!$L157)*(1+Controls!M$26*Smooth!$M157)*(1+Controls!M$27*Smooth!$N157)*(1+Controls!M$28*Smooth!$O157)),2))</f>
        <v/>
      </c>
      <c r="I157" s="10" t="str">
        <f t="array" ref="I157">IF(OR($A157="",8&gt;Controls!$B$6),"",ROUND(MAX(0,Smooth!I157*Controls!I$17*INDEX(Controls!$B$21:$H$21,1,WEEKDAY($A157,2))*(1+Controls!$B$11)^155*(1+Controls!N$25*Smooth!$L157)*(1+Controls!N$26*Smooth!$M157)*(1+Controls!N$27*Smooth!$N157)*(1+Controls!N$28*Smooth!$O157)),2))</f>
        <v/>
      </c>
      <c r="J157" s="10" t="str">
        <f t="array" ref="J157">IF(OR($A157="",9&gt;Controls!$B$6),"",ROUND(MAX(0,Smooth!J157*Controls!J$17*INDEX(Controls!$B$21:$H$21,1,WEEKDAY($A157,2))*(1+Controls!$B$11)^155*(1+Controls!O$25*Smooth!$L157)*(1+Controls!O$26*Smooth!$M157)*(1+Controls!O$27*Smooth!$N157)*(1+Controls!O$28*Smooth!$O157)),2))</f>
        <v/>
      </c>
      <c r="K157" s="10" t="str">
        <f t="array" ref="K157">IF(OR($A157="",10&gt;Controls!$B$6),"",ROUND(MAX(0,Smooth!K157*Controls!K$17*INDEX(Controls!$B$21:$H$21,1,WEEKDAY($A157,2))*(1+Controls!$B$11)^155*(1+Controls!P$25*Smooth!$L157)*(1+Controls!P$26*Smooth!$M157)*(1+Controls!P$27*Smooth!$N157)*(1+Controls!P$28*Smooth!$O157)),2))</f>
        <v/>
      </c>
      <c r="L157" s="18" t="str">
        <f t="shared" si="1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21.0" customHeight="1">
      <c r="A158" s="7" t="str">
        <f>IF(157&lt;=Controls!$B$5,Controls!$B$4+156,"")</f>
        <v/>
      </c>
      <c r="B158" s="10" t="str">
        <f t="array" ref="B158">IF(OR($A158="",1&gt;Controls!$B$6),"",ROUND(MAX(0,Smooth!B158*Controls!B$17*INDEX(Controls!$B$21:$H$21,1,WEEKDAY($A158,2))*(1+Controls!$B$11)^156*(1+Controls!G$25*Smooth!$L158)*(1+Controls!G$26*Smooth!$M158)*(1+Controls!G$27*Smooth!$N158)*(1+Controls!G$28*Smooth!$O158)),2))</f>
        <v/>
      </c>
      <c r="C158" s="10" t="str">
        <f t="array" ref="C158">IF(OR($A158="",2&gt;Controls!$B$6),"",ROUND(MAX(0,Smooth!C158*Controls!C$17*INDEX(Controls!$B$21:$H$21,1,WEEKDAY($A158,2))*(1+Controls!$B$11)^156*(1+Controls!H$25*Smooth!$L158)*(1+Controls!H$26*Smooth!$M158)*(1+Controls!H$27*Smooth!$N158)*(1+Controls!H$28*Smooth!$O158)),2))</f>
        <v/>
      </c>
      <c r="D158" s="10" t="str">
        <f t="array" ref="D158">IF(OR($A158="",3&gt;Controls!$B$6),"",ROUND(MAX(0,Smooth!D158*Controls!D$17*INDEX(Controls!$B$21:$H$21,1,WEEKDAY($A158,2))*(1+Controls!$B$11)^156*(1+Controls!I$25*Smooth!$L158)*(1+Controls!I$26*Smooth!$M158)*(1+Controls!I$27*Smooth!$N158)*(1+Controls!I$28*Smooth!$O158)),2))</f>
        <v/>
      </c>
      <c r="E158" s="10" t="str">
        <f t="array" ref="E158">IF(OR($A158="",4&gt;Controls!$B$6),"",ROUND(MAX(0,Smooth!E158*Controls!E$17*INDEX(Controls!$B$21:$H$21,1,WEEKDAY($A158,2))*(1+Controls!$B$11)^156*(1+Controls!J$25*Smooth!$L158)*(1+Controls!J$26*Smooth!$M158)*(1+Controls!J$27*Smooth!$N158)*(1+Controls!J$28*Smooth!$O158)),2))</f>
        <v/>
      </c>
      <c r="F158" s="10" t="str">
        <f t="array" ref="F158">IF(OR($A158="",5&gt;Controls!$B$6),"",ROUND(MAX(0,Smooth!F158*Controls!F$17*INDEX(Controls!$B$21:$H$21,1,WEEKDAY($A158,2))*(1+Controls!$B$11)^156*(1+Controls!K$25*Smooth!$L158)*(1+Controls!K$26*Smooth!$M158)*(1+Controls!K$27*Smooth!$N158)*(1+Controls!K$28*Smooth!$O158)),2))</f>
        <v/>
      </c>
      <c r="G158" s="10" t="str">
        <f t="array" ref="G158">IF(OR($A158="",6&gt;Controls!$B$6),"",ROUND(MAX(0,Smooth!G158*Controls!G$17*INDEX(Controls!$B$21:$H$21,1,WEEKDAY($A158,2))*(1+Controls!$B$11)^156*(1+Controls!L$25*Smooth!$L158)*(1+Controls!L$26*Smooth!$M158)*(1+Controls!L$27*Smooth!$N158)*(1+Controls!L$28*Smooth!$O158)),2))</f>
        <v/>
      </c>
      <c r="H158" s="10" t="str">
        <f t="array" ref="H158">IF(OR($A158="",7&gt;Controls!$B$6),"",ROUND(MAX(0,Smooth!H158*Controls!H$17*INDEX(Controls!$B$21:$H$21,1,WEEKDAY($A158,2))*(1+Controls!$B$11)^156*(1+Controls!M$25*Smooth!$L158)*(1+Controls!M$26*Smooth!$M158)*(1+Controls!M$27*Smooth!$N158)*(1+Controls!M$28*Smooth!$O158)),2))</f>
        <v/>
      </c>
      <c r="I158" s="10" t="str">
        <f t="array" ref="I158">IF(OR($A158="",8&gt;Controls!$B$6),"",ROUND(MAX(0,Smooth!I158*Controls!I$17*INDEX(Controls!$B$21:$H$21,1,WEEKDAY($A158,2))*(1+Controls!$B$11)^156*(1+Controls!N$25*Smooth!$L158)*(1+Controls!N$26*Smooth!$M158)*(1+Controls!N$27*Smooth!$N158)*(1+Controls!N$28*Smooth!$O158)),2))</f>
        <v/>
      </c>
      <c r="J158" s="10" t="str">
        <f t="array" ref="J158">IF(OR($A158="",9&gt;Controls!$B$6),"",ROUND(MAX(0,Smooth!J158*Controls!J$17*INDEX(Controls!$B$21:$H$21,1,WEEKDAY($A158,2))*(1+Controls!$B$11)^156*(1+Controls!O$25*Smooth!$L158)*(1+Controls!O$26*Smooth!$M158)*(1+Controls!O$27*Smooth!$N158)*(1+Controls!O$28*Smooth!$O158)),2))</f>
        <v/>
      </c>
      <c r="K158" s="10" t="str">
        <f t="array" ref="K158">IF(OR($A158="",10&gt;Controls!$B$6),"",ROUND(MAX(0,Smooth!K158*Controls!K$17*INDEX(Controls!$B$21:$H$21,1,WEEKDAY($A158,2))*(1+Controls!$B$11)^156*(1+Controls!P$25*Smooth!$L158)*(1+Controls!P$26*Smooth!$M158)*(1+Controls!P$27*Smooth!$N158)*(1+Controls!P$28*Smooth!$O158)),2))</f>
        <v/>
      </c>
      <c r="L158" s="18" t="str">
        <f t="shared" si="1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21.0" customHeight="1">
      <c r="A159" s="7" t="str">
        <f>IF(158&lt;=Controls!$B$5,Controls!$B$4+157,"")</f>
        <v/>
      </c>
      <c r="B159" s="10" t="str">
        <f t="array" ref="B159">IF(OR($A159="",1&gt;Controls!$B$6),"",ROUND(MAX(0,Smooth!B159*Controls!B$17*INDEX(Controls!$B$21:$H$21,1,WEEKDAY($A159,2))*(1+Controls!$B$11)^157*(1+Controls!G$25*Smooth!$L159)*(1+Controls!G$26*Smooth!$M159)*(1+Controls!G$27*Smooth!$N159)*(1+Controls!G$28*Smooth!$O159)),2))</f>
        <v/>
      </c>
      <c r="C159" s="10" t="str">
        <f t="array" ref="C159">IF(OR($A159="",2&gt;Controls!$B$6),"",ROUND(MAX(0,Smooth!C159*Controls!C$17*INDEX(Controls!$B$21:$H$21,1,WEEKDAY($A159,2))*(1+Controls!$B$11)^157*(1+Controls!H$25*Smooth!$L159)*(1+Controls!H$26*Smooth!$M159)*(1+Controls!H$27*Smooth!$N159)*(1+Controls!H$28*Smooth!$O159)),2))</f>
        <v/>
      </c>
      <c r="D159" s="10" t="str">
        <f t="array" ref="D159">IF(OR($A159="",3&gt;Controls!$B$6),"",ROUND(MAX(0,Smooth!D159*Controls!D$17*INDEX(Controls!$B$21:$H$21,1,WEEKDAY($A159,2))*(1+Controls!$B$11)^157*(1+Controls!I$25*Smooth!$L159)*(1+Controls!I$26*Smooth!$M159)*(1+Controls!I$27*Smooth!$N159)*(1+Controls!I$28*Smooth!$O159)),2))</f>
        <v/>
      </c>
      <c r="E159" s="10" t="str">
        <f t="array" ref="E159">IF(OR($A159="",4&gt;Controls!$B$6),"",ROUND(MAX(0,Smooth!E159*Controls!E$17*INDEX(Controls!$B$21:$H$21,1,WEEKDAY($A159,2))*(1+Controls!$B$11)^157*(1+Controls!J$25*Smooth!$L159)*(1+Controls!J$26*Smooth!$M159)*(1+Controls!J$27*Smooth!$N159)*(1+Controls!J$28*Smooth!$O159)),2))</f>
        <v/>
      </c>
      <c r="F159" s="10" t="str">
        <f t="array" ref="F159">IF(OR($A159="",5&gt;Controls!$B$6),"",ROUND(MAX(0,Smooth!F159*Controls!F$17*INDEX(Controls!$B$21:$H$21,1,WEEKDAY($A159,2))*(1+Controls!$B$11)^157*(1+Controls!K$25*Smooth!$L159)*(1+Controls!K$26*Smooth!$M159)*(1+Controls!K$27*Smooth!$N159)*(1+Controls!K$28*Smooth!$O159)),2))</f>
        <v/>
      </c>
      <c r="G159" s="10" t="str">
        <f t="array" ref="G159">IF(OR($A159="",6&gt;Controls!$B$6),"",ROUND(MAX(0,Smooth!G159*Controls!G$17*INDEX(Controls!$B$21:$H$21,1,WEEKDAY($A159,2))*(1+Controls!$B$11)^157*(1+Controls!L$25*Smooth!$L159)*(1+Controls!L$26*Smooth!$M159)*(1+Controls!L$27*Smooth!$N159)*(1+Controls!L$28*Smooth!$O159)),2))</f>
        <v/>
      </c>
      <c r="H159" s="10" t="str">
        <f t="array" ref="H159">IF(OR($A159="",7&gt;Controls!$B$6),"",ROUND(MAX(0,Smooth!H159*Controls!H$17*INDEX(Controls!$B$21:$H$21,1,WEEKDAY($A159,2))*(1+Controls!$B$11)^157*(1+Controls!M$25*Smooth!$L159)*(1+Controls!M$26*Smooth!$M159)*(1+Controls!M$27*Smooth!$N159)*(1+Controls!M$28*Smooth!$O159)),2))</f>
        <v/>
      </c>
      <c r="I159" s="10" t="str">
        <f t="array" ref="I159">IF(OR($A159="",8&gt;Controls!$B$6),"",ROUND(MAX(0,Smooth!I159*Controls!I$17*INDEX(Controls!$B$21:$H$21,1,WEEKDAY($A159,2))*(1+Controls!$B$11)^157*(1+Controls!N$25*Smooth!$L159)*(1+Controls!N$26*Smooth!$M159)*(1+Controls!N$27*Smooth!$N159)*(1+Controls!N$28*Smooth!$O159)),2))</f>
        <v/>
      </c>
      <c r="J159" s="10" t="str">
        <f t="array" ref="J159">IF(OR($A159="",9&gt;Controls!$B$6),"",ROUND(MAX(0,Smooth!J159*Controls!J$17*INDEX(Controls!$B$21:$H$21,1,WEEKDAY($A159,2))*(1+Controls!$B$11)^157*(1+Controls!O$25*Smooth!$L159)*(1+Controls!O$26*Smooth!$M159)*(1+Controls!O$27*Smooth!$N159)*(1+Controls!O$28*Smooth!$O159)),2))</f>
        <v/>
      </c>
      <c r="K159" s="10" t="str">
        <f t="array" ref="K159">IF(OR($A159="",10&gt;Controls!$B$6),"",ROUND(MAX(0,Smooth!K159*Controls!K$17*INDEX(Controls!$B$21:$H$21,1,WEEKDAY($A159,2))*(1+Controls!$B$11)^157*(1+Controls!P$25*Smooth!$L159)*(1+Controls!P$26*Smooth!$M159)*(1+Controls!P$27*Smooth!$N159)*(1+Controls!P$28*Smooth!$O159)),2))</f>
        <v/>
      </c>
      <c r="L159" s="18" t="str">
        <f t="shared" si="1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21.0" customHeight="1">
      <c r="A160" s="7" t="str">
        <f>IF(159&lt;=Controls!$B$5,Controls!$B$4+158,"")</f>
        <v/>
      </c>
      <c r="B160" s="10" t="str">
        <f t="array" ref="B160">IF(OR($A160="",1&gt;Controls!$B$6),"",ROUND(MAX(0,Smooth!B160*Controls!B$17*INDEX(Controls!$B$21:$H$21,1,WEEKDAY($A160,2))*(1+Controls!$B$11)^158*(1+Controls!G$25*Smooth!$L160)*(1+Controls!G$26*Smooth!$M160)*(1+Controls!G$27*Smooth!$N160)*(1+Controls!G$28*Smooth!$O160)),2))</f>
        <v/>
      </c>
      <c r="C160" s="10" t="str">
        <f t="array" ref="C160">IF(OR($A160="",2&gt;Controls!$B$6),"",ROUND(MAX(0,Smooth!C160*Controls!C$17*INDEX(Controls!$B$21:$H$21,1,WEEKDAY($A160,2))*(1+Controls!$B$11)^158*(1+Controls!H$25*Smooth!$L160)*(1+Controls!H$26*Smooth!$M160)*(1+Controls!H$27*Smooth!$N160)*(1+Controls!H$28*Smooth!$O160)),2))</f>
        <v/>
      </c>
      <c r="D160" s="10" t="str">
        <f t="array" ref="D160">IF(OR($A160="",3&gt;Controls!$B$6),"",ROUND(MAX(0,Smooth!D160*Controls!D$17*INDEX(Controls!$B$21:$H$21,1,WEEKDAY($A160,2))*(1+Controls!$B$11)^158*(1+Controls!I$25*Smooth!$L160)*(1+Controls!I$26*Smooth!$M160)*(1+Controls!I$27*Smooth!$N160)*(1+Controls!I$28*Smooth!$O160)),2))</f>
        <v/>
      </c>
      <c r="E160" s="10" t="str">
        <f t="array" ref="E160">IF(OR($A160="",4&gt;Controls!$B$6),"",ROUND(MAX(0,Smooth!E160*Controls!E$17*INDEX(Controls!$B$21:$H$21,1,WEEKDAY($A160,2))*(1+Controls!$B$11)^158*(1+Controls!J$25*Smooth!$L160)*(1+Controls!J$26*Smooth!$M160)*(1+Controls!J$27*Smooth!$N160)*(1+Controls!J$28*Smooth!$O160)),2))</f>
        <v/>
      </c>
      <c r="F160" s="10" t="str">
        <f t="array" ref="F160">IF(OR($A160="",5&gt;Controls!$B$6),"",ROUND(MAX(0,Smooth!F160*Controls!F$17*INDEX(Controls!$B$21:$H$21,1,WEEKDAY($A160,2))*(1+Controls!$B$11)^158*(1+Controls!K$25*Smooth!$L160)*(1+Controls!K$26*Smooth!$M160)*(1+Controls!K$27*Smooth!$N160)*(1+Controls!K$28*Smooth!$O160)),2))</f>
        <v/>
      </c>
      <c r="G160" s="10" t="str">
        <f t="array" ref="G160">IF(OR($A160="",6&gt;Controls!$B$6),"",ROUND(MAX(0,Smooth!G160*Controls!G$17*INDEX(Controls!$B$21:$H$21,1,WEEKDAY($A160,2))*(1+Controls!$B$11)^158*(1+Controls!L$25*Smooth!$L160)*(1+Controls!L$26*Smooth!$M160)*(1+Controls!L$27*Smooth!$N160)*(1+Controls!L$28*Smooth!$O160)),2))</f>
        <v/>
      </c>
      <c r="H160" s="10" t="str">
        <f t="array" ref="H160">IF(OR($A160="",7&gt;Controls!$B$6),"",ROUND(MAX(0,Smooth!H160*Controls!H$17*INDEX(Controls!$B$21:$H$21,1,WEEKDAY($A160,2))*(1+Controls!$B$11)^158*(1+Controls!M$25*Smooth!$L160)*(1+Controls!M$26*Smooth!$M160)*(1+Controls!M$27*Smooth!$N160)*(1+Controls!M$28*Smooth!$O160)),2))</f>
        <v/>
      </c>
      <c r="I160" s="10" t="str">
        <f t="array" ref="I160">IF(OR($A160="",8&gt;Controls!$B$6),"",ROUND(MAX(0,Smooth!I160*Controls!I$17*INDEX(Controls!$B$21:$H$21,1,WEEKDAY($A160,2))*(1+Controls!$B$11)^158*(1+Controls!N$25*Smooth!$L160)*(1+Controls!N$26*Smooth!$M160)*(1+Controls!N$27*Smooth!$N160)*(1+Controls!N$28*Smooth!$O160)),2))</f>
        <v/>
      </c>
      <c r="J160" s="10" t="str">
        <f t="array" ref="J160">IF(OR($A160="",9&gt;Controls!$B$6),"",ROUND(MAX(0,Smooth!J160*Controls!J$17*INDEX(Controls!$B$21:$H$21,1,WEEKDAY($A160,2))*(1+Controls!$B$11)^158*(1+Controls!O$25*Smooth!$L160)*(1+Controls!O$26*Smooth!$M160)*(1+Controls!O$27*Smooth!$N160)*(1+Controls!O$28*Smooth!$O160)),2))</f>
        <v/>
      </c>
      <c r="K160" s="10" t="str">
        <f t="array" ref="K160">IF(OR($A160="",10&gt;Controls!$B$6),"",ROUND(MAX(0,Smooth!K160*Controls!K$17*INDEX(Controls!$B$21:$H$21,1,WEEKDAY($A160,2))*(1+Controls!$B$11)^158*(1+Controls!P$25*Smooth!$L160)*(1+Controls!P$26*Smooth!$M160)*(1+Controls!P$27*Smooth!$N160)*(1+Controls!P$28*Smooth!$O160)),2))</f>
        <v/>
      </c>
      <c r="L160" s="18" t="str">
        <f t="shared" si="1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21.0" customHeight="1">
      <c r="A161" s="7" t="str">
        <f>IF(160&lt;=Controls!$B$5,Controls!$B$4+159,"")</f>
        <v/>
      </c>
      <c r="B161" s="10" t="str">
        <f t="array" ref="B161">IF(OR($A161="",1&gt;Controls!$B$6),"",ROUND(MAX(0,Smooth!B161*Controls!B$17*INDEX(Controls!$B$21:$H$21,1,WEEKDAY($A161,2))*(1+Controls!$B$11)^159*(1+Controls!G$25*Smooth!$L161)*(1+Controls!G$26*Smooth!$M161)*(1+Controls!G$27*Smooth!$N161)*(1+Controls!G$28*Smooth!$O161)),2))</f>
        <v/>
      </c>
      <c r="C161" s="10" t="str">
        <f t="array" ref="C161">IF(OR($A161="",2&gt;Controls!$B$6),"",ROUND(MAX(0,Smooth!C161*Controls!C$17*INDEX(Controls!$B$21:$H$21,1,WEEKDAY($A161,2))*(1+Controls!$B$11)^159*(1+Controls!H$25*Smooth!$L161)*(1+Controls!H$26*Smooth!$M161)*(1+Controls!H$27*Smooth!$N161)*(1+Controls!H$28*Smooth!$O161)),2))</f>
        <v/>
      </c>
      <c r="D161" s="10" t="str">
        <f t="array" ref="D161">IF(OR($A161="",3&gt;Controls!$B$6),"",ROUND(MAX(0,Smooth!D161*Controls!D$17*INDEX(Controls!$B$21:$H$21,1,WEEKDAY($A161,2))*(1+Controls!$B$11)^159*(1+Controls!I$25*Smooth!$L161)*(1+Controls!I$26*Smooth!$M161)*(1+Controls!I$27*Smooth!$N161)*(1+Controls!I$28*Smooth!$O161)),2))</f>
        <v/>
      </c>
      <c r="E161" s="10" t="str">
        <f t="array" ref="E161">IF(OR($A161="",4&gt;Controls!$B$6),"",ROUND(MAX(0,Smooth!E161*Controls!E$17*INDEX(Controls!$B$21:$H$21,1,WEEKDAY($A161,2))*(1+Controls!$B$11)^159*(1+Controls!J$25*Smooth!$L161)*(1+Controls!J$26*Smooth!$M161)*(1+Controls!J$27*Smooth!$N161)*(1+Controls!J$28*Smooth!$O161)),2))</f>
        <v/>
      </c>
      <c r="F161" s="10" t="str">
        <f t="array" ref="F161">IF(OR($A161="",5&gt;Controls!$B$6),"",ROUND(MAX(0,Smooth!F161*Controls!F$17*INDEX(Controls!$B$21:$H$21,1,WEEKDAY($A161,2))*(1+Controls!$B$11)^159*(1+Controls!K$25*Smooth!$L161)*(1+Controls!K$26*Smooth!$M161)*(1+Controls!K$27*Smooth!$N161)*(1+Controls!K$28*Smooth!$O161)),2))</f>
        <v/>
      </c>
      <c r="G161" s="10" t="str">
        <f t="array" ref="G161">IF(OR($A161="",6&gt;Controls!$B$6),"",ROUND(MAX(0,Smooth!G161*Controls!G$17*INDEX(Controls!$B$21:$H$21,1,WEEKDAY($A161,2))*(1+Controls!$B$11)^159*(1+Controls!L$25*Smooth!$L161)*(1+Controls!L$26*Smooth!$M161)*(1+Controls!L$27*Smooth!$N161)*(1+Controls!L$28*Smooth!$O161)),2))</f>
        <v/>
      </c>
      <c r="H161" s="10" t="str">
        <f t="array" ref="H161">IF(OR($A161="",7&gt;Controls!$B$6),"",ROUND(MAX(0,Smooth!H161*Controls!H$17*INDEX(Controls!$B$21:$H$21,1,WEEKDAY($A161,2))*(1+Controls!$B$11)^159*(1+Controls!M$25*Smooth!$L161)*(1+Controls!M$26*Smooth!$M161)*(1+Controls!M$27*Smooth!$N161)*(1+Controls!M$28*Smooth!$O161)),2))</f>
        <v/>
      </c>
      <c r="I161" s="10" t="str">
        <f t="array" ref="I161">IF(OR($A161="",8&gt;Controls!$B$6),"",ROUND(MAX(0,Smooth!I161*Controls!I$17*INDEX(Controls!$B$21:$H$21,1,WEEKDAY($A161,2))*(1+Controls!$B$11)^159*(1+Controls!N$25*Smooth!$L161)*(1+Controls!N$26*Smooth!$M161)*(1+Controls!N$27*Smooth!$N161)*(1+Controls!N$28*Smooth!$O161)),2))</f>
        <v/>
      </c>
      <c r="J161" s="10" t="str">
        <f t="array" ref="J161">IF(OR($A161="",9&gt;Controls!$B$6),"",ROUND(MAX(0,Smooth!J161*Controls!J$17*INDEX(Controls!$B$21:$H$21,1,WEEKDAY($A161,2))*(1+Controls!$B$11)^159*(1+Controls!O$25*Smooth!$L161)*(1+Controls!O$26*Smooth!$M161)*(1+Controls!O$27*Smooth!$N161)*(1+Controls!O$28*Smooth!$O161)),2))</f>
        <v/>
      </c>
      <c r="K161" s="10" t="str">
        <f t="array" ref="K161">IF(OR($A161="",10&gt;Controls!$B$6),"",ROUND(MAX(0,Smooth!K161*Controls!K$17*INDEX(Controls!$B$21:$H$21,1,WEEKDAY($A161,2))*(1+Controls!$B$11)^159*(1+Controls!P$25*Smooth!$L161)*(1+Controls!P$26*Smooth!$M161)*(1+Controls!P$27*Smooth!$N161)*(1+Controls!P$28*Smooth!$O161)),2))</f>
        <v/>
      </c>
      <c r="L161" s="18" t="str">
        <f t="shared" si="1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21.0" customHeight="1">
      <c r="A162" s="7" t="str">
        <f>IF(161&lt;=Controls!$B$5,Controls!$B$4+160,"")</f>
        <v/>
      </c>
      <c r="B162" s="10" t="str">
        <f t="array" ref="B162">IF(OR($A162="",1&gt;Controls!$B$6),"",ROUND(MAX(0,Smooth!B162*Controls!B$17*INDEX(Controls!$B$21:$H$21,1,WEEKDAY($A162,2))*(1+Controls!$B$11)^160*(1+Controls!G$25*Smooth!$L162)*(1+Controls!G$26*Smooth!$M162)*(1+Controls!G$27*Smooth!$N162)*(1+Controls!G$28*Smooth!$O162)),2))</f>
        <v/>
      </c>
      <c r="C162" s="10" t="str">
        <f t="array" ref="C162">IF(OR($A162="",2&gt;Controls!$B$6),"",ROUND(MAX(0,Smooth!C162*Controls!C$17*INDEX(Controls!$B$21:$H$21,1,WEEKDAY($A162,2))*(1+Controls!$B$11)^160*(1+Controls!H$25*Smooth!$L162)*(1+Controls!H$26*Smooth!$M162)*(1+Controls!H$27*Smooth!$N162)*(1+Controls!H$28*Smooth!$O162)),2))</f>
        <v/>
      </c>
      <c r="D162" s="10" t="str">
        <f t="array" ref="D162">IF(OR($A162="",3&gt;Controls!$B$6),"",ROUND(MAX(0,Smooth!D162*Controls!D$17*INDEX(Controls!$B$21:$H$21,1,WEEKDAY($A162,2))*(1+Controls!$B$11)^160*(1+Controls!I$25*Smooth!$L162)*(1+Controls!I$26*Smooth!$M162)*(1+Controls!I$27*Smooth!$N162)*(1+Controls!I$28*Smooth!$O162)),2))</f>
        <v/>
      </c>
      <c r="E162" s="10" t="str">
        <f t="array" ref="E162">IF(OR($A162="",4&gt;Controls!$B$6),"",ROUND(MAX(0,Smooth!E162*Controls!E$17*INDEX(Controls!$B$21:$H$21,1,WEEKDAY($A162,2))*(1+Controls!$B$11)^160*(1+Controls!J$25*Smooth!$L162)*(1+Controls!J$26*Smooth!$M162)*(1+Controls!J$27*Smooth!$N162)*(1+Controls!J$28*Smooth!$O162)),2))</f>
        <v/>
      </c>
      <c r="F162" s="10" t="str">
        <f t="array" ref="F162">IF(OR($A162="",5&gt;Controls!$B$6),"",ROUND(MAX(0,Smooth!F162*Controls!F$17*INDEX(Controls!$B$21:$H$21,1,WEEKDAY($A162,2))*(1+Controls!$B$11)^160*(1+Controls!K$25*Smooth!$L162)*(1+Controls!K$26*Smooth!$M162)*(1+Controls!K$27*Smooth!$N162)*(1+Controls!K$28*Smooth!$O162)),2))</f>
        <v/>
      </c>
      <c r="G162" s="10" t="str">
        <f t="array" ref="G162">IF(OR($A162="",6&gt;Controls!$B$6),"",ROUND(MAX(0,Smooth!G162*Controls!G$17*INDEX(Controls!$B$21:$H$21,1,WEEKDAY($A162,2))*(1+Controls!$B$11)^160*(1+Controls!L$25*Smooth!$L162)*(1+Controls!L$26*Smooth!$M162)*(1+Controls!L$27*Smooth!$N162)*(1+Controls!L$28*Smooth!$O162)),2))</f>
        <v/>
      </c>
      <c r="H162" s="10" t="str">
        <f t="array" ref="H162">IF(OR($A162="",7&gt;Controls!$B$6),"",ROUND(MAX(0,Smooth!H162*Controls!H$17*INDEX(Controls!$B$21:$H$21,1,WEEKDAY($A162,2))*(1+Controls!$B$11)^160*(1+Controls!M$25*Smooth!$L162)*(1+Controls!M$26*Smooth!$M162)*(1+Controls!M$27*Smooth!$N162)*(1+Controls!M$28*Smooth!$O162)),2))</f>
        <v/>
      </c>
      <c r="I162" s="10" t="str">
        <f t="array" ref="I162">IF(OR($A162="",8&gt;Controls!$B$6),"",ROUND(MAX(0,Smooth!I162*Controls!I$17*INDEX(Controls!$B$21:$H$21,1,WEEKDAY($A162,2))*(1+Controls!$B$11)^160*(1+Controls!N$25*Smooth!$L162)*(1+Controls!N$26*Smooth!$M162)*(1+Controls!N$27*Smooth!$N162)*(1+Controls!N$28*Smooth!$O162)),2))</f>
        <v/>
      </c>
      <c r="J162" s="10" t="str">
        <f t="array" ref="J162">IF(OR($A162="",9&gt;Controls!$B$6),"",ROUND(MAX(0,Smooth!J162*Controls!J$17*INDEX(Controls!$B$21:$H$21,1,WEEKDAY($A162,2))*(1+Controls!$B$11)^160*(1+Controls!O$25*Smooth!$L162)*(1+Controls!O$26*Smooth!$M162)*(1+Controls!O$27*Smooth!$N162)*(1+Controls!O$28*Smooth!$O162)),2))</f>
        <v/>
      </c>
      <c r="K162" s="10" t="str">
        <f t="array" ref="K162">IF(OR($A162="",10&gt;Controls!$B$6),"",ROUND(MAX(0,Smooth!K162*Controls!K$17*INDEX(Controls!$B$21:$H$21,1,WEEKDAY($A162,2))*(1+Controls!$B$11)^160*(1+Controls!P$25*Smooth!$L162)*(1+Controls!P$26*Smooth!$M162)*(1+Controls!P$27*Smooth!$N162)*(1+Controls!P$28*Smooth!$O162)),2))</f>
        <v/>
      </c>
      <c r="L162" s="18" t="str">
        <f t="shared" si="1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21.0" customHeight="1">
      <c r="A163" s="7" t="str">
        <f>IF(162&lt;=Controls!$B$5,Controls!$B$4+161,"")</f>
        <v/>
      </c>
      <c r="B163" s="10" t="str">
        <f t="array" ref="B163">IF(OR($A163="",1&gt;Controls!$B$6),"",ROUND(MAX(0,Smooth!B163*Controls!B$17*INDEX(Controls!$B$21:$H$21,1,WEEKDAY($A163,2))*(1+Controls!$B$11)^161*(1+Controls!G$25*Smooth!$L163)*(1+Controls!G$26*Smooth!$M163)*(1+Controls!G$27*Smooth!$N163)*(1+Controls!G$28*Smooth!$O163)),2))</f>
        <v/>
      </c>
      <c r="C163" s="10" t="str">
        <f t="array" ref="C163">IF(OR($A163="",2&gt;Controls!$B$6),"",ROUND(MAX(0,Smooth!C163*Controls!C$17*INDEX(Controls!$B$21:$H$21,1,WEEKDAY($A163,2))*(1+Controls!$B$11)^161*(1+Controls!H$25*Smooth!$L163)*(1+Controls!H$26*Smooth!$M163)*(1+Controls!H$27*Smooth!$N163)*(1+Controls!H$28*Smooth!$O163)),2))</f>
        <v/>
      </c>
      <c r="D163" s="10" t="str">
        <f t="array" ref="D163">IF(OR($A163="",3&gt;Controls!$B$6),"",ROUND(MAX(0,Smooth!D163*Controls!D$17*INDEX(Controls!$B$21:$H$21,1,WEEKDAY($A163,2))*(1+Controls!$B$11)^161*(1+Controls!I$25*Smooth!$L163)*(1+Controls!I$26*Smooth!$M163)*(1+Controls!I$27*Smooth!$N163)*(1+Controls!I$28*Smooth!$O163)),2))</f>
        <v/>
      </c>
      <c r="E163" s="10" t="str">
        <f t="array" ref="E163">IF(OR($A163="",4&gt;Controls!$B$6),"",ROUND(MAX(0,Smooth!E163*Controls!E$17*INDEX(Controls!$B$21:$H$21,1,WEEKDAY($A163,2))*(1+Controls!$B$11)^161*(1+Controls!J$25*Smooth!$L163)*(1+Controls!J$26*Smooth!$M163)*(1+Controls!J$27*Smooth!$N163)*(1+Controls!J$28*Smooth!$O163)),2))</f>
        <v/>
      </c>
      <c r="F163" s="10" t="str">
        <f t="array" ref="F163">IF(OR($A163="",5&gt;Controls!$B$6),"",ROUND(MAX(0,Smooth!F163*Controls!F$17*INDEX(Controls!$B$21:$H$21,1,WEEKDAY($A163,2))*(1+Controls!$B$11)^161*(1+Controls!K$25*Smooth!$L163)*(1+Controls!K$26*Smooth!$M163)*(1+Controls!K$27*Smooth!$N163)*(1+Controls!K$28*Smooth!$O163)),2))</f>
        <v/>
      </c>
      <c r="G163" s="10" t="str">
        <f t="array" ref="G163">IF(OR($A163="",6&gt;Controls!$B$6),"",ROUND(MAX(0,Smooth!G163*Controls!G$17*INDEX(Controls!$B$21:$H$21,1,WEEKDAY($A163,2))*(1+Controls!$B$11)^161*(1+Controls!L$25*Smooth!$L163)*(1+Controls!L$26*Smooth!$M163)*(1+Controls!L$27*Smooth!$N163)*(1+Controls!L$28*Smooth!$O163)),2))</f>
        <v/>
      </c>
      <c r="H163" s="10" t="str">
        <f t="array" ref="H163">IF(OR($A163="",7&gt;Controls!$B$6),"",ROUND(MAX(0,Smooth!H163*Controls!H$17*INDEX(Controls!$B$21:$H$21,1,WEEKDAY($A163,2))*(1+Controls!$B$11)^161*(1+Controls!M$25*Smooth!$L163)*(1+Controls!M$26*Smooth!$M163)*(1+Controls!M$27*Smooth!$N163)*(1+Controls!M$28*Smooth!$O163)),2))</f>
        <v/>
      </c>
      <c r="I163" s="10" t="str">
        <f t="array" ref="I163">IF(OR($A163="",8&gt;Controls!$B$6),"",ROUND(MAX(0,Smooth!I163*Controls!I$17*INDEX(Controls!$B$21:$H$21,1,WEEKDAY($A163,2))*(1+Controls!$B$11)^161*(1+Controls!N$25*Smooth!$L163)*(1+Controls!N$26*Smooth!$M163)*(1+Controls!N$27*Smooth!$N163)*(1+Controls!N$28*Smooth!$O163)),2))</f>
        <v/>
      </c>
      <c r="J163" s="10" t="str">
        <f t="array" ref="J163">IF(OR($A163="",9&gt;Controls!$B$6),"",ROUND(MAX(0,Smooth!J163*Controls!J$17*INDEX(Controls!$B$21:$H$21,1,WEEKDAY($A163,2))*(1+Controls!$B$11)^161*(1+Controls!O$25*Smooth!$L163)*(1+Controls!O$26*Smooth!$M163)*(1+Controls!O$27*Smooth!$N163)*(1+Controls!O$28*Smooth!$O163)),2))</f>
        <v/>
      </c>
      <c r="K163" s="10" t="str">
        <f t="array" ref="K163">IF(OR($A163="",10&gt;Controls!$B$6),"",ROUND(MAX(0,Smooth!K163*Controls!K$17*INDEX(Controls!$B$21:$H$21,1,WEEKDAY($A163,2))*(1+Controls!$B$11)^161*(1+Controls!P$25*Smooth!$L163)*(1+Controls!P$26*Smooth!$M163)*(1+Controls!P$27*Smooth!$N163)*(1+Controls!P$28*Smooth!$O163)),2))</f>
        <v/>
      </c>
      <c r="L163" s="18" t="str">
        <f t="shared" si="1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21.0" customHeight="1">
      <c r="A164" s="7" t="str">
        <f>IF(163&lt;=Controls!$B$5,Controls!$B$4+162,"")</f>
        <v/>
      </c>
      <c r="B164" s="10" t="str">
        <f t="array" ref="B164">IF(OR($A164="",1&gt;Controls!$B$6),"",ROUND(MAX(0,Smooth!B164*Controls!B$17*INDEX(Controls!$B$21:$H$21,1,WEEKDAY($A164,2))*(1+Controls!$B$11)^162*(1+Controls!G$25*Smooth!$L164)*(1+Controls!G$26*Smooth!$M164)*(1+Controls!G$27*Smooth!$N164)*(1+Controls!G$28*Smooth!$O164)),2))</f>
        <v/>
      </c>
      <c r="C164" s="10" t="str">
        <f t="array" ref="C164">IF(OR($A164="",2&gt;Controls!$B$6),"",ROUND(MAX(0,Smooth!C164*Controls!C$17*INDEX(Controls!$B$21:$H$21,1,WEEKDAY($A164,2))*(1+Controls!$B$11)^162*(1+Controls!H$25*Smooth!$L164)*(1+Controls!H$26*Smooth!$M164)*(1+Controls!H$27*Smooth!$N164)*(1+Controls!H$28*Smooth!$O164)),2))</f>
        <v/>
      </c>
      <c r="D164" s="10" t="str">
        <f t="array" ref="D164">IF(OR($A164="",3&gt;Controls!$B$6),"",ROUND(MAX(0,Smooth!D164*Controls!D$17*INDEX(Controls!$B$21:$H$21,1,WEEKDAY($A164,2))*(1+Controls!$B$11)^162*(1+Controls!I$25*Smooth!$L164)*(1+Controls!I$26*Smooth!$M164)*(1+Controls!I$27*Smooth!$N164)*(1+Controls!I$28*Smooth!$O164)),2))</f>
        <v/>
      </c>
      <c r="E164" s="10" t="str">
        <f t="array" ref="E164">IF(OR($A164="",4&gt;Controls!$B$6),"",ROUND(MAX(0,Smooth!E164*Controls!E$17*INDEX(Controls!$B$21:$H$21,1,WEEKDAY($A164,2))*(1+Controls!$B$11)^162*(1+Controls!J$25*Smooth!$L164)*(1+Controls!J$26*Smooth!$M164)*(1+Controls!J$27*Smooth!$N164)*(1+Controls!J$28*Smooth!$O164)),2))</f>
        <v/>
      </c>
      <c r="F164" s="10" t="str">
        <f t="array" ref="F164">IF(OR($A164="",5&gt;Controls!$B$6),"",ROUND(MAX(0,Smooth!F164*Controls!F$17*INDEX(Controls!$B$21:$H$21,1,WEEKDAY($A164,2))*(1+Controls!$B$11)^162*(1+Controls!K$25*Smooth!$L164)*(1+Controls!K$26*Smooth!$M164)*(1+Controls!K$27*Smooth!$N164)*(1+Controls!K$28*Smooth!$O164)),2))</f>
        <v/>
      </c>
      <c r="G164" s="10" t="str">
        <f t="array" ref="G164">IF(OR($A164="",6&gt;Controls!$B$6),"",ROUND(MAX(0,Smooth!G164*Controls!G$17*INDEX(Controls!$B$21:$H$21,1,WEEKDAY($A164,2))*(1+Controls!$B$11)^162*(1+Controls!L$25*Smooth!$L164)*(1+Controls!L$26*Smooth!$M164)*(1+Controls!L$27*Smooth!$N164)*(1+Controls!L$28*Smooth!$O164)),2))</f>
        <v/>
      </c>
      <c r="H164" s="10" t="str">
        <f t="array" ref="H164">IF(OR($A164="",7&gt;Controls!$B$6),"",ROUND(MAX(0,Smooth!H164*Controls!H$17*INDEX(Controls!$B$21:$H$21,1,WEEKDAY($A164,2))*(1+Controls!$B$11)^162*(1+Controls!M$25*Smooth!$L164)*(1+Controls!M$26*Smooth!$M164)*(1+Controls!M$27*Smooth!$N164)*(1+Controls!M$28*Smooth!$O164)),2))</f>
        <v/>
      </c>
      <c r="I164" s="10" t="str">
        <f t="array" ref="I164">IF(OR($A164="",8&gt;Controls!$B$6),"",ROUND(MAX(0,Smooth!I164*Controls!I$17*INDEX(Controls!$B$21:$H$21,1,WEEKDAY($A164,2))*(1+Controls!$B$11)^162*(1+Controls!N$25*Smooth!$L164)*(1+Controls!N$26*Smooth!$M164)*(1+Controls!N$27*Smooth!$N164)*(1+Controls!N$28*Smooth!$O164)),2))</f>
        <v/>
      </c>
      <c r="J164" s="10" t="str">
        <f t="array" ref="J164">IF(OR($A164="",9&gt;Controls!$B$6),"",ROUND(MAX(0,Smooth!J164*Controls!J$17*INDEX(Controls!$B$21:$H$21,1,WEEKDAY($A164,2))*(1+Controls!$B$11)^162*(1+Controls!O$25*Smooth!$L164)*(1+Controls!O$26*Smooth!$M164)*(1+Controls!O$27*Smooth!$N164)*(1+Controls!O$28*Smooth!$O164)),2))</f>
        <v/>
      </c>
      <c r="K164" s="10" t="str">
        <f t="array" ref="K164">IF(OR($A164="",10&gt;Controls!$B$6),"",ROUND(MAX(0,Smooth!K164*Controls!K$17*INDEX(Controls!$B$21:$H$21,1,WEEKDAY($A164,2))*(1+Controls!$B$11)^162*(1+Controls!P$25*Smooth!$L164)*(1+Controls!P$26*Smooth!$M164)*(1+Controls!P$27*Smooth!$N164)*(1+Controls!P$28*Smooth!$O164)),2))</f>
        <v/>
      </c>
      <c r="L164" s="18" t="str">
        <f t="shared" si="1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21.0" customHeight="1">
      <c r="A165" s="7" t="str">
        <f>IF(164&lt;=Controls!$B$5,Controls!$B$4+163,"")</f>
        <v/>
      </c>
      <c r="B165" s="10" t="str">
        <f t="array" ref="B165">IF(OR($A165="",1&gt;Controls!$B$6),"",ROUND(MAX(0,Smooth!B165*Controls!B$17*INDEX(Controls!$B$21:$H$21,1,WEEKDAY($A165,2))*(1+Controls!$B$11)^163*(1+Controls!G$25*Smooth!$L165)*(1+Controls!G$26*Smooth!$M165)*(1+Controls!G$27*Smooth!$N165)*(1+Controls!G$28*Smooth!$O165)),2))</f>
        <v/>
      </c>
      <c r="C165" s="10" t="str">
        <f t="array" ref="C165">IF(OR($A165="",2&gt;Controls!$B$6),"",ROUND(MAX(0,Smooth!C165*Controls!C$17*INDEX(Controls!$B$21:$H$21,1,WEEKDAY($A165,2))*(1+Controls!$B$11)^163*(1+Controls!H$25*Smooth!$L165)*(1+Controls!H$26*Smooth!$M165)*(1+Controls!H$27*Smooth!$N165)*(1+Controls!H$28*Smooth!$O165)),2))</f>
        <v/>
      </c>
      <c r="D165" s="10" t="str">
        <f t="array" ref="D165">IF(OR($A165="",3&gt;Controls!$B$6),"",ROUND(MAX(0,Smooth!D165*Controls!D$17*INDEX(Controls!$B$21:$H$21,1,WEEKDAY($A165,2))*(1+Controls!$B$11)^163*(1+Controls!I$25*Smooth!$L165)*(1+Controls!I$26*Smooth!$M165)*(1+Controls!I$27*Smooth!$N165)*(1+Controls!I$28*Smooth!$O165)),2))</f>
        <v/>
      </c>
      <c r="E165" s="10" t="str">
        <f t="array" ref="E165">IF(OR($A165="",4&gt;Controls!$B$6),"",ROUND(MAX(0,Smooth!E165*Controls!E$17*INDEX(Controls!$B$21:$H$21,1,WEEKDAY($A165,2))*(1+Controls!$B$11)^163*(1+Controls!J$25*Smooth!$L165)*(1+Controls!J$26*Smooth!$M165)*(1+Controls!J$27*Smooth!$N165)*(1+Controls!J$28*Smooth!$O165)),2))</f>
        <v/>
      </c>
      <c r="F165" s="10" t="str">
        <f t="array" ref="F165">IF(OR($A165="",5&gt;Controls!$B$6),"",ROUND(MAX(0,Smooth!F165*Controls!F$17*INDEX(Controls!$B$21:$H$21,1,WEEKDAY($A165,2))*(1+Controls!$B$11)^163*(1+Controls!K$25*Smooth!$L165)*(1+Controls!K$26*Smooth!$M165)*(1+Controls!K$27*Smooth!$N165)*(1+Controls!K$28*Smooth!$O165)),2))</f>
        <v/>
      </c>
      <c r="G165" s="10" t="str">
        <f t="array" ref="G165">IF(OR($A165="",6&gt;Controls!$B$6),"",ROUND(MAX(0,Smooth!G165*Controls!G$17*INDEX(Controls!$B$21:$H$21,1,WEEKDAY($A165,2))*(1+Controls!$B$11)^163*(1+Controls!L$25*Smooth!$L165)*(1+Controls!L$26*Smooth!$M165)*(1+Controls!L$27*Smooth!$N165)*(1+Controls!L$28*Smooth!$O165)),2))</f>
        <v/>
      </c>
      <c r="H165" s="10" t="str">
        <f t="array" ref="H165">IF(OR($A165="",7&gt;Controls!$B$6),"",ROUND(MAX(0,Smooth!H165*Controls!H$17*INDEX(Controls!$B$21:$H$21,1,WEEKDAY($A165,2))*(1+Controls!$B$11)^163*(1+Controls!M$25*Smooth!$L165)*(1+Controls!M$26*Smooth!$M165)*(1+Controls!M$27*Smooth!$N165)*(1+Controls!M$28*Smooth!$O165)),2))</f>
        <v/>
      </c>
      <c r="I165" s="10" t="str">
        <f t="array" ref="I165">IF(OR($A165="",8&gt;Controls!$B$6),"",ROUND(MAX(0,Smooth!I165*Controls!I$17*INDEX(Controls!$B$21:$H$21,1,WEEKDAY($A165,2))*(1+Controls!$B$11)^163*(1+Controls!N$25*Smooth!$L165)*(1+Controls!N$26*Smooth!$M165)*(1+Controls!N$27*Smooth!$N165)*(1+Controls!N$28*Smooth!$O165)),2))</f>
        <v/>
      </c>
      <c r="J165" s="10" t="str">
        <f t="array" ref="J165">IF(OR($A165="",9&gt;Controls!$B$6),"",ROUND(MAX(0,Smooth!J165*Controls!J$17*INDEX(Controls!$B$21:$H$21,1,WEEKDAY($A165,2))*(1+Controls!$B$11)^163*(1+Controls!O$25*Smooth!$L165)*(1+Controls!O$26*Smooth!$M165)*(1+Controls!O$27*Smooth!$N165)*(1+Controls!O$28*Smooth!$O165)),2))</f>
        <v/>
      </c>
      <c r="K165" s="10" t="str">
        <f t="array" ref="K165">IF(OR($A165="",10&gt;Controls!$B$6),"",ROUND(MAX(0,Smooth!K165*Controls!K$17*INDEX(Controls!$B$21:$H$21,1,WEEKDAY($A165,2))*(1+Controls!$B$11)^163*(1+Controls!P$25*Smooth!$L165)*(1+Controls!P$26*Smooth!$M165)*(1+Controls!P$27*Smooth!$N165)*(1+Controls!P$28*Smooth!$O165)),2))</f>
        <v/>
      </c>
      <c r="L165" s="18" t="str">
        <f t="shared" si="1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21.0" customHeight="1">
      <c r="A166" s="7" t="str">
        <f>IF(165&lt;=Controls!$B$5,Controls!$B$4+164,"")</f>
        <v/>
      </c>
      <c r="B166" s="10" t="str">
        <f t="array" ref="B166">IF(OR($A166="",1&gt;Controls!$B$6),"",ROUND(MAX(0,Smooth!B166*Controls!B$17*INDEX(Controls!$B$21:$H$21,1,WEEKDAY($A166,2))*(1+Controls!$B$11)^164*(1+Controls!G$25*Smooth!$L166)*(1+Controls!G$26*Smooth!$M166)*(1+Controls!G$27*Smooth!$N166)*(1+Controls!G$28*Smooth!$O166)),2))</f>
        <v/>
      </c>
      <c r="C166" s="10" t="str">
        <f t="array" ref="C166">IF(OR($A166="",2&gt;Controls!$B$6),"",ROUND(MAX(0,Smooth!C166*Controls!C$17*INDEX(Controls!$B$21:$H$21,1,WEEKDAY($A166,2))*(1+Controls!$B$11)^164*(1+Controls!H$25*Smooth!$L166)*(1+Controls!H$26*Smooth!$M166)*(1+Controls!H$27*Smooth!$N166)*(1+Controls!H$28*Smooth!$O166)),2))</f>
        <v/>
      </c>
      <c r="D166" s="10" t="str">
        <f t="array" ref="D166">IF(OR($A166="",3&gt;Controls!$B$6),"",ROUND(MAX(0,Smooth!D166*Controls!D$17*INDEX(Controls!$B$21:$H$21,1,WEEKDAY($A166,2))*(1+Controls!$B$11)^164*(1+Controls!I$25*Smooth!$L166)*(1+Controls!I$26*Smooth!$M166)*(1+Controls!I$27*Smooth!$N166)*(1+Controls!I$28*Smooth!$O166)),2))</f>
        <v/>
      </c>
      <c r="E166" s="10" t="str">
        <f t="array" ref="E166">IF(OR($A166="",4&gt;Controls!$B$6),"",ROUND(MAX(0,Smooth!E166*Controls!E$17*INDEX(Controls!$B$21:$H$21,1,WEEKDAY($A166,2))*(1+Controls!$B$11)^164*(1+Controls!J$25*Smooth!$L166)*(1+Controls!J$26*Smooth!$M166)*(1+Controls!J$27*Smooth!$N166)*(1+Controls!J$28*Smooth!$O166)),2))</f>
        <v/>
      </c>
      <c r="F166" s="10" t="str">
        <f t="array" ref="F166">IF(OR($A166="",5&gt;Controls!$B$6),"",ROUND(MAX(0,Smooth!F166*Controls!F$17*INDEX(Controls!$B$21:$H$21,1,WEEKDAY($A166,2))*(1+Controls!$B$11)^164*(1+Controls!K$25*Smooth!$L166)*(1+Controls!K$26*Smooth!$M166)*(1+Controls!K$27*Smooth!$N166)*(1+Controls!K$28*Smooth!$O166)),2))</f>
        <v/>
      </c>
      <c r="G166" s="10" t="str">
        <f t="array" ref="G166">IF(OR($A166="",6&gt;Controls!$B$6),"",ROUND(MAX(0,Smooth!G166*Controls!G$17*INDEX(Controls!$B$21:$H$21,1,WEEKDAY($A166,2))*(1+Controls!$B$11)^164*(1+Controls!L$25*Smooth!$L166)*(1+Controls!L$26*Smooth!$M166)*(1+Controls!L$27*Smooth!$N166)*(1+Controls!L$28*Smooth!$O166)),2))</f>
        <v/>
      </c>
      <c r="H166" s="10" t="str">
        <f t="array" ref="H166">IF(OR($A166="",7&gt;Controls!$B$6),"",ROUND(MAX(0,Smooth!H166*Controls!H$17*INDEX(Controls!$B$21:$H$21,1,WEEKDAY($A166,2))*(1+Controls!$B$11)^164*(1+Controls!M$25*Smooth!$L166)*(1+Controls!M$26*Smooth!$M166)*(1+Controls!M$27*Smooth!$N166)*(1+Controls!M$28*Smooth!$O166)),2))</f>
        <v/>
      </c>
      <c r="I166" s="10" t="str">
        <f t="array" ref="I166">IF(OR($A166="",8&gt;Controls!$B$6),"",ROUND(MAX(0,Smooth!I166*Controls!I$17*INDEX(Controls!$B$21:$H$21,1,WEEKDAY($A166,2))*(1+Controls!$B$11)^164*(1+Controls!N$25*Smooth!$L166)*(1+Controls!N$26*Smooth!$M166)*(1+Controls!N$27*Smooth!$N166)*(1+Controls!N$28*Smooth!$O166)),2))</f>
        <v/>
      </c>
      <c r="J166" s="10" t="str">
        <f t="array" ref="J166">IF(OR($A166="",9&gt;Controls!$B$6),"",ROUND(MAX(0,Smooth!J166*Controls!J$17*INDEX(Controls!$B$21:$H$21,1,WEEKDAY($A166,2))*(1+Controls!$B$11)^164*(1+Controls!O$25*Smooth!$L166)*(1+Controls!O$26*Smooth!$M166)*(1+Controls!O$27*Smooth!$N166)*(1+Controls!O$28*Smooth!$O166)),2))</f>
        <v/>
      </c>
      <c r="K166" s="10" t="str">
        <f t="array" ref="K166">IF(OR($A166="",10&gt;Controls!$B$6),"",ROUND(MAX(0,Smooth!K166*Controls!K$17*INDEX(Controls!$B$21:$H$21,1,WEEKDAY($A166,2))*(1+Controls!$B$11)^164*(1+Controls!P$25*Smooth!$L166)*(1+Controls!P$26*Smooth!$M166)*(1+Controls!P$27*Smooth!$N166)*(1+Controls!P$28*Smooth!$O166)),2))</f>
        <v/>
      </c>
      <c r="L166" s="18" t="str">
        <f t="shared" si="1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21.0" customHeight="1">
      <c r="A167" s="7" t="str">
        <f>IF(166&lt;=Controls!$B$5,Controls!$B$4+165,"")</f>
        <v/>
      </c>
      <c r="B167" s="10" t="str">
        <f t="array" ref="B167">IF(OR($A167="",1&gt;Controls!$B$6),"",ROUND(MAX(0,Smooth!B167*Controls!B$17*INDEX(Controls!$B$21:$H$21,1,WEEKDAY($A167,2))*(1+Controls!$B$11)^165*(1+Controls!G$25*Smooth!$L167)*(1+Controls!G$26*Smooth!$M167)*(1+Controls!G$27*Smooth!$N167)*(1+Controls!G$28*Smooth!$O167)),2))</f>
        <v/>
      </c>
      <c r="C167" s="10" t="str">
        <f t="array" ref="C167">IF(OR($A167="",2&gt;Controls!$B$6),"",ROUND(MAX(0,Smooth!C167*Controls!C$17*INDEX(Controls!$B$21:$H$21,1,WEEKDAY($A167,2))*(1+Controls!$B$11)^165*(1+Controls!H$25*Smooth!$L167)*(1+Controls!H$26*Smooth!$M167)*(1+Controls!H$27*Smooth!$N167)*(1+Controls!H$28*Smooth!$O167)),2))</f>
        <v/>
      </c>
      <c r="D167" s="10" t="str">
        <f t="array" ref="D167">IF(OR($A167="",3&gt;Controls!$B$6),"",ROUND(MAX(0,Smooth!D167*Controls!D$17*INDEX(Controls!$B$21:$H$21,1,WEEKDAY($A167,2))*(1+Controls!$B$11)^165*(1+Controls!I$25*Smooth!$L167)*(1+Controls!I$26*Smooth!$M167)*(1+Controls!I$27*Smooth!$N167)*(1+Controls!I$28*Smooth!$O167)),2))</f>
        <v/>
      </c>
      <c r="E167" s="10" t="str">
        <f t="array" ref="E167">IF(OR($A167="",4&gt;Controls!$B$6),"",ROUND(MAX(0,Smooth!E167*Controls!E$17*INDEX(Controls!$B$21:$H$21,1,WEEKDAY($A167,2))*(1+Controls!$B$11)^165*(1+Controls!J$25*Smooth!$L167)*(1+Controls!J$26*Smooth!$M167)*(1+Controls!J$27*Smooth!$N167)*(1+Controls!J$28*Smooth!$O167)),2))</f>
        <v/>
      </c>
      <c r="F167" s="10" t="str">
        <f t="array" ref="F167">IF(OR($A167="",5&gt;Controls!$B$6),"",ROUND(MAX(0,Smooth!F167*Controls!F$17*INDEX(Controls!$B$21:$H$21,1,WEEKDAY($A167,2))*(1+Controls!$B$11)^165*(1+Controls!K$25*Smooth!$L167)*(1+Controls!K$26*Smooth!$M167)*(1+Controls!K$27*Smooth!$N167)*(1+Controls!K$28*Smooth!$O167)),2))</f>
        <v/>
      </c>
      <c r="G167" s="10" t="str">
        <f t="array" ref="G167">IF(OR($A167="",6&gt;Controls!$B$6),"",ROUND(MAX(0,Smooth!G167*Controls!G$17*INDEX(Controls!$B$21:$H$21,1,WEEKDAY($A167,2))*(1+Controls!$B$11)^165*(1+Controls!L$25*Smooth!$L167)*(1+Controls!L$26*Smooth!$M167)*(1+Controls!L$27*Smooth!$N167)*(1+Controls!L$28*Smooth!$O167)),2))</f>
        <v/>
      </c>
      <c r="H167" s="10" t="str">
        <f t="array" ref="H167">IF(OR($A167="",7&gt;Controls!$B$6),"",ROUND(MAX(0,Smooth!H167*Controls!H$17*INDEX(Controls!$B$21:$H$21,1,WEEKDAY($A167,2))*(1+Controls!$B$11)^165*(1+Controls!M$25*Smooth!$L167)*(1+Controls!M$26*Smooth!$M167)*(1+Controls!M$27*Smooth!$N167)*(1+Controls!M$28*Smooth!$O167)),2))</f>
        <v/>
      </c>
      <c r="I167" s="10" t="str">
        <f t="array" ref="I167">IF(OR($A167="",8&gt;Controls!$B$6),"",ROUND(MAX(0,Smooth!I167*Controls!I$17*INDEX(Controls!$B$21:$H$21,1,WEEKDAY($A167,2))*(1+Controls!$B$11)^165*(1+Controls!N$25*Smooth!$L167)*(1+Controls!N$26*Smooth!$M167)*(1+Controls!N$27*Smooth!$N167)*(1+Controls!N$28*Smooth!$O167)),2))</f>
        <v/>
      </c>
      <c r="J167" s="10" t="str">
        <f t="array" ref="J167">IF(OR($A167="",9&gt;Controls!$B$6),"",ROUND(MAX(0,Smooth!J167*Controls!J$17*INDEX(Controls!$B$21:$H$21,1,WEEKDAY($A167,2))*(1+Controls!$B$11)^165*(1+Controls!O$25*Smooth!$L167)*(1+Controls!O$26*Smooth!$M167)*(1+Controls!O$27*Smooth!$N167)*(1+Controls!O$28*Smooth!$O167)),2))</f>
        <v/>
      </c>
      <c r="K167" s="10" t="str">
        <f t="array" ref="K167">IF(OR($A167="",10&gt;Controls!$B$6),"",ROUND(MAX(0,Smooth!K167*Controls!K$17*INDEX(Controls!$B$21:$H$21,1,WEEKDAY($A167,2))*(1+Controls!$B$11)^165*(1+Controls!P$25*Smooth!$L167)*(1+Controls!P$26*Smooth!$M167)*(1+Controls!P$27*Smooth!$N167)*(1+Controls!P$28*Smooth!$O167)),2))</f>
        <v/>
      </c>
      <c r="L167" s="18" t="str">
        <f t="shared" si="1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21.0" customHeight="1">
      <c r="A168" s="7" t="str">
        <f>IF(167&lt;=Controls!$B$5,Controls!$B$4+166,"")</f>
        <v/>
      </c>
      <c r="B168" s="10" t="str">
        <f t="array" ref="B168">IF(OR($A168="",1&gt;Controls!$B$6),"",ROUND(MAX(0,Smooth!B168*Controls!B$17*INDEX(Controls!$B$21:$H$21,1,WEEKDAY($A168,2))*(1+Controls!$B$11)^166*(1+Controls!G$25*Smooth!$L168)*(1+Controls!G$26*Smooth!$M168)*(1+Controls!G$27*Smooth!$N168)*(1+Controls!G$28*Smooth!$O168)),2))</f>
        <v/>
      </c>
      <c r="C168" s="10" t="str">
        <f t="array" ref="C168">IF(OR($A168="",2&gt;Controls!$B$6),"",ROUND(MAX(0,Smooth!C168*Controls!C$17*INDEX(Controls!$B$21:$H$21,1,WEEKDAY($A168,2))*(1+Controls!$B$11)^166*(1+Controls!H$25*Smooth!$L168)*(1+Controls!H$26*Smooth!$M168)*(1+Controls!H$27*Smooth!$N168)*(1+Controls!H$28*Smooth!$O168)),2))</f>
        <v/>
      </c>
      <c r="D168" s="10" t="str">
        <f t="array" ref="D168">IF(OR($A168="",3&gt;Controls!$B$6),"",ROUND(MAX(0,Smooth!D168*Controls!D$17*INDEX(Controls!$B$21:$H$21,1,WEEKDAY($A168,2))*(1+Controls!$B$11)^166*(1+Controls!I$25*Smooth!$L168)*(1+Controls!I$26*Smooth!$M168)*(1+Controls!I$27*Smooth!$N168)*(1+Controls!I$28*Smooth!$O168)),2))</f>
        <v/>
      </c>
      <c r="E168" s="10" t="str">
        <f t="array" ref="E168">IF(OR($A168="",4&gt;Controls!$B$6),"",ROUND(MAX(0,Smooth!E168*Controls!E$17*INDEX(Controls!$B$21:$H$21,1,WEEKDAY($A168,2))*(1+Controls!$B$11)^166*(1+Controls!J$25*Smooth!$L168)*(1+Controls!J$26*Smooth!$M168)*(1+Controls!J$27*Smooth!$N168)*(1+Controls!J$28*Smooth!$O168)),2))</f>
        <v/>
      </c>
      <c r="F168" s="10" t="str">
        <f t="array" ref="F168">IF(OR($A168="",5&gt;Controls!$B$6),"",ROUND(MAX(0,Smooth!F168*Controls!F$17*INDEX(Controls!$B$21:$H$21,1,WEEKDAY($A168,2))*(1+Controls!$B$11)^166*(1+Controls!K$25*Smooth!$L168)*(1+Controls!K$26*Smooth!$M168)*(1+Controls!K$27*Smooth!$N168)*(1+Controls!K$28*Smooth!$O168)),2))</f>
        <v/>
      </c>
      <c r="G168" s="10" t="str">
        <f t="array" ref="G168">IF(OR($A168="",6&gt;Controls!$B$6),"",ROUND(MAX(0,Smooth!G168*Controls!G$17*INDEX(Controls!$B$21:$H$21,1,WEEKDAY($A168,2))*(1+Controls!$B$11)^166*(1+Controls!L$25*Smooth!$L168)*(1+Controls!L$26*Smooth!$M168)*(1+Controls!L$27*Smooth!$N168)*(1+Controls!L$28*Smooth!$O168)),2))</f>
        <v/>
      </c>
      <c r="H168" s="10" t="str">
        <f t="array" ref="H168">IF(OR($A168="",7&gt;Controls!$B$6),"",ROUND(MAX(0,Smooth!H168*Controls!H$17*INDEX(Controls!$B$21:$H$21,1,WEEKDAY($A168,2))*(1+Controls!$B$11)^166*(1+Controls!M$25*Smooth!$L168)*(1+Controls!M$26*Smooth!$M168)*(1+Controls!M$27*Smooth!$N168)*(1+Controls!M$28*Smooth!$O168)),2))</f>
        <v/>
      </c>
      <c r="I168" s="10" t="str">
        <f t="array" ref="I168">IF(OR($A168="",8&gt;Controls!$B$6),"",ROUND(MAX(0,Smooth!I168*Controls!I$17*INDEX(Controls!$B$21:$H$21,1,WEEKDAY($A168,2))*(1+Controls!$B$11)^166*(1+Controls!N$25*Smooth!$L168)*(1+Controls!N$26*Smooth!$M168)*(1+Controls!N$27*Smooth!$N168)*(1+Controls!N$28*Smooth!$O168)),2))</f>
        <v/>
      </c>
      <c r="J168" s="10" t="str">
        <f t="array" ref="J168">IF(OR($A168="",9&gt;Controls!$B$6),"",ROUND(MAX(0,Smooth!J168*Controls!J$17*INDEX(Controls!$B$21:$H$21,1,WEEKDAY($A168,2))*(1+Controls!$B$11)^166*(1+Controls!O$25*Smooth!$L168)*(1+Controls!O$26*Smooth!$M168)*(1+Controls!O$27*Smooth!$N168)*(1+Controls!O$28*Smooth!$O168)),2))</f>
        <v/>
      </c>
      <c r="K168" s="10" t="str">
        <f t="array" ref="K168">IF(OR($A168="",10&gt;Controls!$B$6),"",ROUND(MAX(0,Smooth!K168*Controls!K$17*INDEX(Controls!$B$21:$H$21,1,WEEKDAY($A168,2))*(1+Controls!$B$11)^166*(1+Controls!P$25*Smooth!$L168)*(1+Controls!P$26*Smooth!$M168)*(1+Controls!P$27*Smooth!$N168)*(1+Controls!P$28*Smooth!$O168)),2))</f>
        <v/>
      </c>
      <c r="L168" s="18" t="str">
        <f t="shared" si="1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21.0" customHeight="1">
      <c r="A169" s="7" t="str">
        <f>IF(168&lt;=Controls!$B$5,Controls!$B$4+167,"")</f>
        <v/>
      </c>
      <c r="B169" s="10" t="str">
        <f t="array" ref="B169">IF(OR($A169="",1&gt;Controls!$B$6),"",ROUND(MAX(0,Smooth!B169*Controls!B$17*INDEX(Controls!$B$21:$H$21,1,WEEKDAY($A169,2))*(1+Controls!$B$11)^167*(1+Controls!G$25*Smooth!$L169)*(1+Controls!G$26*Smooth!$M169)*(1+Controls!G$27*Smooth!$N169)*(1+Controls!G$28*Smooth!$O169)),2))</f>
        <v/>
      </c>
      <c r="C169" s="10" t="str">
        <f t="array" ref="C169">IF(OR($A169="",2&gt;Controls!$B$6),"",ROUND(MAX(0,Smooth!C169*Controls!C$17*INDEX(Controls!$B$21:$H$21,1,WEEKDAY($A169,2))*(1+Controls!$B$11)^167*(1+Controls!H$25*Smooth!$L169)*(1+Controls!H$26*Smooth!$M169)*(1+Controls!H$27*Smooth!$N169)*(1+Controls!H$28*Smooth!$O169)),2))</f>
        <v/>
      </c>
      <c r="D169" s="10" t="str">
        <f t="array" ref="D169">IF(OR($A169="",3&gt;Controls!$B$6),"",ROUND(MAX(0,Smooth!D169*Controls!D$17*INDEX(Controls!$B$21:$H$21,1,WEEKDAY($A169,2))*(1+Controls!$B$11)^167*(1+Controls!I$25*Smooth!$L169)*(1+Controls!I$26*Smooth!$M169)*(1+Controls!I$27*Smooth!$N169)*(1+Controls!I$28*Smooth!$O169)),2))</f>
        <v/>
      </c>
      <c r="E169" s="10" t="str">
        <f t="array" ref="E169">IF(OR($A169="",4&gt;Controls!$B$6),"",ROUND(MAX(0,Smooth!E169*Controls!E$17*INDEX(Controls!$B$21:$H$21,1,WEEKDAY($A169,2))*(1+Controls!$B$11)^167*(1+Controls!J$25*Smooth!$L169)*(1+Controls!J$26*Smooth!$M169)*(1+Controls!J$27*Smooth!$N169)*(1+Controls!J$28*Smooth!$O169)),2))</f>
        <v/>
      </c>
      <c r="F169" s="10" t="str">
        <f t="array" ref="F169">IF(OR($A169="",5&gt;Controls!$B$6),"",ROUND(MAX(0,Smooth!F169*Controls!F$17*INDEX(Controls!$B$21:$H$21,1,WEEKDAY($A169,2))*(1+Controls!$B$11)^167*(1+Controls!K$25*Smooth!$L169)*(1+Controls!K$26*Smooth!$M169)*(1+Controls!K$27*Smooth!$N169)*(1+Controls!K$28*Smooth!$O169)),2))</f>
        <v/>
      </c>
      <c r="G169" s="10" t="str">
        <f t="array" ref="G169">IF(OR($A169="",6&gt;Controls!$B$6),"",ROUND(MAX(0,Smooth!G169*Controls!G$17*INDEX(Controls!$B$21:$H$21,1,WEEKDAY($A169,2))*(1+Controls!$B$11)^167*(1+Controls!L$25*Smooth!$L169)*(1+Controls!L$26*Smooth!$M169)*(1+Controls!L$27*Smooth!$N169)*(1+Controls!L$28*Smooth!$O169)),2))</f>
        <v/>
      </c>
      <c r="H169" s="10" t="str">
        <f t="array" ref="H169">IF(OR($A169="",7&gt;Controls!$B$6),"",ROUND(MAX(0,Smooth!H169*Controls!H$17*INDEX(Controls!$B$21:$H$21,1,WEEKDAY($A169,2))*(1+Controls!$B$11)^167*(1+Controls!M$25*Smooth!$L169)*(1+Controls!M$26*Smooth!$M169)*(1+Controls!M$27*Smooth!$N169)*(1+Controls!M$28*Smooth!$O169)),2))</f>
        <v/>
      </c>
      <c r="I169" s="10" t="str">
        <f t="array" ref="I169">IF(OR($A169="",8&gt;Controls!$B$6),"",ROUND(MAX(0,Smooth!I169*Controls!I$17*INDEX(Controls!$B$21:$H$21,1,WEEKDAY($A169,2))*(1+Controls!$B$11)^167*(1+Controls!N$25*Smooth!$L169)*(1+Controls!N$26*Smooth!$M169)*(1+Controls!N$27*Smooth!$N169)*(1+Controls!N$28*Smooth!$O169)),2))</f>
        <v/>
      </c>
      <c r="J169" s="10" t="str">
        <f t="array" ref="J169">IF(OR($A169="",9&gt;Controls!$B$6),"",ROUND(MAX(0,Smooth!J169*Controls!J$17*INDEX(Controls!$B$21:$H$21,1,WEEKDAY($A169,2))*(1+Controls!$B$11)^167*(1+Controls!O$25*Smooth!$L169)*(1+Controls!O$26*Smooth!$M169)*(1+Controls!O$27*Smooth!$N169)*(1+Controls!O$28*Smooth!$O169)),2))</f>
        <v/>
      </c>
      <c r="K169" s="10" t="str">
        <f t="array" ref="K169">IF(OR($A169="",10&gt;Controls!$B$6),"",ROUND(MAX(0,Smooth!K169*Controls!K$17*INDEX(Controls!$B$21:$H$21,1,WEEKDAY($A169,2))*(1+Controls!$B$11)^167*(1+Controls!P$25*Smooth!$L169)*(1+Controls!P$26*Smooth!$M169)*(1+Controls!P$27*Smooth!$N169)*(1+Controls!P$28*Smooth!$O169)),2))</f>
        <v/>
      </c>
      <c r="L169" s="18" t="str">
        <f t="shared" si="1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21.0" customHeight="1">
      <c r="A170" s="7" t="str">
        <f>IF(169&lt;=Controls!$B$5,Controls!$B$4+168,"")</f>
        <v/>
      </c>
      <c r="B170" s="10" t="str">
        <f t="array" ref="B170">IF(OR($A170="",1&gt;Controls!$B$6),"",ROUND(MAX(0,Smooth!B170*Controls!B$17*INDEX(Controls!$B$21:$H$21,1,WEEKDAY($A170,2))*(1+Controls!$B$11)^168*(1+Controls!G$25*Smooth!$L170)*(1+Controls!G$26*Smooth!$M170)*(1+Controls!G$27*Smooth!$N170)*(1+Controls!G$28*Smooth!$O170)),2))</f>
        <v/>
      </c>
      <c r="C170" s="10" t="str">
        <f t="array" ref="C170">IF(OR($A170="",2&gt;Controls!$B$6),"",ROUND(MAX(0,Smooth!C170*Controls!C$17*INDEX(Controls!$B$21:$H$21,1,WEEKDAY($A170,2))*(1+Controls!$B$11)^168*(1+Controls!H$25*Smooth!$L170)*(1+Controls!H$26*Smooth!$M170)*(1+Controls!H$27*Smooth!$N170)*(1+Controls!H$28*Smooth!$O170)),2))</f>
        <v/>
      </c>
      <c r="D170" s="10" t="str">
        <f t="array" ref="D170">IF(OR($A170="",3&gt;Controls!$B$6),"",ROUND(MAX(0,Smooth!D170*Controls!D$17*INDEX(Controls!$B$21:$H$21,1,WEEKDAY($A170,2))*(1+Controls!$B$11)^168*(1+Controls!I$25*Smooth!$L170)*(1+Controls!I$26*Smooth!$M170)*(1+Controls!I$27*Smooth!$N170)*(1+Controls!I$28*Smooth!$O170)),2))</f>
        <v/>
      </c>
      <c r="E170" s="10" t="str">
        <f t="array" ref="E170">IF(OR($A170="",4&gt;Controls!$B$6),"",ROUND(MAX(0,Smooth!E170*Controls!E$17*INDEX(Controls!$B$21:$H$21,1,WEEKDAY($A170,2))*(1+Controls!$B$11)^168*(1+Controls!J$25*Smooth!$L170)*(1+Controls!J$26*Smooth!$M170)*(1+Controls!J$27*Smooth!$N170)*(1+Controls!J$28*Smooth!$O170)),2))</f>
        <v/>
      </c>
      <c r="F170" s="10" t="str">
        <f t="array" ref="F170">IF(OR($A170="",5&gt;Controls!$B$6),"",ROUND(MAX(0,Smooth!F170*Controls!F$17*INDEX(Controls!$B$21:$H$21,1,WEEKDAY($A170,2))*(1+Controls!$B$11)^168*(1+Controls!K$25*Smooth!$L170)*(1+Controls!K$26*Smooth!$M170)*(1+Controls!K$27*Smooth!$N170)*(1+Controls!K$28*Smooth!$O170)),2))</f>
        <v/>
      </c>
      <c r="G170" s="10" t="str">
        <f t="array" ref="G170">IF(OR($A170="",6&gt;Controls!$B$6),"",ROUND(MAX(0,Smooth!G170*Controls!G$17*INDEX(Controls!$B$21:$H$21,1,WEEKDAY($A170,2))*(1+Controls!$B$11)^168*(1+Controls!L$25*Smooth!$L170)*(1+Controls!L$26*Smooth!$M170)*(1+Controls!L$27*Smooth!$N170)*(1+Controls!L$28*Smooth!$O170)),2))</f>
        <v/>
      </c>
      <c r="H170" s="10" t="str">
        <f t="array" ref="H170">IF(OR($A170="",7&gt;Controls!$B$6),"",ROUND(MAX(0,Smooth!H170*Controls!H$17*INDEX(Controls!$B$21:$H$21,1,WEEKDAY($A170,2))*(1+Controls!$B$11)^168*(1+Controls!M$25*Smooth!$L170)*(1+Controls!M$26*Smooth!$M170)*(1+Controls!M$27*Smooth!$N170)*(1+Controls!M$28*Smooth!$O170)),2))</f>
        <v/>
      </c>
      <c r="I170" s="10" t="str">
        <f t="array" ref="I170">IF(OR($A170="",8&gt;Controls!$B$6),"",ROUND(MAX(0,Smooth!I170*Controls!I$17*INDEX(Controls!$B$21:$H$21,1,WEEKDAY($A170,2))*(1+Controls!$B$11)^168*(1+Controls!N$25*Smooth!$L170)*(1+Controls!N$26*Smooth!$M170)*(1+Controls!N$27*Smooth!$N170)*(1+Controls!N$28*Smooth!$O170)),2))</f>
        <v/>
      </c>
      <c r="J170" s="10" t="str">
        <f t="array" ref="J170">IF(OR($A170="",9&gt;Controls!$B$6),"",ROUND(MAX(0,Smooth!J170*Controls!J$17*INDEX(Controls!$B$21:$H$21,1,WEEKDAY($A170,2))*(1+Controls!$B$11)^168*(1+Controls!O$25*Smooth!$L170)*(1+Controls!O$26*Smooth!$M170)*(1+Controls!O$27*Smooth!$N170)*(1+Controls!O$28*Smooth!$O170)),2))</f>
        <v/>
      </c>
      <c r="K170" s="10" t="str">
        <f t="array" ref="K170">IF(OR($A170="",10&gt;Controls!$B$6),"",ROUND(MAX(0,Smooth!K170*Controls!K$17*INDEX(Controls!$B$21:$H$21,1,WEEKDAY($A170,2))*(1+Controls!$B$11)^168*(1+Controls!P$25*Smooth!$L170)*(1+Controls!P$26*Smooth!$M170)*(1+Controls!P$27*Smooth!$N170)*(1+Controls!P$28*Smooth!$O170)),2))</f>
        <v/>
      </c>
      <c r="L170" s="18" t="str">
        <f t="shared" si="1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21.0" customHeight="1">
      <c r="A171" s="7" t="str">
        <f>IF(170&lt;=Controls!$B$5,Controls!$B$4+169,"")</f>
        <v/>
      </c>
      <c r="B171" s="10" t="str">
        <f t="array" ref="B171">IF(OR($A171="",1&gt;Controls!$B$6),"",ROUND(MAX(0,Smooth!B171*Controls!B$17*INDEX(Controls!$B$21:$H$21,1,WEEKDAY($A171,2))*(1+Controls!$B$11)^169*(1+Controls!G$25*Smooth!$L171)*(1+Controls!G$26*Smooth!$M171)*(1+Controls!G$27*Smooth!$N171)*(1+Controls!G$28*Smooth!$O171)),2))</f>
        <v/>
      </c>
      <c r="C171" s="10" t="str">
        <f t="array" ref="C171">IF(OR($A171="",2&gt;Controls!$B$6),"",ROUND(MAX(0,Smooth!C171*Controls!C$17*INDEX(Controls!$B$21:$H$21,1,WEEKDAY($A171,2))*(1+Controls!$B$11)^169*(1+Controls!H$25*Smooth!$L171)*(1+Controls!H$26*Smooth!$M171)*(1+Controls!H$27*Smooth!$N171)*(1+Controls!H$28*Smooth!$O171)),2))</f>
        <v/>
      </c>
      <c r="D171" s="10" t="str">
        <f t="array" ref="D171">IF(OR($A171="",3&gt;Controls!$B$6),"",ROUND(MAX(0,Smooth!D171*Controls!D$17*INDEX(Controls!$B$21:$H$21,1,WEEKDAY($A171,2))*(1+Controls!$B$11)^169*(1+Controls!I$25*Smooth!$L171)*(1+Controls!I$26*Smooth!$M171)*(1+Controls!I$27*Smooth!$N171)*(1+Controls!I$28*Smooth!$O171)),2))</f>
        <v/>
      </c>
      <c r="E171" s="10" t="str">
        <f t="array" ref="E171">IF(OR($A171="",4&gt;Controls!$B$6),"",ROUND(MAX(0,Smooth!E171*Controls!E$17*INDEX(Controls!$B$21:$H$21,1,WEEKDAY($A171,2))*(1+Controls!$B$11)^169*(1+Controls!J$25*Smooth!$L171)*(1+Controls!J$26*Smooth!$M171)*(1+Controls!J$27*Smooth!$N171)*(1+Controls!J$28*Smooth!$O171)),2))</f>
        <v/>
      </c>
      <c r="F171" s="10" t="str">
        <f t="array" ref="F171">IF(OR($A171="",5&gt;Controls!$B$6),"",ROUND(MAX(0,Smooth!F171*Controls!F$17*INDEX(Controls!$B$21:$H$21,1,WEEKDAY($A171,2))*(1+Controls!$B$11)^169*(1+Controls!K$25*Smooth!$L171)*(1+Controls!K$26*Smooth!$M171)*(1+Controls!K$27*Smooth!$N171)*(1+Controls!K$28*Smooth!$O171)),2))</f>
        <v/>
      </c>
      <c r="G171" s="10" t="str">
        <f t="array" ref="G171">IF(OR($A171="",6&gt;Controls!$B$6),"",ROUND(MAX(0,Smooth!G171*Controls!G$17*INDEX(Controls!$B$21:$H$21,1,WEEKDAY($A171,2))*(1+Controls!$B$11)^169*(1+Controls!L$25*Smooth!$L171)*(1+Controls!L$26*Smooth!$M171)*(1+Controls!L$27*Smooth!$N171)*(1+Controls!L$28*Smooth!$O171)),2))</f>
        <v/>
      </c>
      <c r="H171" s="10" t="str">
        <f t="array" ref="H171">IF(OR($A171="",7&gt;Controls!$B$6),"",ROUND(MAX(0,Smooth!H171*Controls!H$17*INDEX(Controls!$B$21:$H$21,1,WEEKDAY($A171,2))*(1+Controls!$B$11)^169*(1+Controls!M$25*Smooth!$L171)*(1+Controls!M$26*Smooth!$M171)*(1+Controls!M$27*Smooth!$N171)*(1+Controls!M$28*Smooth!$O171)),2))</f>
        <v/>
      </c>
      <c r="I171" s="10" t="str">
        <f t="array" ref="I171">IF(OR($A171="",8&gt;Controls!$B$6),"",ROUND(MAX(0,Smooth!I171*Controls!I$17*INDEX(Controls!$B$21:$H$21,1,WEEKDAY($A171,2))*(1+Controls!$B$11)^169*(1+Controls!N$25*Smooth!$L171)*(1+Controls!N$26*Smooth!$M171)*(1+Controls!N$27*Smooth!$N171)*(1+Controls!N$28*Smooth!$O171)),2))</f>
        <v/>
      </c>
      <c r="J171" s="10" t="str">
        <f t="array" ref="J171">IF(OR($A171="",9&gt;Controls!$B$6),"",ROUND(MAX(0,Smooth!J171*Controls!J$17*INDEX(Controls!$B$21:$H$21,1,WEEKDAY($A171,2))*(1+Controls!$B$11)^169*(1+Controls!O$25*Smooth!$L171)*(1+Controls!O$26*Smooth!$M171)*(1+Controls!O$27*Smooth!$N171)*(1+Controls!O$28*Smooth!$O171)),2))</f>
        <v/>
      </c>
      <c r="K171" s="10" t="str">
        <f t="array" ref="K171">IF(OR($A171="",10&gt;Controls!$B$6),"",ROUND(MAX(0,Smooth!K171*Controls!K$17*INDEX(Controls!$B$21:$H$21,1,WEEKDAY($A171,2))*(1+Controls!$B$11)^169*(1+Controls!P$25*Smooth!$L171)*(1+Controls!P$26*Smooth!$M171)*(1+Controls!P$27*Smooth!$N171)*(1+Controls!P$28*Smooth!$O171)),2))</f>
        <v/>
      </c>
      <c r="L171" s="18" t="str">
        <f t="shared" si="1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21.0" customHeight="1">
      <c r="A172" s="7" t="str">
        <f>IF(171&lt;=Controls!$B$5,Controls!$B$4+170,"")</f>
        <v/>
      </c>
      <c r="B172" s="10" t="str">
        <f t="array" ref="B172">IF(OR($A172="",1&gt;Controls!$B$6),"",ROUND(MAX(0,Smooth!B172*Controls!B$17*INDEX(Controls!$B$21:$H$21,1,WEEKDAY($A172,2))*(1+Controls!$B$11)^170*(1+Controls!G$25*Smooth!$L172)*(1+Controls!G$26*Smooth!$M172)*(1+Controls!G$27*Smooth!$N172)*(1+Controls!G$28*Smooth!$O172)),2))</f>
        <v/>
      </c>
      <c r="C172" s="10" t="str">
        <f t="array" ref="C172">IF(OR($A172="",2&gt;Controls!$B$6),"",ROUND(MAX(0,Smooth!C172*Controls!C$17*INDEX(Controls!$B$21:$H$21,1,WEEKDAY($A172,2))*(1+Controls!$B$11)^170*(1+Controls!H$25*Smooth!$L172)*(1+Controls!H$26*Smooth!$M172)*(1+Controls!H$27*Smooth!$N172)*(1+Controls!H$28*Smooth!$O172)),2))</f>
        <v/>
      </c>
      <c r="D172" s="10" t="str">
        <f t="array" ref="D172">IF(OR($A172="",3&gt;Controls!$B$6),"",ROUND(MAX(0,Smooth!D172*Controls!D$17*INDEX(Controls!$B$21:$H$21,1,WEEKDAY($A172,2))*(1+Controls!$B$11)^170*(1+Controls!I$25*Smooth!$L172)*(1+Controls!I$26*Smooth!$M172)*(1+Controls!I$27*Smooth!$N172)*(1+Controls!I$28*Smooth!$O172)),2))</f>
        <v/>
      </c>
      <c r="E172" s="10" t="str">
        <f t="array" ref="E172">IF(OR($A172="",4&gt;Controls!$B$6),"",ROUND(MAX(0,Smooth!E172*Controls!E$17*INDEX(Controls!$B$21:$H$21,1,WEEKDAY($A172,2))*(1+Controls!$B$11)^170*(1+Controls!J$25*Smooth!$L172)*(1+Controls!J$26*Smooth!$M172)*(1+Controls!J$27*Smooth!$N172)*(1+Controls!J$28*Smooth!$O172)),2))</f>
        <v/>
      </c>
      <c r="F172" s="10" t="str">
        <f t="array" ref="F172">IF(OR($A172="",5&gt;Controls!$B$6),"",ROUND(MAX(0,Smooth!F172*Controls!F$17*INDEX(Controls!$B$21:$H$21,1,WEEKDAY($A172,2))*(1+Controls!$B$11)^170*(1+Controls!K$25*Smooth!$L172)*(1+Controls!K$26*Smooth!$M172)*(1+Controls!K$27*Smooth!$N172)*(1+Controls!K$28*Smooth!$O172)),2))</f>
        <v/>
      </c>
      <c r="G172" s="10" t="str">
        <f t="array" ref="G172">IF(OR($A172="",6&gt;Controls!$B$6),"",ROUND(MAX(0,Smooth!G172*Controls!G$17*INDEX(Controls!$B$21:$H$21,1,WEEKDAY($A172,2))*(1+Controls!$B$11)^170*(1+Controls!L$25*Smooth!$L172)*(1+Controls!L$26*Smooth!$M172)*(1+Controls!L$27*Smooth!$N172)*(1+Controls!L$28*Smooth!$O172)),2))</f>
        <v/>
      </c>
      <c r="H172" s="10" t="str">
        <f t="array" ref="H172">IF(OR($A172="",7&gt;Controls!$B$6),"",ROUND(MAX(0,Smooth!H172*Controls!H$17*INDEX(Controls!$B$21:$H$21,1,WEEKDAY($A172,2))*(1+Controls!$B$11)^170*(1+Controls!M$25*Smooth!$L172)*(1+Controls!M$26*Smooth!$M172)*(1+Controls!M$27*Smooth!$N172)*(1+Controls!M$28*Smooth!$O172)),2))</f>
        <v/>
      </c>
      <c r="I172" s="10" t="str">
        <f t="array" ref="I172">IF(OR($A172="",8&gt;Controls!$B$6),"",ROUND(MAX(0,Smooth!I172*Controls!I$17*INDEX(Controls!$B$21:$H$21,1,WEEKDAY($A172,2))*(1+Controls!$B$11)^170*(1+Controls!N$25*Smooth!$L172)*(1+Controls!N$26*Smooth!$M172)*(1+Controls!N$27*Smooth!$N172)*(1+Controls!N$28*Smooth!$O172)),2))</f>
        <v/>
      </c>
      <c r="J172" s="10" t="str">
        <f t="array" ref="J172">IF(OR($A172="",9&gt;Controls!$B$6),"",ROUND(MAX(0,Smooth!J172*Controls!J$17*INDEX(Controls!$B$21:$H$21,1,WEEKDAY($A172,2))*(1+Controls!$B$11)^170*(1+Controls!O$25*Smooth!$L172)*(1+Controls!O$26*Smooth!$M172)*(1+Controls!O$27*Smooth!$N172)*(1+Controls!O$28*Smooth!$O172)),2))</f>
        <v/>
      </c>
      <c r="K172" s="10" t="str">
        <f t="array" ref="K172">IF(OR($A172="",10&gt;Controls!$B$6),"",ROUND(MAX(0,Smooth!K172*Controls!K$17*INDEX(Controls!$B$21:$H$21,1,WEEKDAY($A172,2))*(1+Controls!$B$11)^170*(1+Controls!P$25*Smooth!$L172)*(1+Controls!P$26*Smooth!$M172)*(1+Controls!P$27*Smooth!$N172)*(1+Controls!P$28*Smooth!$O172)),2))</f>
        <v/>
      </c>
      <c r="L172" s="18" t="str">
        <f t="shared" si="1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21.0" customHeight="1">
      <c r="A173" s="7" t="str">
        <f>IF(172&lt;=Controls!$B$5,Controls!$B$4+171,"")</f>
        <v/>
      </c>
      <c r="B173" s="10" t="str">
        <f t="array" ref="B173">IF(OR($A173="",1&gt;Controls!$B$6),"",ROUND(MAX(0,Smooth!B173*Controls!B$17*INDEX(Controls!$B$21:$H$21,1,WEEKDAY($A173,2))*(1+Controls!$B$11)^171*(1+Controls!G$25*Smooth!$L173)*(1+Controls!G$26*Smooth!$M173)*(1+Controls!G$27*Smooth!$N173)*(1+Controls!G$28*Smooth!$O173)),2))</f>
        <v/>
      </c>
      <c r="C173" s="10" t="str">
        <f t="array" ref="C173">IF(OR($A173="",2&gt;Controls!$B$6),"",ROUND(MAX(0,Smooth!C173*Controls!C$17*INDEX(Controls!$B$21:$H$21,1,WEEKDAY($A173,2))*(1+Controls!$B$11)^171*(1+Controls!H$25*Smooth!$L173)*(1+Controls!H$26*Smooth!$M173)*(1+Controls!H$27*Smooth!$N173)*(1+Controls!H$28*Smooth!$O173)),2))</f>
        <v/>
      </c>
      <c r="D173" s="10" t="str">
        <f t="array" ref="D173">IF(OR($A173="",3&gt;Controls!$B$6),"",ROUND(MAX(0,Smooth!D173*Controls!D$17*INDEX(Controls!$B$21:$H$21,1,WEEKDAY($A173,2))*(1+Controls!$B$11)^171*(1+Controls!I$25*Smooth!$L173)*(1+Controls!I$26*Smooth!$M173)*(1+Controls!I$27*Smooth!$N173)*(1+Controls!I$28*Smooth!$O173)),2))</f>
        <v/>
      </c>
      <c r="E173" s="10" t="str">
        <f t="array" ref="E173">IF(OR($A173="",4&gt;Controls!$B$6),"",ROUND(MAX(0,Smooth!E173*Controls!E$17*INDEX(Controls!$B$21:$H$21,1,WEEKDAY($A173,2))*(1+Controls!$B$11)^171*(1+Controls!J$25*Smooth!$L173)*(1+Controls!J$26*Smooth!$M173)*(1+Controls!J$27*Smooth!$N173)*(1+Controls!J$28*Smooth!$O173)),2))</f>
        <v/>
      </c>
      <c r="F173" s="10" t="str">
        <f t="array" ref="F173">IF(OR($A173="",5&gt;Controls!$B$6),"",ROUND(MAX(0,Smooth!F173*Controls!F$17*INDEX(Controls!$B$21:$H$21,1,WEEKDAY($A173,2))*(1+Controls!$B$11)^171*(1+Controls!K$25*Smooth!$L173)*(1+Controls!K$26*Smooth!$M173)*(1+Controls!K$27*Smooth!$N173)*(1+Controls!K$28*Smooth!$O173)),2))</f>
        <v/>
      </c>
      <c r="G173" s="10" t="str">
        <f t="array" ref="G173">IF(OR($A173="",6&gt;Controls!$B$6),"",ROUND(MAX(0,Smooth!G173*Controls!G$17*INDEX(Controls!$B$21:$H$21,1,WEEKDAY($A173,2))*(1+Controls!$B$11)^171*(1+Controls!L$25*Smooth!$L173)*(1+Controls!L$26*Smooth!$M173)*(1+Controls!L$27*Smooth!$N173)*(1+Controls!L$28*Smooth!$O173)),2))</f>
        <v/>
      </c>
      <c r="H173" s="10" t="str">
        <f t="array" ref="H173">IF(OR($A173="",7&gt;Controls!$B$6),"",ROUND(MAX(0,Smooth!H173*Controls!H$17*INDEX(Controls!$B$21:$H$21,1,WEEKDAY($A173,2))*(1+Controls!$B$11)^171*(1+Controls!M$25*Smooth!$L173)*(1+Controls!M$26*Smooth!$M173)*(1+Controls!M$27*Smooth!$N173)*(1+Controls!M$28*Smooth!$O173)),2))</f>
        <v/>
      </c>
      <c r="I173" s="10" t="str">
        <f t="array" ref="I173">IF(OR($A173="",8&gt;Controls!$B$6),"",ROUND(MAX(0,Smooth!I173*Controls!I$17*INDEX(Controls!$B$21:$H$21,1,WEEKDAY($A173,2))*(1+Controls!$B$11)^171*(1+Controls!N$25*Smooth!$L173)*(1+Controls!N$26*Smooth!$M173)*(1+Controls!N$27*Smooth!$N173)*(1+Controls!N$28*Smooth!$O173)),2))</f>
        <v/>
      </c>
      <c r="J173" s="10" t="str">
        <f t="array" ref="J173">IF(OR($A173="",9&gt;Controls!$B$6),"",ROUND(MAX(0,Smooth!J173*Controls!J$17*INDEX(Controls!$B$21:$H$21,1,WEEKDAY($A173,2))*(1+Controls!$B$11)^171*(1+Controls!O$25*Smooth!$L173)*(1+Controls!O$26*Smooth!$M173)*(1+Controls!O$27*Smooth!$N173)*(1+Controls!O$28*Smooth!$O173)),2))</f>
        <v/>
      </c>
      <c r="K173" s="10" t="str">
        <f t="array" ref="K173">IF(OR($A173="",10&gt;Controls!$B$6),"",ROUND(MAX(0,Smooth!K173*Controls!K$17*INDEX(Controls!$B$21:$H$21,1,WEEKDAY($A173,2))*(1+Controls!$B$11)^171*(1+Controls!P$25*Smooth!$L173)*(1+Controls!P$26*Smooth!$M173)*(1+Controls!P$27*Smooth!$N173)*(1+Controls!P$28*Smooth!$O173)),2))</f>
        <v/>
      </c>
      <c r="L173" s="18" t="str">
        <f t="shared" si="1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21.0" customHeight="1">
      <c r="A174" s="7" t="str">
        <f>IF(173&lt;=Controls!$B$5,Controls!$B$4+172,"")</f>
        <v/>
      </c>
      <c r="B174" s="10" t="str">
        <f t="array" ref="B174">IF(OR($A174="",1&gt;Controls!$B$6),"",ROUND(MAX(0,Smooth!B174*Controls!B$17*INDEX(Controls!$B$21:$H$21,1,WEEKDAY($A174,2))*(1+Controls!$B$11)^172*(1+Controls!G$25*Smooth!$L174)*(1+Controls!G$26*Smooth!$M174)*(1+Controls!G$27*Smooth!$N174)*(1+Controls!G$28*Smooth!$O174)),2))</f>
        <v/>
      </c>
      <c r="C174" s="10" t="str">
        <f t="array" ref="C174">IF(OR($A174="",2&gt;Controls!$B$6),"",ROUND(MAX(0,Smooth!C174*Controls!C$17*INDEX(Controls!$B$21:$H$21,1,WEEKDAY($A174,2))*(1+Controls!$B$11)^172*(1+Controls!H$25*Smooth!$L174)*(1+Controls!H$26*Smooth!$M174)*(1+Controls!H$27*Smooth!$N174)*(1+Controls!H$28*Smooth!$O174)),2))</f>
        <v/>
      </c>
      <c r="D174" s="10" t="str">
        <f t="array" ref="D174">IF(OR($A174="",3&gt;Controls!$B$6),"",ROUND(MAX(0,Smooth!D174*Controls!D$17*INDEX(Controls!$B$21:$H$21,1,WEEKDAY($A174,2))*(1+Controls!$B$11)^172*(1+Controls!I$25*Smooth!$L174)*(1+Controls!I$26*Smooth!$M174)*(1+Controls!I$27*Smooth!$N174)*(1+Controls!I$28*Smooth!$O174)),2))</f>
        <v/>
      </c>
      <c r="E174" s="10" t="str">
        <f t="array" ref="E174">IF(OR($A174="",4&gt;Controls!$B$6),"",ROUND(MAX(0,Smooth!E174*Controls!E$17*INDEX(Controls!$B$21:$H$21,1,WEEKDAY($A174,2))*(1+Controls!$B$11)^172*(1+Controls!J$25*Smooth!$L174)*(1+Controls!J$26*Smooth!$M174)*(1+Controls!J$27*Smooth!$N174)*(1+Controls!J$28*Smooth!$O174)),2))</f>
        <v/>
      </c>
      <c r="F174" s="10" t="str">
        <f t="array" ref="F174">IF(OR($A174="",5&gt;Controls!$B$6),"",ROUND(MAX(0,Smooth!F174*Controls!F$17*INDEX(Controls!$B$21:$H$21,1,WEEKDAY($A174,2))*(1+Controls!$B$11)^172*(1+Controls!K$25*Smooth!$L174)*(1+Controls!K$26*Smooth!$M174)*(1+Controls!K$27*Smooth!$N174)*(1+Controls!K$28*Smooth!$O174)),2))</f>
        <v/>
      </c>
      <c r="G174" s="10" t="str">
        <f t="array" ref="G174">IF(OR($A174="",6&gt;Controls!$B$6),"",ROUND(MAX(0,Smooth!G174*Controls!G$17*INDEX(Controls!$B$21:$H$21,1,WEEKDAY($A174,2))*(1+Controls!$B$11)^172*(1+Controls!L$25*Smooth!$L174)*(1+Controls!L$26*Smooth!$M174)*(1+Controls!L$27*Smooth!$N174)*(1+Controls!L$28*Smooth!$O174)),2))</f>
        <v/>
      </c>
      <c r="H174" s="10" t="str">
        <f t="array" ref="H174">IF(OR($A174="",7&gt;Controls!$B$6),"",ROUND(MAX(0,Smooth!H174*Controls!H$17*INDEX(Controls!$B$21:$H$21,1,WEEKDAY($A174,2))*(1+Controls!$B$11)^172*(1+Controls!M$25*Smooth!$L174)*(1+Controls!M$26*Smooth!$M174)*(1+Controls!M$27*Smooth!$N174)*(1+Controls!M$28*Smooth!$O174)),2))</f>
        <v/>
      </c>
      <c r="I174" s="10" t="str">
        <f t="array" ref="I174">IF(OR($A174="",8&gt;Controls!$B$6),"",ROUND(MAX(0,Smooth!I174*Controls!I$17*INDEX(Controls!$B$21:$H$21,1,WEEKDAY($A174,2))*(1+Controls!$B$11)^172*(1+Controls!N$25*Smooth!$L174)*(1+Controls!N$26*Smooth!$M174)*(1+Controls!N$27*Smooth!$N174)*(1+Controls!N$28*Smooth!$O174)),2))</f>
        <v/>
      </c>
      <c r="J174" s="10" t="str">
        <f t="array" ref="J174">IF(OR($A174="",9&gt;Controls!$B$6),"",ROUND(MAX(0,Smooth!J174*Controls!J$17*INDEX(Controls!$B$21:$H$21,1,WEEKDAY($A174,2))*(1+Controls!$B$11)^172*(1+Controls!O$25*Smooth!$L174)*(1+Controls!O$26*Smooth!$M174)*(1+Controls!O$27*Smooth!$N174)*(1+Controls!O$28*Smooth!$O174)),2))</f>
        <v/>
      </c>
      <c r="K174" s="10" t="str">
        <f t="array" ref="K174">IF(OR($A174="",10&gt;Controls!$B$6),"",ROUND(MAX(0,Smooth!K174*Controls!K$17*INDEX(Controls!$B$21:$H$21,1,WEEKDAY($A174,2))*(1+Controls!$B$11)^172*(1+Controls!P$25*Smooth!$L174)*(1+Controls!P$26*Smooth!$M174)*(1+Controls!P$27*Smooth!$N174)*(1+Controls!P$28*Smooth!$O174)),2))</f>
        <v/>
      </c>
      <c r="L174" s="18" t="str">
        <f t="shared" si="1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21.0" customHeight="1">
      <c r="A175" s="7" t="str">
        <f>IF(174&lt;=Controls!$B$5,Controls!$B$4+173,"")</f>
        <v/>
      </c>
      <c r="B175" s="10" t="str">
        <f t="array" ref="B175">IF(OR($A175="",1&gt;Controls!$B$6),"",ROUND(MAX(0,Smooth!B175*Controls!B$17*INDEX(Controls!$B$21:$H$21,1,WEEKDAY($A175,2))*(1+Controls!$B$11)^173*(1+Controls!G$25*Smooth!$L175)*(1+Controls!G$26*Smooth!$M175)*(1+Controls!G$27*Smooth!$N175)*(1+Controls!G$28*Smooth!$O175)),2))</f>
        <v/>
      </c>
      <c r="C175" s="10" t="str">
        <f t="array" ref="C175">IF(OR($A175="",2&gt;Controls!$B$6),"",ROUND(MAX(0,Smooth!C175*Controls!C$17*INDEX(Controls!$B$21:$H$21,1,WEEKDAY($A175,2))*(1+Controls!$B$11)^173*(1+Controls!H$25*Smooth!$L175)*(1+Controls!H$26*Smooth!$M175)*(1+Controls!H$27*Smooth!$N175)*(1+Controls!H$28*Smooth!$O175)),2))</f>
        <v/>
      </c>
      <c r="D175" s="10" t="str">
        <f t="array" ref="D175">IF(OR($A175="",3&gt;Controls!$B$6),"",ROUND(MAX(0,Smooth!D175*Controls!D$17*INDEX(Controls!$B$21:$H$21,1,WEEKDAY($A175,2))*(1+Controls!$B$11)^173*(1+Controls!I$25*Smooth!$L175)*(1+Controls!I$26*Smooth!$M175)*(1+Controls!I$27*Smooth!$N175)*(1+Controls!I$28*Smooth!$O175)),2))</f>
        <v/>
      </c>
      <c r="E175" s="10" t="str">
        <f t="array" ref="E175">IF(OR($A175="",4&gt;Controls!$B$6),"",ROUND(MAX(0,Smooth!E175*Controls!E$17*INDEX(Controls!$B$21:$H$21,1,WEEKDAY($A175,2))*(1+Controls!$B$11)^173*(1+Controls!J$25*Smooth!$L175)*(1+Controls!J$26*Smooth!$M175)*(1+Controls!J$27*Smooth!$N175)*(1+Controls!J$28*Smooth!$O175)),2))</f>
        <v/>
      </c>
      <c r="F175" s="10" t="str">
        <f t="array" ref="F175">IF(OR($A175="",5&gt;Controls!$B$6),"",ROUND(MAX(0,Smooth!F175*Controls!F$17*INDEX(Controls!$B$21:$H$21,1,WEEKDAY($A175,2))*(1+Controls!$B$11)^173*(1+Controls!K$25*Smooth!$L175)*(1+Controls!K$26*Smooth!$M175)*(1+Controls!K$27*Smooth!$N175)*(1+Controls!K$28*Smooth!$O175)),2))</f>
        <v/>
      </c>
      <c r="G175" s="10" t="str">
        <f t="array" ref="G175">IF(OR($A175="",6&gt;Controls!$B$6),"",ROUND(MAX(0,Smooth!G175*Controls!G$17*INDEX(Controls!$B$21:$H$21,1,WEEKDAY($A175,2))*(1+Controls!$B$11)^173*(1+Controls!L$25*Smooth!$L175)*(1+Controls!L$26*Smooth!$M175)*(1+Controls!L$27*Smooth!$N175)*(1+Controls!L$28*Smooth!$O175)),2))</f>
        <v/>
      </c>
      <c r="H175" s="10" t="str">
        <f t="array" ref="H175">IF(OR($A175="",7&gt;Controls!$B$6),"",ROUND(MAX(0,Smooth!H175*Controls!H$17*INDEX(Controls!$B$21:$H$21,1,WEEKDAY($A175,2))*(1+Controls!$B$11)^173*(1+Controls!M$25*Smooth!$L175)*(1+Controls!M$26*Smooth!$M175)*(1+Controls!M$27*Smooth!$N175)*(1+Controls!M$28*Smooth!$O175)),2))</f>
        <v/>
      </c>
      <c r="I175" s="10" t="str">
        <f t="array" ref="I175">IF(OR($A175="",8&gt;Controls!$B$6),"",ROUND(MAX(0,Smooth!I175*Controls!I$17*INDEX(Controls!$B$21:$H$21,1,WEEKDAY($A175,2))*(1+Controls!$B$11)^173*(1+Controls!N$25*Smooth!$L175)*(1+Controls!N$26*Smooth!$M175)*(1+Controls!N$27*Smooth!$N175)*(1+Controls!N$28*Smooth!$O175)),2))</f>
        <v/>
      </c>
      <c r="J175" s="10" t="str">
        <f t="array" ref="J175">IF(OR($A175="",9&gt;Controls!$B$6),"",ROUND(MAX(0,Smooth!J175*Controls!J$17*INDEX(Controls!$B$21:$H$21,1,WEEKDAY($A175,2))*(1+Controls!$B$11)^173*(1+Controls!O$25*Smooth!$L175)*(1+Controls!O$26*Smooth!$M175)*(1+Controls!O$27*Smooth!$N175)*(1+Controls!O$28*Smooth!$O175)),2))</f>
        <v/>
      </c>
      <c r="K175" s="10" t="str">
        <f t="array" ref="K175">IF(OR($A175="",10&gt;Controls!$B$6),"",ROUND(MAX(0,Smooth!K175*Controls!K$17*INDEX(Controls!$B$21:$H$21,1,WEEKDAY($A175,2))*(1+Controls!$B$11)^173*(1+Controls!P$25*Smooth!$L175)*(1+Controls!P$26*Smooth!$M175)*(1+Controls!P$27*Smooth!$N175)*(1+Controls!P$28*Smooth!$O175)),2))</f>
        <v/>
      </c>
      <c r="L175" s="18" t="str">
        <f t="shared" si="1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21.0" customHeight="1">
      <c r="A176" s="7" t="str">
        <f>IF(175&lt;=Controls!$B$5,Controls!$B$4+174,"")</f>
        <v/>
      </c>
      <c r="B176" s="10" t="str">
        <f t="array" ref="B176">IF(OR($A176="",1&gt;Controls!$B$6),"",ROUND(MAX(0,Smooth!B176*Controls!B$17*INDEX(Controls!$B$21:$H$21,1,WEEKDAY($A176,2))*(1+Controls!$B$11)^174*(1+Controls!G$25*Smooth!$L176)*(1+Controls!G$26*Smooth!$M176)*(1+Controls!G$27*Smooth!$N176)*(1+Controls!G$28*Smooth!$O176)),2))</f>
        <v/>
      </c>
      <c r="C176" s="10" t="str">
        <f t="array" ref="C176">IF(OR($A176="",2&gt;Controls!$B$6),"",ROUND(MAX(0,Smooth!C176*Controls!C$17*INDEX(Controls!$B$21:$H$21,1,WEEKDAY($A176,2))*(1+Controls!$B$11)^174*(1+Controls!H$25*Smooth!$L176)*(1+Controls!H$26*Smooth!$M176)*(1+Controls!H$27*Smooth!$N176)*(1+Controls!H$28*Smooth!$O176)),2))</f>
        <v/>
      </c>
      <c r="D176" s="10" t="str">
        <f t="array" ref="D176">IF(OR($A176="",3&gt;Controls!$B$6),"",ROUND(MAX(0,Smooth!D176*Controls!D$17*INDEX(Controls!$B$21:$H$21,1,WEEKDAY($A176,2))*(1+Controls!$B$11)^174*(1+Controls!I$25*Smooth!$L176)*(1+Controls!I$26*Smooth!$M176)*(1+Controls!I$27*Smooth!$N176)*(1+Controls!I$28*Smooth!$O176)),2))</f>
        <v/>
      </c>
      <c r="E176" s="10" t="str">
        <f t="array" ref="E176">IF(OR($A176="",4&gt;Controls!$B$6),"",ROUND(MAX(0,Smooth!E176*Controls!E$17*INDEX(Controls!$B$21:$H$21,1,WEEKDAY($A176,2))*(1+Controls!$B$11)^174*(1+Controls!J$25*Smooth!$L176)*(1+Controls!J$26*Smooth!$M176)*(1+Controls!J$27*Smooth!$N176)*(1+Controls!J$28*Smooth!$O176)),2))</f>
        <v/>
      </c>
      <c r="F176" s="10" t="str">
        <f t="array" ref="F176">IF(OR($A176="",5&gt;Controls!$B$6),"",ROUND(MAX(0,Smooth!F176*Controls!F$17*INDEX(Controls!$B$21:$H$21,1,WEEKDAY($A176,2))*(1+Controls!$B$11)^174*(1+Controls!K$25*Smooth!$L176)*(1+Controls!K$26*Smooth!$M176)*(1+Controls!K$27*Smooth!$N176)*(1+Controls!K$28*Smooth!$O176)),2))</f>
        <v/>
      </c>
      <c r="G176" s="10" t="str">
        <f t="array" ref="G176">IF(OR($A176="",6&gt;Controls!$B$6),"",ROUND(MAX(0,Smooth!G176*Controls!G$17*INDEX(Controls!$B$21:$H$21,1,WEEKDAY($A176,2))*(1+Controls!$B$11)^174*(1+Controls!L$25*Smooth!$L176)*(1+Controls!L$26*Smooth!$M176)*(1+Controls!L$27*Smooth!$N176)*(1+Controls!L$28*Smooth!$O176)),2))</f>
        <v/>
      </c>
      <c r="H176" s="10" t="str">
        <f t="array" ref="H176">IF(OR($A176="",7&gt;Controls!$B$6),"",ROUND(MAX(0,Smooth!H176*Controls!H$17*INDEX(Controls!$B$21:$H$21,1,WEEKDAY($A176,2))*(1+Controls!$B$11)^174*(1+Controls!M$25*Smooth!$L176)*(1+Controls!M$26*Smooth!$M176)*(1+Controls!M$27*Smooth!$N176)*(1+Controls!M$28*Smooth!$O176)),2))</f>
        <v/>
      </c>
      <c r="I176" s="10" t="str">
        <f t="array" ref="I176">IF(OR($A176="",8&gt;Controls!$B$6),"",ROUND(MAX(0,Smooth!I176*Controls!I$17*INDEX(Controls!$B$21:$H$21,1,WEEKDAY($A176,2))*(1+Controls!$B$11)^174*(1+Controls!N$25*Smooth!$L176)*(1+Controls!N$26*Smooth!$M176)*(1+Controls!N$27*Smooth!$N176)*(1+Controls!N$28*Smooth!$O176)),2))</f>
        <v/>
      </c>
      <c r="J176" s="10" t="str">
        <f t="array" ref="J176">IF(OR($A176="",9&gt;Controls!$B$6),"",ROUND(MAX(0,Smooth!J176*Controls!J$17*INDEX(Controls!$B$21:$H$21,1,WEEKDAY($A176,2))*(1+Controls!$B$11)^174*(1+Controls!O$25*Smooth!$L176)*(1+Controls!O$26*Smooth!$M176)*(1+Controls!O$27*Smooth!$N176)*(1+Controls!O$28*Smooth!$O176)),2))</f>
        <v/>
      </c>
      <c r="K176" s="10" t="str">
        <f t="array" ref="K176">IF(OR($A176="",10&gt;Controls!$B$6),"",ROUND(MAX(0,Smooth!K176*Controls!K$17*INDEX(Controls!$B$21:$H$21,1,WEEKDAY($A176,2))*(1+Controls!$B$11)^174*(1+Controls!P$25*Smooth!$L176)*(1+Controls!P$26*Smooth!$M176)*(1+Controls!P$27*Smooth!$N176)*(1+Controls!P$28*Smooth!$O176)),2))</f>
        <v/>
      </c>
      <c r="L176" s="18" t="str">
        <f t="shared" si="1"/>
        <v/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21.0" customHeight="1">
      <c r="A177" s="7" t="str">
        <f>IF(176&lt;=Controls!$B$5,Controls!$B$4+175,"")</f>
        <v/>
      </c>
      <c r="B177" s="10" t="str">
        <f t="array" ref="B177">IF(OR($A177="",1&gt;Controls!$B$6),"",ROUND(MAX(0,Smooth!B177*Controls!B$17*INDEX(Controls!$B$21:$H$21,1,WEEKDAY($A177,2))*(1+Controls!$B$11)^175*(1+Controls!G$25*Smooth!$L177)*(1+Controls!G$26*Smooth!$M177)*(1+Controls!G$27*Smooth!$N177)*(1+Controls!G$28*Smooth!$O177)),2))</f>
        <v/>
      </c>
      <c r="C177" s="10" t="str">
        <f t="array" ref="C177">IF(OR($A177="",2&gt;Controls!$B$6),"",ROUND(MAX(0,Smooth!C177*Controls!C$17*INDEX(Controls!$B$21:$H$21,1,WEEKDAY($A177,2))*(1+Controls!$B$11)^175*(1+Controls!H$25*Smooth!$L177)*(1+Controls!H$26*Smooth!$M177)*(1+Controls!H$27*Smooth!$N177)*(1+Controls!H$28*Smooth!$O177)),2))</f>
        <v/>
      </c>
      <c r="D177" s="10" t="str">
        <f t="array" ref="D177">IF(OR($A177="",3&gt;Controls!$B$6),"",ROUND(MAX(0,Smooth!D177*Controls!D$17*INDEX(Controls!$B$21:$H$21,1,WEEKDAY($A177,2))*(1+Controls!$B$11)^175*(1+Controls!I$25*Smooth!$L177)*(1+Controls!I$26*Smooth!$M177)*(1+Controls!I$27*Smooth!$N177)*(1+Controls!I$28*Smooth!$O177)),2))</f>
        <v/>
      </c>
      <c r="E177" s="10" t="str">
        <f t="array" ref="E177">IF(OR($A177="",4&gt;Controls!$B$6),"",ROUND(MAX(0,Smooth!E177*Controls!E$17*INDEX(Controls!$B$21:$H$21,1,WEEKDAY($A177,2))*(1+Controls!$B$11)^175*(1+Controls!J$25*Smooth!$L177)*(1+Controls!J$26*Smooth!$M177)*(1+Controls!J$27*Smooth!$N177)*(1+Controls!J$28*Smooth!$O177)),2))</f>
        <v/>
      </c>
      <c r="F177" s="10" t="str">
        <f t="array" ref="F177">IF(OR($A177="",5&gt;Controls!$B$6),"",ROUND(MAX(0,Smooth!F177*Controls!F$17*INDEX(Controls!$B$21:$H$21,1,WEEKDAY($A177,2))*(1+Controls!$B$11)^175*(1+Controls!K$25*Smooth!$L177)*(1+Controls!K$26*Smooth!$M177)*(1+Controls!K$27*Smooth!$N177)*(1+Controls!K$28*Smooth!$O177)),2))</f>
        <v/>
      </c>
      <c r="G177" s="10" t="str">
        <f t="array" ref="G177">IF(OR($A177="",6&gt;Controls!$B$6),"",ROUND(MAX(0,Smooth!G177*Controls!G$17*INDEX(Controls!$B$21:$H$21,1,WEEKDAY($A177,2))*(1+Controls!$B$11)^175*(1+Controls!L$25*Smooth!$L177)*(1+Controls!L$26*Smooth!$M177)*(1+Controls!L$27*Smooth!$N177)*(1+Controls!L$28*Smooth!$O177)),2))</f>
        <v/>
      </c>
      <c r="H177" s="10" t="str">
        <f t="array" ref="H177">IF(OR($A177="",7&gt;Controls!$B$6),"",ROUND(MAX(0,Smooth!H177*Controls!H$17*INDEX(Controls!$B$21:$H$21,1,WEEKDAY($A177,2))*(1+Controls!$B$11)^175*(1+Controls!M$25*Smooth!$L177)*(1+Controls!M$26*Smooth!$M177)*(1+Controls!M$27*Smooth!$N177)*(1+Controls!M$28*Smooth!$O177)),2))</f>
        <v/>
      </c>
      <c r="I177" s="10" t="str">
        <f t="array" ref="I177">IF(OR($A177="",8&gt;Controls!$B$6),"",ROUND(MAX(0,Smooth!I177*Controls!I$17*INDEX(Controls!$B$21:$H$21,1,WEEKDAY($A177,2))*(1+Controls!$B$11)^175*(1+Controls!N$25*Smooth!$L177)*(1+Controls!N$26*Smooth!$M177)*(1+Controls!N$27*Smooth!$N177)*(1+Controls!N$28*Smooth!$O177)),2))</f>
        <v/>
      </c>
      <c r="J177" s="10" t="str">
        <f t="array" ref="J177">IF(OR($A177="",9&gt;Controls!$B$6),"",ROUND(MAX(0,Smooth!J177*Controls!J$17*INDEX(Controls!$B$21:$H$21,1,WEEKDAY($A177,2))*(1+Controls!$B$11)^175*(1+Controls!O$25*Smooth!$L177)*(1+Controls!O$26*Smooth!$M177)*(1+Controls!O$27*Smooth!$N177)*(1+Controls!O$28*Smooth!$O177)),2))</f>
        <v/>
      </c>
      <c r="K177" s="10" t="str">
        <f t="array" ref="K177">IF(OR($A177="",10&gt;Controls!$B$6),"",ROUND(MAX(0,Smooth!K177*Controls!K$17*INDEX(Controls!$B$21:$H$21,1,WEEKDAY($A177,2))*(1+Controls!$B$11)^175*(1+Controls!P$25*Smooth!$L177)*(1+Controls!P$26*Smooth!$M177)*(1+Controls!P$27*Smooth!$N177)*(1+Controls!P$28*Smooth!$O177)),2))</f>
        <v/>
      </c>
      <c r="L177" s="18" t="str">
        <f t="shared" si="1"/>
        <v/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21.0" customHeight="1">
      <c r="A178" s="7" t="str">
        <f>IF(177&lt;=Controls!$B$5,Controls!$B$4+176,"")</f>
        <v/>
      </c>
      <c r="B178" s="10" t="str">
        <f t="array" ref="B178">IF(OR($A178="",1&gt;Controls!$B$6),"",ROUND(MAX(0,Smooth!B178*Controls!B$17*INDEX(Controls!$B$21:$H$21,1,WEEKDAY($A178,2))*(1+Controls!$B$11)^176*(1+Controls!G$25*Smooth!$L178)*(1+Controls!G$26*Smooth!$M178)*(1+Controls!G$27*Smooth!$N178)*(1+Controls!G$28*Smooth!$O178)),2))</f>
        <v/>
      </c>
      <c r="C178" s="10" t="str">
        <f t="array" ref="C178">IF(OR($A178="",2&gt;Controls!$B$6),"",ROUND(MAX(0,Smooth!C178*Controls!C$17*INDEX(Controls!$B$21:$H$21,1,WEEKDAY($A178,2))*(1+Controls!$B$11)^176*(1+Controls!H$25*Smooth!$L178)*(1+Controls!H$26*Smooth!$M178)*(1+Controls!H$27*Smooth!$N178)*(1+Controls!H$28*Smooth!$O178)),2))</f>
        <v/>
      </c>
      <c r="D178" s="10" t="str">
        <f t="array" ref="D178">IF(OR($A178="",3&gt;Controls!$B$6),"",ROUND(MAX(0,Smooth!D178*Controls!D$17*INDEX(Controls!$B$21:$H$21,1,WEEKDAY($A178,2))*(1+Controls!$B$11)^176*(1+Controls!I$25*Smooth!$L178)*(1+Controls!I$26*Smooth!$M178)*(1+Controls!I$27*Smooth!$N178)*(1+Controls!I$28*Smooth!$O178)),2))</f>
        <v/>
      </c>
      <c r="E178" s="10" t="str">
        <f t="array" ref="E178">IF(OR($A178="",4&gt;Controls!$B$6),"",ROUND(MAX(0,Smooth!E178*Controls!E$17*INDEX(Controls!$B$21:$H$21,1,WEEKDAY($A178,2))*(1+Controls!$B$11)^176*(1+Controls!J$25*Smooth!$L178)*(1+Controls!J$26*Smooth!$M178)*(1+Controls!J$27*Smooth!$N178)*(1+Controls!J$28*Smooth!$O178)),2))</f>
        <v/>
      </c>
      <c r="F178" s="10" t="str">
        <f t="array" ref="F178">IF(OR($A178="",5&gt;Controls!$B$6),"",ROUND(MAX(0,Smooth!F178*Controls!F$17*INDEX(Controls!$B$21:$H$21,1,WEEKDAY($A178,2))*(1+Controls!$B$11)^176*(1+Controls!K$25*Smooth!$L178)*(1+Controls!K$26*Smooth!$M178)*(1+Controls!K$27*Smooth!$N178)*(1+Controls!K$28*Smooth!$O178)),2))</f>
        <v/>
      </c>
      <c r="G178" s="10" t="str">
        <f t="array" ref="G178">IF(OR($A178="",6&gt;Controls!$B$6),"",ROUND(MAX(0,Smooth!G178*Controls!G$17*INDEX(Controls!$B$21:$H$21,1,WEEKDAY($A178,2))*(1+Controls!$B$11)^176*(1+Controls!L$25*Smooth!$L178)*(1+Controls!L$26*Smooth!$M178)*(1+Controls!L$27*Smooth!$N178)*(1+Controls!L$28*Smooth!$O178)),2))</f>
        <v/>
      </c>
      <c r="H178" s="10" t="str">
        <f t="array" ref="H178">IF(OR($A178="",7&gt;Controls!$B$6),"",ROUND(MAX(0,Smooth!H178*Controls!H$17*INDEX(Controls!$B$21:$H$21,1,WEEKDAY($A178,2))*(1+Controls!$B$11)^176*(1+Controls!M$25*Smooth!$L178)*(1+Controls!M$26*Smooth!$M178)*(1+Controls!M$27*Smooth!$N178)*(1+Controls!M$28*Smooth!$O178)),2))</f>
        <v/>
      </c>
      <c r="I178" s="10" t="str">
        <f t="array" ref="I178">IF(OR($A178="",8&gt;Controls!$B$6),"",ROUND(MAX(0,Smooth!I178*Controls!I$17*INDEX(Controls!$B$21:$H$21,1,WEEKDAY($A178,2))*(1+Controls!$B$11)^176*(1+Controls!N$25*Smooth!$L178)*(1+Controls!N$26*Smooth!$M178)*(1+Controls!N$27*Smooth!$N178)*(1+Controls!N$28*Smooth!$O178)),2))</f>
        <v/>
      </c>
      <c r="J178" s="10" t="str">
        <f t="array" ref="J178">IF(OR($A178="",9&gt;Controls!$B$6),"",ROUND(MAX(0,Smooth!J178*Controls!J$17*INDEX(Controls!$B$21:$H$21,1,WEEKDAY($A178,2))*(1+Controls!$B$11)^176*(1+Controls!O$25*Smooth!$L178)*(1+Controls!O$26*Smooth!$M178)*(1+Controls!O$27*Smooth!$N178)*(1+Controls!O$28*Smooth!$O178)),2))</f>
        <v/>
      </c>
      <c r="K178" s="10" t="str">
        <f t="array" ref="K178">IF(OR($A178="",10&gt;Controls!$B$6),"",ROUND(MAX(0,Smooth!K178*Controls!K$17*INDEX(Controls!$B$21:$H$21,1,WEEKDAY($A178,2))*(1+Controls!$B$11)^176*(1+Controls!P$25*Smooth!$L178)*(1+Controls!P$26*Smooth!$M178)*(1+Controls!P$27*Smooth!$N178)*(1+Controls!P$28*Smooth!$O178)),2))</f>
        <v/>
      </c>
      <c r="L178" s="18" t="str">
        <f t="shared" si="1"/>
        <v/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21.0" customHeight="1">
      <c r="A179" s="7" t="str">
        <f>IF(178&lt;=Controls!$B$5,Controls!$B$4+177,"")</f>
        <v/>
      </c>
      <c r="B179" s="10" t="str">
        <f t="array" ref="B179">IF(OR($A179="",1&gt;Controls!$B$6),"",ROUND(MAX(0,Smooth!B179*Controls!B$17*INDEX(Controls!$B$21:$H$21,1,WEEKDAY($A179,2))*(1+Controls!$B$11)^177*(1+Controls!G$25*Smooth!$L179)*(1+Controls!G$26*Smooth!$M179)*(1+Controls!G$27*Smooth!$N179)*(1+Controls!G$28*Smooth!$O179)),2))</f>
        <v/>
      </c>
      <c r="C179" s="10" t="str">
        <f t="array" ref="C179">IF(OR($A179="",2&gt;Controls!$B$6),"",ROUND(MAX(0,Smooth!C179*Controls!C$17*INDEX(Controls!$B$21:$H$21,1,WEEKDAY($A179,2))*(1+Controls!$B$11)^177*(1+Controls!H$25*Smooth!$L179)*(1+Controls!H$26*Smooth!$M179)*(1+Controls!H$27*Smooth!$N179)*(1+Controls!H$28*Smooth!$O179)),2))</f>
        <v/>
      </c>
      <c r="D179" s="10" t="str">
        <f t="array" ref="D179">IF(OR($A179="",3&gt;Controls!$B$6),"",ROUND(MAX(0,Smooth!D179*Controls!D$17*INDEX(Controls!$B$21:$H$21,1,WEEKDAY($A179,2))*(1+Controls!$B$11)^177*(1+Controls!I$25*Smooth!$L179)*(1+Controls!I$26*Smooth!$M179)*(1+Controls!I$27*Smooth!$N179)*(1+Controls!I$28*Smooth!$O179)),2))</f>
        <v/>
      </c>
      <c r="E179" s="10" t="str">
        <f t="array" ref="E179">IF(OR($A179="",4&gt;Controls!$B$6),"",ROUND(MAX(0,Smooth!E179*Controls!E$17*INDEX(Controls!$B$21:$H$21,1,WEEKDAY($A179,2))*(1+Controls!$B$11)^177*(1+Controls!J$25*Smooth!$L179)*(1+Controls!J$26*Smooth!$M179)*(1+Controls!J$27*Smooth!$N179)*(1+Controls!J$28*Smooth!$O179)),2))</f>
        <v/>
      </c>
      <c r="F179" s="10" t="str">
        <f t="array" ref="F179">IF(OR($A179="",5&gt;Controls!$B$6),"",ROUND(MAX(0,Smooth!F179*Controls!F$17*INDEX(Controls!$B$21:$H$21,1,WEEKDAY($A179,2))*(1+Controls!$B$11)^177*(1+Controls!K$25*Smooth!$L179)*(1+Controls!K$26*Smooth!$M179)*(1+Controls!K$27*Smooth!$N179)*(1+Controls!K$28*Smooth!$O179)),2))</f>
        <v/>
      </c>
      <c r="G179" s="10" t="str">
        <f t="array" ref="G179">IF(OR($A179="",6&gt;Controls!$B$6),"",ROUND(MAX(0,Smooth!G179*Controls!G$17*INDEX(Controls!$B$21:$H$21,1,WEEKDAY($A179,2))*(1+Controls!$B$11)^177*(1+Controls!L$25*Smooth!$L179)*(1+Controls!L$26*Smooth!$M179)*(1+Controls!L$27*Smooth!$N179)*(1+Controls!L$28*Smooth!$O179)),2))</f>
        <v/>
      </c>
      <c r="H179" s="10" t="str">
        <f t="array" ref="H179">IF(OR($A179="",7&gt;Controls!$B$6),"",ROUND(MAX(0,Smooth!H179*Controls!H$17*INDEX(Controls!$B$21:$H$21,1,WEEKDAY($A179,2))*(1+Controls!$B$11)^177*(1+Controls!M$25*Smooth!$L179)*(1+Controls!M$26*Smooth!$M179)*(1+Controls!M$27*Smooth!$N179)*(1+Controls!M$28*Smooth!$O179)),2))</f>
        <v/>
      </c>
      <c r="I179" s="10" t="str">
        <f t="array" ref="I179">IF(OR($A179="",8&gt;Controls!$B$6),"",ROUND(MAX(0,Smooth!I179*Controls!I$17*INDEX(Controls!$B$21:$H$21,1,WEEKDAY($A179,2))*(1+Controls!$B$11)^177*(1+Controls!N$25*Smooth!$L179)*(1+Controls!N$26*Smooth!$M179)*(1+Controls!N$27*Smooth!$N179)*(1+Controls!N$28*Smooth!$O179)),2))</f>
        <v/>
      </c>
      <c r="J179" s="10" t="str">
        <f t="array" ref="J179">IF(OR($A179="",9&gt;Controls!$B$6),"",ROUND(MAX(0,Smooth!J179*Controls!J$17*INDEX(Controls!$B$21:$H$21,1,WEEKDAY($A179,2))*(1+Controls!$B$11)^177*(1+Controls!O$25*Smooth!$L179)*(1+Controls!O$26*Smooth!$M179)*(1+Controls!O$27*Smooth!$N179)*(1+Controls!O$28*Smooth!$O179)),2))</f>
        <v/>
      </c>
      <c r="K179" s="10" t="str">
        <f t="array" ref="K179">IF(OR($A179="",10&gt;Controls!$B$6),"",ROUND(MAX(0,Smooth!K179*Controls!K$17*INDEX(Controls!$B$21:$H$21,1,WEEKDAY($A179,2))*(1+Controls!$B$11)^177*(1+Controls!P$25*Smooth!$L179)*(1+Controls!P$26*Smooth!$M179)*(1+Controls!P$27*Smooth!$N179)*(1+Controls!P$28*Smooth!$O179)),2))</f>
        <v/>
      </c>
      <c r="L179" s="18" t="str">
        <f t="shared" si="1"/>
        <v/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21.0" customHeight="1">
      <c r="A180" s="7" t="str">
        <f>IF(179&lt;=Controls!$B$5,Controls!$B$4+178,"")</f>
        <v/>
      </c>
      <c r="B180" s="10" t="str">
        <f t="array" ref="B180">IF(OR($A180="",1&gt;Controls!$B$6),"",ROUND(MAX(0,Smooth!B180*Controls!B$17*INDEX(Controls!$B$21:$H$21,1,WEEKDAY($A180,2))*(1+Controls!$B$11)^178*(1+Controls!G$25*Smooth!$L180)*(1+Controls!G$26*Smooth!$M180)*(1+Controls!G$27*Smooth!$N180)*(1+Controls!G$28*Smooth!$O180)),2))</f>
        <v/>
      </c>
      <c r="C180" s="10" t="str">
        <f t="array" ref="C180">IF(OR($A180="",2&gt;Controls!$B$6),"",ROUND(MAX(0,Smooth!C180*Controls!C$17*INDEX(Controls!$B$21:$H$21,1,WEEKDAY($A180,2))*(1+Controls!$B$11)^178*(1+Controls!H$25*Smooth!$L180)*(1+Controls!H$26*Smooth!$M180)*(1+Controls!H$27*Smooth!$N180)*(1+Controls!H$28*Smooth!$O180)),2))</f>
        <v/>
      </c>
      <c r="D180" s="10" t="str">
        <f t="array" ref="D180">IF(OR($A180="",3&gt;Controls!$B$6),"",ROUND(MAX(0,Smooth!D180*Controls!D$17*INDEX(Controls!$B$21:$H$21,1,WEEKDAY($A180,2))*(1+Controls!$B$11)^178*(1+Controls!I$25*Smooth!$L180)*(1+Controls!I$26*Smooth!$M180)*(1+Controls!I$27*Smooth!$N180)*(1+Controls!I$28*Smooth!$O180)),2))</f>
        <v/>
      </c>
      <c r="E180" s="10" t="str">
        <f t="array" ref="E180">IF(OR($A180="",4&gt;Controls!$B$6),"",ROUND(MAX(0,Smooth!E180*Controls!E$17*INDEX(Controls!$B$21:$H$21,1,WEEKDAY($A180,2))*(1+Controls!$B$11)^178*(1+Controls!J$25*Smooth!$L180)*(1+Controls!J$26*Smooth!$M180)*(1+Controls!J$27*Smooth!$N180)*(1+Controls!J$28*Smooth!$O180)),2))</f>
        <v/>
      </c>
      <c r="F180" s="10" t="str">
        <f t="array" ref="F180">IF(OR($A180="",5&gt;Controls!$B$6),"",ROUND(MAX(0,Smooth!F180*Controls!F$17*INDEX(Controls!$B$21:$H$21,1,WEEKDAY($A180,2))*(1+Controls!$B$11)^178*(1+Controls!K$25*Smooth!$L180)*(1+Controls!K$26*Smooth!$M180)*(1+Controls!K$27*Smooth!$N180)*(1+Controls!K$28*Smooth!$O180)),2))</f>
        <v/>
      </c>
      <c r="G180" s="10" t="str">
        <f t="array" ref="G180">IF(OR($A180="",6&gt;Controls!$B$6),"",ROUND(MAX(0,Smooth!G180*Controls!G$17*INDEX(Controls!$B$21:$H$21,1,WEEKDAY($A180,2))*(1+Controls!$B$11)^178*(1+Controls!L$25*Smooth!$L180)*(1+Controls!L$26*Smooth!$M180)*(1+Controls!L$27*Smooth!$N180)*(1+Controls!L$28*Smooth!$O180)),2))</f>
        <v/>
      </c>
      <c r="H180" s="10" t="str">
        <f t="array" ref="H180">IF(OR($A180="",7&gt;Controls!$B$6),"",ROUND(MAX(0,Smooth!H180*Controls!H$17*INDEX(Controls!$B$21:$H$21,1,WEEKDAY($A180,2))*(1+Controls!$B$11)^178*(1+Controls!M$25*Smooth!$L180)*(1+Controls!M$26*Smooth!$M180)*(1+Controls!M$27*Smooth!$N180)*(1+Controls!M$28*Smooth!$O180)),2))</f>
        <v/>
      </c>
      <c r="I180" s="10" t="str">
        <f t="array" ref="I180">IF(OR($A180="",8&gt;Controls!$B$6),"",ROUND(MAX(0,Smooth!I180*Controls!I$17*INDEX(Controls!$B$21:$H$21,1,WEEKDAY($A180,2))*(1+Controls!$B$11)^178*(1+Controls!N$25*Smooth!$L180)*(1+Controls!N$26*Smooth!$M180)*(1+Controls!N$27*Smooth!$N180)*(1+Controls!N$28*Smooth!$O180)),2))</f>
        <v/>
      </c>
      <c r="J180" s="10" t="str">
        <f t="array" ref="J180">IF(OR($A180="",9&gt;Controls!$B$6),"",ROUND(MAX(0,Smooth!J180*Controls!J$17*INDEX(Controls!$B$21:$H$21,1,WEEKDAY($A180,2))*(1+Controls!$B$11)^178*(1+Controls!O$25*Smooth!$L180)*(1+Controls!O$26*Smooth!$M180)*(1+Controls!O$27*Smooth!$N180)*(1+Controls!O$28*Smooth!$O180)),2))</f>
        <v/>
      </c>
      <c r="K180" s="10" t="str">
        <f t="array" ref="K180">IF(OR($A180="",10&gt;Controls!$B$6),"",ROUND(MAX(0,Smooth!K180*Controls!K$17*INDEX(Controls!$B$21:$H$21,1,WEEKDAY($A180,2))*(1+Controls!$B$11)^178*(1+Controls!P$25*Smooth!$L180)*(1+Controls!P$26*Smooth!$M180)*(1+Controls!P$27*Smooth!$N180)*(1+Controls!P$28*Smooth!$O180)),2))</f>
        <v/>
      </c>
      <c r="L180" s="18" t="str">
        <f t="shared" si="1"/>
        <v/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21.0" customHeight="1">
      <c r="A181" s="7" t="str">
        <f>IF(180&lt;=Controls!$B$5,Controls!$B$4+179,"")</f>
        <v/>
      </c>
      <c r="B181" s="10" t="str">
        <f t="array" ref="B181">IF(OR($A181="",1&gt;Controls!$B$6),"",ROUND(MAX(0,Smooth!B181*Controls!B$17*INDEX(Controls!$B$21:$H$21,1,WEEKDAY($A181,2))*(1+Controls!$B$11)^179*(1+Controls!G$25*Smooth!$L181)*(1+Controls!G$26*Smooth!$M181)*(1+Controls!G$27*Smooth!$N181)*(1+Controls!G$28*Smooth!$O181)),2))</f>
        <v/>
      </c>
      <c r="C181" s="10" t="str">
        <f t="array" ref="C181">IF(OR($A181="",2&gt;Controls!$B$6),"",ROUND(MAX(0,Smooth!C181*Controls!C$17*INDEX(Controls!$B$21:$H$21,1,WEEKDAY($A181,2))*(1+Controls!$B$11)^179*(1+Controls!H$25*Smooth!$L181)*(1+Controls!H$26*Smooth!$M181)*(1+Controls!H$27*Smooth!$N181)*(1+Controls!H$28*Smooth!$O181)),2))</f>
        <v/>
      </c>
      <c r="D181" s="10" t="str">
        <f t="array" ref="D181">IF(OR($A181="",3&gt;Controls!$B$6),"",ROUND(MAX(0,Smooth!D181*Controls!D$17*INDEX(Controls!$B$21:$H$21,1,WEEKDAY($A181,2))*(1+Controls!$B$11)^179*(1+Controls!I$25*Smooth!$L181)*(1+Controls!I$26*Smooth!$M181)*(1+Controls!I$27*Smooth!$N181)*(1+Controls!I$28*Smooth!$O181)),2))</f>
        <v/>
      </c>
      <c r="E181" s="10" t="str">
        <f t="array" ref="E181">IF(OR($A181="",4&gt;Controls!$B$6),"",ROUND(MAX(0,Smooth!E181*Controls!E$17*INDEX(Controls!$B$21:$H$21,1,WEEKDAY($A181,2))*(1+Controls!$B$11)^179*(1+Controls!J$25*Smooth!$L181)*(1+Controls!J$26*Smooth!$M181)*(1+Controls!J$27*Smooth!$N181)*(1+Controls!J$28*Smooth!$O181)),2))</f>
        <v/>
      </c>
      <c r="F181" s="10" t="str">
        <f t="array" ref="F181">IF(OR($A181="",5&gt;Controls!$B$6),"",ROUND(MAX(0,Smooth!F181*Controls!F$17*INDEX(Controls!$B$21:$H$21,1,WEEKDAY($A181,2))*(1+Controls!$B$11)^179*(1+Controls!K$25*Smooth!$L181)*(1+Controls!K$26*Smooth!$M181)*(1+Controls!K$27*Smooth!$N181)*(1+Controls!K$28*Smooth!$O181)),2))</f>
        <v/>
      </c>
      <c r="G181" s="10" t="str">
        <f t="array" ref="G181">IF(OR($A181="",6&gt;Controls!$B$6),"",ROUND(MAX(0,Smooth!G181*Controls!G$17*INDEX(Controls!$B$21:$H$21,1,WEEKDAY($A181,2))*(1+Controls!$B$11)^179*(1+Controls!L$25*Smooth!$L181)*(1+Controls!L$26*Smooth!$M181)*(1+Controls!L$27*Smooth!$N181)*(1+Controls!L$28*Smooth!$O181)),2))</f>
        <v/>
      </c>
      <c r="H181" s="10" t="str">
        <f t="array" ref="H181">IF(OR($A181="",7&gt;Controls!$B$6),"",ROUND(MAX(0,Smooth!H181*Controls!H$17*INDEX(Controls!$B$21:$H$21,1,WEEKDAY($A181,2))*(1+Controls!$B$11)^179*(1+Controls!M$25*Smooth!$L181)*(1+Controls!M$26*Smooth!$M181)*(1+Controls!M$27*Smooth!$N181)*(1+Controls!M$28*Smooth!$O181)),2))</f>
        <v/>
      </c>
      <c r="I181" s="10" t="str">
        <f t="array" ref="I181">IF(OR($A181="",8&gt;Controls!$B$6),"",ROUND(MAX(0,Smooth!I181*Controls!I$17*INDEX(Controls!$B$21:$H$21,1,WEEKDAY($A181,2))*(1+Controls!$B$11)^179*(1+Controls!N$25*Smooth!$L181)*(1+Controls!N$26*Smooth!$M181)*(1+Controls!N$27*Smooth!$N181)*(1+Controls!N$28*Smooth!$O181)),2))</f>
        <v/>
      </c>
      <c r="J181" s="10" t="str">
        <f t="array" ref="J181">IF(OR($A181="",9&gt;Controls!$B$6),"",ROUND(MAX(0,Smooth!J181*Controls!J$17*INDEX(Controls!$B$21:$H$21,1,WEEKDAY($A181,2))*(1+Controls!$B$11)^179*(1+Controls!O$25*Smooth!$L181)*(1+Controls!O$26*Smooth!$M181)*(1+Controls!O$27*Smooth!$N181)*(1+Controls!O$28*Smooth!$O181)),2))</f>
        <v/>
      </c>
      <c r="K181" s="10" t="str">
        <f t="array" ref="K181">IF(OR($A181="",10&gt;Controls!$B$6),"",ROUND(MAX(0,Smooth!K181*Controls!K$17*INDEX(Controls!$B$21:$H$21,1,WEEKDAY($A181,2))*(1+Controls!$B$11)^179*(1+Controls!P$25*Smooth!$L181)*(1+Controls!P$26*Smooth!$M181)*(1+Controls!P$27*Smooth!$N181)*(1+Controls!P$28*Smooth!$O181)),2))</f>
        <v/>
      </c>
      <c r="L181" s="18" t="str">
        <f t="shared" si="1"/>
        <v/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21.0" customHeight="1">
      <c r="A182" s="7" t="str">
        <f>IF(181&lt;=Controls!$B$5,Controls!$B$4+180,"")</f>
        <v/>
      </c>
      <c r="B182" s="10" t="str">
        <f t="array" ref="B182">IF(OR($A182="",1&gt;Controls!$B$6),"",ROUND(MAX(0,Smooth!B182*Controls!B$17*INDEX(Controls!$B$21:$H$21,1,WEEKDAY($A182,2))*(1+Controls!$B$11)^180*(1+Controls!G$25*Smooth!$L182)*(1+Controls!G$26*Smooth!$M182)*(1+Controls!G$27*Smooth!$N182)*(1+Controls!G$28*Smooth!$O182)),2))</f>
        <v/>
      </c>
      <c r="C182" s="10" t="str">
        <f t="array" ref="C182">IF(OR($A182="",2&gt;Controls!$B$6),"",ROUND(MAX(0,Smooth!C182*Controls!C$17*INDEX(Controls!$B$21:$H$21,1,WEEKDAY($A182,2))*(1+Controls!$B$11)^180*(1+Controls!H$25*Smooth!$L182)*(1+Controls!H$26*Smooth!$M182)*(1+Controls!H$27*Smooth!$N182)*(1+Controls!H$28*Smooth!$O182)),2))</f>
        <v/>
      </c>
      <c r="D182" s="10" t="str">
        <f t="array" ref="D182">IF(OR($A182="",3&gt;Controls!$B$6),"",ROUND(MAX(0,Smooth!D182*Controls!D$17*INDEX(Controls!$B$21:$H$21,1,WEEKDAY($A182,2))*(1+Controls!$B$11)^180*(1+Controls!I$25*Smooth!$L182)*(1+Controls!I$26*Smooth!$M182)*(1+Controls!I$27*Smooth!$N182)*(1+Controls!I$28*Smooth!$O182)),2))</f>
        <v/>
      </c>
      <c r="E182" s="10" t="str">
        <f t="array" ref="E182">IF(OR($A182="",4&gt;Controls!$B$6),"",ROUND(MAX(0,Smooth!E182*Controls!E$17*INDEX(Controls!$B$21:$H$21,1,WEEKDAY($A182,2))*(1+Controls!$B$11)^180*(1+Controls!J$25*Smooth!$L182)*(1+Controls!J$26*Smooth!$M182)*(1+Controls!J$27*Smooth!$N182)*(1+Controls!J$28*Smooth!$O182)),2))</f>
        <v/>
      </c>
      <c r="F182" s="10" t="str">
        <f t="array" ref="F182">IF(OR($A182="",5&gt;Controls!$B$6),"",ROUND(MAX(0,Smooth!F182*Controls!F$17*INDEX(Controls!$B$21:$H$21,1,WEEKDAY($A182,2))*(1+Controls!$B$11)^180*(1+Controls!K$25*Smooth!$L182)*(1+Controls!K$26*Smooth!$M182)*(1+Controls!K$27*Smooth!$N182)*(1+Controls!K$28*Smooth!$O182)),2))</f>
        <v/>
      </c>
      <c r="G182" s="10" t="str">
        <f t="array" ref="G182">IF(OR($A182="",6&gt;Controls!$B$6),"",ROUND(MAX(0,Smooth!G182*Controls!G$17*INDEX(Controls!$B$21:$H$21,1,WEEKDAY($A182,2))*(1+Controls!$B$11)^180*(1+Controls!L$25*Smooth!$L182)*(1+Controls!L$26*Smooth!$M182)*(1+Controls!L$27*Smooth!$N182)*(1+Controls!L$28*Smooth!$O182)),2))</f>
        <v/>
      </c>
      <c r="H182" s="10" t="str">
        <f t="array" ref="H182">IF(OR($A182="",7&gt;Controls!$B$6),"",ROUND(MAX(0,Smooth!H182*Controls!H$17*INDEX(Controls!$B$21:$H$21,1,WEEKDAY($A182,2))*(1+Controls!$B$11)^180*(1+Controls!M$25*Smooth!$L182)*(1+Controls!M$26*Smooth!$M182)*(1+Controls!M$27*Smooth!$N182)*(1+Controls!M$28*Smooth!$O182)),2))</f>
        <v/>
      </c>
      <c r="I182" s="10" t="str">
        <f t="array" ref="I182">IF(OR($A182="",8&gt;Controls!$B$6),"",ROUND(MAX(0,Smooth!I182*Controls!I$17*INDEX(Controls!$B$21:$H$21,1,WEEKDAY($A182,2))*(1+Controls!$B$11)^180*(1+Controls!N$25*Smooth!$L182)*(1+Controls!N$26*Smooth!$M182)*(1+Controls!N$27*Smooth!$N182)*(1+Controls!N$28*Smooth!$O182)),2))</f>
        <v/>
      </c>
      <c r="J182" s="10" t="str">
        <f t="array" ref="J182">IF(OR($A182="",9&gt;Controls!$B$6),"",ROUND(MAX(0,Smooth!J182*Controls!J$17*INDEX(Controls!$B$21:$H$21,1,WEEKDAY($A182,2))*(1+Controls!$B$11)^180*(1+Controls!O$25*Smooth!$L182)*(1+Controls!O$26*Smooth!$M182)*(1+Controls!O$27*Smooth!$N182)*(1+Controls!O$28*Smooth!$O182)),2))</f>
        <v/>
      </c>
      <c r="K182" s="10" t="str">
        <f t="array" ref="K182">IF(OR($A182="",10&gt;Controls!$B$6),"",ROUND(MAX(0,Smooth!K182*Controls!K$17*INDEX(Controls!$B$21:$H$21,1,WEEKDAY($A182,2))*(1+Controls!$B$11)^180*(1+Controls!P$25*Smooth!$L182)*(1+Controls!P$26*Smooth!$M182)*(1+Controls!P$27*Smooth!$N182)*(1+Controls!P$28*Smooth!$O182)),2))</f>
        <v/>
      </c>
      <c r="L182" s="18" t="str">
        <f t="shared" si="1"/>
        <v/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21.0" customHeight="1">
      <c r="A183" s="7" t="str">
        <f>IF(182&lt;=Controls!$B$5,Controls!$B$4+181,"")</f>
        <v/>
      </c>
      <c r="B183" s="10" t="str">
        <f t="array" ref="B183">IF(OR($A183="",1&gt;Controls!$B$6),"",ROUND(MAX(0,Smooth!B183*Controls!B$17*INDEX(Controls!$B$21:$H$21,1,WEEKDAY($A183,2))*(1+Controls!$B$11)^181*(1+Controls!G$25*Smooth!$L183)*(1+Controls!G$26*Smooth!$M183)*(1+Controls!G$27*Smooth!$N183)*(1+Controls!G$28*Smooth!$O183)),2))</f>
        <v/>
      </c>
      <c r="C183" s="10" t="str">
        <f t="array" ref="C183">IF(OR($A183="",2&gt;Controls!$B$6),"",ROUND(MAX(0,Smooth!C183*Controls!C$17*INDEX(Controls!$B$21:$H$21,1,WEEKDAY($A183,2))*(1+Controls!$B$11)^181*(1+Controls!H$25*Smooth!$L183)*(1+Controls!H$26*Smooth!$M183)*(1+Controls!H$27*Smooth!$N183)*(1+Controls!H$28*Smooth!$O183)),2))</f>
        <v/>
      </c>
      <c r="D183" s="10" t="str">
        <f t="array" ref="D183">IF(OR($A183="",3&gt;Controls!$B$6),"",ROUND(MAX(0,Smooth!D183*Controls!D$17*INDEX(Controls!$B$21:$H$21,1,WEEKDAY($A183,2))*(1+Controls!$B$11)^181*(1+Controls!I$25*Smooth!$L183)*(1+Controls!I$26*Smooth!$M183)*(1+Controls!I$27*Smooth!$N183)*(1+Controls!I$28*Smooth!$O183)),2))</f>
        <v/>
      </c>
      <c r="E183" s="10" t="str">
        <f t="array" ref="E183">IF(OR($A183="",4&gt;Controls!$B$6),"",ROUND(MAX(0,Smooth!E183*Controls!E$17*INDEX(Controls!$B$21:$H$21,1,WEEKDAY($A183,2))*(1+Controls!$B$11)^181*(1+Controls!J$25*Smooth!$L183)*(1+Controls!J$26*Smooth!$M183)*(1+Controls!J$27*Smooth!$N183)*(1+Controls!J$28*Smooth!$O183)),2))</f>
        <v/>
      </c>
      <c r="F183" s="10" t="str">
        <f t="array" ref="F183">IF(OR($A183="",5&gt;Controls!$B$6),"",ROUND(MAX(0,Smooth!F183*Controls!F$17*INDEX(Controls!$B$21:$H$21,1,WEEKDAY($A183,2))*(1+Controls!$B$11)^181*(1+Controls!K$25*Smooth!$L183)*(1+Controls!K$26*Smooth!$M183)*(1+Controls!K$27*Smooth!$N183)*(1+Controls!K$28*Smooth!$O183)),2))</f>
        <v/>
      </c>
      <c r="G183" s="10" t="str">
        <f t="array" ref="G183">IF(OR($A183="",6&gt;Controls!$B$6),"",ROUND(MAX(0,Smooth!G183*Controls!G$17*INDEX(Controls!$B$21:$H$21,1,WEEKDAY($A183,2))*(1+Controls!$B$11)^181*(1+Controls!L$25*Smooth!$L183)*(1+Controls!L$26*Smooth!$M183)*(1+Controls!L$27*Smooth!$N183)*(1+Controls!L$28*Smooth!$O183)),2))</f>
        <v/>
      </c>
      <c r="H183" s="10" t="str">
        <f t="array" ref="H183">IF(OR($A183="",7&gt;Controls!$B$6),"",ROUND(MAX(0,Smooth!H183*Controls!H$17*INDEX(Controls!$B$21:$H$21,1,WEEKDAY($A183,2))*(1+Controls!$B$11)^181*(1+Controls!M$25*Smooth!$L183)*(1+Controls!M$26*Smooth!$M183)*(1+Controls!M$27*Smooth!$N183)*(1+Controls!M$28*Smooth!$O183)),2))</f>
        <v/>
      </c>
      <c r="I183" s="10" t="str">
        <f t="array" ref="I183">IF(OR($A183="",8&gt;Controls!$B$6),"",ROUND(MAX(0,Smooth!I183*Controls!I$17*INDEX(Controls!$B$21:$H$21,1,WEEKDAY($A183,2))*(1+Controls!$B$11)^181*(1+Controls!N$25*Smooth!$L183)*(1+Controls!N$26*Smooth!$M183)*(1+Controls!N$27*Smooth!$N183)*(1+Controls!N$28*Smooth!$O183)),2))</f>
        <v/>
      </c>
      <c r="J183" s="10" t="str">
        <f t="array" ref="J183">IF(OR($A183="",9&gt;Controls!$B$6),"",ROUND(MAX(0,Smooth!J183*Controls!J$17*INDEX(Controls!$B$21:$H$21,1,WEEKDAY($A183,2))*(1+Controls!$B$11)^181*(1+Controls!O$25*Smooth!$L183)*(1+Controls!O$26*Smooth!$M183)*(1+Controls!O$27*Smooth!$N183)*(1+Controls!O$28*Smooth!$O183)),2))</f>
        <v/>
      </c>
      <c r="K183" s="10" t="str">
        <f t="array" ref="K183">IF(OR($A183="",10&gt;Controls!$B$6),"",ROUND(MAX(0,Smooth!K183*Controls!K$17*INDEX(Controls!$B$21:$H$21,1,WEEKDAY($A183,2))*(1+Controls!$B$11)^181*(1+Controls!P$25*Smooth!$L183)*(1+Controls!P$26*Smooth!$M183)*(1+Controls!P$27*Smooth!$N183)*(1+Controls!P$28*Smooth!$O183)),2))</f>
        <v/>
      </c>
      <c r="L183" s="18" t="str">
        <f t="shared" si="1"/>
        <v/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21.0" customHeight="1">
      <c r="A184" s="7" t="str">
        <f>IF(183&lt;=Controls!$B$5,Controls!$B$4+182,"")</f>
        <v/>
      </c>
      <c r="B184" s="10" t="str">
        <f t="array" ref="B184">IF(OR($A184="",1&gt;Controls!$B$6),"",ROUND(MAX(0,Smooth!B184*Controls!B$17*INDEX(Controls!$B$21:$H$21,1,WEEKDAY($A184,2))*(1+Controls!$B$11)^182*(1+Controls!G$25*Smooth!$L184)*(1+Controls!G$26*Smooth!$M184)*(1+Controls!G$27*Smooth!$N184)*(1+Controls!G$28*Smooth!$O184)),2))</f>
        <v/>
      </c>
      <c r="C184" s="10" t="str">
        <f t="array" ref="C184">IF(OR($A184="",2&gt;Controls!$B$6),"",ROUND(MAX(0,Smooth!C184*Controls!C$17*INDEX(Controls!$B$21:$H$21,1,WEEKDAY($A184,2))*(1+Controls!$B$11)^182*(1+Controls!H$25*Smooth!$L184)*(1+Controls!H$26*Smooth!$M184)*(1+Controls!H$27*Smooth!$N184)*(1+Controls!H$28*Smooth!$O184)),2))</f>
        <v/>
      </c>
      <c r="D184" s="10" t="str">
        <f t="array" ref="D184">IF(OR($A184="",3&gt;Controls!$B$6),"",ROUND(MAX(0,Smooth!D184*Controls!D$17*INDEX(Controls!$B$21:$H$21,1,WEEKDAY($A184,2))*(1+Controls!$B$11)^182*(1+Controls!I$25*Smooth!$L184)*(1+Controls!I$26*Smooth!$M184)*(1+Controls!I$27*Smooth!$N184)*(1+Controls!I$28*Smooth!$O184)),2))</f>
        <v/>
      </c>
      <c r="E184" s="10" t="str">
        <f t="array" ref="E184">IF(OR($A184="",4&gt;Controls!$B$6),"",ROUND(MAX(0,Smooth!E184*Controls!E$17*INDEX(Controls!$B$21:$H$21,1,WEEKDAY($A184,2))*(1+Controls!$B$11)^182*(1+Controls!J$25*Smooth!$L184)*(1+Controls!J$26*Smooth!$M184)*(1+Controls!J$27*Smooth!$N184)*(1+Controls!J$28*Smooth!$O184)),2))</f>
        <v/>
      </c>
      <c r="F184" s="10" t="str">
        <f t="array" ref="F184">IF(OR($A184="",5&gt;Controls!$B$6),"",ROUND(MAX(0,Smooth!F184*Controls!F$17*INDEX(Controls!$B$21:$H$21,1,WEEKDAY($A184,2))*(1+Controls!$B$11)^182*(1+Controls!K$25*Smooth!$L184)*(1+Controls!K$26*Smooth!$M184)*(1+Controls!K$27*Smooth!$N184)*(1+Controls!K$28*Smooth!$O184)),2))</f>
        <v/>
      </c>
      <c r="G184" s="10" t="str">
        <f t="array" ref="G184">IF(OR($A184="",6&gt;Controls!$B$6),"",ROUND(MAX(0,Smooth!G184*Controls!G$17*INDEX(Controls!$B$21:$H$21,1,WEEKDAY($A184,2))*(1+Controls!$B$11)^182*(1+Controls!L$25*Smooth!$L184)*(1+Controls!L$26*Smooth!$M184)*(1+Controls!L$27*Smooth!$N184)*(1+Controls!L$28*Smooth!$O184)),2))</f>
        <v/>
      </c>
      <c r="H184" s="10" t="str">
        <f t="array" ref="H184">IF(OR($A184="",7&gt;Controls!$B$6),"",ROUND(MAX(0,Smooth!H184*Controls!H$17*INDEX(Controls!$B$21:$H$21,1,WEEKDAY($A184,2))*(1+Controls!$B$11)^182*(1+Controls!M$25*Smooth!$L184)*(1+Controls!M$26*Smooth!$M184)*(1+Controls!M$27*Smooth!$N184)*(1+Controls!M$28*Smooth!$O184)),2))</f>
        <v/>
      </c>
      <c r="I184" s="10" t="str">
        <f t="array" ref="I184">IF(OR($A184="",8&gt;Controls!$B$6),"",ROUND(MAX(0,Smooth!I184*Controls!I$17*INDEX(Controls!$B$21:$H$21,1,WEEKDAY($A184,2))*(1+Controls!$B$11)^182*(1+Controls!N$25*Smooth!$L184)*(1+Controls!N$26*Smooth!$M184)*(1+Controls!N$27*Smooth!$N184)*(1+Controls!N$28*Smooth!$O184)),2))</f>
        <v/>
      </c>
      <c r="J184" s="10" t="str">
        <f t="array" ref="J184">IF(OR($A184="",9&gt;Controls!$B$6),"",ROUND(MAX(0,Smooth!J184*Controls!J$17*INDEX(Controls!$B$21:$H$21,1,WEEKDAY($A184,2))*(1+Controls!$B$11)^182*(1+Controls!O$25*Smooth!$L184)*(1+Controls!O$26*Smooth!$M184)*(1+Controls!O$27*Smooth!$N184)*(1+Controls!O$28*Smooth!$O184)),2))</f>
        <v/>
      </c>
      <c r="K184" s="10" t="str">
        <f t="array" ref="K184">IF(OR($A184="",10&gt;Controls!$B$6),"",ROUND(MAX(0,Smooth!K184*Controls!K$17*INDEX(Controls!$B$21:$H$21,1,WEEKDAY($A184,2))*(1+Controls!$B$11)^182*(1+Controls!P$25*Smooth!$L184)*(1+Controls!P$26*Smooth!$M184)*(1+Controls!P$27*Smooth!$N184)*(1+Controls!P$28*Smooth!$O184)),2))</f>
        <v/>
      </c>
      <c r="L184" s="18" t="str">
        <f t="shared" si="1"/>
        <v/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21.0" customHeight="1">
      <c r="A185" s="7" t="str">
        <f>IF(184&lt;=Controls!$B$5,Controls!$B$4+183,"")</f>
        <v/>
      </c>
      <c r="B185" s="10" t="str">
        <f t="array" ref="B185">IF(OR($A185="",1&gt;Controls!$B$6),"",ROUND(MAX(0,Smooth!B185*Controls!B$17*INDEX(Controls!$B$21:$H$21,1,WEEKDAY($A185,2))*(1+Controls!$B$11)^183*(1+Controls!G$25*Smooth!$L185)*(1+Controls!G$26*Smooth!$M185)*(1+Controls!G$27*Smooth!$N185)*(1+Controls!G$28*Smooth!$O185)),2))</f>
        <v/>
      </c>
      <c r="C185" s="10" t="str">
        <f t="array" ref="C185">IF(OR($A185="",2&gt;Controls!$B$6),"",ROUND(MAX(0,Smooth!C185*Controls!C$17*INDEX(Controls!$B$21:$H$21,1,WEEKDAY($A185,2))*(1+Controls!$B$11)^183*(1+Controls!H$25*Smooth!$L185)*(1+Controls!H$26*Smooth!$M185)*(1+Controls!H$27*Smooth!$N185)*(1+Controls!H$28*Smooth!$O185)),2))</f>
        <v/>
      </c>
      <c r="D185" s="10" t="str">
        <f t="array" ref="D185">IF(OR($A185="",3&gt;Controls!$B$6),"",ROUND(MAX(0,Smooth!D185*Controls!D$17*INDEX(Controls!$B$21:$H$21,1,WEEKDAY($A185,2))*(1+Controls!$B$11)^183*(1+Controls!I$25*Smooth!$L185)*(1+Controls!I$26*Smooth!$M185)*(1+Controls!I$27*Smooth!$N185)*(1+Controls!I$28*Smooth!$O185)),2))</f>
        <v/>
      </c>
      <c r="E185" s="10" t="str">
        <f t="array" ref="E185">IF(OR($A185="",4&gt;Controls!$B$6),"",ROUND(MAX(0,Smooth!E185*Controls!E$17*INDEX(Controls!$B$21:$H$21,1,WEEKDAY($A185,2))*(1+Controls!$B$11)^183*(1+Controls!J$25*Smooth!$L185)*(1+Controls!J$26*Smooth!$M185)*(1+Controls!J$27*Smooth!$N185)*(1+Controls!J$28*Smooth!$O185)),2))</f>
        <v/>
      </c>
      <c r="F185" s="10" t="str">
        <f t="array" ref="F185">IF(OR($A185="",5&gt;Controls!$B$6),"",ROUND(MAX(0,Smooth!F185*Controls!F$17*INDEX(Controls!$B$21:$H$21,1,WEEKDAY($A185,2))*(1+Controls!$B$11)^183*(1+Controls!K$25*Smooth!$L185)*(1+Controls!K$26*Smooth!$M185)*(1+Controls!K$27*Smooth!$N185)*(1+Controls!K$28*Smooth!$O185)),2))</f>
        <v/>
      </c>
      <c r="G185" s="10" t="str">
        <f t="array" ref="G185">IF(OR($A185="",6&gt;Controls!$B$6),"",ROUND(MAX(0,Smooth!G185*Controls!G$17*INDEX(Controls!$B$21:$H$21,1,WEEKDAY($A185,2))*(1+Controls!$B$11)^183*(1+Controls!L$25*Smooth!$L185)*(1+Controls!L$26*Smooth!$M185)*(1+Controls!L$27*Smooth!$N185)*(1+Controls!L$28*Smooth!$O185)),2))</f>
        <v/>
      </c>
      <c r="H185" s="10" t="str">
        <f t="array" ref="H185">IF(OR($A185="",7&gt;Controls!$B$6),"",ROUND(MAX(0,Smooth!H185*Controls!H$17*INDEX(Controls!$B$21:$H$21,1,WEEKDAY($A185,2))*(1+Controls!$B$11)^183*(1+Controls!M$25*Smooth!$L185)*(1+Controls!M$26*Smooth!$M185)*(1+Controls!M$27*Smooth!$N185)*(1+Controls!M$28*Smooth!$O185)),2))</f>
        <v/>
      </c>
      <c r="I185" s="10" t="str">
        <f t="array" ref="I185">IF(OR($A185="",8&gt;Controls!$B$6),"",ROUND(MAX(0,Smooth!I185*Controls!I$17*INDEX(Controls!$B$21:$H$21,1,WEEKDAY($A185,2))*(1+Controls!$B$11)^183*(1+Controls!N$25*Smooth!$L185)*(1+Controls!N$26*Smooth!$M185)*(1+Controls!N$27*Smooth!$N185)*(1+Controls!N$28*Smooth!$O185)),2))</f>
        <v/>
      </c>
      <c r="J185" s="10" t="str">
        <f t="array" ref="J185">IF(OR($A185="",9&gt;Controls!$B$6),"",ROUND(MAX(0,Smooth!J185*Controls!J$17*INDEX(Controls!$B$21:$H$21,1,WEEKDAY($A185,2))*(1+Controls!$B$11)^183*(1+Controls!O$25*Smooth!$L185)*(1+Controls!O$26*Smooth!$M185)*(1+Controls!O$27*Smooth!$N185)*(1+Controls!O$28*Smooth!$O185)),2))</f>
        <v/>
      </c>
      <c r="K185" s="10" t="str">
        <f t="array" ref="K185">IF(OR($A185="",10&gt;Controls!$B$6),"",ROUND(MAX(0,Smooth!K185*Controls!K$17*INDEX(Controls!$B$21:$H$21,1,WEEKDAY($A185,2))*(1+Controls!$B$11)^183*(1+Controls!P$25*Smooth!$L185)*(1+Controls!P$26*Smooth!$M185)*(1+Controls!P$27*Smooth!$N185)*(1+Controls!P$28*Smooth!$O185)),2))</f>
        <v/>
      </c>
      <c r="L185" s="18" t="str">
        <f t="shared" si="1"/>
        <v/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21.0" customHeight="1">
      <c r="A186" s="7" t="str">
        <f>IF(185&lt;=Controls!$B$5,Controls!$B$4+184,"")</f>
        <v/>
      </c>
      <c r="B186" s="10" t="str">
        <f t="array" ref="B186">IF(OR($A186="",1&gt;Controls!$B$6),"",ROUND(MAX(0,Smooth!B186*Controls!B$17*INDEX(Controls!$B$21:$H$21,1,WEEKDAY($A186,2))*(1+Controls!$B$11)^184*(1+Controls!G$25*Smooth!$L186)*(1+Controls!G$26*Smooth!$M186)*(1+Controls!G$27*Smooth!$N186)*(1+Controls!G$28*Smooth!$O186)),2))</f>
        <v/>
      </c>
      <c r="C186" s="10" t="str">
        <f t="array" ref="C186">IF(OR($A186="",2&gt;Controls!$B$6),"",ROUND(MAX(0,Smooth!C186*Controls!C$17*INDEX(Controls!$B$21:$H$21,1,WEEKDAY($A186,2))*(1+Controls!$B$11)^184*(1+Controls!H$25*Smooth!$L186)*(1+Controls!H$26*Smooth!$M186)*(1+Controls!H$27*Smooth!$N186)*(1+Controls!H$28*Smooth!$O186)),2))</f>
        <v/>
      </c>
      <c r="D186" s="10" t="str">
        <f t="array" ref="D186">IF(OR($A186="",3&gt;Controls!$B$6),"",ROUND(MAX(0,Smooth!D186*Controls!D$17*INDEX(Controls!$B$21:$H$21,1,WEEKDAY($A186,2))*(1+Controls!$B$11)^184*(1+Controls!I$25*Smooth!$L186)*(1+Controls!I$26*Smooth!$M186)*(1+Controls!I$27*Smooth!$N186)*(1+Controls!I$28*Smooth!$O186)),2))</f>
        <v/>
      </c>
      <c r="E186" s="10" t="str">
        <f t="array" ref="E186">IF(OR($A186="",4&gt;Controls!$B$6),"",ROUND(MAX(0,Smooth!E186*Controls!E$17*INDEX(Controls!$B$21:$H$21,1,WEEKDAY($A186,2))*(1+Controls!$B$11)^184*(1+Controls!J$25*Smooth!$L186)*(1+Controls!J$26*Smooth!$M186)*(1+Controls!J$27*Smooth!$N186)*(1+Controls!J$28*Smooth!$O186)),2))</f>
        <v/>
      </c>
      <c r="F186" s="10" t="str">
        <f t="array" ref="F186">IF(OR($A186="",5&gt;Controls!$B$6),"",ROUND(MAX(0,Smooth!F186*Controls!F$17*INDEX(Controls!$B$21:$H$21,1,WEEKDAY($A186,2))*(1+Controls!$B$11)^184*(1+Controls!K$25*Smooth!$L186)*(1+Controls!K$26*Smooth!$M186)*(1+Controls!K$27*Smooth!$N186)*(1+Controls!K$28*Smooth!$O186)),2))</f>
        <v/>
      </c>
      <c r="G186" s="10" t="str">
        <f t="array" ref="G186">IF(OR($A186="",6&gt;Controls!$B$6),"",ROUND(MAX(0,Smooth!G186*Controls!G$17*INDEX(Controls!$B$21:$H$21,1,WEEKDAY($A186,2))*(1+Controls!$B$11)^184*(1+Controls!L$25*Smooth!$L186)*(1+Controls!L$26*Smooth!$M186)*(1+Controls!L$27*Smooth!$N186)*(1+Controls!L$28*Smooth!$O186)),2))</f>
        <v/>
      </c>
      <c r="H186" s="10" t="str">
        <f t="array" ref="H186">IF(OR($A186="",7&gt;Controls!$B$6),"",ROUND(MAX(0,Smooth!H186*Controls!H$17*INDEX(Controls!$B$21:$H$21,1,WEEKDAY($A186,2))*(1+Controls!$B$11)^184*(1+Controls!M$25*Smooth!$L186)*(1+Controls!M$26*Smooth!$M186)*(1+Controls!M$27*Smooth!$N186)*(1+Controls!M$28*Smooth!$O186)),2))</f>
        <v/>
      </c>
      <c r="I186" s="10" t="str">
        <f t="array" ref="I186">IF(OR($A186="",8&gt;Controls!$B$6),"",ROUND(MAX(0,Smooth!I186*Controls!I$17*INDEX(Controls!$B$21:$H$21,1,WEEKDAY($A186,2))*(1+Controls!$B$11)^184*(1+Controls!N$25*Smooth!$L186)*(1+Controls!N$26*Smooth!$M186)*(1+Controls!N$27*Smooth!$N186)*(1+Controls!N$28*Smooth!$O186)),2))</f>
        <v/>
      </c>
      <c r="J186" s="10" t="str">
        <f t="array" ref="J186">IF(OR($A186="",9&gt;Controls!$B$6),"",ROUND(MAX(0,Smooth!J186*Controls!J$17*INDEX(Controls!$B$21:$H$21,1,WEEKDAY($A186,2))*(1+Controls!$B$11)^184*(1+Controls!O$25*Smooth!$L186)*(1+Controls!O$26*Smooth!$M186)*(1+Controls!O$27*Smooth!$N186)*(1+Controls!O$28*Smooth!$O186)),2))</f>
        <v/>
      </c>
      <c r="K186" s="10" t="str">
        <f t="array" ref="K186">IF(OR($A186="",10&gt;Controls!$B$6),"",ROUND(MAX(0,Smooth!K186*Controls!K$17*INDEX(Controls!$B$21:$H$21,1,WEEKDAY($A186,2))*(1+Controls!$B$11)^184*(1+Controls!P$25*Smooth!$L186)*(1+Controls!P$26*Smooth!$M186)*(1+Controls!P$27*Smooth!$N186)*(1+Controls!P$28*Smooth!$O186)),2))</f>
        <v/>
      </c>
      <c r="L186" s="18" t="str">
        <f t="shared" si="1"/>
        <v/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21.0" customHeight="1">
      <c r="A187" s="7" t="str">
        <f>IF(186&lt;=Controls!$B$5,Controls!$B$4+185,"")</f>
        <v/>
      </c>
      <c r="B187" s="10" t="str">
        <f t="array" ref="B187">IF(OR($A187="",1&gt;Controls!$B$6),"",ROUND(MAX(0,Smooth!B187*Controls!B$17*INDEX(Controls!$B$21:$H$21,1,WEEKDAY($A187,2))*(1+Controls!$B$11)^185*(1+Controls!G$25*Smooth!$L187)*(1+Controls!G$26*Smooth!$M187)*(1+Controls!G$27*Smooth!$N187)*(1+Controls!G$28*Smooth!$O187)),2))</f>
        <v/>
      </c>
      <c r="C187" s="10" t="str">
        <f t="array" ref="C187">IF(OR($A187="",2&gt;Controls!$B$6),"",ROUND(MAX(0,Smooth!C187*Controls!C$17*INDEX(Controls!$B$21:$H$21,1,WEEKDAY($A187,2))*(1+Controls!$B$11)^185*(1+Controls!H$25*Smooth!$L187)*(1+Controls!H$26*Smooth!$M187)*(1+Controls!H$27*Smooth!$N187)*(1+Controls!H$28*Smooth!$O187)),2))</f>
        <v/>
      </c>
      <c r="D187" s="10" t="str">
        <f t="array" ref="D187">IF(OR($A187="",3&gt;Controls!$B$6),"",ROUND(MAX(0,Smooth!D187*Controls!D$17*INDEX(Controls!$B$21:$H$21,1,WEEKDAY($A187,2))*(1+Controls!$B$11)^185*(1+Controls!I$25*Smooth!$L187)*(1+Controls!I$26*Smooth!$M187)*(1+Controls!I$27*Smooth!$N187)*(1+Controls!I$28*Smooth!$O187)),2))</f>
        <v/>
      </c>
      <c r="E187" s="10" t="str">
        <f t="array" ref="E187">IF(OR($A187="",4&gt;Controls!$B$6),"",ROUND(MAX(0,Smooth!E187*Controls!E$17*INDEX(Controls!$B$21:$H$21,1,WEEKDAY($A187,2))*(1+Controls!$B$11)^185*(1+Controls!J$25*Smooth!$L187)*(1+Controls!J$26*Smooth!$M187)*(1+Controls!J$27*Smooth!$N187)*(1+Controls!J$28*Smooth!$O187)),2))</f>
        <v/>
      </c>
      <c r="F187" s="10" t="str">
        <f t="array" ref="F187">IF(OR($A187="",5&gt;Controls!$B$6),"",ROUND(MAX(0,Smooth!F187*Controls!F$17*INDEX(Controls!$B$21:$H$21,1,WEEKDAY($A187,2))*(1+Controls!$B$11)^185*(1+Controls!K$25*Smooth!$L187)*(1+Controls!K$26*Smooth!$M187)*(1+Controls!K$27*Smooth!$N187)*(1+Controls!K$28*Smooth!$O187)),2))</f>
        <v/>
      </c>
      <c r="G187" s="10" t="str">
        <f t="array" ref="G187">IF(OR($A187="",6&gt;Controls!$B$6),"",ROUND(MAX(0,Smooth!G187*Controls!G$17*INDEX(Controls!$B$21:$H$21,1,WEEKDAY($A187,2))*(1+Controls!$B$11)^185*(1+Controls!L$25*Smooth!$L187)*(1+Controls!L$26*Smooth!$M187)*(1+Controls!L$27*Smooth!$N187)*(1+Controls!L$28*Smooth!$O187)),2))</f>
        <v/>
      </c>
      <c r="H187" s="10" t="str">
        <f t="array" ref="H187">IF(OR($A187="",7&gt;Controls!$B$6),"",ROUND(MAX(0,Smooth!H187*Controls!H$17*INDEX(Controls!$B$21:$H$21,1,WEEKDAY($A187,2))*(1+Controls!$B$11)^185*(1+Controls!M$25*Smooth!$L187)*(1+Controls!M$26*Smooth!$M187)*(1+Controls!M$27*Smooth!$N187)*(1+Controls!M$28*Smooth!$O187)),2))</f>
        <v/>
      </c>
      <c r="I187" s="10" t="str">
        <f t="array" ref="I187">IF(OR($A187="",8&gt;Controls!$B$6),"",ROUND(MAX(0,Smooth!I187*Controls!I$17*INDEX(Controls!$B$21:$H$21,1,WEEKDAY($A187,2))*(1+Controls!$B$11)^185*(1+Controls!N$25*Smooth!$L187)*(1+Controls!N$26*Smooth!$M187)*(1+Controls!N$27*Smooth!$N187)*(1+Controls!N$28*Smooth!$O187)),2))</f>
        <v/>
      </c>
      <c r="J187" s="10" t="str">
        <f t="array" ref="J187">IF(OR($A187="",9&gt;Controls!$B$6),"",ROUND(MAX(0,Smooth!J187*Controls!J$17*INDEX(Controls!$B$21:$H$21,1,WEEKDAY($A187,2))*(1+Controls!$B$11)^185*(1+Controls!O$25*Smooth!$L187)*(1+Controls!O$26*Smooth!$M187)*(1+Controls!O$27*Smooth!$N187)*(1+Controls!O$28*Smooth!$O187)),2))</f>
        <v/>
      </c>
      <c r="K187" s="10" t="str">
        <f t="array" ref="K187">IF(OR($A187="",10&gt;Controls!$B$6),"",ROUND(MAX(0,Smooth!K187*Controls!K$17*INDEX(Controls!$B$21:$H$21,1,WEEKDAY($A187,2))*(1+Controls!$B$11)^185*(1+Controls!P$25*Smooth!$L187)*(1+Controls!P$26*Smooth!$M187)*(1+Controls!P$27*Smooth!$N187)*(1+Controls!P$28*Smooth!$O187)),2))</f>
        <v/>
      </c>
      <c r="L187" s="18" t="str">
        <f t="shared" si="1"/>
        <v/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21.0" customHeight="1">
      <c r="A188" s="7" t="str">
        <f>IF(187&lt;=Controls!$B$5,Controls!$B$4+186,"")</f>
        <v/>
      </c>
      <c r="B188" s="10" t="str">
        <f t="array" ref="B188">IF(OR($A188="",1&gt;Controls!$B$6),"",ROUND(MAX(0,Smooth!B188*Controls!B$17*INDEX(Controls!$B$21:$H$21,1,WEEKDAY($A188,2))*(1+Controls!$B$11)^186*(1+Controls!G$25*Smooth!$L188)*(1+Controls!G$26*Smooth!$M188)*(1+Controls!G$27*Smooth!$N188)*(1+Controls!G$28*Smooth!$O188)),2))</f>
        <v/>
      </c>
      <c r="C188" s="10" t="str">
        <f t="array" ref="C188">IF(OR($A188="",2&gt;Controls!$B$6),"",ROUND(MAX(0,Smooth!C188*Controls!C$17*INDEX(Controls!$B$21:$H$21,1,WEEKDAY($A188,2))*(1+Controls!$B$11)^186*(1+Controls!H$25*Smooth!$L188)*(1+Controls!H$26*Smooth!$M188)*(1+Controls!H$27*Smooth!$N188)*(1+Controls!H$28*Smooth!$O188)),2))</f>
        <v/>
      </c>
      <c r="D188" s="10" t="str">
        <f t="array" ref="D188">IF(OR($A188="",3&gt;Controls!$B$6),"",ROUND(MAX(0,Smooth!D188*Controls!D$17*INDEX(Controls!$B$21:$H$21,1,WEEKDAY($A188,2))*(1+Controls!$B$11)^186*(1+Controls!I$25*Smooth!$L188)*(1+Controls!I$26*Smooth!$M188)*(1+Controls!I$27*Smooth!$N188)*(1+Controls!I$28*Smooth!$O188)),2))</f>
        <v/>
      </c>
      <c r="E188" s="10" t="str">
        <f t="array" ref="E188">IF(OR($A188="",4&gt;Controls!$B$6),"",ROUND(MAX(0,Smooth!E188*Controls!E$17*INDEX(Controls!$B$21:$H$21,1,WEEKDAY($A188,2))*(1+Controls!$B$11)^186*(1+Controls!J$25*Smooth!$L188)*(1+Controls!J$26*Smooth!$M188)*(1+Controls!J$27*Smooth!$N188)*(1+Controls!J$28*Smooth!$O188)),2))</f>
        <v/>
      </c>
      <c r="F188" s="10" t="str">
        <f t="array" ref="F188">IF(OR($A188="",5&gt;Controls!$B$6),"",ROUND(MAX(0,Smooth!F188*Controls!F$17*INDEX(Controls!$B$21:$H$21,1,WEEKDAY($A188,2))*(1+Controls!$B$11)^186*(1+Controls!K$25*Smooth!$L188)*(1+Controls!K$26*Smooth!$M188)*(1+Controls!K$27*Smooth!$N188)*(1+Controls!K$28*Smooth!$O188)),2))</f>
        <v/>
      </c>
      <c r="G188" s="10" t="str">
        <f t="array" ref="G188">IF(OR($A188="",6&gt;Controls!$B$6),"",ROUND(MAX(0,Smooth!G188*Controls!G$17*INDEX(Controls!$B$21:$H$21,1,WEEKDAY($A188,2))*(1+Controls!$B$11)^186*(1+Controls!L$25*Smooth!$L188)*(1+Controls!L$26*Smooth!$M188)*(1+Controls!L$27*Smooth!$N188)*(1+Controls!L$28*Smooth!$O188)),2))</f>
        <v/>
      </c>
      <c r="H188" s="10" t="str">
        <f t="array" ref="H188">IF(OR($A188="",7&gt;Controls!$B$6),"",ROUND(MAX(0,Smooth!H188*Controls!H$17*INDEX(Controls!$B$21:$H$21,1,WEEKDAY($A188,2))*(1+Controls!$B$11)^186*(1+Controls!M$25*Smooth!$L188)*(1+Controls!M$26*Smooth!$M188)*(1+Controls!M$27*Smooth!$N188)*(1+Controls!M$28*Smooth!$O188)),2))</f>
        <v/>
      </c>
      <c r="I188" s="10" t="str">
        <f t="array" ref="I188">IF(OR($A188="",8&gt;Controls!$B$6),"",ROUND(MAX(0,Smooth!I188*Controls!I$17*INDEX(Controls!$B$21:$H$21,1,WEEKDAY($A188,2))*(1+Controls!$B$11)^186*(1+Controls!N$25*Smooth!$L188)*(1+Controls!N$26*Smooth!$M188)*(1+Controls!N$27*Smooth!$N188)*(1+Controls!N$28*Smooth!$O188)),2))</f>
        <v/>
      </c>
      <c r="J188" s="10" t="str">
        <f t="array" ref="J188">IF(OR($A188="",9&gt;Controls!$B$6),"",ROUND(MAX(0,Smooth!J188*Controls!J$17*INDEX(Controls!$B$21:$H$21,1,WEEKDAY($A188,2))*(1+Controls!$B$11)^186*(1+Controls!O$25*Smooth!$L188)*(1+Controls!O$26*Smooth!$M188)*(1+Controls!O$27*Smooth!$N188)*(1+Controls!O$28*Smooth!$O188)),2))</f>
        <v/>
      </c>
      <c r="K188" s="10" t="str">
        <f t="array" ref="K188">IF(OR($A188="",10&gt;Controls!$B$6),"",ROUND(MAX(0,Smooth!K188*Controls!K$17*INDEX(Controls!$B$21:$H$21,1,WEEKDAY($A188,2))*(1+Controls!$B$11)^186*(1+Controls!P$25*Smooth!$L188)*(1+Controls!P$26*Smooth!$M188)*(1+Controls!P$27*Smooth!$N188)*(1+Controls!P$28*Smooth!$O188)),2))</f>
        <v/>
      </c>
      <c r="L188" s="18" t="str">
        <f t="shared" si="1"/>
        <v/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21.0" customHeight="1">
      <c r="A189" s="7" t="str">
        <f>IF(188&lt;=Controls!$B$5,Controls!$B$4+187,"")</f>
        <v/>
      </c>
      <c r="B189" s="10" t="str">
        <f t="array" ref="B189">IF(OR($A189="",1&gt;Controls!$B$6),"",ROUND(MAX(0,Smooth!B189*Controls!B$17*INDEX(Controls!$B$21:$H$21,1,WEEKDAY($A189,2))*(1+Controls!$B$11)^187*(1+Controls!G$25*Smooth!$L189)*(1+Controls!G$26*Smooth!$M189)*(1+Controls!G$27*Smooth!$N189)*(1+Controls!G$28*Smooth!$O189)),2))</f>
        <v/>
      </c>
      <c r="C189" s="10" t="str">
        <f t="array" ref="C189">IF(OR($A189="",2&gt;Controls!$B$6),"",ROUND(MAX(0,Smooth!C189*Controls!C$17*INDEX(Controls!$B$21:$H$21,1,WEEKDAY($A189,2))*(1+Controls!$B$11)^187*(1+Controls!H$25*Smooth!$L189)*(1+Controls!H$26*Smooth!$M189)*(1+Controls!H$27*Smooth!$N189)*(1+Controls!H$28*Smooth!$O189)),2))</f>
        <v/>
      </c>
      <c r="D189" s="10" t="str">
        <f t="array" ref="D189">IF(OR($A189="",3&gt;Controls!$B$6),"",ROUND(MAX(0,Smooth!D189*Controls!D$17*INDEX(Controls!$B$21:$H$21,1,WEEKDAY($A189,2))*(1+Controls!$B$11)^187*(1+Controls!I$25*Smooth!$L189)*(1+Controls!I$26*Smooth!$M189)*(1+Controls!I$27*Smooth!$N189)*(1+Controls!I$28*Smooth!$O189)),2))</f>
        <v/>
      </c>
      <c r="E189" s="10" t="str">
        <f t="array" ref="E189">IF(OR($A189="",4&gt;Controls!$B$6),"",ROUND(MAX(0,Smooth!E189*Controls!E$17*INDEX(Controls!$B$21:$H$21,1,WEEKDAY($A189,2))*(1+Controls!$B$11)^187*(1+Controls!J$25*Smooth!$L189)*(1+Controls!J$26*Smooth!$M189)*(1+Controls!J$27*Smooth!$N189)*(1+Controls!J$28*Smooth!$O189)),2))</f>
        <v/>
      </c>
      <c r="F189" s="10" t="str">
        <f t="array" ref="F189">IF(OR($A189="",5&gt;Controls!$B$6),"",ROUND(MAX(0,Smooth!F189*Controls!F$17*INDEX(Controls!$B$21:$H$21,1,WEEKDAY($A189,2))*(1+Controls!$B$11)^187*(1+Controls!K$25*Smooth!$L189)*(1+Controls!K$26*Smooth!$M189)*(1+Controls!K$27*Smooth!$N189)*(1+Controls!K$28*Smooth!$O189)),2))</f>
        <v/>
      </c>
      <c r="G189" s="10" t="str">
        <f t="array" ref="G189">IF(OR($A189="",6&gt;Controls!$B$6),"",ROUND(MAX(0,Smooth!G189*Controls!G$17*INDEX(Controls!$B$21:$H$21,1,WEEKDAY($A189,2))*(1+Controls!$B$11)^187*(1+Controls!L$25*Smooth!$L189)*(1+Controls!L$26*Smooth!$M189)*(1+Controls!L$27*Smooth!$N189)*(1+Controls!L$28*Smooth!$O189)),2))</f>
        <v/>
      </c>
      <c r="H189" s="10" t="str">
        <f t="array" ref="H189">IF(OR($A189="",7&gt;Controls!$B$6),"",ROUND(MAX(0,Smooth!H189*Controls!H$17*INDEX(Controls!$B$21:$H$21,1,WEEKDAY($A189,2))*(1+Controls!$B$11)^187*(1+Controls!M$25*Smooth!$L189)*(1+Controls!M$26*Smooth!$M189)*(1+Controls!M$27*Smooth!$N189)*(1+Controls!M$28*Smooth!$O189)),2))</f>
        <v/>
      </c>
      <c r="I189" s="10" t="str">
        <f t="array" ref="I189">IF(OR($A189="",8&gt;Controls!$B$6),"",ROUND(MAX(0,Smooth!I189*Controls!I$17*INDEX(Controls!$B$21:$H$21,1,WEEKDAY($A189,2))*(1+Controls!$B$11)^187*(1+Controls!N$25*Smooth!$L189)*(1+Controls!N$26*Smooth!$M189)*(1+Controls!N$27*Smooth!$N189)*(1+Controls!N$28*Smooth!$O189)),2))</f>
        <v/>
      </c>
      <c r="J189" s="10" t="str">
        <f t="array" ref="J189">IF(OR($A189="",9&gt;Controls!$B$6),"",ROUND(MAX(0,Smooth!J189*Controls!J$17*INDEX(Controls!$B$21:$H$21,1,WEEKDAY($A189,2))*(1+Controls!$B$11)^187*(1+Controls!O$25*Smooth!$L189)*(1+Controls!O$26*Smooth!$M189)*(1+Controls!O$27*Smooth!$N189)*(1+Controls!O$28*Smooth!$O189)),2))</f>
        <v/>
      </c>
      <c r="K189" s="10" t="str">
        <f t="array" ref="K189">IF(OR($A189="",10&gt;Controls!$B$6),"",ROUND(MAX(0,Smooth!K189*Controls!K$17*INDEX(Controls!$B$21:$H$21,1,WEEKDAY($A189,2))*(1+Controls!$B$11)^187*(1+Controls!P$25*Smooth!$L189)*(1+Controls!P$26*Smooth!$M189)*(1+Controls!P$27*Smooth!$N189)*(1+Controls!P$28*Smooth!$O189)),2))</f>
        <v/>
      </c>
      <c r="L189" s="18" t="str">
        <f t="shared" si="1"/>
        <v/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21.0" customHeight="1">
      <c r="A190" s="7" t="str">
        <f>IF(189&lt;=Controls!$B$5,Controls!$B$4+188,"")</f>
        <v/>
      </c>
      <c r="B190" s="10" t="str">
        <f t="array" ref="B190">IF(OR($A190="",1&gt;Controls!$B$6),"",ROUND(MAX(0,Smooth!B190*Controls!B$17*INDEX(Controls!$B$21:$H$21,1,WEEKDAY($A190,2))*(1+Controls!$B$11)^188*(1+Controls!G$25*Smooth!$L190)*(1+Controls!G$26*Smooth!$M190)*(1+Controls!G$27*Smooth!$N190)*(1+Controls!G$28*Smooth!$O190)),2))</f>
        <v/>
      </c>
      <c r="C190" s="10" t="str">
        <f t="array" ref="C190">IF(OR($A190="",2&gt;Controls!$B$6),"",ROUND(MAX(0,Smooth!C190*Controls!C$17*INDEX(Controls!$B$21:$H$21,1,WEEKDAY($A190,2))*(1+Controls!$B$11)^188*(1+Controls!H$25*Smooth!$L190)*(1+Controls!H$26*Smooth!$M190)*(1+Controls!H$27*Smooth!$N190)*(1+Controls!H$28*Smooth!$O190)),2))</f>
        <v/>
      </c>
      <c r="D190" s="10" t="str">
        <f t="array" ref="D190">IF(OR($A190="",3&gt;Controls!$B$6),"",ROUND(MAX(0,Smooth!D190*Controls!D$17*INDEX(Controls!$B$21:$H$21,1,WEEKDAY($A190,2))*(1+Controls!$B$11)^188*(1+Controls!I$25*Smooth!$L190)*(1+Controls!I$26*Smooth!$M190)*(1+Controls!I$27*Smooth!$N190)*(1+Controls!I$28*Smooth!$O190)),2))</f>
        <v/>
      </c>
      <c r="E190" s="10" t="str">
        <f t="array" ref="E190">IF(OR($A190="",4&gt;Controls!$B$6),"",ROUND(MAX(0,Smooth!E190*Controls!E$17*INDEX(Controls!$B$21:$H$21,1,WEEKDAY($A190,2))*(1+Controls!$B$11)^188*(1+Controls!J$25*Smooth!$L190)*(1+Controls!J$26*Smooth!$M190)*(1+Controls!J$27*Smooth!$N190)*(1+Controls!J$28*Smooth!$O190)),2))</f>
        <v/>
      </c>
      <c r="F190" s="10" t="str">
        <f t="array" ref="F190">IF(OR($A190="",5&gt;Controls!$B$6),"",ROUND(MAX(0,Smooth!F190*Controls!F$17*INDEX(Controls!$B$21:$H$21,1,WEEKDAY($A190,2))*(1+Controls!$B$11)^188*(1+Controls!K$25*Smooth!$L190)*(1+Controls!K$26*Smooth!$M190)*(1+Controls!K$27*Smooth!$N190)*(1+Controls!K$28*Smooth!$O190)),2))</f>
        <v/>
      </c>
      <c r="G190" s="10" t="str">
        <f t="array" ref="G190">IF(OR($A190="",6&gt;Controls!$B$6),"",ROUND(MAX(0,Smooth!G190*Controls!G$17*INDEX(Controls!$B$21:$H$21,1,WEEKDAY($A190,2))*(1+Controls!$B$11)^188*(1+Controls!L$25*Smooth!$L190)*(1+Controls!L$26*Smooth!$M190)*(1+Controls!L$27*Smooth!$N190)*(1+Controls!L$28*Smooth!$O190)),2))</f>
        <v/>
      </c>
      <c r="H190" s="10" t="str">
        <f t="array" ref="H190">IF(OR($A190="",7&gt;Controls!$B$6),"",ROUND(MAX(0,Smooth!H190*Controls!H$17*INDEX(Controls!$B$21:$H$21,1,WEEKDAY($A190,2))*(1+Controls!$B$11)^188*(1+Controls!M$25*Smooth!$L190)*(1+Controls!M$26*Smooth!$M190)*(1+Controls!M$27*Smooth!$N190)*(1+Controls!M$28*Smooth!$O190)),2))</f>
        <v/>
      </c>
      <c r="I190" s="10" t="str">
        <f t="array" ref="I190">IF(OR($A190="",8&gt;Controls!$B$6),"",ROUND(MAX(0,Smooth!I190*Controls!I$17*INDEX(Controls!$B$21:$H$21,1,WEEKDAY($A190,2))*(1+Controls!$B$11)^188*(1+Controls!N$25*Smooth!$L190)*(1+Controls!N$26*Smooth!$M190)*(1+Controls!N$27*Smooth!$N190)*(1+Controls!N$28*Smooth!$O190)),2))</f>
        <v/>
      </c>
      <c r="J190" s="10" t="str">
        <f t="array" ref="J190">IF(OR($A190="",9&gt;Controls!$B$6),"",ROUND(MAX(0,Smooth!J190*Controls!J$17*INDEX(Controls!$B$21:$H$21,1,WEEKDAY($A190,2))*(1+Controls!$B$11)^188*(1+Controls!O$25*Smooth!$L190)*(1+Controls!O$26*Smooth!$M190)*(1+Controls!O$27*Smooth!$N190)*(1+Controls!O$28*Smooth!$O190)),2))</f>
        <v/>
      </c>
      <c r="K190" s="10" t="str">
        <f t="array" ref="K190">IF(OR($A190="",10&gt;Controls!$B$6),"",ROUND(MAX(0,Smooth!K190*Controls!K$17*INDEX(Controls!$B$21:$H$21,1,WEEKDAY($A190,2))*(1+Controls!$B$11)^188*(1+Controls!P$25*Smooth!$L190)*(1+Controls!P$26*Smooth!$M190)*(1+Controls!P$27*Smooth!$N190)*(1+Controls!P$28*Smooth!$O190)),2))</f>
        <v/>
      </c>
      <c r="L190" s="18" t="str">
        <f t="shared" si="1"/>
        <v/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21.0" customHeight="1">
      <c r="A191" s="7" t="str">
        <f>IF(190&lt;=Controls!$B$5,Controls!$B$4+189,"")</f>
        <v/>
      </c>
      <c r="B191" s="10" t="str">
        <f t="array" ref="B191">IF(OR($A191="",1&gt;Controls!$B$6),"",ROUND(MAX(0,Smooth!B191*Controls!B$17*INDEX(Controls!$B$21:$H$21,1,WEEKDAY($A191,2))*(1+Controls!$B$11)^189*(1+Controls!G$25*Smooth!$L191)*(1+Controls!G$26*Smooth!$M191)*(1+Controls!G$27*Smooth!$N191)*(1+Controls!G$28*Smooth!$O191)),2))</f>
        <v/>
      </c>
      <c r="C191" s="10" t="str">
        <f t="array" ref="C191">IF(OR($A191="",2&gt;Controls!$B$6),"",ROUND(MAX(0,Smooth!C191*Controls!C$17*INDEX(Controls!$B$21:$H$21,1,WEEKDAY($A191,2))*(1+Controls!$B$11)^189*(1+Controls!H$25*Smooth!$L191)*(1+Controls!H$26*Smooth!$M191)*(1+Controls!H$27*Smooth!$N191)*(1+Controls!H$28*Smooth!$O191)),2))</f>
        <v/>
      </c>
      <c r="D191" s="10" t="str">
        <f t="array" ref="D191">IF(OR($A191="",3&gt;Controls!$B$6),"",ROUND(MAX(0,Smooth!D191*Controls!D$17*INDEX(Controls!$B$21:$H$21,1,WEEKDAY($A191,2))*(1+Controls!$B$11)^189*(1+Controls!I$25*Smooth!$L191)*(1+Controls!I$26*Smooth!$M191)*(1+Controls!I$27*Smooth!$N191)*(1+Controls!I$28*Smooth!$O191)),2))</f>
        <v/>
      </c>
      <c r="E191" s="10" t="str">
        <f t="array" ref="E191">IF(OR($A191="",4&gt;Controls!$B$6),"",ROUND(MAX(0,Smooth!E191*Controls!E$17*INDEX(Controls!$B$21:$H$21,1,WEEKDAY($A191,2))*(1+Controls!$B$11)^189*(1+Controls!J$25*Smooth!$L191)*(1+Controls!J$26*Smooth!$M191)*(1+Controls!J$27*Smooth!$N191)*(1+Controls!J$28*Smooth!$O191)),2))</f>
        <v/>
      </c>
      <c r="F191" s="10" t="str">
        <f t="array" ref="F191">IF(OR($A191="",5&gt;Controls!$B$6),"",ROUND(MAX(0,Smooth!F191*Controls!F$17*INDEX(Controls!$B$21:$H$21,1,WEEKDAY($A191,2))*(1+Controls!$B$11)^189*(1+Controls!K$25*Smooth!$L191)*(1+Controls!K$26*Smooth!$M191)*(1+Controls!K$27*Smooth!$N191)*(1+Controls!K$28*Smooth!$O191)),2))</f>
        <v/>
      </c>
      <c r="G191" s="10" t="str">
        <f t="array" ref="G191">IF(OR($A191="",6&gt;Controls!$B$6),"",ROUND(MAX(0,Smooth!G191*Controls!G$17*INDEX(Controls!$B$21:$H$21,1,WEEKDAY($A191,2))*(1+Controls!$B$11)^189*(1+Controls!L$25*Smooth!$L191)*(1+Controls!L$26*Smooth!$M191)*(1+Controls!L$27*Smooth!$N191)*(1+Controls!L$28*Smooth!$O191)),2))</f>
        <v/>
      </c>
      <c r="H191" s="10" t="str">
        <f t="array" ref="H191">IF(OR($A191="",7&gt;Controls!$B$6),"",ROUND(MAX(0,Smooth!H191*Controls!H$17*INDEX(Controls!$B$21:$H$21,1,WEEKDAY($A191,2))*(1+Controls!$B$11)^189*(1+Controls!M$25*Smooth!$L191)*(1+Controls!M$26*Smooth!$M191)*(1+Controls!M$27*Smooth!$N191)*(1+Controls!M$28*Smooth!$O191)),2))</f>
        <v/>
      </c>
      <c r="I191" s="10" t="str">
        <f t="array" ref="I191">IF(OR($A191="",8&gt;Controls!$B$6),"",ROUND(MAX(0,Smooth!I191*Controls!I$17*INDEX(Controls!$B$21:$H$21,1,WEEKDAY($A191,2))*(1+Controls!$B$11)^189*(1+Controls!N$25*Smooth!$L191)*(1+Controls!N$26*Smooth!$M191)*(1+Controls!N$27*Smooth!$N191)*(1+Controls!N$28*Smooth!$O191)),2))</f>
        <v/>
      </c>
      <c r="J191" s="10" t="str">
        <f t="array" ref="J191">IF(OR($A191="",9&gt;Controls!$B$6),"",ROUND(MAX(0,Smooth!J191*Controls!J$17*INDEX(Controls!$B$21:$H$21,1,WEEKDAY($A191,2))*(1+Controls!$B$11)^189*(1+Controls!O$25*Smooth!$L191)*(1+Controls!O$26*Smooth!$M191)*(1+Controls!O$27*Smooth!$N191)*(1+Controls!O$28*Smooth!$O191)),2))</f>
        <v/>
      </c>
      <c r="K191" s="10" t="str">
        <f t="array" ref="K191">IF(OR($A191="",10&gt;Controls!$B$6),"",ROUND(MAX(0,Smooth!K191*Controls!K$17*INDEX(Controls!$B$21:$H$21,1,WEEKDAY($A191,2))*(1+Controls!$B$11)^189*(1+Controls!P$25*Smooth!$L191)*(1+Controls!P$26*Smooth!$M191)*(1+Controls!P$27*Smooth!$N191)*(1+Controls!P$28*Smooth!$O191)),2))</f>
        <v/>
      </c>
      <c r="L191" s="18" t="str">
        <f t="shared" si="1"/>
        <v/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21.0" customHeight="1">
      <c r="A192" s="7" t="str">
        <f>IF(191&lt;=Controls!$B$5,Controls!$B$4+190,"")</f>
        <v/>
      </c>
      <c r="B192" s="10" t="str">
        <f t="array" ref="B192">IF(OR($A192="",1&gt;Controls!$B$6),"",ROUND(MAX(0,Smooth!B192*Controls!B$17*INDEX(Controls!$B$21:$H$21,1,WEEKDAY($A192,2))*(1+Controls!$B$11)^190*(1+Controls!G$25*Smooth!$L192)*(1+Controls!G$26*Smooth!$M192)*(1+Controls!G$27*Smooth!$N192)*(1+Controls!G$28*Smooth!$O192)),2))</f>
        <v/>
      </c>
      <c r="C192" s="10" t="str">
        <f t="array" ref="C192">IF(OR($A192="",2&gt;Controls!$B$6),"",ROUND(MAX(0,Smooth!C192*Controls!C$17*INDEX(Controls!$B$21:$H$21,1,WEEKDAY($A192,2))*(1+Controls!$B$11)^190*(1+Controls!H$25*Smooth!$L192)*(1+Controls!H$26*Smooth!$M192)*(1+Controls!H$27*Smooth!$N192)*(1+Controls!H$28*Smooth!$O192)),2))</f>
        <v/>
      </c>
      <c r="D192" s="10" t="str">
        <f t="array" ref="D192">IF(OR($A192="",3&gt;Controls!$B$6),"",ROUND(MAX(0,Smooth!D192*Controls!D$17*INDEX(Controls!$B$21:$H$21,1,WEEKDAY($A192,2))*(1+Controls!$B$11)^190*(1+Controls!I$25*Smooth!$L192)*(1+Controls!I$26*Smooth!$M192)*(1+Controls!I$27*Smooth!$N192)*(1+Controls!I$28*Smooth!$O192)),2))</f>
        <v/>
      </c>
      <c r="E192" s="10" t="str">
        <f t="array" ref="E192">IF(OR($A192="",4&gt;Controls!$B$6),"",ROUND(MAX(0,Smooth!E192*Controls!E$17*INDEX(Controls!$B$21:$H$21,1,WEEKDAY($A192,2))*(1+Controls!$B$11)^190*(1+Controls!J$25*Smooth!$L192)*(1+Controls!J$26*Smooth!$M192)*(1+Controls!J$27*Smooth!$N192)*(1+Controls!J$28*Smooth!$O192)),2))</f>
        <v/>
      </c>
      <c r="F192" s="10" t="str">
        <f t="array" ref="F192">IF(OR($A192="",5&gt;Controls!$B$6),"",ROUND(MAX(0,Smooth!F192*Controls!F$17*INDEX(Controls!$B$21:$H$21,1,WEEKDAY($A192,2))*(1+Controls!$B$11)^190*(1+Controls!K$25*Smooth!$L192)*(1+Controls!K$26*Smooth!$M192)*(1+Controls!K$27*Smooth!$N192)*(1+Controls!K$28*Smooth!$O192)),2))</f>
        <v/>
      </c>
      <c r="G192" s="10" t="str">
        <f t="array" ref="G192">IF(OR($A192="",6&gt;Controls!$B$6),"",ROUND(MAX(0,Smooth!G192*Controls!G$17*INDEX(Controls!$B$21:$H$21,1,WEEKDAY($A192,2))*(1+Controls!$B$11)^190*(1+Controls!L$25*Smooth!$L192)*(1+Controls!L$26*Smooth!$M192)*(1+Controls!L$27*Smooth!$N192)*(1+Controls!L$28*Smooth!$O192)),2))</f>
        <v/>
      </c>
      <c r="H192" s="10" t="str">
        <f t="array" ref="H192">IF(OR($A192="",7&gt;Controls!$B$6),"",ROUND(MAX(0,Smooth!H192*Controls!H$17*INDEX(Controls!$B$21:$H$21,1,WEEKDAY($A192,2))*(1+Controls!$B$11)^190*(1+Controls!M$25*Smooth!$L192)*(1+Controls!M$26*Smooth!$M192)*(1+Controls!M$27*Smooth!$N192)*(1+Controls!M$28*Smooth!$O192)),2))</f>
        <v/>
      </c>
      <c r="I192" s="10" t="str">
        <f t="array" ref="I192">IF(OR($A192="",8&gt;Controls!$B$6),"",ROUND(MAX(0,Smooth!I192*Controls!I$17*INDEX(Controls!$B$21:$H$21,1,WEEKDAY($A192,2))*(1+Controls!$B$11)^190*(1+Controls!N$25*Smooth!$L192)*(1+Controls!N$26*Smooth!$M192)*(1+Controls!N$27*Smooth!$N192)*(1+Controls!N$28*Smooth!$O192)),2))</f>
        <v/>
      </c>
      <c r="J192" s="10" t="str">
        <f t="array" ref="J192">IF(OR($A192="",9&gt;Controls!$B$6),"",ROUND(MAX(0,Smooth!J192*Controls!J$17*INDEX(Controls!$B$21:$H$21,1,WEEKDAY($A192,2))*(1+Controls!$B$11)^190*(1+Controls!O$25*Smooth!$L192)*(1+Controls!O$26*Smooth!$M192)*(1+Controls!O$27*Smooth!$N192)*(1+Controls!O$28*Smooth!$O192)),2))</f>
        <v/>
      </c>
      <c r="K192" s="10" t="str">
        <f t="array" ref="K192">IF(OR($A192="",10&gt;Controls!$B$6),"",ROUND(MAX(0,Smooth!K192*Controls!K$17*INDEX(Controls!$B$21:$H$21,1,WEEKDAY($A192,2))*(1+Controls!$B$11)^190*(1+Controls!P$25*Smooth!$L192)*(1+Controls!P$26*Smooth!$M192)*(1+Controls!P$27*Smooth!$N192)*(1+Controls!P$28*Smooth!$O192)),2))</f>
        <v/>
      </c>
      <c r="L192" s="18" t="str">
        <f t="shared" si="1"/>
        <v/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21.0" customHeight="1">
      <c r="A193" s="7" t="str">
        <f>IF(192&lt;=Controls!$B$5,Controls!$B$4+191,"")</f>
        <v/>
      </c>
      <c r="B193" s="10" t="str">
        <f t="array" ref="B193">IF(OR($A193="",1&gt;Controls!$B$6),"",ROUND(MAX(0,Smooth!B193*Controls!B$17*INDEX(Controls!$B$21:$H$21,1,WEEKDAY($A193,2))*(1+Controls!$B$11)^191*(1+Controls!G$25*Smooth!$L193)*(1+Controls!G$26*Smooth!$M193)*(1+Controls!G$27*Smooth!$N193)*(1+Controls!G$28*Smooth!$O193)),2))</f>
        <v/>
      </c>
      <c r="C193" s="10" t="str">
        <f t="array" ref="C193">IF(OR($A193="",2&gt;Controls!$B$6),"",ROUND(MAX(0,Smooth!C193*Controls!C$17*INDEX(Controls!$B$21:$H$21,1,WEEKDAY($A193,2))*(1+Controls!$B$11)^191*(1+Controls!H$25*Smooth!$L193)*(1+Controls!H$26*Smooth!$M193)*(1+Controls!H$27*Smooth!$N193)*(1+Controls!H$28*Smooth!$O193)),2))</f>
        <v/>
      </c>
      <c r="D193" s="10" t="str">
        <f t="array" ref="D193">IF(OR($A193="",3&gt;Controls!$B$6),"",ROUND(MAX(0,Smooth!D193*Controls!D$17*INDEX(Controls!$B$21:$H$21,1,WEEKDAY($A193,2))*(1+Controls!$B$11)^191*(1+Controls!I$25*Smooth!$L193)*(1+Controls!I$26*Smooth!$M193)*(1+Controls!I$27*Smooth!$N193)*(1+Controls!I$28*Smooth!$O193)),2))</f>
        <v/>
      </c>
      <c r="E193" s="10" t="str">
        <f t="array" ref="E193">IF(OR($A193="",4&gt;Controls!$B$6),"",ROUND(MAX(0,Smooth!E193*Controls!E$17*INDEX(Controls!$B$21:$H$21,1,WEEKDAY($A193,2))*(1+Controls!$B$11)^191*(1+Controls!J$25*Smooth!$L193)*(1+Controls!J$26*Smooth!$M193)*(1+Controls!J$27*Smooth!$N193)*(1+Controls!J$28*Smooth!$O193)),2))</f>
        <v/>
      </c>
      <c r="F193" s="10" t="str">
        <f t="array" ref="F193">IF(OR($A193="",5&gt;Controls!$B$6),"",ROUND(MAX(0,Smooth!F193*Controls!F$17*INDEX(Controls!$B$21:$H$21,1,WEEKDAY($A193,2))*(1+Controls!$B$11)^191*(1+Controls!K$25*Smooth!$L193)*(1+Controls!K$26*Smooth!$M193)*(1+Controls!K$27*Smooth!$N193)*(1+Controls!K$28*Smooth!$O193)),2))</f>
        <v/>
      </c>
      <c r="G193" s="10" t="str">
        <f t="array" ref="G193">IF(OR($A193="",6&gt;Controls!$B$6),"",ROUND(MAX(0,Smooth!G193*Controls!G$17*INDEX(Controls!$B$21:$H$21,1,WEEKDAY($A193,2))*(1+Controls!$B$11)^191*(1+Controls!L$25*Smooth!$L193)*(1+Controls!L$26*Smooth!$M193)*(1+Controls!L$27*Smooth!$N193)*(1+Controls!L$28*Smooth!$O193)),2))</f>
        <v/>
      </c>
      <c r="H193" s="10" t="str">
        <f t="array" ref="H193">IF(OR($A193="",7&gt;Controls!$B$6),"",ROUND(MAX(0,Smooth!H193*Controls!H$17*INDEX(Controls!$B$21:$H$21,1,WEEKDAY($A193,2))*(1+Controls!$B$11)^191*(1+Controls!M$25*Smooth!$L193)*(1+Controls!M$26*Smooth!$M193)*(1+Controls!M$27*Smooth!$N193)*(1+Controls!M$28*Smooth!$O193)),2))</f>
        <v/>
      </c>
      <c r="I193" s="10" t="str">
        <f t="array" ref="I193">IF(OR($A193="",8&gt;Controls!$B$6),"",ROUND(MAX(0,Smooth!I193*Controls!I$17*INDEX(Controls!$B$21:$H$21,1,WEEKDAY($A193,2))*(1+Controls!$B$11)^191*(1+Controls!N$25*Smooth!$L193)*(1+Controls!N$26*Smooth!$M193)*(1+Controls!N$27*Smooth!$N193)*(1+Controls!N$28*Smooth!$O193)),2))</f>
        <v/>
      </c>
      <c r="J193" s="10" t="str">
        <f t="array" ref="J193">IF(OR($A193="",9&gt;Controls!$B$6),"",ROUND(MAX(0,Smooth!J193*Controls!J$17*INDEX(Controls!$B$21:$H$21,1,WEEKDAY($A193,2))*(1+Controls!$B$11)^191*(1+Controls!O$25*Smooth!$L193)*(1+Controls!O$26*Smooth!$M193)*(1+Controls!O$27*Smooth!$N193)*(1+Controls!O$28*Smooth!$O193)),2))</f>
        <v/>
      </c>
      <c r="K193" s="10" t="str">
        <f t="array" ref="K193">IF(OR($A193="",10&gt;Controls!$B$6),"",ROUND(MAX(0,Smooth!K193*Controls!K$17*INDEX(Controls!$B$21:$H$21,1,WEEKDAY($A193,2))*(1+Controls!$B$11)^191*(1+Controls!P$25*Smooth!$L193)*(1+Controls!P$26*Smooth!$M193)*(1+Controls!P$27*Smooth!$N193)*(1+Controls!P$28*Smooth!$O193)),2))</f>
        <v/>
      </c>
      <c r="L193" s="18" t="str">
        <f t="shared" si="1"/>
        <v/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21.0" customHeight="1">
      <c r="A194" s="7" t="str">
        <f>IF(193&lt;=Controls!$B$5,Controls!$B$4+192,"")</f>
        <v/>
      </c>
      <c r="B194" s="10" t="str">
        <f t="array" ref="B194">IF(OR($A194="",1&gt;Controls!$B$6),"",ROUND(MAX(0,Smooth!B194*Controls!B$17*INDEX(Controls!$B$21:$H$21,1,WEEKDAY($A194,2))*(1+Controls!$B$11)^192*(1+Controls!G$25*Smooth!$L194)*(1+Controls!G$26*Smooth!$M194)*(1+Controls!G$27*Smooth!$N194)*(1+Controls!G$28*Smooth!$O194)),2))</f>
        <v/>
      </c>
      <c r="C194" s="10" t="str">
        <f t="array" ref="C194">IF(OR($A194="",2&gt;Controls!$B$6),"",ROUND(MAX(0,Smooth!C194*Controls!C$17*INDEX(Controls!$B$21:$H$21,1,WEEKDAY($A194,2))*(1+Controls!$B$11)^192*(1+Controls!H$25*Smooth!$L194)*(1+Controls!H$26*Smooth!$M194)*(1+Controls!H$27*Smooth!$N194)*(1+Controls!H$28*Smooth!$O194)),2))</f>
        <v/>
      </c>
      <c r="D194" s="10" t="str">
        <f t="array" ref="D194">IF(OR($A194="",3&gt;Controls!$B$6),"",ROUND(MAX(0,Smooth!D194*Controls!D$17*INDEX(Controls!$B$21:$H$21,1,WEEKDAY($A194,2))*(1+Controls!$B$11)^192*(1+Controls!I$25*Smooth!$L194)*(1+Controls!I$26*Smooth!$M194)*(1+Controls!I$27*Smooth!$N194)*(1+Controls!I$28*Smooth!$O194)),2))</f>
        <v/>
      </c>
      <c r="E194" s="10" t="str">
        <f t="array" ref="E194">IF(OR($A194="",4&gt;Controls!$B$6),"",ROUND(MAX(0,Smooth!E194*Controls!E$17*INDEX(Controls!$B$21:$H$21,1,WEEKDAY($A194,2))*(1+Controls!$B$11)^192*(1+Controls!J$25*Smooth!$L194)*(1+Controls!J$26*Smooth!$M194)*(1+Controls!J$27*Smooth!$N194)*(1+Controls!J$28*Smooth!$O194)),2))</f>
        <v/>
      </c>
      <c r="F194" s="10" t="str">
        <f t="array" ref="F194">IF(OR($A194="",5&gt;Controls!$B$6),"",ROUND(MAX(0,Smooth!F194*Controls!F$17*INDEX(Controls!$B$21:$H$21,1,WEEKDAY($A194,2))*(1+Controls!$B$11)^192*(1+Controls!K$25*Smooth!$L194)*(1+Controls!K$26*Smooth!$M194)*(1+Controls!K$27*Smooth!$N194)*(1+Controls!K$28*Smooth!$O194)),2))</f>
        <v/>
      </c>
      <c r="G194" s="10" t="str">
        <f t="array" ref="G194">IF(OR($A194="",6&gt;Controls!$B$6),"",ROUND(MAX(0,Smooth!G194*Controls!G$17*INDEX(Controls!$B$21:$H$21,1,WEEKDAY($A194,2))*(1+Controls!$B$11)^192*(1+Controls!L$25*Smooth!$L194)*(1+Controls!L$26*Smooth!$M194)*(1+Controls!L$27*Smooth!$N194)*(1+Controls!L$28*Smooth!$O194)),2))</f>
        <v/>
      </c>
      <c r="H194" s="10" t="str">
        <f t="array" ref="H194">IF(OR($A194="",7&gt;Controls!$B$6),"",ROUND(MAX(0,Smooth!H194*Controls!H$17*INDEX(Controls!$B$21:$H$21,1,WEEKDAY($A194,2))*(1+Controls!$B$11)^192*(1+Controls!M$25*Smooth!$L194)*(1+Controls!M$26*Smooth!$M194)*(1+Controls!M$27*Smooth!$N194)*(1+Controls!M$28*Smooth!$O194)),2))</f>
        <v/>
      </c>
      <c r="I194" s="10" t="str">
        <f t="array" ref="I194">IF(OR($A194="",8&gt;Controls!$B$6),"",ROUND(MAX(0,Smooth!I194*Controls!I$17*INDEX(Controls!$B$21:$H$21,1,WEEKDAY($A194,2))*(1+Controls!$B$11)^192*(1+Controls!N$25*Smooth!$L194)*(1+Controls!N$26*Smooth!$M194)*(1+Controls!N$27*Smooth!$N194)*(1+Controls!N$28*Smooth!$O194)),2))</f>
        <v/>
      </c>
      <c r="J194" s="10" t="str">
        <f t="array" ref="J194">IF(OR($A194="",9&gt;Controls!$B$6),"",ROUND(MAX(0,Smooth!J194*Controls!J$17*INDEX(Controls!$B$21:$H$21,1,WEEKDAY($A194,2))*(1+Controls!$B$11)^192*(1+Controls!O$25*Smooth!$L194)*(1+Controls!O$26*Smooth!$M194)*(1+Controls!O$27*Smooth!$N194)*(1+Controls!O$28*Smooth!$O194)),2))</f>
        <v/>
      </c>
      <c r="K194" s="10" t="str">
        <f t="array" ref="K194">IF(OR($A194="",10&gt;Controls!$B$6),"",ROUND(MAX(0,Smooth!K194*Controls!K$17*INDEX(Controls!$B$21:$H$21,1,WEEKDAY($A194,2))*(1+Controls!$B$11)^192*(1+Controls!P$25*Smooth!$L194)*(1+Controls!P$26*Smooth!$M194)*(1+Controls!P$27*Smooth!$N194)*(1+Controls!P$28*Smooth!$O194)),2))</f>
        <v/>
      </c>
      <c r="L194" s="18" t="str">
        <f t="shared" si="1"/>
        <v/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21.0" customHeight="1">
      <c r="A195" s="7" t="str">
        <f>IF(194&lt;=Controls!$B$5,Controls!$B$4+193,"")</f>
        <v/>
      </c>
      <c r="B195" s="10" t="str">
        <f t="array" ref="B195">IF(OR($A195="",1&gt;Controls!$B$6),"",ROUND(MAX(0,Smooth!B195*Controls!B$17*INDEX(Controls!$B$21:$H$21,1,WEEKDAY($A195,2))*(1+Controls!$B$11)^193*(1+Controls!G$25*Smooth!$L195)*(1+Controls!G$26*Smooth!$M195)*(1+Controls!G$27*Smooth!$N195)*(1+Controls!G$28*Smooth!$O195)),2))</f>
        <v/>
      </c>
      <c r="C195" s="10" t="str">
        <f t="array" ref="C195">IF(OR($A195="",2&gt;Controls!$B$6),"",ROUND(MAX(0,Smooth!C195*Controls!C$17*INDEX(Controls!$B$21:$H$21,1,WEEKDAY($A195,2))*(1+Controls!$B$11)^193*(1+Controls!H$25*Smooth!$L195)*(1+Controls!H$26*Smooth!$M195)*(1+Controls!H$27*Smooth!$N195)*(1+Controls!H$28*Smooth!$O195)),2))</f>
        <v/>
      </c>
      <c r="D195" s="10" t="str">
        <f t="array" ref="D195">IF(OR($A195="",3&gt;Controls!$B$6),"",ROUND(MAX(0,Smooth!D195*Controls!D$17*INDEX(Controls!$B$21:$H$21,1,WEEKDAY($A195,2))*(1+Controls!$B$11)^193*(1+Controls!I$25*Smooth!$L195)*(1+Controls!I$26*Smooth!$M195)*(1+Controls!I$27*Smooth!$N195)*(1+Controls!I$28*Smooth!$O195)),2))</f>
        <v/>
      </c>
      <c r="E195" s="10" t="str">
        <f t="array" ref="E195">IF(OR($A195="",4&gt;Controls!$B$6),"",ROUND(MAX(0,Smooth!E195*Controls!E$17*INDEX(Controls!$B$21:$H$21,1,WEEKDAY($A195,2))*(1+Controls!$B$11)^193*(1+Controls!J$25*Smooth!$L195)*(1+Controls!J$26*Smooth!$M195)*(1+Controls!J$27*Smooth!$N195)*(1+Controls!J$28*Smooth!$O195)),2))</f>
        <v/>
      </c>
      <c r="F195" s="10" t="str">
        <f t="array" ref="F195">IF(OR($A195="",5&gt;Controls!$B$6),"",ROUND(MAX(0,Smooth!F195*Controls!F$17*INDEX(Controls!$B$21:$H$21,1,WEEKDAY($A195,2))*(1+Controls!$B$11)^193*(1+Controls!K$25*Smooth!$L195)*(1+Controls!K$26*Smooth!$M195)*(1+Controls!K$27*Smooth!$N195)*(1+Controls!K$28*Smooth!$O195)),2))</f>
        <v/>
      </c>
      <c r="G195" s="10" t="str">
        <f t="array" ref="G195">IF(OR($A195="",6&gt;Controls!$B$6),"",ROUND(MAX(0,Smooth!G195*Controls!G$17*INDEX(Controls!$B$21:$H$21,1,WEEKDAY($A195,2))*(1+Controls!$B$11)^193*(1+Controls!L$25*Smooth!$L195)*(1+Controls!L$26*Smooth!$M195)*(1+Controls!L$27*Smooth!$N195)*(1+Controls!L$28*Smooth!$O195)),2))</f>
        <v/>
      </c>
      <c r="H195" s="10" t="str">
        <f t="array" ref="H195">IF(OR($A195="",7&gt;Controls!$B$6),"",ROUND(MAX(0,Smooth!H195*Controls!H$17*INDEX(Controls!$B$21:$H$21,1,WEEKDAY($A195,2))*(1+Controls!$B$11)^193*(1+Controls!M$25*Smooth!$L195)*(1+Controls!M$26*Smooth!$M195)*(1+Controls!M$27*Smooth!$N195)*(1+Controls!M$28*Smooth!$O195)),2))</f>
        <v/>
      </c>
      <c r="I195" s="10" t="str">
        <f t="array" ref="I195">IF(OR($A195="",8&gt;Controls!$B$6),"",ROUND(MAX(0,Smooth!I195*Controls!I$17*INDEX(Controls!$B$21:$H$21,1,WEEKDAY($A195,2))*(1+Controls!$B$11)^193*(1+Controls!N$25*Smooth!$L195)*(1+Controls!N$26*Smooth!$M195)*(1+Controls!N$27*Smooth!$N195)*(1+Controls!N$28*Smooth!$O195)),2))</f>
        <v/>
      </c>
      <c r="J195" s="10" t="str">
        <f t="array" ref="J195">IF(OR($A195="",9&gt;Controls!$B$6),"",ROUND(MAX(0,Smooth!J195*Controls!J$17*INDEX(Controls!$B$21:$H$21,1,WEEKDAY($A195,2))*(1+Controls!$B$11)^193*(1+Controls!O$25*Smooth!$L195)*(1+Controls!O$26*Smooth!$M195)*(1+Controls!O$27*Smooth!$N195)*(1+Controls!O$28*Smooth!$O195)),2))</f>
        <v/>
      </c>
      <c r="K195" s="10" t="str">
        <f t="array" ref="K195">IF(OR($A195="",10&gt;Controls!$B$6),"",ROUND(MAX(0,Smooth!K195*Controls!K$17*INDEX(Controls!$B$21:$H$21,1,WEEKDAY($A195,2))*(1+Controls!$B$11)^193*(1+Controls!P$25*Smooth!$L195)*(1+Controls!P$26*Smooth!$M195)*(1+Controls!P$27*Smooth!$N195)*(1+Controls!P$28*Smooth!$O195)),2))</f>
        <v/>
      </c>
      <c r="L195" s="18" t="str">
        <f t="shared" si="1"/>
        <v/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21.0" customHeight="1">
      <c r="A196" s="7" t="str">
        <f>IF(195&lt;=Controls!$B$5,Controls!$B$4+194,"")</f>
        <v/>
      </c>
      <c r="B196" s="10" t="str">
        <f t="array" ref="B196">IF(OR($A196="",1&gt;Controls!$B$6),"",ROUND(MAX(0,Smooth!B196*Controls!B$17*INDEX(Controls!$B$21:$H$21,1,WEEKDAY($A196,2))*(1+Controls!$B$11)^194*(1+Controls!G$25*Smooth!$L196)*(1+Controls!G$26*Smooth!$M196)*(1+Controls!G$27*Smooth!$N196)*(1+Controls!G$28*Smooth!$O196)),2))</f>
        <v/>
      </c>
      <c r="C196" s="10" t="str">
        <f t="array" ref="C196">IF(OR($A196="",2&gt;Controls!$B$6),"",ROUND(MAX(0,Smooth!C196*Controls!C$17*INDEX(Controls!$B$21:$H$21,1,WEEKDAY($A196,2))*(1+Controls!$B$11)^194*(1+Controls!H$25*Smooth!$L196)*(1+Controls!H$26*Smooth!$M196)*(1+Controls!H$27*Smooth!$N196)*(1+Controls!H$28*Smooth!$O196)),2))</f>
        <v/>
      </c>
      <c r="D196" s="10" t="str">
        <f t="array" ref="D196">IF(OR($A196="",3&gt;Controls!$B$6),"",ROUND(MAX(0,Smooth!D196*Controls!D$17*INDEX(Controls!$B$21:$H$21,1,WEEKDAY($A196,2))*(1+Controls!$B$11)^194*(1+Controls!I$25*Smooth!$L196)*(1+Controls!I$26*Smooth!$M196)*(1+Controls!I$27*Smooth!$N196)*(1+Controls!I$28*Smooth!$O196)),2))</f>
        <v/>
      </c>
      <c r="E196" s="10" t="str">
        <f t="array" ref="E196">IF(OR($A196="",4&gt;Controls!$B$6),"",ROUND(MAX(0,Smooth!E196*Controls!E$17*INDEX(Controls!$B$21:$H$21,1,WEEKDAY($A196,2))*(1+Controls!$B$11)^194*(1+Controls!J$25*Smooth!$L196)*(1+Controls!J$26*Smooth!$M196)*(1+Controls!J$27*Smooth!$N196)*(1+Controls!J$28*Smooth!$O196)),2))</f>
        <v/>
      </c>
      <c r="F196" s="10" t="str">
        <f t="array" ref="F196">IF(OR($A196="",5&gt;Controls!$B$6),"",ROUND(MAX(0,Smooth!F196*Controls!F$17*INDEX(Controls!$B$21:$H$21,1,WEEKDAY($A196,2))*(1+Controls!$B$11)^194*(1+Controls!K$25*Smooth!$L196)*(1+Controls!K$26*Smooth!$M196)*(1+Controls!K$27*Smooth!$N196)*(1+Controls!K$28*Smooth!$O196)),2))</f>
        <v/>
      </c>
      <c r="G196" s="10" t="str">
        <f t="array" ref="G196">IF(OR($A196="",6&gt;Controls!$B$6),"",ROUND(MAX(0,Smooth!G196*Controls!G$17*INDEX(Controls!$B$21:$H$21,1,WEEKDAY($A196,2))*(1+Controls!$B$11)^194*(1+Controls!L$25*Smooth!$L196)*(1+Controls!L$26*Smooth!$M196)*(1+Controls!L$27*Smooth!$N196)*(1+Controls!L$28*Smooth!$O196)),2))</f>
        <v/>
      </c>
      <c r="H196" s="10" t="str">
        <f t="array" ref="H196">IF(OR($A196="",7&gt;Controls!$B$6),"",ROUND(MAX(0,Smooth!H196*Controls!H$17*INDEX(Controls!$B$21:$H$21,1,WEEKDAY($A196,2))*(1+Controls!$B$11)^194*(1+Controls!M$25*Smooth!$L196)*(1+Controls!M$26*Smooth!$M196)*(1+Controls!M$27*Smooth!$N196)*(1+Controls!M$28*Smooth!$O196)),2))</f>
        <v/>
      </c>
      <c r="I196" s="10" t="str">
        <f t="array" ref="I196">IF(OR($A196="",8&gt;Controls!$B$6),"",ROUND(MAX(0,Smooth!I196*Controls!I$17*INDEX(Controls!$B$21:$H$21,1,WEEKDAY($A196,2))*(1+Controls!$B$11)^194*(1+Controls!N$25*Smooth!$L196)*(1+Controls!N$26*Smooth!$M196)*(1+Controls!N$27*Smooth!$N196)*(1+Controls!N$28*Smooth!$O196)),2))</f>
        <v/>
      </c>
      <c r="J196" s="10" t="str">
        <f t="array" ref="J196">IF(OR($A196="",9&gt;Controls!$B$6),"",ROUND(MAX(0,Smooth!J196*Controls!J$17*INDEX(Controls!$B$21:$H$21,1,WEEKDAY($A196,2))*(1+Controls!$B$11)^194*(1+Controls!O$25*Smooth!$L196)*(1+Controls!O$26*Smooth!$M196)*(1+Controls!O$27*Smooth!$N196)*(1+Controls!O$28*Smooth!$O196)),2))</f>
        <v/>
      </c>
      <c r="K196" s="10" t="str">
        <f t="array" ref="K196">IF(OR($A196="",10&gt;Controls!$B$6),"",ROUND(MAX(0,Smooth!K196*Controls!K$17*INDEX(Controls!$B$21:$H$21,1,WEEKDAY($A196,2))*(1+Controls!$B$11)^194*(1+Controls!P$25*Smooth!$L196)*(1+Controls!P$26*Smooth!$M196)*(1+Controls!P$27*Smooth!$N196)*(1+Controls!P$28*Smooth!$O196)),2))</f>
        <v/>
      </c>
      <c r="L196" s="18" t="str">
        <f t="shared" si="1"/>
        <v/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21.0" customHeight="1">
      <c r="A197" s="7" t="str">
        <f>IF(196&lt;=Controls!$B$5,Controls!$B$4+195,"")</f>
        <v/>
      </c>
      <c r="B197" s="10" t="str">
        <f t="array" ref="B197">IF(OR($A197="",1&gt;Controls!$B$6),"",ROUND(MAX(0,Smooth!B197*Controls!B$17*INDEX(Controls!$B$21:$H$21,1,WEEKDAY($A197,2))*(1+Controls!$B$11)^195*(1+Controls!G$25*Smooth!$L197)*(1+Controls!G$26*Smooth!$M197)*(1+Controls!G$27*Smooth!$N197)*(1+Controls!G$28*Smooth!$O197)),2))</f>
        <v/>
      </c>
      <c r="C197" s="10" t="str">
        <f t="array" ref="C197">IF(OR($A197="",2&gt;Controls!$B$6),"",ROUND(MAX(0,Smooth!C197*Controls!C$17*INDEX(Controls!$B$21:$H$21,1,WEEKDAY($A197,2))*(1+Controls!$B$11)^195*(1+Controls!H$25*Smooth!$L197)*(1+Controls!H$26*Smooth!$M197)*(1+Controls!H$27*Smooth!$N197)*(1+Controls!H$28*Smooth!$O197)),2))</f>
        <v/>
      </c>
      <c r="D197" s="10" t="str">
        <f t="array" ref="D197">IF(OR($A197="",3&gt;Controls!$B$6),"",ROUND(MAX(0,Smooth!D197*Controls!D$17*INDEX(Controls!$B$21:$H$21,1,WEEKDAY($A197,2))*(1+Controls!$B$11)^195*(1+Controls!I$25*Smooth!$L197)*(1+Controls!I$26*Smooth!$M197)*(1+Controls!I$27*Smooth!$N197)*(1+Controls!I$28*Smooth!$O197)),2))</f>
        <v/>
      </c>
      <c r="E197" s="10" t="str">
        <f t="array" ref="E197">IF(OR($A197="",4&gt;Controls!$B$6),"",ROUND(MAX(0,Smooth!E197*Controls!E$17*INDEX(Controls!$B$21:$H$21,1,WEEKDAY($A197,2))*(1+Controls!$B$11)^195*(1+Controls!J$25*Smooth!$L197)*(1+Controls!J$26*Smooth!$M197)*(1+Controls!J$27*Smooth!$N197)*(1+Controls!J$28*Smooth!$O197)),2))</f>
        <v/>
      </c>
      <c r="F197" s="10" t="str">
        <f t="array" ref="F197">IF(OR($A197="",5&gt;Controls!$B$6),"",ROUND(MAX(0,Smooth!F197*Controls!F$17*INDEX(Controls!$B$21:$H$21,1,WEEKDAY($A197,2))*(1+Controls!$B$11)^195*(1+Controls!K$25*Smooth!$L197)*(1+Controls!K$26*Smooth!$M197)*(1+Controls!K$27*Smooth!$N197)*(1+Controls!K$28*Smooth!$O197)),2))</f>
        <v/>
      </c>
      <c r="G197" s="10" t="str">
        <f t="array" ref="G197">IF(OR($A197="",6&gt;Controls!$B$6),"",ROUND(MAX(0,Smooth!G197*Controls!G$17*INDEX(Controls!$B$21:$H$21,1,WEEKDAY($A197,2))*(1+Controls!$B$11)^195*(1+Controls!L$25*Smooth!$L197)*(1+Controls!L$26*Smooth!$M197)*(1+Controls!L$27*Smooth!$N197)*(1+Controls!L$28*Smooth!$O197)),2))</f>
        <v/>
      </c>
      <c r="H197" s="10" t="str">
        <f t="array" ref="H197">IF(OR($A197="",7&gt;Controls!$B$6),"",ROUND(MAX(0,Smooth!H197*Controls!H$17*INDEX(Controls!$B$21:$H$21,1,WEEKDAY($A197,2))*(1+Controls!$B$11)^195*(1+Controls!M$25*Smooth!$L197)*(1+Controls!M$26*Smooth!$M197)*(1+Controls!M$27*Smooth!$N197)*(1+Controls!M$28*Smooth!$O197)),2))</f>
        <v/>
      </c>
      <c r="I197" s="10" t="str">
        <f t="array" ref="I197">IF(OR($A197="",8&gt;Controls!$B$6),"",ROUND(MAX(0,Smooth!I197*Controls!I$17*INDEX(Controls!$B$21:$H$21,1,WEEKDAY($A197,2))*(1+Controls!$B$11)^195*(1+Controls!N$25*Smooth!$L197)*(1+Controls!N$26*Smooth!$M197)*(1+Controls!N$27*Smooth!$N197)*(1+Controls!N$28*Smooth!$O197)),2))</f>
        <v/>
      </c>
      <c r="J197" s="10" t="str">
        <f t="array" ref="J197">IF(OR($A197="",9&gt;Controls!$B$6),"",ROUND(MAX(0,Smooth!J197*Controls!J$17*INDEX(Controls!$B$21:$H$21,1,WEEKDAY($A197,2))*(1+Controls!$B$11)^195*(1+Controls!O$25*Smooth!$L197)*(1+Controls!O$26*Smooth!$M197)*(1+Controls!O$27*Smooth!$N197)*(1+Controls!O$28*Smooth!$O197)),2))</f>
        <v/>
      </c>
      <c r="K197" s="10" t="str">
        <f t="array" ref="K197">IF(OR($A197="",10&gt;Controls!$B$6),"",ROUND(MAX(0,Smooth!K197*Controls!K$17*INDEX(Controls!$B$21:$H$21,1,WEEKDAY($A197,2))*(1+Controls!$B$11)^195*(1+Controls!P$25*Smooth!$L197)*(1+Controls!P$26*Smooth!$M197)*(1+Controls!P$27*Smooth!$N197)*(1+Controls!P$28*Smooth!$O197)),2))</f>
        <v/>
      </c>
      <c r="L197" s="18" t="str">
        <f t="shared" si="1"/>
        <v/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21.0" customHeight="1">
      <c r="A198" s="7" t="str">
        <f>IF(197&lt;=Controls!$B$5,Controls!$B$4+196,"")</f>
        <v/>
      </c>
      <c r="B198" s="10" t="str">
        <f t="array" ref="B198">IF(OR($A198="",1&gt;Controls!$B$6),"",ROUND(MAX(0,Smooth!B198*Controls!B$17*INDEX(Controls!$B$21:$H$21,1,WEEKDAY($A198,2))*(1+Controls!$B$11)^196*(1+Controls!G$25*Smooth!$L198)*(1+Controls!G$26*Smooth!$M198)*(1+Controls!G$27*Smooth!$N198)*(1+Controls!G$28*Smooth!$O198)),2))</f>
        <v/>
      </c>
      <c r="C198" s="10" t="str">
        <f t="array" ref="C198">IF(OR($A198="",2&gt;Controls!$B$6),"",ROUND(MAX(0,Smooth!C198*Controls!C$17*INDEX(Controls!$B$21:$H$21,1,WEEKDAY($A198,2))*(1+Controls!$B$11)^196*(1+Controls!H$25*Smooth!$L198)*(1+Controls!H$26*Smooth!$M198)*(1+Controls!H$27*Smooth!$N198)*(1+Controls!H$28*Smooth!$O198)),2))</f>
        <v/>
      </c>
      <c r="D198" s="10" t="str">
        <f t="array" ref="D198">IF(OR($A198="",3&gt;Controls!$B$6),"",ROUND(MAX(0,Smooth!D198*Controls!D$17*INDEX(Controls!$B$21:$H$21,1,WEEKDAY($A198,2))*(1+Controls!$B$11)^196*(1+Controls!I$25*Smooth!$L198)*(1+Controls!I$26*Smooth!$M198)*(1+Controls!I$27*Smooth!$N198)*(1+Controls!I$28*Smooth!$O198)),2))</f>
        <v/>
      </c>
      <c r="E198" s="10" t="str">
        <f t="array" ref="E198">IF(OR($A198="",4&gt;Controls!$B$6),"",ROUND(MAX(0,Smooth!E198*Controls!E$17*INDEX(Controls!$B$21:$H$21,1,WEEKDAY($A198,2))*(1+Controls!$B$11)^196*(1+Controls!J$25*Smooth!$L198)*(1+Controls!J$26*Smooth!$M198)*(1+Controls!J$27*Smooth!$N198)*(1+Controls!J$28*Smooth!$O198)),2))</f>
        <v/>
      </c>
      <c r="F198" s="10" t="str">
        <f t="array" ref="F198">IF(OR($A198="",5&gt;Controls!$B$6),"",ROUND(MAX(0,Smooth!F198*Controls!F$17*INDEX(Controls!$B$21:$H$21,1,WEEKDAY($A198,2))*(1+Controls!$B$11)^196*(1+Controls!K$25*Smooth!$L198)*(1+Controls!K$26*Smooth!$M198)*(1+Controls!K$27*Smooth!$N198)*(1+Controls!K$28*Smooth!$O198)),2))</f>
        <v/>
      </c>
      <c r="G198" s="10" t="str">
        <f t="array" ref="G198">IF(OR($A198="",6&gt;Controls!$B$6),"",ROUND(MAX(0,Smooth!G198*Controls!G$17*INDEX(Controls!$B$21:$H$21,1,WEEKDAY($A198,2))*(1+Controls!$B$11)^196*(1+Controls!L$25*Smooth!$L198)*(1+Controls!L$26*Smooth!$M198)*(1+Controls!L$27*Smooth!$N198)*(1+Controls!L$28*Smooth!$O198)),2))</f>
        <v/>
      </c>
      <c r="H198" s="10" t="str">
        <f t="array" ref="H198">IF(OR($A198="",7&gt;Controls!$B$6),"",ROUND(MAX(0,Smooth!H198*Controls!H$17*INDEX(Controls!$B$21:$H$21,1,WEEKDAY($A198,2))*(1+Controls!$B$11)^196*(1+Controls!M$25*Smooth!$L198)*(1+Controls!M$26*Smooth!$M198)*(1+Controls!M$27*Smooth!$N198)*(1+Controls!M$28*Smooth!$O198)),2))</f>
        <v/>
      </c>
      <c r="I198" s="10" t="str">
        <f t="array" ref="I198">IF(OR($A198="",8&gt;Controls!$B$6),"",ROUND(MAX(0,Smooth!I198*Controls!I$17*INDEX(Controls!$B$21:$H$21,1,WEEKDAY($A198,2))*(1+Controls!$B$11)^196*(1+Controls!N$25*Smooth!$L198)*(1+Controls!N$26*Smooth!$M198)*(1+Controls!N$27*Smooth!$N198)*(1+Controls!N$28*Smooth!$O198)),2))</f>
        <v/>
      </c>
      <c r="J198" s="10" t="str">
        <f t="array" ref="J198">IF(OR($A198="",9&gt;Controls!$B$6),"",ROUND(MAX(0,Smooth!J198*Controls!J$17*INDEX(Controls!$B$21:$H$21,1,WEEKDAY($A198,2))*(1+Controls!$B$11)^196*(1+Controls!O$25*Smooth!$L198)*(1+Controls!O$26*Smooth!$M198)*(1+Controls!O$27*Smooth!$N198)*(1+Controls!O$28*Smooth!$O198)),2))</f>
        <v/>
      </c>
      <c r="K198" s="10" t="str">
        <f t="array" ref="K198">IF(OR($A198="",10&gt;Controls!$B$6),"",ROUND(MAX(0,Smooth!K198*Controls!K$17*INDEX(Controls!$B$21:$H$21,1,WEEKDAY($A198,2))*(1+Controls!$B$11)^196*(1+Controls!P$25*Smooth!$L198)*(1+Controls!P$26*Smooth!$M198)*(1+Controls!P$27*Smooth!$N198)*(1+Controls!P$28*Smooth!$O198)),2))</f>
        <v/>
      </c>
      <c r="L198" s="18" t="str">
        <f t="shared" si="1"/>
        <v/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21.0" customHeight="1">
      <c r="A199" s="7" t="str">
        <f>IF(198&lt;=Controls!$B$5,Controls!$B$4+197,"")</f>
        <v/>
      </c>
      <c r="B199" s="10" t="str">
        <f t="array" ref="B199">IF(OR($A199="",1&gt;Controls!$B$6),"",ROUND(MAX(0,Smooth!B199*Controls!B$17*INDEX(Controls!$B$21:$H$21,1,WEEKDAY($A199,2))*(1+Controls!$B$11)^197*(1+Controls!G$25*Smooth!$L199)*(1+Controls!G$26*Smooth!$M199)*(1+Controls!G$27*Smooth!$N199)*(1+Controls!G$28*Smooth!$O199)),2))</f>
        <v/>
      </c>
      <c r="C199" s="10" t="str">
        <f t="array" ref="C199">IF(OR($A199="",2&gt;Controls!$B$6),"",ROUND(MAX(0,Smooth!C199*Controls!C$17*INDEX(Controls!$B$21:$H$21,1,WEEKDAY($A199,2))*(1+Controls!$B$11)^197*(1+Controls!H$25*Smooth!$L199)*(1+Controls!H$26*Smooth!$M199)*(1+Controls!H$27*Smooth!$N199)*(1+Controls!H$28*Smooth!$O199)),2))</f>
        <v/>
      </c>
      <c r="D199" s="10" t="str">
        <f t="array" ref="D199">IF(OR($A199="",3&gt;Controls!$B$6),"",ROUND(MAX(0,Smooth!D199*Controls!D$17*INDEX(Controls!$B$21:$H$21,1,WEEKDAY($A199,2))*(1+Controls!$B$11)^197*(1+Controls!I$25*Smooth!$L199)*(1+Controls!I$26*Smooth!$M199)*(1+Controls!I$27*Smooth!$N199)*(1+Controls!I$28*Smooth!$O199)),2))</f>
        <v/>
      </c>
      <c r="E199" s="10" t="str">
        <f t="array" ref="E199">IF(OR($A199="",4&gt;Controls!$B$6),"",ROUND(MAX(0,Smooth!E199*Controls!E$17*INDEX(Controls!$B$21:$H$21,1,WEEKDAY($A199,2))*(1+Controls!$B$11)^197*(1+Controls!J$25*Smooth!$L199)*(1+Controls!J$26*Smooth!$M199)*(1+Controls!J$27*Smooth!$N199)*(1+Controls!J$28*Smooth!$O199)),2))</f>
        <v/>
      </c>
      <c r="F199" s="10" t="str">
        <f t="array" ref="F199">IF(OR($A199="",5&gt;Controls!$B$6),"",ROUND(MAX(0,Smooth!F199*Controls!F$17*INDEX(Controls!$B$21:$H$21,1,WEEKDAY($A199,2))*(1+Controls!$B$11)^197*(1+Controls!K$25*Smooth!$L199)*(1+Controls!K$26*Smooth!$M199)*(1+Controls!K$27*Smooth!$N199)*(1+Controls!K$28*Smooth!$O199)),2))</f>
        <v/>
      </c>
      <c r="G199" s="10" t="str">
        <f t="array" ref="G199">IF(OR($A199="",6&gt;Controls!$B$6),"",ROUND(MAX(0,Smooth!G199*Controls!G$17*INDEX(Controls!$B$21:$H$21,1,WEEKDAY($A199,2))*(1+Controls!$B$11)^197*(1+Controls!L$25*Smooth!$L199)*(1+Controls!L$26*Smooth!$M199)*(1+Controls!L$27*Smooth!$N199)*(1+Controls!L$28*Smooth!$O199)),2))</f>
        <v/>
      </c>
      <c r="H199" s="10" t="str">
        <f t="array" ref="H199">IF(OR($A199="",7&gt;Controls!$B$6),"",ROUND(MAX(0,Smooth!H199*Controls!H$17*INDEX(Controls!$B$21:$H$21,1,WEEKDAY($A199,2))*(1+Controls!$B$11)^197*(1+Controls!M$25*Smooth!$L199)*(1+Controls!M$26*Smooth!$M199)*(1+Controls!M$27*Smooth!$N199)*(1+Controls!M$28*Smooth!$O199)),2))</f>
        <v/>
      </c>
      <c r="I199" s="10" t="str">
        <f t="array" ref="I199">IF(OR($A199="",8&gt;Controls!$B$6),"",ROUND(MAX(0,Smooth!I199*Controls!I$17*INDEX(Controls!$B$21:$H$21,1,WEEKDAY($A199,2))*(1+Controls!$B$11)^197*(1+Controls!N$25*Smooth!$L199)*(1+Controls!N$26*Smooth!$M199)*(1+Controls!N$27*Smooth!$N199)*(1+Controls!N$28*Smooth!$O199)),2))</f>
        <v/>
      </c>
      <c r="J199" s="10" t="str">
        <f t="array" ref="J199">IF(OR($A199="",9&gt;Controls!$B$6),"",ROUND(MAX(0,Smooth!J199*Controls!J$17*INDEX(Controls!$B$21:$H$21,1,WEEKDAY($A199,2))*(1+Controls!$B$11)^197*(1+Controls!O$25*Smooth!$L199)*(1+Controls!O$26*Smooth!$M199)*(1+Controls!O$27*Smooth!$N199)*(1+Controls!O$28*Smooth!$O199)),2))</f>
        <v/>
      </c>
      <c r="K199" s="10" t="str">
        <f t="array" ref="K199">IF(OR($A199="",10&gt;Controls!$B$6),"",ROUND(MAX(0,Smooth!K199*Controls!K$17*INDEX(Controls!$B$21:$H$21,1,WEEKDAY($A199,2))*(1+Controls!$B$11)^197*(1+Controls!P$25*Smooth!$L199)*(1+Controls!P$26*Smooth!$M199)*(1+Controls!P$27*Smooth!$N199)*(1+Controls!P$28*Smooth!$O199)),2))</f>
        <v/>
      </c>
      <c r="L199" s="18" t="str">
        <f t="shared" si="1"/>
        <v/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21.0" customHeight="1">
      <c r="A200" s="7" t="str">
        <f>IF(199&lt;=Controls!$B$5,Controls!$B$4+198,"")</f>
        <v/>
      </c>
      <c r="B200" s="10" t="str">
        <f t="array" ref="B200">IF(OR($A200="",1&gt;Controls!$B$6),"",ROUND(MAX(0,Smooth!B200*Controls!B$17*INDEX(Controls!$B$21:$H$21,1,WEEKDAY($A200,2))*(1+Controls!$B$11)^198*(1+Controls!G$25*Smooth!$L200)*(1+Controls!G$26*Smooth!$M200)*(1+Controls!G$27*Smooth!$N200)*(1+Controls!G$28*Smooth!$O200)),2))</f>
        <v/>
      </c>
      <c r="C200" s="10" t="str">
        <f t="array" ref="C200">IF(OR($A200="",2&gt;Controls!$B$6),"",ROUND(MAX(0,Smooth!C200*Controls!C$17*INDEX(Controls!$B$21:$H$21,1,WEEKDAY($A200,2))*(1+Controls!$B$11)^198*(1+Controls!H$25*Smooth!$L200)*(1+Controls!H$26*Smooth!$M200)*(1+Controls!H$27*Smooth!$N200)*(1+Controls!H$28*Smooth!$O200)),2))</f>
        <v/>
      </c>
      <c r="D200" s="10" t="str">
        <f t="array" ref="D200">IF(OR($A200="",3&gt;Controls!$B$6),"",ROUND(MAX(0,Smooth!D200*Controls!D$17*INDEX(Controls!$B$21:$H$21,1,WEEKDAY($A200,2))*(1+Controls!$B$11)^198*(1+Controls!I$25*Smooth!$L200)*(1+Controls!I$26*Smooth!$M200)*(1+Controls!I$27*Smooth!$N200)*(1+Controls!I$28*Smooth!$O200)),2))</f>
        <v/>
      </c>
      <c r="E200" s="10" t="str">
        <f t="array" ref="E200">IF(OR($A200="",4&gt;Controls!$B$6),"",ROUND(MAX(0,Smooth!E200*Controls!E$17*INDEX(Controls!$B$21:$H$21,1,WEEKDAY($A200,2))*(1+Controls!$B$11)^198*(1+Controls!J$25*Smooth!$L200)*(1+Controls!J$26*Smooth!$M200)*(1+Controls!J$27*Smooth!$N200)*(1+Controls!J$28*Smooth!$O200)),2))</f>
        <v/>
      </c>
      <c r="F200" s="10" t="str">
        <f t="array" ref="F200">IF(OR($A200="",5&gt;Controls!$B$6),"",ROUND(MAX(0,Smooth!F200*Controls!F$17*INDEX(Controls!$B$21:$H$21,1,WEEKDAY($A200,2))*(1+Controls!$B$11)^198*(1+Controls!K$25*Smooth!$L200)*(1+Controls!K$26*Smooth!$M200)*(1+Controls!K$27*Smooth!$N200)*(1+Controls!K$28*Smooth!$O200)),2))</f>
        <v/>
      </c>
      <c r="G200" s="10" t="str">
        <f t="array" ref="G200">IF(OR($A200="",6&gt;Controls!$B$6),"",ROUND(MAX(0,Smooth!G200*Controls!G$17*INDEX(Controls!$B$21:$H$21,1,WEEKDAY($A200,2))*(1+Controls!$B$11)^198*(1+Controls!L$25*Smooth!$L200)*(1+Controls!L$26*Smooth!$M200)*(1+Controls!L$27*Smooth!$N200)*(1+Controls!L$28*Smooth!$O200)),2))</f>
        <v/>
      </c>
      <c r="H200" s="10" t="str">
        <f t="array" ref="H200">IF(OR($A200="",7&gt;Controls!$B$6),"",ROUND(MAX(0,Smooth!H200*Controls!H$17*INDEX(Controls!$B$21:$H$21,1,WEEKDAY($A200,2))*(1+Controls!$B$11)^198*(1+Controls!M$25*Smooth!$L200)*(1+Controls!M$26*Smooth!$M200)*(1+Controls!M$27*Smooth!$N200)*(1+Controls!M$28*Smooth!$O200)),2))</f>
        <v/>
      </c>
      <c r="I200" s="10" t="str">
        <f t="array" ref="I200">IF(OR($A200="",8&gt;Controls!$B$6),"",ROUND(MAX(0,Smooth!I200*Controls!I$17*INDEX(Controls!$B$21:$H$21,1,WEEKDAY($A200,2))*(1+Controls!$B$11)^198*(1+Controls!N$25*Smooth!$L200)*(1+Controls!N$26*Smooth!$M200)*(1+Controls!N$27*Smooth!$N200)*(1+Controls!N$28*Smooth!$O200)),2))</f>
        <v/>
      </c>
      <c r="J200" s="10" t="str">
        <f t="array" ref="J200">IF(OR($A200="",9&gt;Controls!$B$6),"",ROUND(MAX(0,Smooth!J200*Controls!J$17*INDEX(Controls!$B$21:$H$21,1,WEEKDAY($A200,2))*(1+Controls!$B$11)^198*(1+Controls!O$25*Smooth!$L200)*(1+Controls!O$26*Smooth!$M200)*(1+Controls!O$27*Smooth!$N200)*(1+Controls!O$28*Smooth!$O200)),2))</f>
        <v/>
      </c>
      <c r="K200" s="10" t="str">
        <f t="array" ref="K200">IF(OR($A200="",10&gt;Controls!$B$6),"",ROUND(MAX(0,Smooth!K200*Controls!K$17*INDEX(Controls!$B$21:$H$21,1,WEEKDAY($A200,2))*(1+Controls!$B$11)^198*(1+Controls!P$25*Smooth!$L200)*(1+Controls!P$26*Smooth!$M200)*(1+Controls!P$27*Smooth!$N200)*(1+Controls!P$28*Smooth!$O200)),2))</f>
        <v/>
      </c>
      <c r="L200" s="18" t="str">
        <f t="shared" si="1"/>
        <v/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21.0" customHeight="1">
      <c r="A201" s="7" t="str">
        <f>IF(200&lt;=Controls!$B$5,Controls!$B$4+199,"")</f>
        <v/>
      </c>
      <c r="B201" s="10" t="str">
        <f t="array" ref="B201">IF(OR($A201="",1&gt;Controls!$B$6),"",ROUND(MAX(0,Smooth!B201*Controls!B$17*INDEX(Controls!$B$21:$H$21,1,WEEKDAY($A201,2))*(1+Controls!$B$11)^199*(1+Controls!G$25*Smooth!$L201)*(1+Controls!G$26*Smooth!$M201)*(1+Controls!G$27*Smooth!$N201)*(1+Controls!G$28*Smooth!$O201)),2))</f>
        <v/>
      </c>
      <c r="C201" s="10" t="str">
        <f t="array" ref="C201">IF(OR($A201="",2&gt;Controls!$B$6),"",ROUND(MAX(0,Smooth!C201*Controls!C$17*INDEX(Controls!$B$21:$H$21,1,WEEKDAY($A201,2))*(1+Controls!$B$11)^199*(1+Controls!H$25*Smooth!$L201)*(1+Controls!H$26*Smooth!$M201)*(1+Controls!H$27*Smooth!$N201)*(1+Controls!H$28*Smooth!$O201)),2))</f>
        <v/>
      </c>
      <c r="D201" s="10" t="str">
        <f t="array" ref="D201">IF(OR($A201="",3&gt;Controls!$B$6),"",ROUND(MAX(0,Smooth!D201*Controls!D$17*INDEX(Controls!$B$21:$H$21,1,WEEKDAY($A201,2))*(1+Controls!$B$11)^199*(1+Controls!I$25*Smooth!$L201)*(1+Controls!I$26*Smooth!$M201)*(1+Controls!I$27*Smooth!$N201)*(1+Controls!I$28*Smooth!$O201)),2))</f>
        <v/>
      </c>
      <c r="E201" s="10" t="str">
        <f t="array" ref="E201">IF(OR($A201="",4&gt;Controls!$B$6),"",ROUND(MAX(0,Smooth!E201*Controls!E$17*INDEX(Controls!$B$21:$H$21,1,WEEKDAY($A201,2))*(1+Controls!$B$11)^199*(1+Controls!J$25*Smooth!$L201)*(1+Controls!J$26*Smooth!$M201)*(1+Controls!J$27*Smooth!$N201)*(1+Controls!J$28*Smooth!$O201)),2))</f>
        <v/>
      </c>
      <c r="F201" s="10" t="str">
        <f t="array" ref="F201">IF(OR($A201="",5&gt;Controls!$B$6),"",ROUND(MAX(0,Smooth!F201*Controls!F$17*INDEX(Controls!$B$21:$H$21,1,WEEKDAY($A201,2))*(1+Controls!$B$11)^199*(1+Controls!K$25*Smooth!$L201)*(1+Controls!K$26*Smooth!$M201)*(1+Controls!K$27*Smooth!$N201)*(1+Controls!K$28*Smooth!$O201)),2))</f>
        <v/>
      </c>
      <c r="G201" s="10" t="str">
        <f t="array" ref="G201">IF(OR($A201="",6&gt;Controls!$B$6),"",ROUND(MAX(0,Smooth!G201*Controls!G$17*INDEX(Controls!$B$21:$H$21,1,WEEKDAY($A201,2))*(1+Controls!$B$11)^199*(1+Controls!L$25*Smooth!$L201)*(1+Controls!L$26*Smooth!$M201)*(1+Controls!L$27*Smooth!$N201)*(1+Controls!L$28*Smooth!$O201)),2))</f>
        <v/>
      </c>
      <c r="H201" s="10" t="str">
        <f t="array" ref="H201">IF(OR($A201="",7&gt;Controls!$B$6),"",ROUND(MAX(0,Smooth!H201*Controls!H$17*INDEX(Controls!$B$21:$H$21,1,WEEKDAY($A201,2))*(1+Controls!$B$11)^199*(1+Controls!M$25*Smooth!$L201)*(1+Controls!M$26*Smooth!$M201)*(1+Controls!M$27*Smooth!$N201)*(1+Controls!M$28*Smooth!$O201)),2))</f>
        <v/>
      </c>
      <c r="I201" s="10" t="str">
        <f t="array" ref="I201">IF(OR($A201="",8&gt;Controls!$B$6),"",ROUND(MAX(0,Smooth!I201*Controls!I$17*INDEX(Controls!$B$21:$H$21,1,WEEKDAY($A201,2))*(1+Controls!$B$11)^199*(1+Controls!N$25*Smooth!$L201)*(1+Controls!N$26*Smooth!$M201)*(1+Controls!N$27*Smooth!$N201)*(1+Controls!N$28*Smooth!$O201)),2))</f>
        <v/>
      </c>
      <c r="J201" s="10" t="str">
        <f t="array" ref="J201">IF(OR($A201="",9&gt;Controls!$B$6),"",ROUND(MAX(0,Smooth!J201*Controls!J$17*INDEX(Controls!$B$21:$H$21,1,WEEKDAY($A201,2))*(1+Controls!$B$11)^199*(1+Controls!O$25*Smooth!$L201)*(1+Controls!O$26*Smooth!$M201)*(1+Controls!O$27*Smooth!$N201)*(1+Controls!O$28*Smooth!$O201)),2))</f>
        <v/>
      </c>
      <c r="K201" s="10" t="str">
        <f t="array" ref="K201">IF(OR($A201="",10&gt;Controls!$B$6),"",ROUND(MAX(0,Smooth!K201*Controls!K$17*INDEX(Controls!$B$21:$H$21,1,WEEKDAY($A201,2))*(1+Controls!$B$11)^199*(1+Controls!P$25*Smooth!$L201)*(1+Controls!P$26*Smooth!$M201)*(1+Controls!P$27*Smooth!$N201)*(1+Controls!P$28*Smooth!$O201)),2))</f>
        <v/>
      </c>
      <c r="L201" s="18" t="str">
        <f t="shared" si="1"/>
        <v/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21.0" customHeight="1">
      <c r="A202" s="7" t="str">
        <f>IF(201&lt;=Controls!$B$5,Controls!$B$4+200,"")</f>
        <v/>
      </c>
      <c r="B202" s="10" t="str">
        <f t="array" ref="B202">IF(OR($A202="",1&gt;Controls!$B$6),"",ROUND(MAX(0,Smooth!B202*Controls!B$17*INDEX(Controls!$B$21:$H$21,1,WEEKDAY($A202,2))*(1+Controls!$B$11)^200*(1+Controls!G$25*Smooth!$L202)*(1+Controls!G$26*Smooth!$M202)*(1+Controls!G$27*Smooth!$N202)*(1+Controls!G$28*Smooth!$O202)),2))</f>
        <v/>
      </c>
      <c r="C202" s="10" t="str">
        <f t="array" ref="C202">IF(OR($A202="",2&gt;Controls!$B$6),"",ROUND(MAX(0,Smooth!C202*Controls!C$17*INDEX(Controls!$B$21:$H$21,1,WEEKDAY($A202,2))*(1+Controls!$B$11)^200*(1+Controls!H$25*Smooth!$L202)*(1+Controls!H$26*Smooth!$M202)*(1+Controls!H$27*Smooth!$N202)*(1+Controls!H$28*Smooth!$O202)),2))</f>
        <v/>
      </c>
      <c r="D202" s="10" t="str">
        <f t="array" ref="D202">IF(OR($A202="",3&gt;Controls!$B$6),"",ROUND(MAX(0,Smooth!D202*Controls!D$17*INDEX(Controls!$B$21:$H$21,1,WEEKDAY($A202,2))*(1+Controls!$B$11)^200*(1+Controls!I$25*Smooth!$L202)*(1+Controls!I$26*Smooth!$M202)*(1+Controls!I$27*Smooth!$N202)*(1+Controls!I$28*Smooth!$O202)),2))</f>
        <v/>
      </c>
      <c r="E202" s="10" t="str">
        <f t="array" ref="E202">IF(OR($A202="",4&gt;Controls!$B$6),"",ROUND(MAX(0,Smooth!E202*Controls!E$17*INDEX(Controls!$B$21:$H$21,1,WEEKDAY($A202,2))*(1+Controls!$B$11)^200*(1+Controls!J$25*Smooth!$L202)*(1+Controls!J$26*Smooth!$M202)*(1+Controls!J$27*Smooth!$N202)*(1+Controls!J$28*Smooth!$O202)),2))</f>
        <v/>
      </c>
      <c r="F202" s="10" t="str">
        <f t="array" ref="F202">IF(OR($A202="",5&gt;Controls!$B$6),"",ROUND(MAX(0,Smooth!F202*Controls!F$17*INDEX(Controls!$B$21:$H$21,1,WEEKDAY($A202,2))*(1+Controls!$B$11)^200*(1+Controls!K$25*Smooth!$L202)*(1+Controls!K$26*Smooth!$M202)*(1+Controls!K$27*Smooth!$N202)*(1+Controls!K$28*Smooth!$O202)),2))</f>
        <v/>
      </c>
      <c r="G202" s="10" t="str">
        <f t="array" ref="G202">IF(OR($A202="",6&gt;Controls!$B$6),"",ROUND(MAX(0,Smooth!G202*Controls!G$17*INDEX(Controls!$B$21:$H$21,1,WEEKDAY($A202,2))*(1+Controls!$B$11)^200*(1+Controls!L$25*Smooth!$L202)*(1+Controls!L$26*Smooth!$M202)*(1+Controls!L$27*Smooth!$N202)*(1+Controls!L$28*Smooth!$O202)),2))</f>
        <v/>
      </c>
      <c r="H202" s="10" t="str">
        <f t="array" ref="H202">IF(OR($A202="",7&gt;Controls!$B$6),"",ROUND(MAX(0,Smooth!H202*Controls!H$17*INDEX(Controls!$B$21:$H$21,1,WEEKDAY($A202,2))*(1+Controls!$B$11)^200*(1+Controls!M$25*Smooth!$L202)*(1+Controls!M$26*Smooth!$M202)*(1+Controls!M$27*Smooth!$N202)*(1+Controls!M$28*Smooth!$O202)),2))</f>
        <v/>
      </c>
      <c r="I202" s="10" t="str">
        <f t="array" ref="I202">IF(OR($A202="",8&gt;Controls!$B$6),"",ROUND(MAX(0,Smooth!I202*Controls!I$17*INDEX(Controls!$B$21:$H$21,1,WEEKDAY($A202,2))*(1+Controls!$B$11)^200*(1+Controls!N$25*Smooth!$L202)*(1+Controls!N$26*Smooth!$M202)*(1+Controls!N$27*Smooth!$N202)*(1+Controls!N$28*Smooth!$O202)),2))</f>
        <v/>
      </c>
      <c r="J202" s="10" t="str">
        <f t="array" ref="J202">IF(OR($A202="",9&gt;Controls!$B$6),"",ROUND(MAX(0,Smooth!J202*Controls!J$17*INDEX(Controls!$B$21:$H$21,1,WEEKDAY($A202,2))*(1+Controls!$B$11)^200*(1+Controls!O$25*Smooth!$L202)*(1+Controls!O$26*Smooth!$M202)*(1+Controls!O$27*Smooth!$N202)*(1+Controls!O$28*Smooth!$O202)),2))</f>
        <v/>
      </c>
      <c r="K202" s="10" t="str">
        <f t="array" ref="K202">IF(OR($A202="",10&gt;Controls!$B$6),"",ROUND(MAX(0,Smooth!K202*Controls!K$17*INDEX(Controls!$B$21:$H$21,1,WEEKDAY($A202,2))*(1+Controls!$B$11)^200*(1+Controls!P$25*Smooth!$L202)*(1+Controls!P$26*Smooth!$M202)*(1+Controls!P$27*Smooth!$N202)*(1+Controls!P$28*Smooth!$O202)),2))</f>
        <v/>
      </c>
      <c r="L202" s="18" t="str">
        <f t="shared" si="1"/>
        <v/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21.0" customHeight="1">
      <c r="A203" s="7" t="str">
        <f>IF(202&lt;=Controls!$B$5,Controls!$B$4+201,"")</f>
        <v/>
      </c>
      <c r="B203" s="10" t="str">
        <f t="array" ref="B203">IF(OR($A203="",1&gt;Controls!$B$6),"",ROUND(MAX(0,Smooth!B203*Controls!B$17*INDEX(Controls!$B$21:$H$21,1,WEEKDAY($A203,2))*(1+Controls!$B$11)^201*(1+Controls!G$25*Smooth!$L203)*(1+Controls!G$26*Smooth!$M203)*(1+Controls!G$27*Smooth!$N203)*(1+Controls!G$28*Smooth!$O203)),2))</f>
        <v/>
      </c>
      <c r="C203" s="10" t="str">
        <f t="array" ref="C203">IF(OR($A203="",2&gt;Controls!$B$6),"",ROUND(MAX(0,Smooth!C203*Controls!C$17*INDEX(Controls!$B$21:$H$21,1,WEEKDAY($A203,2))*(1+Controls!$B$11)^201*(1+Controls!H$25*Smooth!$L203)*(1+Controls!H$26*Smooth!$M203)*(1+Controls!H$27*Smooth!$N203)*(1+Controls!H$28*Smooth!$O203)),2))</f>
        <v/>
      </c>
      <c r="D203" s="10" t="str">
        <f t="array" ref="D203">IF(OR($A203="",3&gt;Controls!$B$6),"",ROUND(MAX(0,Smooth!D203*Controls!D$17*INDEX(Controls!$B$21:$H$21,1,WEEKDAY($A203,2))*(1+Controls!$B$11)^201*(1+Controls!I$25*Smooth!$L203)*(1+Controls!I$26*Smooth!$M203)*(1+Controls!I$27*Smooth!$N203)*(1+Controls!I$28*Smooth!$O203)),2))</f>
        <v/>
      </c>
      <c r="E203" s="10" t="str">
        <f t="array" ref="E203">IF(OR($A203="",4&gt;Controls!$B$6),"",ROUND(MAX(0,Smooth!E203*Controls!E$17*INDEX(Controls!$B$21:$H$21,1,WEEKDAY($A203,2))*(1+Controls!$B$11)^201*(1+Controls!J$25*Smooth!$L203)*(1+Controls!J$26*Smooth!$M203)*(1+Controls!J$27*Smooth!$N203)*(1+Controls!J$28*Smooth!$O203)),2))</f>
        <v/>
      </c>
      <c r="F203" s="10" t="str">
        <f t="array" ref="F203">IF(OR($A203="",5&gt;Controls!$B$6),"",ROUND(MAX(0,Smooth!F203*Controls!F$17*INDEX(Controls!$B$21:$H$21,1,WEEKDAY($A203,2))*(1+Controls!$B$11)^201*(1+Controls!K$25*Smooth!$L203)*(1+Controls!K$26*Smooth!$M203)*(1+Controls!K$27*Smooth!$N203)*(1+Controls!K$28*Smooth!$O203)),2))</f>
        <v/>
      </c>
      <c r="G203" s="10" t="str">
        <f t="array" ref="G203">IF(OR($A203="",6&gt;Controls!$B$6),"",ROUND(MAX(0,Smooth!G203*Controls!G$17*INDEX(Controls!$B$21:$H$21,1,WEEKDAY($A203,2))*(1+Controls!$B$11)^201*(1+Controls!L$25*Smooth!$L203)*(1+Controls!L$26*Smooth!$M203)*(1+Controls!L$27*Smooth!$N203)*(1+Controls!L$28*Smooth!$O203)),2))</f>
        <v/>
      </c>
      <c r="H203" s="10" t="str">
        <f t="array" ref="H203">IF(OR($A203="",7&gt;Controls!$B$6),"",ROUND(MAX(0,Smooth!H203*Controls!H$17*INDEX(Controls!$B$21:$H$21,1,WEEKDAY($A203,2))*(1+Controls!$B$11)^201*(1+Controls!M$25*Smooth!$L203)*(1+Controls!M$26*Smooth!$M203)*(1+Controls!M$27*Smooth!$N203)*(1+Controls!M$28*Smooth!$O203)),2))</f>
        <v/>
      </c>
      <c r="I203" s="10" t="str">
        <f t="array" ref="I203">IF(OR($A203="",8&gt;Controls!$B$6),"",ROUND(MAX(0,Smooth!I203*Controls!I$17*INDEX(Controls!$B$21:$H$21,1,WEEKDAY($A203,2))*(1+Controls!$B$11)^201*(1+Controls!N$25*Smooth!$L203)*(1+Controls!N$26*Smooth!$M203)*(1+Controls!N$27*Smooth!$N203)*(1+Controls!N$28*Smooth!$O203)),2))</f>
        <v/>
      </c>
      <c r="J203" s="10" t="str">
        <f t="array" ref="J203">IF(OR($A203="",9&gt;Controls!$B$6),"",ROUND(MAX(0,Smooth!J203*Controls!J$17*INDEX(Controls!$B$21:$H$21,1,WEEKDAY($A203,2))*(1+Controls!$B$11)^201*(1+Controls!O$25*Smooth!$L203)*(1+Controls!O$26*Smooth!$M203)*(1+Controls!O$27*Smooth!$N203)*(1+Controls!O$28*Smooth!$O203)),2))</f>
        <v/>
      </c>
      <c r="K203" s="10" t="str">
        <f t="array" ref="K203">IF(OR($A203="",10&gt;Controls!$B$6),"",ROUND(MAX(0,Smooth!K203*Controls!K$17*INDEX(Controls!$B$21:$H$21,1,WEEKDAY($A203,2))*(1+Controls!$B$11)^201*(1+Controls!P$25*Smooth!$L203)*(1+Controls!P$26*Smooth!$M203)*(1+Controls!P$27*Smooth!$N203)*(1+Controls!P$28*Smooth!$O203)),2))</f>
        <v/>
      </c>
      <c r="L203" s="18" t="str">
        <f t="shared" si="1"/>
        <v/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21.0" customHeight="1">
      <c r="A204" s="7" t="str">
        <f>IF(203&lt;=Controls!$B$5,Controls!$B$4+202,"")</f>
        <v/>
      </c>
      <c r="B204" s="10" t="str">
        <f t="array" ref="B204">IF(OR($A204="",1&gt;Controls!$B$6),"",ROUND(MAX(0,Smooth!B204*Controls!B$17*INDEX(Controls!$B$21:$H$21,1,WEEKDAY($A204,2))*(1+Controls!$B$11)^202*(1+Controls!G$25*Smooth!$L204)*(1+Controls!G$26*Smooth!$M204)*(1+Controls!G$27*Smooth!$N204)*(1+Controls!G$28*Smooth!$O204)),2))</f>
        <v/>
      </c>
      <c r="C204" s="10" t="str">
        <f t="array" ref="C204">IF(OR($A204="",2&gt;Controls!$B$6),"",ROUND(MAX(0,Smooth!C204*Controls!C$17*INDEX(Controls!$B$21:$H$21,1,WEEKDAY($A204,2))*(1+Controls!$B$11)^202*(1+Controls!H$25*Smooth!$L204)*(1+Controls!H$26*Smooth!$M204)*(1+Controls!H$27*Smooth!$N204)*(1+Controls!H$28*Smooth!$O204)),2))</f>
        <v/>
      </c>
      <c r="D204" s="10" t="str">
        <f t="array" ref="D204">IF(OR($A204="",3&gt;Controls!$B$6),"",ROUND(MAX(0,Smooth!D204*Controls!D$17*INDEX(Controls!$B$21:$H$21,1,WEEKDAY($A204,2))*(1+Controls!$B$11)^202*(1+Controls!I$25*Smooth!$L204)*(1+Controls!I$26*Smooth!$M204)*(1+Controls!I$27*Smooth!$N204)*(1+Controls!I$28*Smooth!$O204)),2))</f>
        <v/>
      </c>
      <c r="E204" s="10" t="str">
        <f t="array" ref="E204">IF(OR($A204="",4&gt;Controls!$B$6),"",ROUND(MAX(0,Smooth!E204*Controls!E$17*INDEX(Controls!$B$21:$H$21,1,WEEKDAY($A204,2))*(1+Controls!$B$11)^202*(1+Controls!J$25*Smooth!$L204)*(1+Controls!J$26*Smooth!$M204)*(1+Controls!J$27*Smooth!$N204)*(1+Controls!J$28*Smooth!$O204)),2))</f>
        <v/>
      </c>
      <c r="F204" s="10" t="str">
        <f t="array" ref="F204">IF(OR($A204="",5&gt;Controls!$B$6),"",ROUND(MAX(0,Smooth!F204*Controls!F$17*INDEX(Controls!$B$21:$H$21,1,WEEKDAY($A204,2))*(1+Controls!$B$11)^202*(1+Controls!K$25*Smooth!$L204)*(1+Controls!K$26*Smooth!$M204)*(1+Controls!K$27*Smooth!$N204)*(1+Controls!K$28*Smooth!$O204)),2))</f>
        <v/>
      </c>
      <c r="G204" s="10" t="str">
        <f t="array" ref="G204">IF(OR($A204="",6&gt;Controls!$B$6),"",ROUND(MAX(0,Smooth!G204*Controls!G$17*INDEX(Controls!$B$21:$H$21,1,WEEKDAY($A204,2))*(1+Controls!$B$11)^202*(1+Controls!L$25*Smooth!$L204)*(1+Controls!L$26*Smooth!$M204)*(1+Controls!L$27*Smooth!$N204)*(1+Controls!L$28*Smooth!$O204)),2))</f>
        <v/>
      </c>
      <c r="H204" s="10" t="str">
        <f t="array" ref="H204">IF(OR($A204="",7&gt;Controls!$B$6),"",ROUND(MAX(0,Smooth!H204*Controls!H$17*INDEX(Controls!$B$21:$H$21,1,WEEKDAY($A204,2))*(1+Controls!$B$11)^202*(1+Controls!M$25*Smooth!$L204)*(1+Controls!M$26*Smooth!$M204)*(1+Controls!M$27*Smooth!$N204)*(1+Controls!M$28*Smooth!$O204)),2))</f>
        <v/>
      </c>
      <c r="I204" s="10" t="str">
        <f t="array" ref="I204">IF(OR($A204="",8&gt;Controls!$B$6),"",ROUND(MAX(0,Smooth!I204*Controls!I$17*INDEX(Controls!$B$21:$H$21,1,WEEKDAY($A204,2))*(1+Controls!$B$11)^202*(1+Controls!N$25*Smooth!$L204)*(1+Controls!N$26*Smooth!$M204)*(1+Controls!N$27*Smooth!$N204)*(1+Controls!N$28*Smooth!$O204)),2))</f>
        <v/>
      </c>
      <c r="J204" s="10" t="str">
        <f t="array" ref="J204">IF(OR($A204="",9&gt;Controls!$B$6),"",ROUND(MAX(0,Smooth!J204*Controls!J$17*INDEX(Controls!$B$21:$H$21,1,WEEKDAY($A204,2))*(1+Controls!$B$11)^202*(1+Controls!O$25*Smooth!$L204)*(1+Controls!O$26*Smooth!$M204)*(1+Controls!O$27*Smooth!$N204)*(1+Controls!O$28*Smooth!$O204)),2))</f>
        <v/>
      </c>
      <c r="K204" s="10" t="str">
        <f t="array" ref="K204">IF(OR($A204="",10&gt;Controls!$B$6),"",ROUND(MAX(0,Smooth!K204*Controls!K$17*INDEX(Controls!$B$21:$H$21,1,WEEKDAY($A204,2))*(1+Controls!$B$11)^202*(1+Controls!P$25*Smooth!$L204)*(1+Controls!P$26*Smooth!$M204)*(1+Controls!P$27*Smooth!$N204)*(1+Controls!P$28*Smooth!$O204)),2))</f>
        <v/>
      </c>
      <c r="L204" s="18" t="str">
        <f t="shared" si="1"/>
        <v/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21.0" customHeight="1">
      <c r="A205" s="7" t="str">
        <f>IF(204&lt;=Controls!$B$5,Controls!$B$4+203,"")</f>
        <v/>
      </c>
      <c r="B205" s="10" t="str">
        <f t="array" ref="B205">IF(OR($A205="",1&gt;Controls!$B$6),"",ROUND(MAX(0,Smooth!B205*Controls!B$17*INDEX(Controls!$B$21:$H$21,1,WEEKDAY($A205,2))*(1+Controls!$B$11)^203*(1+Controls!G$25*Smooth!$L205)*(1+Controls!G$26*Smooth!$M205)*(1+Controls!G$27*Smooth!$N205)*(1+Controls!G$28*Smooth!$O205)),2))</f>
        <v/>
      </c>
      <c r="C205" s="10" t="str">
        <f t="array" ref="C205">IF(OR($A205="",2&gt;Controls!$B$6),"",ROUND(MAX(0,Smooth!C205*Controls!C$17*INDEX(Controls!$B$21:$H$21,1,WEEKDAY($A205,2))*(1+Controls!$B$11)^203*(1+Controls!H$25*Smooth!$L205)*(1+Controls!H$26*Smooth!$M205)*(1+Controls!H$27*Smooth!$N205)*(1+Controls!H$28*Smooth!$O205)),2))</f>
        <v/>
      </c>
      <c r="D205" s="10" t="str">
        <f t="array" ref="D205">IF(OR($A205="",3&gt;Controls!$B$6),"",ROUND(MAX(0,Smooth!D205*Controls!D$17*INDEX(Controls!$B$21:$H$21,1,WEEKDAY($A205,2))*(1+Controls!$B$11)^203*(1+Controls!I$25*Smooth!$L205)*(1+Controls!I$26*Smooth!$M205)*(1+Controls!I$27*Smooth!$N205)*(1+Controls!I$28*Smooth!$O205)),2))</f>
        <v/>
      </c>
      <c r="E205" s="10" t="str">
        <f t="array" ref="E205">IF(OR($A205="",4&gt;Controls!$B$6),"",ROUND(MAX(0,Smooth!E205*Controls!E$17*INDEX(Controls!$B$21:$H$21,1,WEEKDAY($A205,2))*(1+Controls!$B$11)^203*(1+Controls!J$25*Smooth!$L205)*(1+Controls!J$26*Smooth!$M205)*(1+Controls!J$27*Smooth!$N205)*(1+Controls!J$28*Smooth!$O205)),2))</f>
        <v/>
      </c>
      <c r="F205" s="10" t="str">
        <f t="array" ref="F205">IF(OR($A205="",5&gt;Controls!$B$6),"",ROUND(MAX(0,Smooth!F205*Controls!F$17*INDEX(Controls!$B$21:$H$21,1,WEEKDAY($A205,2))*(1+Controls!$B$11)^203*(1+Controls!K$25*Smooth!$L205)*(1+Controls!K$26*Smooth!$M205)*(1+Controls!K$27*Smooth!$N205)*(1+Controls!K$28*Smooth!$O205)),2))</f>
        <v/>
      </c>
      <c r="G205" s="10" t="str">
        <f t="array" ref="G205">IF(OR($A205="",6&gt;Controls!$B$6),"",ROUND(MAX(0,Smooth!G205*Controls!G$17*INDEX(Controls!$B$21:$H$21,1,WEEKDAY($A205,2))*(1+Controls!$B$11)^203*(1+Controls!L$25*Smooth!$L205)*(1+Controls!L$26*Smooth!$M205)*(1+Controls!L$27*Smooth!$N205)*(1+Controls!L$28*Smooth!$O205)),2))</f>
        <v/>
      </c>
      <c r="H205" s="10" t="str">
        <f t="array" ref="H205">IF(OR($A205="",7&gt;Controls!$B$6),"",ROUND(MAX(0,Smooth!H205*Controls!H$17*INDEX(Controls!$B$21:$H$21,1,WEEKDAY($A205,2))*(1+Controls!$B$11)^203*(1+Controls!M$25*Smooth!$L205)*(1+Controls!M$26*Smooth!$M205)*(1+Controls!M$27*Smooth!$N205)*(1+Controls!M$28*Smooth!$O205)),2))</f>
        <v/>
      </c>
      <c r="I205" s="10" t="str">
        <f t="array" ref="I205">IF(OR($A205="",8&gt;Controls!$B$6),"",ROUND(MAX(0,Smooth!I205*Controls!I$17*INDEX(Controls!$B$21:$H$21,1,WEEKDAY($A205,2))*(1+Controls!$B$11)^203*(1+Controls!N$25*Smooth!$L205)*(1+Controls!N$26*Smooth!$M205)*(1+Controls!N$27*Smooth!$N205)*(1+Controls!N$28*Smooth!$O205)),2))</f>
        <v/>
      </c>
      <c r="J205" s="10" t="str">
        <f t="array" ref="J205">IF(OR($A205="",9&gt;Controls!$B$6),"",ROUND(MAX(0,Smooth!J205*Controls!J$17*INDEX(Controls!$B$21:$H$21,1,WEEKDAY($A205,2))*(1+Controls!$B$11)^203*(1+Controls!O$25*Smooth!$L205)*(1+Controls!O$26*Smooth!$M205)*(1+Controls!O$27*Smooth!$N205)*(1+Controls!O$28*Smooth!$O205)),2))</f>
        <v/>
      </c>
      <c r="K205" s="10" t="str">
        <f t="array" ref="K205">IF(OR($A205="",10&gt;Controls!$B$6),"",ROUND(MAX(0,Smooth!K205*Controls!K$17*INDEX(Controls!$B$21:$H$21,1,WEEKDAY($A205,2))*(1+Controls!$B$11)^203*(1+Controls!P$25*Smooth!$L205)*(1+Controls!P$26*Smooth!$M205)*(1+Controls!P$27*Smooth!$N205)*(1+Controls!P$28*Smooth!$O205)),2))</f>
        <v/>
      </c>
      <c r="L205" s="18" t="str">
        <f t="shared" si="1"/>
        <v/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21.0" customHeight="1">
      <c r="A206" s="7" t="str">
        <f>IF(205&lt;=Controls!$B$5,Controls!$B$4+204,"")</f>
        <v/>
      </c>
      <c r="B206" s="10" t="str">
        <f t="array" ref="B206">IF(OR($A206="",1&gt;Controls!$B$6),"",ROUND(MAX(0,Smooth!B206*Controls!B$17*INDEX(Controls!$B$21:$H$21,1,WEEKDAY($A206,2))*(1+Controls!$B$11)^204*(1+Controls!G$25*Smooth!$L206)*(1+Controls!G$26*Smooth!$M206)*(1+Controls!G$27*Smooth!$N206)*(1+Controls!G$28*Smooth!$O206)),2))</f>
        <v/>
      </c>
      <c r="C206" s="10" t="str">
        <f t="array" ref="C206">IF(OR($A206="",2&gt;Controls!$B$6),"",ROUND(MAX(0,Smooth!C206*Controls!C$17*INDEX(Controls!$B$21:$H$21,1,WEEKDAY($A206,2))*(1+Controls!$B$11)^204*(1+Controls!H$25*Smooth!$L206)*(1+Controls!H$26*Smooth!$M206)*(1+Controls!H$27*Smooth!$N206)*(1+Controls!H$28*Smooth!$O206)),2))</f>
        <v/>
      </c>
      <c r="D206" s="10" t="str">
        <f t="array" ref="D206">IF(OR($A206="",3&gt;Controls!$B$6),"",ROUND(MAX(0,Smooth!D206*Controls!D$17*INDEX(Controls!$B$21:$H$21,1,WEEKDAY($A206,2))*(1+Controls!$B$11)^204*(1+Controls!I$25*Smooth!$L206)*(1+Controls!I$26*Smooth!$M206)*(1+Controls!I$27*Smooth!$N206)*(1+Controls!I$28*Smooth!$O206)),2))</f>
        <v/>
      </c>
      <c r="E206" s="10" t="str">
        <f t="array" ref="E206">IF(OR($A206="",4&gt;Controls!$B$6),"",ROUND(MAX(0,Smooth!E206*Controls!E$17*INDEX(Controls!$B$21:$H$21,1,WEEKDAY($A206,2))*(1+Controls!$B$11)^204*(1+Controls!J$25*Smooth!$L206)*(1+Controls!J$26*Smooth!$M206)*(1+Controls!J$27*Smooth!$N206)*(1+Controls!J$28*Smooth!$O206)),2))</f>
        <v/>
      </c>
      <c r="F206" s="10" t="str">
        <f t="array" ref="F206">IF(OR($A206="",5&gt;Controls!$B$6),"",ROUND(MAX(0,Smooth!F206*Controls!F$17*INDEX(Controls!$B$21:$H$21,1,WEEKDAY($A206,2))*(1+Controls!$B$11)^204*(1+Controls!K$25*Smooth!$L206)*(1+Controls!K$26*Smooth!$M206)*(1+Controls!K$27*Smooth!$N206)*(1+Controls!K$28*Smooth!$O206)),2))</f>
        <v/>
      </c>
      <c r="G206" s="10" t="str">
        <f t="array" ref="G206">IF(OR($A206="",6&gt;Controls!$B$6),"",ROUND(MAX(0,Smooth!G206*Controls!G$17*INDEX(Controls!$B$21:$H$21,1,WEEKDAY($A206,2))*(1+Controls!$B$11)^204*(1+Controls!L$25*Smooth!$L206)*(1+Controls!L$26*Smooth!$M206)*(1+Controls!L$27*Smooth!$N206)*(1+Controls!L$28*Smooth!$O206)),2))</f>
        <v/>
      </c>
      <c r="H206" s="10" t="str">
        <f t="array" ref="H206">IF(OR($A206="",7&gt;Controls!$B$6),"",ROUND(MAX(0,Smooth!H206*Controls!H$17*INDEX(Controls!$B$21:$H$21,1,WEEKDAY($A206,2))*(1+Controls!$B$11)^204*(1+Controls!M$25*Smooth!$L206)*(1+Controls!M$26*Smooth!$M206)*(1+Controls!M$27*Smooth!$N206)*(1+Controls!M$28*Smooth!$O206)),2))</f>
        <v/>
      </c>
      <c r="I206" s="10" t="str">
        <f t="array" ref="I206">IF(OR($A206="",8&gt;Controls!$B$6),"",ROUND(MAX(0,Smooth!I206*Controls!I$17*INDEX(Controls!$B$21:$H$21,1,WEEKDAY($A206,2))*(1+Controls!$B$11)^204*(1+Controls!N$25*Smooth!$L206)*(1+Controls!N$26*Smooth!$M206)*(1+Controls!N$27*Smooth!$N206)*(1+Controls!N$28*Smooth!$O206)),2))</f>
        <v/>
      </c>
      <c r="J206" s="10" t="str">
        <f t="array" ref="J206">IF(OR($A206="",9&gt;Controls!$B$6),"",ROUND(MAX(0,Smooth!J206*Controls!J$17*INDEX(Controls!$B$21:$H$21,1,WEEKDAY($A206,2))*(1+Controls!$B$11)^204*(1+Controls!O$25*Smooth!$L206)*(1+Controls!O$26*Smooth!$M206)*(1+Controls!O$27*Smooth!$N206)*(1+Controls!O$28*Smooth!$O206)),2))</f>
        <v/>
      </c>
      <c r="K206" s="10" t="str">
        <f t="array" ref="K206">IF(OR($A206="",10&gt;Controls!$B$6),"",ROUND(MAX(0,Smooth!K206*Controls!K$17*INDEX(Controls!$B$21:$H$21,1,WEEKDAY($A206,2))*(1+Controls!$B$11)^204*(1+Controls!P$25*Smooth!$L206)*(1+Controls!P$26*Smooth!$M206)*(1+Controls!P$27*Smooth!$N206)*(1+Controls!P$28*Smooth!$O206)),2))</f>
        <v/>
      </c>
      <c r="L206" s="18" t="str">
        <f t="shared" si="1"/>
        <v/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21.0" customHeight="1">
      <c r="A207" s="7" t="str">
        <f>IF(206&lt;=Controls!$B$5,Controls!$B$4+205,"")</f>
        <v/>
      </c>
      <c r="B207" s="10" t="str">
        <f t="array" ref="B207">IF(OR($A207="",1&gt;Controls!$B$6),"",ROUND(MAX(0,Smooth!B207*Controls!B$17*INDEX(Controls!$B$21:$H$21,1,WEEKDAY($A207,2))*(1+Controls!$B$11)^205*(1+Controls!G$25*Smooth!$L207)*(1+Controls!G$26*Smooth!$M207)*(1+Controls!G$27*Smooth!$N207)*(1+Controls!G$28*Smooth!$O207)),2))</f>
        <v/>
      </c>
      <c r="C207" s="10" t="str">
        <f t="array" ref="C207">IF(OR($A207="",2&gt;Controls!$B$6),"",ROUND(MAX(0,Smooth!C207*Controls!C$17*INDEX(Controls!$B$21:$H$21,1,WEEKDAY($A207,2))*(1+Controls!$B$11)^205*(1+Controls!H$25*Smooth!$L207)*(1+Controls!H$26*Smooth!$M207)*(1+Controls!H$27*Smooth!$N207)*(1+Controls!H$28*Smooth!$O207)),2))</f>
        <v/>
      </c>
      <c r="D207" s="10" t="str">
        <f t="array" ref="D207">IF(OR($A207="",3&gt;Controls!$B$6),"",ROUND(MAX(0,Smooth!D207*Controls!D$17*INDEX(Controls!$B$21:$H$21,1,WEEKDAY($A207,2))*(1+Controls!$B$11)^205*(1+Controls!I$25*Smooth!$L207)*(1+Controls!I$26*Smooth!$M207)*(1+Controls!I$27*Smooth!$N207)*(1+Controls!I$28*Smooth!$O207)),2))</f>
        <v/>
      </c>
      <c r="E207" s="10" t="str">
        <f t="array" ref="E207">IF(OR($A207="",4&gt;Controls!$B$6),"",ROUND(MAX(0,Smooth!E207*Controls!E$17*INDEX(Controls!$B$21:$H$21,1,WEEKDAY($A207,2))*(1+Controls!$B$11)^205*(1+Controls!J$25*Smooth!$L207)*(1+Controls!J$26*Smooth!$M207)*(1+Controls!J$27*Smooth!$N207)*(1+Controls!J$28*Smooth!$O207)),2))</f>
        <v/>
      </c>
      <c r="F207" s="10" t="str">
        <f t="array" ref="F207">IF(OR($A207="",5&gt;Controls!$B$6),"",ROUND(MAX(0,Smooth!F207*Controls!F$17*INDEX(Controls!$B$21:$H$21,1,WEEKDAY($A207,2))*(1+Controls!$B$11)^205*(1+Controls!K$25*Smooth!$L207)*(1+Controls!K$26*Smooth!$M207)*(1+Controls!K$27*Smooth!$N207)*(1+Controls!K$28*Smooth!$O207)),2))</f>
        <v/>
      </c>
      <c r="G207" s="10" t="str">
        <f t="array" ref="G207">IF(OR($A207="",6&gt;Controls!$B$6),"",ROUND(MAX(0,Smooth!G207*Controls!G$17*INDEX(Controls!$B$21:$H$21,1,WEEKDAY($A207,2))*(1+Controls!$B$11)^205*(1+Controls!L$25*Smooth!$L207)*(1+Controls!L$26*Smooth!$M207)*(1+Controls!L$27*Smooth!$N207)*(1+Controls!L$28*Smooth!$O207)),2))</f>
        <v/>
      </c>
      <c r="H207" s="10" t="str">
        <f t="array" ref="H207">IF(OR($A207="",7&gt;Controls!$B$6),"",ROUND(MAX(0,Smooth!H207*Controls!H$17*INDEX(Controls!$B$21:$H$21,1,WEEKDAY($A207,2))*(1+Controls!$B$11)^205*(1+Controls!M$25*Smooth!$L207)*(1+Controls!M$26*Smooth!$M207)*(1+Controls!M$27*Smooth!$N207)*(1+Controls!M$28*Smooth!$O207)),2))</f>
        <v/>
      </c>
      <c r="I207" s="10" t="str">
        <f t="array" ref="I207">IF(OR($A207="",8&gt;Controls!$B$6),"",ROUND(MAX(0,Smooth!I207*Controls!I$17*INDEX(Controls!$B$21:$H$21,1,WEEKDAY($A207,2))*(1+Controls!$B$11)^205*(1+Controls!N$25*Smooth!$L207)*(1+Controls!N$26*Smooth!$M207)*(1+Controls!N$27*Smooth!$N207)*(1+Controls!N$28*Smooth!$O207)),2))</f>
        <v/>
      </c>
      <c r="J207" s="10" t="str">
        <f t="array" ref="J207">IF(OR($A207="",9&gt;Controls!$B$6),"",ROUND(MAX(0,Smooth!J207*Controls!J$17*INDEX(Controls!$B$21:$H$21,1,WEEKDAY($A207,2))*(1+Controls!$B$11)^205*(1+Controls!O$25*Smooth!$L207)*(1+Controls!O$26*Smooth!$M207)*(1+Controls!O$27*Smooth!$N207)*(1+Controls!O$28*Smooth!$O207)),2))</f>
        <v/>
      </c>
      <c r="K207" s="10" t="str">
        <f t="array" ref="K207">IF(OR($A207="",10&gt;Controls!$B$6),"",ROUND(MAX(0,Smooth!K207*Controls!K$17*INDEX(Controls!$B$21:$H$21,1,WEEKDAY($A207,2))*(1+Controls!$B$11)^205*(1+Controls!P$25*Smooth!$L207)*(1+Controls!P$26*Smooth!$M207)*(1+Controls!P$27*Smooth!$N207)*(1+Controls!P$28*Smooth!$O207)),2))</f>
        <v/>
      </c>
      <c r="L207" s="18" t="str">
        <f t="shared" si="1"/>
        <v/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21.0" customHeight="1">
      <c r="A208" s="7" t="str">
        <f>IF(207&lt;=Controls!$B$5,Controls!$B$4+206,"")</f>
        <v/>
      </c>
      <c r="B208" s="10" t="str">
        <f t="array" ref="B208">IF(OR($A208="",1&gt;Controls!$B$6),"",ROUND(MAX(0,Smooth!B208*Controls!B$17*INDEX(Controls!$B$21:$H$21,1,WEEKDAY($A208,2))*(1+Controls!$B$11)^206*(1+Controls!G$25*Smooth!$L208)*(1+Controls!G$26*Smooth!$M208)*(1+Controls!G$27*Smooth!$N208)*(1+Controls!G$28*Smooth!$O208)),2))</f>
        <v/>
      </c>
      <c r="C208" s="10" t="str">
        <f t="array" ref="C208">IF(OR($A208="",2&gt;Controls!$B$6),"",ROUND(MAX(0,Smooth!C208*Controls!C$17*INDEX(Controls!$B$21:$H$21,1,WEEKDAY($A208,2))*(1+Controls!$B$11)^206*(1+Controls!H$25*Smooth!$L208)*(1+Controls!H$26*Smooth!$M208)*(1+Controls!H$27*Smooth!$N208)*(1+Controls!H$28*Smooth!$O208)),2))</f>
        <v/>
      </c>
      <c r="D208" s="10" t="str">
        <f t="array" ref="D208">IF(OR($A208="",3&gt;Controls!$B$6),"",ROUND(MAX(0,Smooth!D208*Controls!D$17*INDEX(Controls!$B$21:$H$21,1,WEEKDAY($A208,2))*(1+Controls!$B$11)^206*(1+Controls!I$25*Smooth!$L208)*(1+Controls!I$26*Smooth!$M208)*(1+Controls!I$27*Smooth!$N208)*(1+Controls!I$28*Smooth!$O208)),2))</f>
        <v/>
      </c>
      <c r="E208" s="10" t="str">
        <f t="array" ref="E208">IF(OR($A208="",4&gt;Controls!$B$6),"",ROUND(MAX(0,Smooth!E208*Controls!E$17*INDEX(Controls!$B$21:$H$21,1,WEEKDAY($A208,2))*(1+Controls!$B$11)^206*(1+Controls!J$25*Smooth!$L208)*(1+Controls!J$26*Smooth!$M208)*(1+Controls!J$27*Smooth!$N208)*(1+Controls!J$28*Smooth!$O208)),2))</f>
        <v/>
      </c>
      <c r="F208" s="10" t="str">
        <f t="array" ref="F208">IF(OR($A208="",5&gt;Controls!$B$6),"",ROUND(MAX(0,Smooth!F208*Controls!F$17*INDEX(Controls!$B$21:$H$21,1,WEEKDAY($A208,2))*(1+Controls!$B$11)^206*(1+Controls!K$25*Smooth!$L208)*(1+Controls!K$26*Smooth!$M208)*(1+Controls!K$27*Smooth!$N208)*(1+Controls!K$28*Smooth!$O208)),2))</f>
        <v/>
      </c>
      <c r="G208" s="10" t="str">
        <f t="array" ref="G208">IF(OR($A208="",6&gt;Controls!$B$6),"",ROUND(MAX(0,Smooth!G208*Controls!G$17*INDEX(Controls!$B$21:$H$21,1,WEEKDAY($A208,2))*(1+Controls!$B$11)^206*(1+Controls!L$25*Smooth!$L208)*(1+Controls!L$26*Smooth!$M208)*(1+Controls!L$27*Smooth!$N208)*(1+Controls!L$28*Smooth!$O208)),2))</f>
        <v/>
      </c>
      <c r="H208" s="10" t="str">
        <f t="array" ref="H208">IF(OR($A208="",7&gt;Controls!$B$6),"",ROUND(MAX(0,Smooth!H208*Controls!H$17*INDEX(Controls!$B$21:$H$21,1,WEEKDAY($A208,2))*(1+Controls!$B$11)^206*(1+Controls!M$25*Smooth!$L208)*(1+Controls!M$26*Smooth!$M208)*(1+Controls!M$27*Smooth!$N208)*(1+Controls!M$28*Smooth!$O208)),2))</f>
        <v/>
      </c>
      <c r="I208" s="10" t="str">
        <f t="array" ref="I208">IF(OR($A208="",8&gt;Controls!$B$6),"",ROUND(MAX(0,Smooth!I208*Controls!I$17*INDEX(Controls!$B$21:$H$21,1,WEEKDAY($A208,2))*(1+Controls!$B$11)^206*(1+Controls!N$25*Smooth!$L208)*(1+Controls!N$26*Smooth!$M208)*(1+Controls!N$27*Smooth!$N208)*(1+Controls!N$28*Smooth!$O208)),2))</f>
        <v/>
      </c>
      <c r="J208" s="10" t="str">
        <f t="array" ref="J208">IF(OR($A208="",9&gt;Controls!$B$6),"",ROUND(MAX(0,Smooth!J208*Controls!J$17*INDEX(Controls!$B$21:$H$21,1,WEEKDAY($A208,2))*(1+Controls!$B$11)^206*(1+Controls!O$25*Smooth!$L208)*(1+Controls!O$26*Smooth!$M208)*(1+Controls!O$27*Smooth!$N208)*(1+Controls!O$28*Smooth!$O208)),2))</f>
        <v/>
      </c>
      <c r="K208" s="10" t="str">
        <f t="array" ref="K208">IF(OR($A208="",10&gt;Controls!$B$6),"",ROUND(MAX(0,Smooth!K208*Controls!K$17*INDEX(Controls!$B$21:$H$21,1,WEEKDAY($A208,2))*(1+Controls!$B$11)^206*(1+Controls!P$25*Smooth!$L208)*(1+Controls!P$26*Smooth!$M208)*(1+Controls!P$27*Smooth!$N208)*(1+Controls!P$28*Smooth!$O208)),2))</f>
        <v/>
      </c>
      <c r="L208" s="18" t="str">
        <f t="shared" si="1"/>
        <v/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21.0" customHeight="1">
      <c r="A209" s="7" t="str">
        <f>IF(208&lt;=Controls!$B$5,Controls!$B$4+207,"")</f>
        <v/>
      </c>
      <c r="B209" s="10" t="str">
        <f t="array" ref="B209">IF(OR($A209="",1&gt;Controls!$B$6),"",ROUND(MAX(0,Smooth!B209*Controls!B$17*INDEX(Controls!$B$21:$H$21,1,WEEKDAY($A209,2))*(1+Controls!$B$11)^207*(1+Controls!G$25*Smooth!$L209)*(1+Controls!G$26*Smooth!$M209)*(1+Controls!G$27*Smooth!$N209)*(1+Controls!G$28*Smooth!$O209)),2))</f>
        <v/>
      </c>
      <c r="C209" s="10" t="str">
        <f t="array" ref="C209">IF(OR($A209="",2&gt;Controls!$B$6),"",ROUND(MAX(0,Smooth!C209*Controls!C$17*INDEX(Controls!$B$21:$H$21,1,WEEKDAY($A209,2))*(1+Controls!$B$11)^207*(1+Controls!H$25*Smooth!$L209)*(1+Controls!H$26*Smooth!$M209)*(1+Controls!H$27*Smooth!$N209)*(1+Controls!H$28*Smooth!$O209)),2))</f>
        <v/>
      </c>
      <c r="D209" s="10" t="str">
        <f t="array" ref="D209">IF(OR($A209="",3&gt;Controls!$B$6),"",ROUND(MAX(0,Smooth!D209*Controls!D$17*INDEX(Controls!$B$21:$H$21,1,WEEKDAY($A209,2))*(1+Controls!$B$11)^207*(1+Controls!I$25*Smooth!$L209)*(1+Controls!I$26*Smooth!$M209)*(1+Controls!I$27*Smooth!$N209)*(1+Controls!I$28*Smooth!$O209)),2))</f>
        <v/>
      </c>
      <c r="E209" s="10" t="str">
        <f t="array" ref="E209">IF(OR($A209="",4&gt;Controls!$B$6),"",ROUND(MAX(0,Smooth!E209*Controls!E$17*INDEX(Controls!$B$21:$H$21,1,WEEKDAY($A209,2))*(1+Controls!$B$11)^207*(1+Controls!J$25*Smooth!$L209)*(1+Controls!J$26*Smooth!$M209)*(1+Controls!J$27*Smooth!$N209)*(1+Controls!J$28*Smooth!$O209)),2))</f>
        <v/>
      </c>
      <c r="F209" s="10" t="str">
        <f t="array" ref="F209">IF(OR($A209="",5&gt;Controls!$B$6),"",ROUND(MAX(0,Smooth!F209*Controls!F$17*INDEX(Controls!$B$21:$H$21,1,WEEKDAY($A209,2))*(1+Controls!$B$11)^207*(1+Controls!K$25*Smooth!$L209)*(1+Controls!K$26*Smooth!$M209)*(1+Controls!K$27*Smooth!$N209)*(1+Controls!K$28*Smooth!$O209)),2))</f>
        <v/>
      </c>
      <c r="G209" s="10" t="str">
        <f t="array" ref="G209">IF(OR($A209="",6&gt;Controls!$B$6),"",ROUND(MAX(0,Smooth!G209*Controls!G$17*INDEX(Controls!$B$21:$H$21,1,WEEKDAY($A209,2))*(1+Controls!$B$11)^207*(1+Controls!L$25*Smooth!$L209)*(1+Controls!L$26*Smooth!$M209)*(1+Controls!L$27*Smooth!$N209)*(1+Controls!L$28*Smooth!$O209)),2))</f>
        <v/>
      </c>
      <c r="H209" s="10" t="str">
        <f t="array" ref="H209">IF(OR($A209="",7&gt;Controls!$B$6),"",ROUND(MAX(0,Smooth!H209*Controls!H$17*INDEX(Controls!$B$21:$H$21,1,WEEKDAY($A209,2))*(1+Controls!$B$11)^207*(1+Controls!M$25*Smooth!$L209)*(1+Controls!M$26*Smooth!$M209)*(1+Controls!M$27*Smooth!$N209)*(1+Controls!M$28*Smooth!$O209)),2))</f>
        <v/>
      </c>
      <c r="I209" s="10" t="str">
        <f t="array" ref="I209">IF(OR($A209="",8&gt;Controls!$B$6),"",ROUND(MAX(0,Smooth!I209*Controls!I$17*INDEX(Controls!$B$21:$H$21,1,WEEKDAY($A209,2))*(1+Controls!$B$11)^207*(1+Controls!N$25*Smooth!$L209)*(1+Controls!N$26*Smooth!$M209)*(1+Controls!N$27*Smooth!$N209)*(1+Controls!N$28*Smooth!$O209)),2))</f>
        <v/>
      </c>
      <c r="J209" s="10" t="str">
        <f t="array" ref="J209">IF(OR($A209="",9&gt;Controls!$B$6),"",ROUND(MAX(0,Smooth!J209*Controls!J$17*INDEX(Controls!$B$21:$H$21,1,WEEKDAY($A209,2))*(1+Controls!$B$11)^207*(1+Controls!O$25*Smooth!$L209)*(1+Controls!O$26*Smooth!$M209)*(1+Controls!O$27*Smooth!$N209)*(1+Controls!O$28*Smooth!$O209)),2))</f>
        <v/>
      </c>
      <c r="K209" s="10" t="str">
        <f t="array" ref="K209">IF(OR($A209="",10&gt;Controls!$B$6),"",ROUND(MAX(0,Smooth!K209*Controls!K$17*INDEX(Controls!$B$21:$H$21,1,WEEKDAY($A209,2))*(1+Controls!$B$11)^207*(1+Controls!P$25*Smooth!$L209)*(1+Controls!P$26*Smooth!$M209)*(1+Controls!P$27*Smooth!$N209)*(1+Controls!P$28*Smooth!$O209)),2))</f>
        <v/>
      </c>
      <c r="L209" s="18" t="str">
        <f t="shared" si="1"/>
        <v/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21.0" customHeight="1">
      <c r="A210" s="7" t="str">
        <f>IF(209&lt;=Controls!$B$5,Controls!$B$4+208,"")</f>
        <v/>
      </c>
      <c r="B210" s="10" t="str">
        <f t="array" ref="B210">IF(OR($A210="",1&gt;Controls!$B$6),"",ROUND(MAX(0,Smooth!B210*Controls!B$17*INDEX(Controls!$B$21:$H$21,1,WEEKDAY($A210,2))*(1+Controls!$B$11)^208*(1+Controls!G$25*Smooth!$L210)*(1+Controls!G$26*Smooth!$M210)*(1+Controls!G$27*Smooth!$N210)*(1+Controls!G$28*Smooth!$O210)),2))</f>
        <v/>
      </c>
      <c r="C210" s="10" t="str">
        <f t="array" ref="C210">IF(OR($A210="",2&gt;Controls!$B$6),"",ROUND(MAX(0,Smooth!C210*Controls!C$17*INDEX(Controls!$B$21:$H$21,1,WEEKDAY($A210,2))*(1+Controls!$B$11)^208*(1+Controls!H$25*Smooth!$L210)*(1+Controls!H$26*Smooth!$M210)*(1+Controls!H$27*Smooth!$N210)*(1+Controls!H$28*Smooth!$O210)),2))</f>
        <v/>
      </c>
      <c r="D210" s="10" t="str">
        <f t="array" ref="D210">IF(OR($A210="",3&gt;Controls!$B$6),"",ROUND(MAX(0,Smooth!D210*Controls!D$17*INDEX(Controls!$B$21:$H$21,1,WEEKDAY($A210,2))*(1+Controls!$B$11)^208*(1+Controls!I$25*Smooth!$L210)*(1+Controls!I$26*Smooth!$M210)*(1+Controls!I$27*Smooth!$N210)*(1+Controls!I$28*Smooth!$O210)),2))</f>
        <v/>
      </c>
      <c r="E210" s="10" t="str">
        <f t="array" ref="E210">IF(OR($A210="",4&gt;Controls!$B$6),"",ROUND(MAX(0,Smooth!E210*Controls!E$17*INDEX(Controls!$B$21:$H$21,1,WEEKDAY($A210,2))*(1+Controls!$B$11)^208*(1+Controls!J$25*Smooth!$L210)*(1+Controls!J$26*Smooth!$M210)*(1+Controls!J$27*Smooth!$N210)*(1+Controls!J$28*Smooth!$O210)),2))</f>
        <v/>
      </c>
      <c r="F210" s="10" t="str">
        <f t="array" ref="F210">IF(OR($A210="",5&gt;Controls!$B$6),"",ROUND(MAX(0,Smooth!F210*Controls!F$17*INDEX(Controls!$B$21:$H$21,1,WEEKDAY($A210,2))*(1+Controls!$B$11)^208*(1+Controls!K$25*Smooth!$L210)*(1+Controls!K$26*Smooth!$M210)*(1+Controls!K$27*Smooth!$N210)*(1+Controls!K$28*Smooth!$O210)),2))</f>
        <v/>
      </c>
      <c r="G210" s="10" t="str">
        <f t="array" ref="G210">IF(OR($A210="",6&gt;Controls!$B$6),"",ROUND(MAX(0,Smooth!G210*Controls!G$17*INDEX(Controls!$B$21:$H$21,1,WEEKDAY($A210,2))*(1+Controls!$B$11)^208*(1+Controls!L$25*Smooth!$L210)*(1+Controls!L$26*Smooth!$M210)*(1+Controls!L$27*Smooth!$N210)*(1+Controls!L$28*Smooth!$O210)),2))</f>
        <v/>
      </c>
      <c r="H210" s="10" t="str">
        <f t="array" ref="H210">IF(OR($A210="",7&gt;Controls!$B$6),"",ROUND(MAX(0,Smooth!H210*Controls!H$17*INDEX(Controls!$B$21:$H$21,1,WEEKDAY($A210,2))*(1+Controls!$B$11)^208*(1+Controls!M$25*Smooth!$L210)*(1+Controls!M$26*Smooth!$M210)*(1+Controls!M$27*Smooth!$N210)*(1+Controls!M$28*Smooth!$O210)),2))</f>
        <v/>
      </c>
      <c r="I210" s="10" t="str">
        <f t="array" ref="I210">IF(OR($A210="",8&gt;Controls!$B$6),"",ROUND(MAX(0,Smooth!I210*Controls!I$17*INDEX(Controls!$B$21:$H$21,1,WEEKDAY($A210,2))*(1+Controls!$B$11)^208*(1+Controls!N$25*Smooth!$L210)*(1+Controls!N$26*Smooth!$M210)*(1+Controls!N$27*Smooth!$N210)*(1+Controls!N$28*Smooth!$O210)),2))</f>
        <v/>
      </c>
      <c r="J210" s="10" t="str">
        <f t="array" ref="J210">IF(OR($A210="",9&gt;Controls!$B$6),"",ROUND(MAX(0,Smooth!J210*Controls!J$17*INDEX(Controls!$B$21:$H$21,1,WEEKDAY($A210,2))*(1+Controls!$B$11)^208*(1+Controls!O$25*Smooth!$L210)*(1+Controls!O$26*Smooth!$M210)*(1+Controls!O$27*Smooth!$N210)*(1+Controls!O$28*Smooth!$O210)),2))</f>
        <v/>
      </c>
      <c r="K210" s="10" t="str">
        <f t="array" ref="K210">IF(OR($A210="",10&gt;Controls!$B$6),"",ROUND(MAX(0,Smooth!K210*Controls!K$17*INDEX(Controls!$B$21:$H$21,1,WEEKDAY($A210,2))*(1+Controls!$B$11)^208*(1+Controls!P$25*Smooth!$L210)*(1+Controls!P$26*Smooth!$M210)*(1+Controls!P$27*Smooth!$N210)*(1+Controls!P$28*Smooth!$O210)),2))</f>
        <v/>
      </c>
      <c r="L210" s="18" t="str">
        <f t="shared" si="1"/>
        <v/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21.0" customHeight="1">
      <c r="A211" s="7" t="str">
        <f>IF(210&lt;=Controls!$B$5,Controls!$B$4+209,"")</f>
        <v/>
      </c>
      <c r="B211" s="10" t="str">
        <f t="array" ref="B211">IF(OR($A211="",1&gt;Controls!$B$6),"",ROUND(MAX(0,Smooth!B211*Controls!B$17*INDEX(Controls!$B$21:$H$21,1,WEEKDAY($A211,2))*(1+Controls!$B$11)^209*(1+Controls!G$25*Smooth!$L211)*(1+Controls!G$26*Smooth!$M211)*(1+Controls!G$27*Smooth!$N211)*(1+Controls!G$28*Smooth!$O211)),2))</f>
        <v/>
      </c>
      <c r="C211" s="10" t="str">
        <f t="array" ref="C211">IF(OR($A211="",2&gt;Controls!$B$6),"",ROUND(MAX(0,Smooth!C211*Controls!C$17*INDEX(Controls!$B$21:$H$21,1,WEEKDAY($A211,2))*(1+Controls!$B$11)^209*(1+Controls!H$25*Smooth!$L211)*(1+Controls!H$26*Smooth!$M211)*(1+Controls!H$27*Smooth!$N211)*(1+Controls!H$28*Smooth!$O211)),2))</f>
        <v/>
      </c>
      <c r="D211" s="10" t="str">
        <f t="array" ref="D211">IF(OR($A211="",3&gt;Controls!$B$6),"",ROUND(MAX(0,Smooth!D211*Controls!D$17*INDEX(Controls!$B$21:$H$21,1,WEEKDAY($A211,2))*(1+Controls!$B$11)^209*(1+Controls!I$25*Smooth!$L211)*(1+Controls!I$26*Smooth!$M211)*(1+Controls!I$27*Smooth!$N211)*(1+Controls!I$28*Smooth!$O211)),2))</f>
        <v/>
      </c>
      <c r="E211" s="10" t="str">
        <f t="array" ref="E211">IF(OR($A211="",4&gt;Controls!$B$6),"",ROUND(MAX(0,Smooth!E211*Controls!E$17*INDEX(Controls!$B$21:$H$21,1,WEEKDAY($A211,2))*(1+Controls!$B$11)^209*(1+Controls!J$25*Smooth!$L211)*(1+Controls!J$26*Smooth!$M211)*(1+Controls!J$27*Smooth!$N211)*(1+Controls!J$28*Smooth!$O211)),2))</f>
        <v/>
      </c>
      <c r="F211" s="10" t="str">
        <f t="array" ref="F211">IF(OR($A211="",5&gt;Controls!$B$6),"",ROUND(MAX(0,Smooth!F211*Controls!F$17*INDEX(Controls!$B$21:$H$21,1,WEEKDAY($A211,2))*(1+Controls!$B$11)^209*(1+Controls!K$25*Smooth!$L211)*(1+Controls!K$26*Smooth!$M211)*(1+Controls!K$27*Smooth!$N211)*(1+Controls!K$28*Smooth!$O211)),2))</f>
        <v/>
      </c>
      <c r="G211" s="10" t="str">
        <f t="array" ref="G211">IF(OR($A211="",6&gt;Controls!$B$6),"",ROUND(MAX(0,Smooth!G211*Controls!G$17*INDEX(Controls!$B$21:$H$21,1,WEEKDAY($A211,2))*(1+Controls!$B$11)^209*(1+Controls!L$25*Smooth!$L211)*(1+Controls!L$26*Smooth!$M211)*(1+Controls!L$27*Smooth!$N211)*(1+Controls!L$28*Smooth!$O211)),2))</f>
        <v/>
      </c>
      <c r="H211" s="10" t="str">
        <f t="array" ref="H211">IF(OR($A211="",7&gt;Controls!$B$6),"",ROUND(MAX(0,Smooth!H211*Controls!H$17*INDEX(Controls!$B$21:$H$21,1,WEEKDAY($A211,2))*(1+Controls!$B$11)^209*(1+Controls!M$25*Smooth!$L211)*(1+Controls!M$26*Smooth!$M211)*(1+Controls!M$27*Smooth!$N211)*(1+Controls!M$28*Smooth!$O211)),2))</f>
        <v/>
      </c>
      <c r="I211" s="10" t="str">
        <f t="array" ref="I211">IF(OR($A211="",8&gt;Controls!$B$6),"",ROUND(MAX(0,Smooth!I211*Controls!I$17*INDEX(Controls!$B$21:$H$21,1,WEEKDAY($A211,2))*(1+Controls!$B$11)^209*(1+Controls!N$25*Smooth!$L211)*(1+Controls!N$26*Smooth!$M211)*(1+Controls!N$27*Smooth!$N211)*(1+Controls!N$28*Smooth!$O211)),2))</f>
        <v/>
      </c>
      <c r="J211" s="10" t="str">
        <f t="array" ref="J211">IF(OR($A211="",9&gt;Controls!$B$6),"",ROUND(MAX(0,Smooth!J211*Controls!J$17*INDEX(Controls!$B$21:$H$21,1,WEEKDAY($A211,2))*(1+Controls!$B$11)^209*(1+Controls!O$25*Smooth!$L211)*(1+Controls!O$26*Smooth!$M211)*(1+Controls!O$27*Smooth!$N211)*(1+Controls!O$28*Smooth!$O211)),2))</f>
        <v/>
      </c>
      <c r="K211" s="10" t="str">
        <f t="array" ref="K211">IF(OR($A211="",10&gt;Controls!$B$6),"",ROUND(MAX(0,Smooth!K211*Controls!K$17*INDEX(Controls!$B$21:$H$21,1,WEEKDAY($A211,2))*(1+Controls!$B$11)^209*(1+Controls!P$25*Smooth!$L211)*(1+Controls!P$26*Smooth!$M211)*(1+Controls!P$27*Smooth!$N211)*(1+Controls!P$28*Smooth!$O211)),2))</f>
        <v/>
      </c>
      <c r="L211" s="18" t="str">
        <f t="shared" si="1"/>
        <v/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21.0" customHeight="1">
      <c r="A212" s="7" t="str">
        <f>IF(211&lt;=Controls!$B$5,Controls!$B$4+210,"")</f>
        <v/>
      </c>
      <c r="B212" s="10" t="str">
        <f t="array" ref="B212">IF(OR($A212="",1&gt;Controls!$B$6),"",ROUND(MAX(0,Smooth!B212*Controls!B$17*INDEX(Controls!$B$21:$H$21,1,WEEKDAY($A212,2))*(1+Controls!$B$11)^210*(1+Controls!G$25*Smooth!$L212)*(1+Controls!G$26*Smooth!$M212)*(1+Controls!G$27*Smooth!$N212)*(1+Controls!G$28*Smooth!$O212)),2))</f>
        <v/>
      </c>
      <c r="C212" s="10" t="str">
        <f t="array" ref="C212">IF(OR($A212="",2&gt;Controls!$B$6),"",ROUND(MAX(0,Smooth!C212*Controls!C$17*INDEX(Controls!$B$21:$H$21,1,WEEKDAY($A212,2))*(1+Controls!$B$11)^210*(1+Controls!H$25*Smooth!$L212)*(1+Controls!H$26*Smooth!$M212)*(1+Controls!H$27*Smooth!$N212)*(1+Controls!H$28*Smooth!$O212)),2))</f>
        <v/>
      </c>
      <c r="D212" s="10" t="str">
        <f t="array" ref="D212">IF(OR($A212="",3&gt;Controls!$B$6),"",ROUND(MAX(0,Smooth!D212*Controls!D$17*INDEX(Controls!$B$21:$H$21,1,WEEKDAY($A212,2))*(1+Controls!$B$11)^210*(1+Controls!I$25*Smooth!$L212)*(1+Controls!I$26*Smooth!$M212)*(1+Controls!I$27*Smooth!$N212)*(1+Controls!I$28*Smooth!$O212)),2))</f>
        <v/>
      </c>
      <c r="E212" s="10" t="str">
        <f t="array" ref="E212">IF(OR($A212="",4&gt;Controls!$B$6),"",ROUND(MAX(0,Smooth!E212*Controls!E$17*INDEX(Controls!$B$21:$H$21,1,WEEKDAY($A212,2))*(1+Controls!$B$11)^210*(1+Controls!J$25*Smooth!$L212)*(1+Controls!J$26*Smooth!$M212)*(1+Controls!J$27*Smooth!$N212)*(1+Controls!J$28*Smooth!$O212)),2))</f>
        <v/>
      </c>
      <c r="F212" s="10" t="str">
        <f t="array" ref="F212">IF(OR($A212="",5&gt;Controls!$B$6),"",ROUND(MAX(0,Smooth!F212*Controls!F$17*INDEX(Controls!$B$21:$H$21,1,WEEKDAY($A212,2))*(1+Controls!$B$11)^210*(1+Controls!K$25*Smooth!$L212)*(1+Controls!K$26*Smooth!$M212)*(1+Controls!K$27*Smooth!$N212)*(1+Controls!K$28*Smooth!$O212)),2))</f>
        <v/>
      </c>
      <c r="G212" s="10" t="str">
        <f t="array" ref="G212">IF(OR($A212="",6&gt;Controls!$B$6),"",ROUND(MAX(0,Smooth!G212*Controls!G$17*INDEX(Controls!$B$21:$H$21,1,WEEKDAY($A212,2))*(1+Controls!$B$11)^210*(1+Controls!L$25*Smooth!$L212)*(1+Controls!L$26*Smooth!$M212)*(1+Controls!L$27*Smooth!$N212)*(1+Controls!L$28*Smooth!$O212)),2))</f>
        <v/>
      </c>
      <c r="H212" s="10" t="str">
        <f t="array" ref="H212">IF(OR($A212="",7&gt;Controls!$B$6),"",ROUND(MAX(0,Smooth!H212*Controls!H$17*INDEX(Controls!$B$21:$H$21,1,WEEKDAY($A212,2))*(1+Controls!$B$11)^210*(1+Controls!M$25*Smooth!$L212)*(1+Controls!M$26*Smooth!$M212)*(1+Controls!M$27*Smooth!$N212)*(1+Controls!M$28*Smooth!$O212)),2))</f>
        <v/>
      </c>
      <c r="I212" s="10" t="str">
        <f t="array" ref="I212">IF(OR($A212="",8&gt;Controls!$B$6),"",ROUND(MAX(0,Smooth!I212*Controls!I$17*INDEX(Controls!$B$21:$H$21,1,WEEKDAY($A212,2))*(1+Controls!$B$11)^210*(1+Controls!N$25*Smooth!$L212)*(1+Controls!N$26*Smooth!$M212)*(1+Controls!N$27*Smooth!$N212)*(1+Controls!N$28*Smooth!$O212)),2))</f>
        <v/>
      </c>
      <c r="J212" s="10" t="str">
        <f t="array" ref="J212">IF(OR($A212="",9&gt;Controls!$B$6),"",ROUND(MAX(0,Smooth!J212*Controls!J$17*INDEX(Controls!$B$21:$H$21,1,WEEKDAY($A212,2))*(1+Controls!$B$11)^210*(1+Controls!O$25*Smooth!$L212)*(1+Controls!O$26*Smooth!$M212)*(1+Controls!O$27*Smooth!$N212)*(1+Controls!O$28*Smooth!$O212)),2))</f>
        <v/>
      </c>
      <c r="K212" s="10" t="str">
        <f t="array" ref="K212">IF(OR($A212="",10&gt;Controls!$B$6),"",ROUND(MAX(0,Smooth!K212*Controls!K$17*INDEX(Controls!$B$21:$H$21,1,WEEKDAY($A212,2))*(1+Controls!$B$11)^210*(1+Controls!P$25*Smooth!$L212)*(1+Controls!P$26*Smooth!$M212)*(1+Controls!P$27*Smooth!$N212)*(1+Controls!P$28*Smooth!$O212)),2))</f>
        <v/>
      </c>
      <c r="L212" s="18" t="str">
        <f t="shared" si="1"/>
        <v/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21.0" customHeight="1">
      <c r="A213" s="7" t="str">
        <f>IF(212&lt;=Controls!$B$5,Controls!$B$4+211,"")</f>
        <v/>
      </c>
      <c r="B213" s="10" t="str">
        <f t="array" ref="B213">IF(OR($A213="",1&gt;Controls!$B$6),"",ROUND(MAX(0,Smooth!B213*Controls!B$17*INDEX(Controls!$B$21:$H$21,1,WEEKDAY($A213,2))*(1+Controls!$B$11)^211*(1+Controls!G$25*Smooth!$L213)*(1+Controls!G$26*Smooth!$M213)*(1+Controls!G$27*Smooth!$N213)*(1+Controls!G$28*Smooth!$O213)),2))</f>
        <v/>
      </c>
      <c r="C213" s="10" t="str">
        <f t="array" ref="C213">IF(OR($A213="",2&gt;Controls!$B$6),"",ROUND(MAX(0,Smooth!C213*Controls!C$17*INDEX(Controls!$B$21:$H$21,1,WEEKDAY($A213,2))*(1+Controls!$B$11)^211*(1+Controls!H$25*Smooth!$L213)*(1+Controls!H$26*Smooth!$M213)*(1+Controls!H$27*Smooth!$N213)*(1+Controls!H$28*Smooth!$O213)),2))</f>
        <v/>
      </c>
      <c r="D213" s="10" t="str">
        <f t="array" ref="D213">IF(OR($A213="",3&gt;Controls!$B$6),"",ROUND(MAX(0,Smooth!D213*Controls!D$17*INDEX(Controls!$B$21:$H$21,1,WEEKDAY($A213,2))*(1+Controls!$B$11)^211*(1+Controls!I$25*Smooth!$L213)*(1+Controls!I$26*Smooth!$M213)*(1+Controls!I$27*Smooth!$N213)*(1+Controls!I$28*Smooth!$O213)),2))</f>
        <v/>
      </c>
      <c r="E213" s="10" t="str">
        <f t="array" ref="E213">IF(OR($A213="",4&gt;Controls!$B$6),"",ROUND(MAX(0,Smooth!E213*Controls!E$17*INDEX(Controls!$B$21:$H$21,1,WEEKDAY($A213,2))*(1+Controls!$B$11)^211*(1+Controls!J$25*Smooth!$L213)*(1+Controls!J$26*Smooth!$M213)*(1+Controls!J$27*Smooth!$N213)*(1+Controls!J$28*Smooth!$O213)),2))</f>
        <v/>
      </c>
      <c r="F213" s="10" t="str">
        <f t="array" ref="F213">IF(OR($A213="",5&gt;Controls!$B$6),"",ROUND(MAX(0,Smooth!F213*Controls!F$17*INDEX(Controls!$B$21:$H$21,1,WEEKDAY($A213,2))*(1+Controls!$B$11)^211*(1+Controls!K$25*Smooth!$L213)*(1+Controls!K$26*Smooth!$M213)*(1+Controls!K$27*Smooth!$N213)*(1+Controls!K$28*Smooth!$O213)),2))</f>
        <v/>
      </c>
      <c r="G213" s="10" t="str">
        <f t="array" ref="G213">IF(OR($A213="",6&gt;Controls!$B$6),"",ROUND(MAX(0,Smooth!G213*Controls!G$17*INDEX(Controls!$B$21:$H$21,1,WEEKDAY($A213,2))*(1+Controls!$B$11)^211*(1+Controls!L$25*Smooth!$L213)*(1+Controls!L$26*Smooth!$M213)*(1+Controls!L$27*Smooth!$N213)*(1+Controls!L$28*Smooth!$O213)),2))</f>
        <v/>
      </c>
      <c r="H213" s="10" t="str">
        <f t="array" ref="H213">IF(OR($A213="",7&gt;Controls!$B$6),"",ROUND(MAX(0,Smooth!H213*Controls!H$17*INDEX(Controls!$B$21:$H$21,1,WEEKDAY($A213,2))*(1+Controls!$B$11)^211*(1+Controls!M$25*Smooth!$L213)*(1+Controls!M$26*Smooth!$M213)*(1+Controls!M$27*Smooth!$N213)*(1+Controls!M$28*Smooth!$O213)),2))</f>
        <v/>
      </c>
      <c r="I213" s="10" t="str">
        <f t="array" ref="I213">IF(OR($A213="",8&gt;Controls!$B$6),"",ROUND(MAX(0,Smooth!I213*Controls!I$17*INDEX(Controls!$B$21:$H$21,1,WEEKDAY($A213,2))*(1+Controls!$B$11)^211*(1+Controls!N$25*Smooth!$L213)*(1+Controls!N$26*Smooth!$M213)*(1+Controls!N$27*Smooth!$N213)*(1+Controls!N$28*Smooth!$O213)),2))</f>
        <v/>
      </c>
      <c r="J213" s="10" t="str">
        <f t="array" ref="J213">IF(OR($A213="",9&gt;Controls!$B$6),"",ROUND(MAX(0,Smooth!J213*Controls!J$17*INDEX(Controls!$B$21:$H$21,1,WEEKDAY($A213,2))*(1+Controls!$B$11)^211*(1+Controls!O$25*Smooth!$L213)*(1+Controls!O$26*Smooth!$M213)*(1+Controls!O$27*Smooth!$N213)*(1+Controls!O$28*Smooth!$O213)),2))</f>
        <v/>
      </c>
      <c r="K213" s="10" t="str">
        <f t="array" ref="K213">IF(OR($A213="",10&gt;Controls!$B$6),"",ROUND(MAX(0,Smooth!K213*Controls!K$17*INDEX(Controls!$B$21:$H$21,1,WEEKDAY($A213,2))*(1+Controls!$B$11)^211*(1+Controls!P$25*Smooth!$L213)*(1+Controls!P$26*Smooth!$M213)*(1+Controls!P$27*Smooth!$N213)*(1+Controls!P$28*Smooth!$O213)),2))</f>
        <v/>
      </c>
      <c r="L213" s="18" t="str">
        <f t="shared" si="1"/>
        <v/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21.0" customHeight="1">
      <c r="A214" s="7" t="str">
        <f>IF(213&lt;=Controls!$B$5,Controls!$B$4+212,"")</f>
        <v/>
      </c>
      <c r="B214" s="10" t="str">
        <f t="array" ref="B214">IF(OR($A214="",1&gt;Controls!$B$6),"",ROUND(MAX(0,Smooth!B214*Controls!B$17*INDEX(Controls!$B$21:$H$21,1,WEEKDAY($A214,2))*(1+Controls!$B$11)^212*(1+Controls!G$25*Smooth!$L214)*(1+Controls!G$26*Smooth!$M214)*(1+Controls!G$27*Smooth!$N214)*(1+Controls!G$28*Smooth!$O214)),2))</f>
        <v/>
      </c>
      <c r="C214" s="10" t="str">
        <f t="array" ref="C214">IF(OR($A214="",2&gt;Controls!$B$6),"",ROUND(MAX(0,Smooth!C214*Controls!C$17*INDEX(Controls!$B$21:$H$21,1,WEEKDAY($A214,2))*(1+Controls!$B$11)^212*(1+Controls!H$25*Smooth!$L214)*(1+Controls!H$26*Smooth!$M214)*(1+Controls!H$27*Smooth!$N214)*(1+Controls!H$28*Smooth!$O214)),2))</f>
        <v/>
      </c>
      <c r="D214" s="10" t="str">
        <f t="array" ref="D214">IF(OR($A214="",3&gt;Controls!$B$6),"",ROUND(MAX(0,Smooth!D214*Controls!D$17*INDEX(Controls!$B$21:$H$21,1,WEEKDAY($A214,2))*(1+Controls!$B$11)^212*(1+Controls!I$25*Smooth!$L214)*(1+Controls!I$26*Smooth!$M214)*(1+Controls!I$27*Smooth!$N214)*(1+Controls!I$28*Smooth!$O214)),2))</f>
        <v/>
      </c>
      <c r="E214" s="10" t="str">
        <f t="array" ref="E214">IF(OR($A214="",4&gt;Controls!$B$6),"",ROUND(MAX(0,Smooth!E214*Controls!E$17*INDEX(Controls!$B$21:$H$21,1,WEEKDAY($A214,2))*(1+Controls!$B$11)^212*(1+Controls!J$25*Smooth!$L214)*(1+Controls!J$26*Smooth!$M214)*(1+Controls!J$27*Smooth!$N214)*(1+Controls!J$28*Smooth!$O214)),2))</f>
        <v/>
      </c>
      <c r="F214" s="10" t="str">
        <f t="array" ref="F214">IF(OR($A214="",5&gt;Controls!$B$6),"",ROUND(MAX(0,Smooth!F214*Controls!F$17*INDEX(Controls!$B$21:$H$21,1,WEEKDAY($A214,2))*(1+Controls!$B$11)^212*(1+Controls!K$25*Smooth!$L214)*(1+Controls!K$26*Smooth!$M214)*(1+Controls!K$27*Smooth!$N214)*(1+Controls!K$28*Smooth!$O214)),2))</f>
        <v/>
      </c>
      <c r="G214" s="10" t="str">
        <f t="array" ref="G214">IF(OR($A214="",6&gt;Controls!$B$6),"",ROUND(MAX(0,Smooth!G214*Controls!G$17*INDEX(Controls!$B$21:$H$21,1,WEEKDAY($A214,2))*(1+Controls!$B$11)^212*(1+Controls!L$25*Smooth!$L214)*(1+Controls!L$26*Smooth!$M214)*(1+Controls!L$27*Smooth!$N214)*(1+Controls!L$28*Smooth!$O214)),2))</f>
        <v/>
      </c>
      <c r="H214" s="10" t="str">
        <f t="array" ref="H214">IF(OR($A214="",7&gt;Controls!$B$6),"",ROUND(MAX(0,Smooth!H214*Controls!H$17*INDEX(Controls!$B$21:$H$21,1,WEEKDAY($A214,2))*(1+Controls!$B$11)^212*(1+Controls!M$25*Smooth!$L214)*(1+Controls!M$26*Smooth!$M214)*(1+Controls!M$27*Smooth!$N214)*(1+Controls!M$28*Smooth!$O214)),2))</f>
        <v/>
      </c>
      <c r="I214" s="10" t="str">
        <f t="array" ref="I214">IF(OR($A214="",8&gt;Controls!$B$6),"",ROUND(MAX(0,Smooth!I214*Controls!I$17*INDEX(Controls!$B$21:$H$21,1,WEEKDAY($A214,2))*(1+Controls!$B$11)^212*(1+Controls!N$25*Smooth!$L214)*(1+Controls!N$26*Smooth!$M214)*(1+Controls!N$27*Smooth!$N214)*(1+Controls!N$28*Smooth!$O214)),2))</f>
        <v/>
      </c>
      <c r="J214" s="10" t="str">
        <f t="array" ref="J214">IF(OR($A214="",9&gt;Controls!$B$6),"",ROUND(MAX(0,Smooth!J214*Controls!J$17*INDEX(Controls!$B$21:$H$21,1,WEEKDAY($A214,2))*(1+Controls!$B$11)^212*(1+Controls!O$25*Smooth!$L214)*(1+Controls!O$26*Smooth!$M214)*(1+Controls!O$27*Smooth!$N214)*(1+Controls!O$28*Smooth!$O214)),2))</f>
        <v/>
      </c>
      <c r="K214" s="10" t="str">
        <f t="array" ref="K214">IF(OR($A214="",10&gt;Controls!$B$6),"",ROUND(MAX(0,Smooth!K214*Controls!K$17*INDEX(Controls!$B$21:$H$21,1,WEEKDAY($A214,2))*(1+Controls!$B$11)^212*(1+Controls!P$25*Smooth!$L214)*(1+Controls!P$26*Smooth!$M214)*(1+Controls!P$27*Smooth!$N214)*(1+Controls!P$28*Smooth!$O214)),2))</f>
        <v/>
      </c>
      <c r="L214" s="18" t="str">
        <f t="shared" si="1"/>
        <v/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21.0" customHeight="1">
      <c r="A215" s="7" t="str">
        <f>IF(214&lt;=Controls!$B$5,Controls!$B$4+213,"")</f>
        <v/>
      </c>
      <c r="B215" s="10" t="str">
        <f t="array" ref="B215">IF(OR($A215="",1&gt;Controls!$B$6),"",ROUND(MAX(0,Smooth!B215*Controls!B$17*INDEX(Controls!$B$21:$H$21,1,WEEKDAY($A215,2))*(1+Controls!$B$11)^213*(1+Controls!G$25*Smooth!$L215)*(1+Controls!G$26*Smooth!$M215)*(1+Controls!G$27*Smooth!$N215)*(1+Controls!G$28*Smooth!$O215)),2))</f>
        <v/>
      </c>
      <c r="C215" s="10" t="str">
        <f t="array" ref="C215">IF(OR($A215="",2&gt;Controls!$B$6),"",ROUND(MAX(0,Smooth!C215*Controls!C$17*INDEX(Controls!$B$21:$H$21,1,WEEKDAY($A215,2))*(1+Controls!$B$11)^213*(1+Controls!H$25*Smooth!$L215)*(1+Controls!H$26*Smooth!$M215)*(1+Controls!H$27*Smooth!$N215)*(1+Controls!H$28*Smooth!$O215)),2))</f>
        <v/>
      </c>
      <c r="D215" s="10" t="str">
        <f t="array" ref="D215">IF(OR($A215="",3&gt;Controls!$B$6),"",ROUND(MAX(0,Smooth!D215*Controls!D$17*INDEX(Controls!$B$21:$H$21,1,WEEKDAY($A215,2))*(1+Controls!$B$11)^213*(1+Controls!I$25*Smooth!$L215)*(1+Controls!I$26*Smooth!$M215)*(1+Controls!I$27*Smooth!$N215)*(1+Controls!I$28*Smooth!$O215)),2))</f>
        <v/>
      </c>
      <c r="E215" s="10" t="str">
        <f t="array" ref="E215">IF(OR($A215="",4&gt;Controls!$B$6),"",ROUND(MAX(0,Smooth!E215*Controls!E$17*INDEX(Controls!$B$21:$H$21,1,WEEKDAY($A215,2))*(1+Controls!$B$11)^213*(1+Controls!J$25*Smooth!$L215)*(1+Controls!J$26*Smooth!$M215)*(1+Controls!J$27*Smooth!$N215)*(1+Controls!J$28*Smooth!$O215)),2))</f>
        <v/>
      </c>
      <c r="F215" s="10" t="str">
        <f t="array" ref="F215">IF(OR($A215="",5&gt;Controls!$B$6),"",ROUND(MAX(0,Smooth!F215*Controls!F$17*INDEX(Controls!$B$21:$H$21,1,WEEKDAY($A215,2))*(1+Controls!$B$11)^213*(1+Controls!K$25*Smooth!$L215)*(1+Controls!K$26*Smooth!$M215)*(1+Controls!K$27*Smooth!$N215)*(1+Controls!K$28*Smooth!$O215)),2))</f>
        <v/>
      </c>
      <c r="G215" s="10" t="str">
        <f t="array" ref="G215">IF(OR($A215="",6&gt;Controls!$B$6),"",ROUND(MAX(0,Smooth!G215*Controls!G$17*INDEX(Controls!$B$21:$H$21,1,WEEKDAY($A215,2))*(1+Controls!$B$11)^213*(1+Controls!L$25*Smooth!$L215)*(1+Controls!L$26*Smooth!$M215)*(1+Controls!L$27*Smooth!$N215)*(1+Controls!L$28*Smooth!$O215)),2))</f>
        <v/>
      </c>
      <c r="H215" s="10" t="str">
        <f t="array" ref="H215">IF(OR($A215="",7&gt;Controls!$B$6),"",ROUND(MAX(0,Smooth!H215*Controls!H$17*INDEX(Controls!$B$21:$H$21,1,WEEKDAY($A215,2))*(1+Controls!$B$11)^213*(1+Controls!M$25*Smooth!$L215)*(1+Controls!M$26*Smooth!$M215)*(1+Controls!M$27*Smooth!$N215)*(1+Controls!M$28*Smooth!$O215)),2))</f>
        <v/>
      </c>
      <c r="I215" s="10" t="str">
        <f t="array" ref="I215">IF(OR($A215="",8&gt;Controls!$B$6),"",ROUND(MAX(0,Smooth!I215*Controls!I$17*INDEX(Controls!$B$21:$H$21,1,WEEKDAY($A215,2))*(1+Controls!$B$11)^213*(1+Controls!N$25*Smooth!$L215)*(1+Controls!N$26*Smooth!$M215)*(1+Controls!N$27*Smooth!$N215)*(1+Controls!N$28*Smooth!$O215)),2))</f>
        <v/>
      </c>
      <c r="J215" s="10" t="str">
        <f t="array" ref="J215">IF(OR($A215="",9&gt;Controls!$B$6),"",ROUND(MAX(0,Smooth!J215*Controls!J$17*INDEX(Controls!$B$21:$H$21,1,WEEKDAY($A215,2))*(1+Controls!$B$11)^213*(1+Controls!O$25*Smooth!$L215)*(1+Controls!O$26*Smooth!$M215)*(1+Controls!O$27*Smooth!$N215)*(1+Controls!O$28*Smooth!$O215)),2))</f>
        <v/>
      </c>
      <c r="K215" s="10" t="str">
        <f t="array" ref="K215">IF(OR($A215="",10&gt;Controls!$B$6),"",ROUND(MAX(0,Smooth!K215*Controls!K$17*INDEX(Controls!$B$21:$H$21,1,WEEKDAY($A215,2))*(1+Controls!$B$11)^213*(1+Controls!P$25*Smooth!$L215)*(1+Controls!P$26*Smooth!$M215)*(1+Controls!P$27*Smooth!$N215)*(1+Controls!P$28*Smooth!$O215)),2))</f>
        <v/>
      </c>
      <c r="L215" s="18" t="str">
        <f t="shared" si="1"/>
        <v/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21.0" customHeight="1">
      <c r="A216" s="7" t="str">
        <f>IF(215&lt;=Controls!$B$5,Controls!$B$4+214,"")</f>
        <v/>
      </c>
      <c r="B216" s="10" t="str">
        <f t="array" ref="B216">IF(OR($A216="",1&gt;Controls!$B$6),"",ROUND(MAX(0,Smooth!B216*Controls!B$17*INDEX(Controls!$B$21:$H$21,1,WEEKDAY($A216,2))*(1+Controls!$B$11)^214*(1+Controls!G$25*Smooth!$L216)*(1+Controls!G$26*Smooth!$M216)*(1+Controls!G$27*Smooth!$N216)*(1+Controls!G$28*Smooth!$O216)),2))</f>
        <v/>
      </c>
      <c r="C216" s="10" t="str">
        <f t="array" ref="C216">IF(OR($A216="",2&gt;Controls!$B$6),"",ROUND(MAX(0,Smooth!C216*Controls!C$17*INDEX(Controls!$B$21:$H$21,1,WEEKDAY($A216,2))*(1+Controls!$B$11)^214*(1+Controls!H$25*Smooth!$L216)*(1+Controls!H$26*Smooth!$M216)*(1+Controls!H$27*Smooth!$N216)*(1+Controls!H$28*Smooth!$O216)),2))</f>
        <v/>
      </c>
      <c r="D216" s="10" t="str">
        <f t="array" ref="D216">IF(OR($A216="",3&gt;Controls!$B$6),"",ROUND(MAX(0,Smooth!D216*Controls!D$17*INDEX(Controls!$B$21:$H$21,1,WEEKDAY($A216,2))*(1+Controls!$B$11)^214*(1+Controls!I$25*Smooth!$L216)*(1+Controls!I$26*Smooth!$M216)*(1+Controls!I$27*Smooth!$N216)*(1+Controls!I$28*Smooth!$O216)),2))</f>
        <v/>
      </c>
      <c r="E216" s="10" t="str">
        <f t="array" ref="E216">IF(OR($A216="",4&gt;Controls!$B$6),"",ROUND(MAX(0,Smooth!E216*Controls!E$17*INDEX(Controls!$B$21:$H$21,1,WEEKDAY($A216,2))*(1+Controls!$B$11)^214*(1+Controls!J$25*Smooth!$L216)*(1+Controls!J$26*Smooth!$M216)*(1+Controls!J$27*Smooth!$N216)*(1+Controls!J$28*Smooth!$O216)),2))</f>
        <v/>
      </c>
      <c r="F216" s="10" t="str">
        <f t="array" ref="F216">IF(OR($A216="",5&gt;Controls!$B$6),"",ROUND(MAX(0,Smooth!F216*Controls!F$17*INDEX(Controls!$B$21:$H$21,1,WEEKDAY($A216,2))*(1+Controls!$B$11)^214*(1+Controls!K$25*Smooth!$L216)*(1+Controls!K$26*Smooth!$M216)*(1+Controls!K$27*Smooth!$N216)*(1+Controls!K$28*Smooth!$O216)),2))</f>
        <v/>
      </c>
      <c r="G216" s="10" t="str">
        <f t="array" ref="G216">IF(OR($A216="",6&gt;Controls!$B$6),"",ROUND(MAX(0,Smooth!G216*Controls!G$17*INDEX(Controls!$B$21:$H$21,1,WEEKDAY($A216,2))*(1+Controls!$B$11)^214*(1+Controls!L$25*Smooth!$L216)*(1+Controls!L$26*Smooth!$M216)*(1+Controls!L$27*Smooth!$N216)*(1+Controls!L$28*Smooth!$O216)),2))</f>
        <v/>
      </c>
      <c r="H216" s="10" t="str">
        <f t="array" ref="H216">IF(OR($A216="",7&gt;Controls!$B$6),"",ROUND(MAX(0,Smooth!H216*Controls!H$17*INDEX(Controls!$B$21:$H$21,1,WEEKDAY($A216,2))*(1+Controls!$B$11)^214*(1+Controls!M$25*Smooth!$L216)*(1+Controls!M$26*Smooth!$M216)*(1+Controls!M$27*Smooth!$N216)*(1+Controls!M$28*Smooth!$O216)),2))</f>
        <v/>
      </c>
      <c r="I216" s="10" t="str">
        <f t="array" ref="I216">IF(OR($A216="",8&gt;Controls!$B$6),"",ROUND(MAX(0,Smooth!I216*Controls!I$17*INDEX(Controls!$B$21:$H$21,1,WEEKDAY($A216,2))*(1+Controls!$B$11)^214*(1+Controls!N$25*Smooth!$L216)*(1+Controls!N$26*Smooth!$M216)*(1+Controls!N$27*Smooth!$N216)*(1+Controls!N$28*Smooth!$O216)),2))</f>
        <v/>
      </c>
      <c r="J216" s="10" t="str">
        <f t="array" ref="J216">IF(OR($A216="",9&gt;Controls!$B$6),"",ROUND(MAX(0,Smooth!J216*Controls!J$17*INDEX(Controls!$B$21:$H$21,1,WEEKDAY($A216,2))*(1+Controls!$B$11)^214*(1+Controls!O$25*Smooth!$L216)*(1+Controls!O$26*Smooth!$M216)*(1+Controls!O$27*Smooth!$N216)*(1+Controls!O$28*Smooth!$O216)),2))</f>
        <v/>
      </c>
      <c r="K216" s="10" t="str">
        <f t="array" ref="K216">IF(OR($A216="",10&gt;Controls!$B$6),"",ROUND(MAX(0,Smooth!K216*Controls!K$17*INDEX(Controls!$B$21:$H$21,1,WEEKDAY($A216,2))*(1+Controls!$B$11)^214*(1+Controls!P$25*Smooth!$L216)*(1+Controls!P$26*Smooth!$M216)*(1+Controls!P$27*Smooth!$N216)*(1+Controls!P$28*Smooth!$O216)),2))</f>
        <v/>
      </c>
      <c r="L216" s="18" t="str">
        <f t="shared" si="1"/>
        <v/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21.0" customHeight="1">
      <c r="A217" s="7" t="str">
        <f>IF(216&lt;=Controls!$B$5,Controls!$B$4+215,"")</f>
        <v/>
      </c>
      <c r="B217" s="10" t="str">
        <f t="array" ref="B217">IF(OR($A217="",1&gt;Controls!$B$6),"",ROUND(MAX(0,Smooth!B217*Controls!B$17*INDEX(Controls!$B$21:$H$21,1,WEEKDAY($A217,2))*(1+Controls!$B$11)^215*(1+Controls!G$25*Smooth!$L217)*(1+Controls!G$26*Smooth!$M217)*(1+Controls!G$27*Smooth!$N217)*(1+Controls!G$28*Smooth!$O217)),2))</f>
        <v/>
      </c>
      <c r="C217" s="10" t="str">
        <f t="array" ref="C217">IF(OR($A217="",2&gt;Controls!$B$6),"",ROUND(MAX(0,Smooth!C217*Controls!C$17*INDEX(Controls!$B$21:$H$21,1,WEEKDAY($A217,2))*(1+Controls!$B$11)^215*(1+Controls!H$25*Smooth!$L217)*(1+Controls!H$26*Smooth!$M217)*(1+Controls!H$27*Smooth!$N217)*(1+Controls!H$28*Smooth!$O217)),2))</f>
        <v/>
      </c>
      <c r="D217" s="10" t="str">
        <f t="array" ref="D217">IF(OR($A217="",3&gt;Controls!$B$6),"",ROUND(MAX(0,Smooth!D217*Controls!D$17*INDEX(Controls!$B$21:$H$21,1,WEEKDAY($A217,2))*(1+Controls!$B$11)^215*(1+Controls!I$25*Smooth!$L217)*(1+Controls!I$26*Smooth!$M217)*(1+Controls!I$27*Smooth!$N217)*(1+Controls!I$28*Smooth!$O217)),2))</f>
        <v/>
      </c>
      <c r="E217" s="10" t="str">
        <f t="array" ref="E217">IF(OR($A217="",4&gt;Controls!$B$6),"",ROUND(MAX(0,Smooth!E217*Controls!E$17*INDEX(Controls!$B$21:$H$21,1,WEEKDAY($A217,2))*(1+Controls!$B$11)^215*(1+Controls!J$25*Smooth!$L217)*(1+Controls!J$26*Smooth!$M217)*(1+Controls!J$27*Smooth!$N217)*(1+Controls!J$28*Smooth!$O217)),2))</f>
        <v/>
      </c>
      <c r="F217" s="10" t="str">
        <f t="array" ref="F217">IF(OR($A217="",5&gt;Controls!$B$6),"",ROUND(MAX(0,Smooth!F217*Controls!F$17*INDEX(Controls!$B$21:$H$21,1,WEEKDAY($A217,2))*(1+Controls!$B$11)^215*(1+Controls!K$25*Smooth!$L217)*(1+Controls!K$26*Smooth!$M217)*(1+Controls!K$27*Smooth!$N217)*(1+Controls!K$28*Smooth!$O217)),2))</f>
        <v/>
      </c>
      <c r="G217" s="10" t="str">
        <f t="array" ref="G217">IF(OR($A217="",6&gt;Controls!$B$6),"",ROUND(MAX(0,Smooth!G217*Controls!G$17*INDEX(Controls!$B$21:$H$21,1,WEEKDAY($A217,2))*(1+Controls!$B$11)^215*(1+Controls!L$25*Smooth!$L217)*(1+Controls!L$26*Smooth!$M217)*(1+Controls!L$27*Smooth!$N217)*(1+Controls!L$28*Smooth!$O217)),2))</f>
        <v/>
      </c>
      <c r="H217" s="10" t="str">
        <f t="array" ref="H217">IF(OR($A217="",7&gt;Controls!$B$6),"",ROUND(MAX(0,Smooth!H217*Controls!H$17*INDEX(Controls!$B$21:$H$21,1,WEEKDAY($A217,2))*(1+Controls!$B$11)^215*(1+Controls!M$25*Smooth!$L217)*(1+Controls!M$26*Smooth!$M217)*(1+Controls!M$27*Smooth!$N217)*(1+Controls!M$28*Smooth!$O217)),2))</f>
        <v/>
      </c>
      <c r="I217" s="10" t="str">
        <f t="array" ref="I217">IF(OR($A217="",8&gt;Controls!$B$6),"",ROUND(MAX(0,Smooth!I217*Controls!I$17*INDEX(Controls!$B$21:$H$21,1,WEEKDAY($A217,2))*(1+Controls!$B$11)^215*(1+Controls!N$25*Smooth!$L217)*(1+Controls!N$26*Smooth!$M217)*(1+Controls!N$27*Smooth!$N217)*(1+Controls!N$28*Smooth!$O217)),2))</f>
        <v/>
      </c>
      <c r="J217" s="10" t="str">
        <f t="array" ref="J217">IF(OR($A217="",9&gt;Controls!$B$6),"",ROUND(MAX(0,Smooth!J217*Controls!J$17*INDEX(Controls!$B$21:$H$21,1,WEEKDAY($A217,2))*(1+Controls!$B$11)^215*(1+Controls!O$25*Smooth!$L217)*(1+Controls!O$26*Smooth!$M217)*(1+Controls!O$27*Smooth!$N217)*(1+Controls!O$28*Smooth!$O217)),2))</f>
        <v/>
      </c>
      <c r="K217" s="10" t="str">
        <f t="array" ref="K217">IF(OR($A217="",10&gt;Controls!$B$6),"",ROUND(MAX(0,Smooth!K217*Controls!K$17*INDEX(Controls!$B$21:$H$21,1,WEEKDAY($A217,2))*(1+Controls!$B$11)^215*(1+Controls!P$25*Smooth!$L217)*(1+Controls!P$26*Smooth!$M217)*(1+Controls!P$27*Smooth!$N217)*(1+Controls!P$28*Smooth!$O217)),2))</f>
        <v/>
      </c>
      <c r="L217" s="18" t="str">
        <f t="shared" si="1"/>
        <v/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21.0" customHeight="1">
      <c r="A218" s="7" t="str">
        <f>IF(217&lt;=Controls!$B$5,Controls!$B$4+216,"")</f>
        <v/>
      </c>
      <c r="B218" s="10" t="str">
        <f t="array" ref="B218">IF(OR($A218="",1&gt;Controls!$B$6),"",ROUND(MAX(0,Smooth!B218*Controls!B$17*INDEX(Controls!$B$21:$H$21,1,WEEKDAY($A218,2))*(1+Controls!$B$11)^216*(1+Controls!G$25*Smooth!$L218)*(1+Controls!G$26*Smooth!$M218)*(1+Controls!G$27*Smooth!$N218)*(1+Controls!G$28*Smooth!$O218)),2))</f>
        <v/>
      </c>
      <c r="C218" s="10" t="str">
        <f t="array" ref="C218">IF(OR($A218="",2&gt;Controls!$B$6),"",ROUND(MAX(0,Smooth!C218*Controls!C$17*INDEX(Controls!$B$21:$H$21,1,WEEKDAY($A218,2))*(1+Controls!$B$11)^216*(1+Controls!H$25*Smooth!$L218)*(1+Controls!H$26*Smooth!$M218)*(1+Controls!H$27*Smooth!$N218)*(1+Controls!H$28*Smooth!$O218)),2))</f>
        <v/>
      </c>
      <c r="D218" s="10" t="str">
        <f t="array" ref="D218">IF(OR($A218="",3&gt;Controls!$B$6),"",ROUND(MAX(0,Smooth!D218*Controls!D$17*INDEX(Controls!$B$21:$H$21,1,WEEKDAY($A218,2))*(1+Controls!$B$11)^216*(1+Controls!I$25*Smooth!$L218)*(1+Controls!I$26*Smooth!$M218)*(1+Controls!I$27*Smooth!$N218)*(1+Controls!I$28*Smooth!$O218)),2))</f>
        <v/>
      </c>
      <c r="E218" s="10" t="str">
        <f t="array" ref="E218">IF(OR($A218="",4&gt;Controls!$B$6),"",ROUND(MAX(0,Smooth!E218*Controls!E$17*INDEX(Controls!$B$21:$H$21,1,WEEKDAY($A218,2))*(1+Controls!$B$11)^216*(1+Controls!J$25*Smooth!$L218)*(1+Controls!J$26*Smooth!$M218)*(1+Controls!J$27*Smooth!$N218)*(1+Controls!J$28*Smooth!$O218)),2))</f>
        <v/>
      </c>
      <c r="F218" s="10" t="str">
        <f t="array" ref="F218">IF(OR($A218="",5&gt;Controls!$B$6),"",ROUND(MAX(0,Smooth!F218*Controls!F$17*INDEX(Controls!$B$21:$H$21,1,WEEKDAY($A218,2))*(1+Controls!$B$11)^216*(1+Controls!K$25*Smooth!$L218)*(1+Controls!K$26*Smooth!$M218)*(1+Controls!K$27*Smooth!$N218)*(1+Controls!K$28*Smooth!$O218)),2))</f>
        <v/>
      </c>
      <c r="G218" s="10" t="str">
        <f t="array" ref="G218">IF(OR($A218="",6&gt;Controls!$B$6),"",ROUND(MAX(0,Smooth!G218*Controls!G$17*INDEX(Controls!$B$21:$H$21,1,WEEKDAY($A218,2))*(1+Controls!$B$11)^216*(1+Controls!L$25*Smooth!$L218)*(1+Controls!L$26*Smooth!$M218)*(1+Controls!L$27*Smooth!$N218)*(1+Controls!L$28*Smooth!$O218)),2))</f>
        <v/>
      </c>
      <c r="H218" s="10" t="str">
        <f t="array" ref="H218">IF(OR($A218="",7&gt;Controls!$B$6),"",ROUND(MAX(0,Smooth!H218*Controls!H$17*INDEX(Controls!$B$21:$H$21,1,WEEKDAY($A218,2))*(1+Controls!$B$11)^216*(1+Controls!M$25*Smooth!$L218)*(1+Controls!M$26*Smooth!$M218)*(1+Controls!M$27*Smooth!$N218)*(1+Controls!M$28*Smooth!$O218)),2))</f>
        <v/>
      </c>
      <c r="I218" s="10" t="str">
        <f t="array" ref="I218">IF(OR($A218="",8&gt;Controls!$B$6),"",ROUND(MAX(0,Smooth!I218*Controls!I$17*INDEX(Controls!$B$21:$H$21,1,WEEKDAY($A218,2))*(1+Controls!$B$11)^216*(1+Controls!N$25*Smooth!$L218)*(1+Controls!N$26*Smooth!$M218)*(1+Controls!N$27*Smooth!$N218)*(1+Controls!N$28*Smooth!$O218)),2))</f>
        <v/>
      </c>
      <c r="J218" s="10" t="str">
        <f t="array" ref="J218">IF(OR($A218="",9&gt;Controls!$B$6),"",ROUND(MAX(0,Smooth!J218*Controls!J$17*INDEX(Controls!$B$21:$H$21,1,WEEKDAY($A218,2))*(1+Controls!$B$11)^216*(1+Controls!O$25*Smooth!$L218)*(1+Controls!O$26*Smooth!$M218)*(1+Controls!O$27*Smooth!$N218)*(1+Controls!O$28*Smooth!$O218)),2))</f>
        <v/>
      </c>
      <c r="K218" s="10" t="str">
        <f t="array" ref="K218">IF(OR($A218="",10&gt;Controls!$B$6),"",ROUND(MAX(0,Smooth!K218*Controls!K$17*INDEX(Controls!$B$21:$H$21,1,WEEKDAY($A218,2))*(1+Controls!$B$11)^216*(1+Controls!P$25*Smooth!$L218)*(1+Controls!P$26*Smooth!$M218)*(1+Controls!P$27*Smooth!$N218)*(1+Controls!P$28*Smooth!$O218)),2))</f>
        <v/>
      </c>
      <c r="L218" s="18" t="str">
        <f t="shared" si="1"/>
        <v/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21.0" customHeight="1">
      <c r="A219" s="7" t="str">
        <f>IF(218&lt;=Controls!$B$5,Controls!$B$4+217,"")</f>
        <v/>
      </c>
      <c r="B219" s="10" t="str">
        <f t="array" ref="B219">IF(OR($A219="",1&gt;Controls!$B$6),"",ROUND(MAX(0,Smooth!B219*Controls!B$17*INDEX(Controls!$B$21:$H$21,1,WEEKDAY($A219,2))*(1+Controls!$B$11)^217*(1+Controls!G$25*Smooth!$L219)*(1+Controls!G$26*Smooth!$M219)*(1+Controls!G$27*Smooth!$N219)*(1+Controls!G$28*Smooth!$O219)),2))</f>
        <v/>
      </c>
      <c r="C219" s="10" t="str">
        <f t="array" ref="C219">IF(OR($A219="",2&gt;Controls!$B$6),"",ROUND(MAX(0,Smooth!C219*Controls!C$17*INDEX(Controls!$B$21:$H$21,1,WEEKDAY($A219,2))*(1+Controls!$B$11)^217*(1+Controls!H$25*Smooth!$L219)*(1+Controls!H$26*Smooth!$M219)*(1+Controls!H$27*Smooth!$N219)*(1+Controls!H$28*Smooth!$O219)),2))</f>
        <v/>
      </c>
      <c r="D219" s="10" t="str">
        <f t="array" ref="D219">IF(OR($A219="",3&gt;Controls!$B$6),"",ROUND(MAX(0,Smooth!D219*Controls!D$17*INDEX(Controls!$B$21:$H$21,1,WEEKDAY($A219,2))*(1+Controls!$B$11)^217*(1+Controls!I$25*Smooth!$L219)*(1+Controls!I$26*Smooth!$M219)*(1+Controls!I$27*Smooth!$N219)*(1+Controls!I$28*Smooth!$O219)),2))</f>
        <v/>
      </c>
      <c r="E219" s="10" t="str">
        <f t="array" ref="E219">IF(OR($A219="",4&gt;Controls!$B$6),"",ROUND(MAX(0,Smooth!E219*Controls!E$17*INDEX(Controls!$B$21:$H$21,1,WEEKDAY($A219,2))*(1+Controls!$B$11)^217*(1+Controls!J$25*Smooth!$L219)*(1+Controls!J$26*Smooth!$M219)*(1+Controls!J$27*Smooth!$N219)*(1+Controls!J$28*Smooth!$O219)),2))</f>
        <v/>
      </c>
      <c r="F219" s="10" t="str">
        <f t="array" ref="F219">IF(OR($A219="",5&gt;Controls!$B$6),"",ROUND(MAX(0,Smooth!F219*Controls!F$17*INDEX(Controls!$B$21:$H$21,1,WEEKDAY($A219,2))*(1+Controls!$B$11)^217*(1+Controls!K$25*Smooth!$L219)*(1+Controls!K$26*Smooth!$M219)*(1+Controls!K$27*Smooth!$N219)*(1+Controls!K$28*Smooth!$O219)),2))</f>
        <v/>
      </c>
      <c r="G219" s="10" t="str">
        <f t="array" ref="G219">IF(OR($A219="",6&gt;Controls!$B$6),"",ROUND(MAX(0,Smooth!G219*Controls!G$17*INDEX(Controls!$B$21:$H$21,1,WEEKDAY($A219,2))*(1+Controls!$B$11)^217*(1+Controls!L$25*Smooth!$L219)*(1+Controls!L$26*Smooth!$M219)*(1+Controls!L$27*Smooth!$N219)*(1+Controls!L$28*Smooth!$O219)),2))</f>
        <v/>
      </c>
      <c r="H219" s="10" t="str">
        <f t="array" ref="H219">IF(OR($A219="",7&gt;Controls!$B$6),"",ROUND(MAX(0,Smooth!H219*Controls!H$17*INDEX(Controls!$B$21:$H$21,1,WEEKDAY($A219,2))*(1+Controls!$B$11)^217*(1+Controls!M$25*Smooth!$L219)*(1+Controls!M$26*Smooth!$M219)*(1+Controls!M$27*Smooth!$N219)*(1+Controls!M$28*Smooth!$O219)),2))</f>
        <v/>
      </c>
      <c r="I219" s="10" t="str">
        <f t="array" ref="I219">IF(OR($A219="",8&gt;Controls!$B$6),"",ROUND(MAX(0,Smooth!I219*Controls!I$17*INDEX(Controls!$B$21:$H$21,1,WEEKDAY($A219,2))*(1+Controls!$B$11)^217*(1+Controls!N$25*Smooth!$L219)*(1+Controls!N$26*Smooth!$M219)*(1+Controls!N$27*Smooth!$N219)*(1+Controls!N$28*Smooth!$O219)),2))</f>
        <v/>
      </c>
      <c r="J219" s="10" t="str">
        <f t="array" ref="J219">IF(OR($A219="",9&gt;Controls!$B$6),"",ROUND(MAX(0,Smooth!J219*Controls!J$17*INDEX(Controls!$B$21:$H$21,1,WEEKDAY($A219,2))*(1+Controls!$B$11)^217*(1+Controls!O$25*Smooth!$L219)*(1+Controls!O$26*Smooth!$M219)*(1+Controls!O$27*Smooth!$N219)*(1+Controls!O$28*Smooth!$O219)),2))</f>
        <v/>
      </c>
      <c r="K219" s="10" t="str">
        <f t="array" ref="K219">IF(OR($A219="",10&gt;Controls!$B$6),"",ROUND(MAX(0,Smooth!K219*Controls!K$17*INDEX(Controls!$B$21:$H$21,1,WEEKDAY($A219,2))*(1+Controls!$B$11)^217*(1+Controls!P$25*Smooth!$L219)*(1+Controls!P$26*Smooth!$M219)*(1+Controls!P$27*Smooth!$N219)*(1+Controls!P$28*Smooth!$O219)),2))</f>
        <v/>
      </c>
      <c r="L219" s="18" t="str">
        <f t="shared" si="1"/>
        <v/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21.0" customHeight="1">
      <c r="A220" s="7" t="str">
        <f>IF(219&lt;=Controls!$B$5,Controls!$B$4+218,"")</f>
        <v/>
      </c>
      <c r="B220" s="10" t="str">
        <f t="array" ref="B220">IF(OR($A220="",1&gt;Controls!$B$6),"",ROUND(MAX(0,Smooth!B220*Controls!B$17*INDEX(Controls!$B$21:$H$21,1,WEEKDAY($A220,2))*(1+Controls!$B$11)^218*(1+Controls!G$25*Smooth!$L220)*(1+Controls!G$26*Smooth!$M220)*(1+Controls!G$27*Smooth!$N220)*(1+Controls!G$28*Smooth!$O220)),2))</f>
        <v/>
      </c>
      <c r="C220" s="10" t="str">
        <f t="array" ref="C220">IF(OR($A220="",2&gt;Controls!$B$6),"",ROUND(MAX(0,Smooth!C220*Controls!C$17*INDEX(Controls!$B$21:$H$21,1,WEEKDAY($A220,2))*(1+Controls!$B$11)^218*(1+Controls!H$25*Smooth!$L220)*(1+Controls!H$26*Smooth!$M220)*(1+Controls!H$27*Smooth!$N220)*(1+Controls!H$28*Smooth!$O220)),2))</f>
        <v/>
      </c>
      <c r="D220" s="10" t="str">
        <f t="array" ref="D220">IF(OR($A220="",3&gt;Controls!$B$6),"",ROUND(MAX(0,Smooth!D220*Controls!D$17*INDEX(Controls!$B$21:$H$21,1,WEEKDAY($A220,2))*(1+Controls!$B$11)^218*(1+Controls!I$25*Smooth!$L220)*(1+Controls!I$26*Smooth!$M220)*(1+Controls!I$27*Smooth!$N220)*(1+Controls!I$28*Smooth!$O220)),2))</f>
        <v/>
      </c>
      <c r="E220" s="10" t="str">
        <f t="array" ref="E220">IF(OR($A220="",4&gt;Controls!$B$6),"",ROUND(MAX(0,Smooth!E220*Controls!E$17*INDEX(Controls!$B$21:$H$21,1,WEEKDAY($A220,2))*(1+Controls!$B$11)^218*(1+Controls!J$25*Smooth!$L220)*(1+Controls!J$26*Smooth!$M220)*(1+Controls!J$27*Smooth!$N220)*(1+Controls!J$28*Smooth!$O220)),2))</f>
        <v/>
      </c>
      <c r="F220" s="10" t="str">
        <f t="array" ref="F220">IF(OR($A220="",5&gt;Controls!$B$6),"",ROUND(MAX(0,Smooth!F220*Controls!F$17*INDEX(Controls!$B$21:$H$21,1,WEEKDAY($A220,2))*(1+Controls!$B$11)^218*(1+Controls!K$25*Smooth!$L220)*(1+Controls!K$26*Smooth!$M220)*(1+Controls!K$27*Smooth!$N220)*(1+Controls!K$28*Smooth!$O220)),2))</f>
        <v/>
      </c>
      <c r="G220" s="10" t="str">
        <f t="array" ref="G220">IF(OR($A220="",6&gt;Controls!$B$6),"",ROUND(MAX(0,Smooth!G220*Controls!G$17*INDEX(Controls!$B$21:$H$21,1,WEEKDAY($A220,2))*(1+Controls!$B$11)^218*(1+Controls!L$25*Smooth!$L220)*(1+Controls!L$26*Smooth!$M220)*(1+Controls!L$27*Smooth!$N220)*(1+Controls!L$28*Smooth!$O220)),2))</f>
        <v/>
      </c>
      <c r="H220" s="10" t="str">
        <f t="array" ref="H220">IF(OR($A220="",7&gt;Controls!$B$6),"",ROUND(MAX(0,Smooth!H220*Controls!H$17*INDEX(Controls!$B$21:$H$21,1,WEEKDAY($A220,2))*(1+Controls!$B$11)^218*(1+Controls!M$25*Smooth!$L220)*(1+Controls!M$26*Smooth!$M220)*(1+Controls!M$27*Smooth!$N220)*(1+Controls!M$28*Smooth!$O220)),2))</f>
        <v/>
      </c>
      <c r="I220" s="10" t="str">
        <f t="array" ref="I220">IF(OR($A220="",8&gt;Controls!$B$6),"",ROUND(MAX(0,Smooth!I220*Controls!I$17*INDEX(Controls!$B$21:$H$21,1,WEEKDAY($A220,2))*(1+Controls!$B$11)^218*(1+Controls!N$25*Smooth!$L220)*(1+Controls!N$26*Smooth!$M220)*(1+Controls!N$27*Smooth!$N220)*(1+Controls!N$28*Smooth!$O220)),2))</f>
        <v/>
      </c>
      <c r="J220" s="10" t="str">
        <f t="array" ref="J220">IF(OR($A220="",9&gt;Controls!$B$6),"",ROUND(MAX(0,Smooth!J220*Controls!J$17*INDEX(Controls!$B$21:$H$21,1,WEEKDAY($A220,2))*(1+Controls!$B$11)^218*(1+Controls!O$25*Smooth!$L220)*(1+Controls!O$26*Smooth!$M220)*(1+Controls!O$27*Smooth!$N220)*(1+Controls!O$28*Smooth!$O220)),2))</f>
        <v/>
      </c>
      <c r="K220" s="10" t="str">
        <f t="array" ref="K220">IF(OR($A220="",10&gt;Controls!$B$6),"",ROUND(MAX(0,Smooth!K220*Controls!K$17*INDEX(Controls!$B$21:$H$21,1,WEEKDAY($A220,2))*(1+Controls!$B$11)^218*(1+Controls!P$25*Smooth!$L220)*(1+Controls!P$26*Smooth!$M220)*(1+Controls!P$27*Smooth!$N220)*(1+Controls!P$28*Smooth!$O220)),2))</f>
        <v/>
      </c>
      <c r="L220" s="18" t="str">
        <f t="shared" si="1"/>
        <v/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21.0" customHeight="1">
      <c r="A221" s="7" t="str">
        <f>IF(220&lt;=Controls!$B$5,Controls!$B$4+219,"")</f>
        <v/>
      </c>
      <c r="B221" s="10" t="str">
        <f t="array" ref="B221">IF(OR($A221="",1&gt;Controls!$B$6),"",ROUND(MAX(0,Smooth!B221*Controls!B$17*INDEX(Controls!$B$21:$H$21,1,WEEKDAY($A221,2))*(1+Controls!$B$11)^219*(1+Controls!G$25*Smooth!$L221)*(1+Controls!G$26*Smooth!$M221)*(1+Controls!G$27*Smooth!$N221)*(1+Controls!G$28*Smooth!$O221)),2))</f>
        <v/>
      </c>
      <c r="C221" s="10" t="str">
        <f t="array" ref="C221">IF(OR($A221="",2&gt;Controls!$B$6),"",ROUND(MAX(0,Smooth!C221*Controls!C$17*INDEX(Controls!$B$21:$H$21,1,WEEKDAY($A221,2))*(1+Controls!$B$11)^219*(1+Controls!H$25*Smooth!$L221)*(1+Controls!H$26*Smooth!$M221)*(1+Controls!H$27*Smooth!$N221)*(1+Controls!H$28*Smooth!$O221)),2))</f>
        <v/>
      </c>
      <c r="D221" s="10" t="str">
        <f t="array" ref="D221">IF(OR($A221="",3&gt;Controls!$B$6),"",ROUND(MAX(0,Smooth!D221*Controls!D$17*INDEX(Controls!$B$21:$H$21,1,WEEKDAY($A221,2))*(1+Controls!$B$11)^219*(1+Controls!I$25*Smooth!$L221)*(1+Controls!I$26*Smooth!$M221)*(1+Controls!I$27*Smooth!$N221)*(1+Controls!I$28*Smooth!$O221)),2))</f>
        <v/>
      </c>
      <c r="E221" s="10" t="str">
        <f t="array" ref="E221">IF(OR($A221="",4&gt;Controls!$B$6),"",ROUND(MAX(0,Smooth!E221*Controls!E$17*INDEX(Controls!$B$21:$H$21,1,WEEKDAY($A221,2))*(1+Controls!$B$11)^219*(1+Controls!J$25*Smooth!$L221)*(1+Controls!J$26*Smooth!$M221)*(1+Controls!J$27*Smooth!$N221)*(1+Controls!J$28*Smooth!$O221)),2))</f>
        <v/>
      </c>
      <c r="F221" s="10" t="str">
        <f t="array" ref="F221">IF(OR($A221="",5&gt;Controls!$B$6),"",ROUND(MAX(0,Smooth!F221*Controls!F$17*INDEX(Controls!$B$21:$H$21,1,WEEKDAY($A221,2))*(1+Controls!$B$11)^219*(1+Controls!K$25*Smooth!$L221)*(1+Controls!K$26*Smooth!$M221)*(1+Controls!K$27*Smooth!$N221)*(1+Controls!K$28*Smooth!$O221)),2))</f>
        <v/>
      </c>
      <c r="G221" s="10" t="str">
        <f t="array" ref="G221">IF(OR($A221="",6&gt;Controls!$B$6),"",ROUND(MAX(0,Smooth!G221*Controls!G$17*INDEX(Controls!$B$21:$H$21,1,WEEKDAY($A221,2))*(1+Controls!$B$11)^219*(1+Controls!L$25*Smooth!$L221)*(1+Controls!L$26*Smooth!$M221)*(1+Controls!L$27*Smooth!$N221)*(1+Controls!L$28*Smooth!$O221)),2))</f>
        <v/>
      </c>
      <c r="H221" s="10" t="str">
        <f t="array" ref="H221">IF(OR($A221="",7&gt;Controls!$B$6),"",ROUND(MAX(0,Smooth!H221*Controls!H$17*INDEX(Controls!$B$21:$H$21,1,WEEKDAY($A221,2))*(1+Controls!$B$11)^219*(1+Controls!M$25*Smooth!$L221)*(1+Controls!M$26*Smooth!$M221)*(1+Controls!M$27*Smooth!$N221)*(1+Controls!M$28*Smooth!$O221)),2))</f>
        <v/>
      </c>
      <c r="I221" s="10" t="str">
        <f t="array" ref="I221">IF(OR($A221="",8&gt;Controls!$B$6),"",ROUND(MAX(0,Smooth!I221*Controls!I$17*INDEX(Controls!$B$21:$H$21,1,WEEKDAY($A221,2))*(1+Controls!$B$11)^219*(1+Controls!N$25*Smooth!$L221)*(1+Controls!N$26*Smooth!$M221)*(1+Controls!N$27*Smooth!$N221)*(1+Controls!N$28*Smooth!$O221)),2))</f>
        <v/>
      </c>
      <c r="J221" s="10" t="str">
        <f t="array" ref="J221">IF(OR($A221="",9&gt;Controls!$B$6),"",ROUND(MAX(0,Smooth!J221*Controls!J$17*INDEX(Controls!$B$21:$H$21,1,WEEKDAY($A221,2))*(1+Controls!$B$11)^219*(1+Controls!O$25*Smooth!$L221)*(1+Controls!O$26*Smooth!$M221)*(1+Controls!O$27*Smooth!$N221)*(1+Controls!O$28*Smooth!$O221)),2))</f>
        <v/>
      </c>
      <c r="K221" s="10" t="str">
        <f t="array" ref="K221">IF(OR($A221="",10&gt;Controls!$B$6),"",ROUND(MAX(0,Smooth!K221*Controls!K$17*INDEX(Controls!$B$21:$H$21,1,WEEKDAY($A221,2))*(1+Controls!$B$11)^219*(1+Controls!P$25*Smooth!$L221)*(1+Controls!P$26*Smooth!$M221)*(1+Controls!P$27*Smooth!$N221)*(1+Controls!P$28*Smooth!$O221)),2))</f>
        <v/>
      </c>
      <c r="L221" s="18" t="str">
        <f t="shared" si="1"/>
        <v/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21.0" customHeight="1">
      <c r="A222" s="7" t="str">
        <f>IF(221&lt;=Controls!$B$5,Controls!$B$4+220,"")</f>
        <v/>
      </c>
      <c r="B222" s="10" t="str">
        <f t="array" ref="B222">IF(OR($A222="",1&gt;Controls!$B$6),"",ROUND(MAX(0,Smooth!B222*Controls!B$17*INDEX(Controls!$B$21:$H$21,1,WEEKDAY($A222,2))*(1+Controls!$B$11)^220*(1+Controls!G$25*Smooth!$L222)*(1+Controls!G$26*Smooth!$M222)*(1+Controls!G$27*Smooth!$N222)*(1+Controls!G$28*Smooth!$O222)),2))</f>
        <v/>
      </c>
      <c r="C222" s="10" t="str">
        <f t="array" ref="C222">IF(OR($A222="",2&gt;Controls!$B$6),"",ROUND(MAX(0,Smooth!C222*Controls!C$17*INDEX(Controls!$B$21:$H$21,1,WEEKDAY($A222,2))*(1+Controls!$B$11)^220*(1+Controls!H$25*Smooth!$L222)*(1+Controls!H$26*Smooth!$M222)*(1+Controls!H$27*Smooth!$N222)*(1+Controls!H$28*Smooth!$O222)),2))</f>
        <v/>
      </c>
      <c r="D222" s="10" t="str">
        <f t="array" ref="D222">IF(OR($A222="",3&gt;Controls!$B$6),"",ROUND(MAX(0,Smooth!D222*Controls!D$17*INDEX(Controls!$B$21:$H$21,1,WEEKDAY($A222,2))*(1+Controls!$B$11)^220*(1+Controls!I$25*Smooth!$L222)*(1+Controls!I$26*Smooth!$M222)*(1+Controls!I$27*Smooth!$N222)*(1+Controls!I$28*Smooth!$O222)),2))</f>
        <v/>
      </c>
      <c r="E222" s="10" t="str">
        <f t="array" ref="E222">IF(OR($A222="",4&gt;Controls!$B$6),"",ROUND(MAX(0,Smooth!E222*Controls!E$17*INDEX(Controls!$B$21:$H$21,1,WEEKDAY($A222,2))*(1+Controls!$B$11)^220*(1+Controls!J$25*Smooth!$L222)*(1+Controls!J$26*Smooth!$M222)*(1+Controls!J$27*Smooth!$N222)*(1+Controls!J$28*Smooth!$O222)),2))</f>
        <v/>
      </c>
      <c r="F222" s="10" t="str">
        <f t="array" ref="F222">IF(OR($A222="",5&gt;Controls!$B$6),"",ROUND(MAX(0,Smooth!F222*Controls!F$17*INDEX(Controls!$B$21:$H$21,1,WEEKDAY($A222,2))*(1+Controls!$B$11)^220*(1+Controls!K$25*Smooth!$L222)*(1+Controls!K$26*Smooth!$M222)*(1+Controls!K$27*Smooth!$N222)*(1+Controls!K$28*Smooth!$O222)),2))</f>
        <v/>
      </c>
      <c r="G222" s="10" t="str">
        <f t="array" ref="G222">IF(OR($A222="",6&gt;Controls!$B$6),"",ROUND(MAX(0,Smooth!G222*Controls!G$17*INDEX(Controls!$B$21:$H$21,1,WEEKDAY($A222,2))*(1+Controls!$B$11)^220*(1+Controls!L$25*Smooth!$L222)*(1+Controls!L$26*Smooth!$M222)*(1+Controls!L$27*Smooth!$N222)*(1+Controls!L$28*Smooth!$O222)),2))</f>
        <v/>
      </c>
      <c r="H222" s="10" t="str">
        <f t="array" ref="H222">IF(OR($A222="",7&gt;Controls!$B$6),"",ROUND(MAX(0,Smooth!H222*Controls!H$17*INDEX(Controls!$B$21:$H$21,1,WEEKDAY($A222,2))*(1+Controls!$B$11)^220*(1+Controls!M$25*Smooth!$L222)*(1+Controls!M$26*Smooth!$M222)*(1+Controls!M$27*Smooth!$N222)*(1+Controls!M$28*Smooth!$O222)),2))</f>
        <v/>
      </c>
      <c r="I222" s="10" t="str">
        <f t="array" ref="I222">IF(OR($A222="",8&gt;Controls!$B$6),"",ROUND(MAX(0,Smooth!I222*Controls!I$17*INDEX(Controls!$B$21:$H$21,1,WEEKDAY($A222,2))*(1+Controls!$B$11)^220*(1+Controls!N$25*Smooth!$L222)*(1+Controls!N$26*Smooth!$M222)*(1+Controls!N$27*Smooth!$N222)*(1+Controls!N$28*Smooth!$O222)),2))</f>
        <v/>
      </c>
      <c r="J222" s="10" t="str">
        <f t="array" ref="J222">IF(OR($A222="",9&gt;Controls!$B$6),"",ROUND(MAX(0,Smooth!J222*Controls!J$17*INDEX(Controls!$B$21:$H$21,1,WEEKDAY($A222,2))*(1+Controls!$B$11)^220*(1+Controls!O$25*Smooth!$L222)*(1+Controls!O$26*Smooth!$M222)*(1+Controls!O$27*Smooth!$N222)*(1+Controls!O$28*Smooth!$O222)),2))</f>
        <v/>
      </c>
      <c r="K222" s="10" t="str">
        <f t="array" ref="K222">IF(OR($A222="",10&gt;Controls!$B$6),"",ROUND(MAX(0,Smooth!K222*Controls!K$17*INDEX(Controls!$B$21:$H$21,1,WEEKDAY($A222,2))*(1+Controls!$B$11)^220*(1+Controls!P$25*Smooth!$L222)*(1+Controls!P$26*Smooth!$M222)*(1+Controls!P$27*Smooth!$N222)*(1+Controls!P$28*Smooth!$O222)),2))</f>
        <v/>
      </c>
      <c r="L222" s="18" t="str">
        <f t="shared" si="1"/>
        <v/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21.0" customHeight="1">
      <c r="A223" s="7" t="str">
        <f>IF(222&lt;=Controls!$B$5,Controls!$B$4+221,"")</f>
        <v/>
      </c>
      <c r="B223" s="10" t="str">
        <f t="array" ref="B223">IF(OR($A223="",1&gt;Controls!$B$6),"",ROUND(MAX(0,Smooth!B223*Controls!B$17*INDEX(Controls!$B$21:$H$21,1,WEEKDAY($A223,2))*(1+Controls!$B$11)^221*(1+Controls!G$25*Smooth!$L223)*(1+Controls!G$26*Smooth!$M223)*(1+Controls!G$27*Smooth!$N223)*(1+Controls!G$28*Smooth!$O223)),2))</f>
        <v/>
      </c>
      <c r="C223" s="10" t="str">
        <f t="array" ref="C223">IF(OR($A223="",2&gt;Controls!$B$6),"",ROUND(MAX(0,Smooth!C223*Controls!C$17*INDEX(Controls!$B$21:$H$21,1,WEEKDAY($A223,2))*(1+Controls!$B$11)^221*(1+Controls!H$25*Smooth!$L223)*(1+Controls!H$26*Smooth!$M223)*(1+Controls!H$27*Smooth!$N223)*(1+Controls!H$28*Smooth!$O223)),2))</f>
        <v/>
      </c>
      <c r="D223" s="10" t="str">
        <f t="array" ref="D223">IF(OR($A223="",3&gt;Controls!$B$6),"",ROUND(MAX(0,Smooth!D223*Controls!D$17*INDEX(Controls!$B$21:$H$21,1,WEEKDAY($A223,2))*(1+Controls!$B$11)^221*(1+Controls!I$25*Smooth!$L223)*(1+Controls!I$26*Smooth!$M223)*(1+Controls!I$27*Smooth!$N223)*(1+Controls!I$28*Smooth!$O223)),2))</f>
        <v/>
      </c>
      <c r="E223" s="10" t="str">
        <f t="array" ref="E223">IF(OR($A223="",4&gt;Controls!$B$6),"",ROUND(MAX(0,Smooth!E223*Controls!E$17*INDEX(Controls!$B$21:$H$21,1,WEEKDAY($A223,2))*(1+Controls!$B$11)^221*(1+Controls!J$25*Smooth!$L223)*(1+Controls!J$26*Smooth!$M223)*(1+Controls!J$27*Smooth!$N223)*(1+Controls!J$28*Smooth!$O223)),2))</f>
        <v/>
      </c>
      <c r="F223" s="10" t="str">
        <f t="array" ref="F223">IF(OR($A223="",5&gt;Controls!$B$6),"",ROUND(MAX(0,Smooth!F223*Controls!F$17*INDEX(Controls!$B$21:$H$21,1,WEEKDAY($A223,2))*(1+Controls!$B$11)^221*(1+Controls!K$25*Smooth!$L223)*(1+Controls!K$26*Smooth!$M223)*(1+Controls!K$27*Smooth!$N223)*(1+Controls!K$28*Smooth!$O223)),2))</f>
        <v/>
      </c>
      <c r="G223" s="10" t="str">
        <f t="array" ref="G223">IF(OR($A223="",6&gt;Controls!$B$6),"",ROUND(MAX(0,Smooth!G223*Controls!G$17*INDEX(Controls!$B$21:$H$21,1,WEEKDAY($A223,2))*(1+Controls!$B$11)^221*(1+Controls!L$25*Smooth!$L223)*(1+Controls!L$26*Smooth!$M223)*(1+Controls!L$27*Smooth!$N223)*(1+Controls!L$28*Smooth!$O223)),2))</f>
        <v/>
      </c>
      <c r="H223" s="10" t="str">
        <f t="array" ref="H223">IF(OR($A223="",7&gt;Controls!$B$6),"",ROUND(MAX(0,Smooth!H223*Controls!H$17*INDEX(Controls!$B$21:$H$21,1,WEEKDAY($A223,2))*(1+Controls!$B$11)^221*(1+Controls!M$25*Smooth!$L223)*(1+Controls!M$26*Smooth!$M223)*(1+Controls!M$27*Smooth!$N223)*(1+Controls!M$28*Smooth!$O223)),2))</f>
        <v/>
      </c>
      <c r="I223" s="10" t="str">
        <f t="array" ref="I223">IF(OR($A223="",8&gt;Controls!$B$6),"",ROUND(MAX(0,Smooth!I223*Controls!I$17*INDEX(Controls!$B$21:$H$21,1,WEEKDAY($A223,2))*(1+Controls!$B$11)^221*(1+Controls!N$25*Smooth!$L223)*(1+Controls!N$26*Smooth!$M223)*(1+Controls!N$27*Smooth!$N223)*(1+Controls!N$28*Smooth!$O223)),2))</f>
        <v/>
      </c>
      <c r="J223" s="10" t="str">
        <f t="array" ref="J223">IF(OR($A223="",9&gt;Controls!$B$6),"",ROUND(MAX(0,Smooth!J223*Controls!J$17*INDEX(Controls!$B$21:$H$21,1,WEEKDAY($A223,2))*(1+Controls!$B$11)^221*(1+Controls!O$25*Smooth!$L223)*(1+Controls!O$26*Smooth!$M223)*(1+Controls!O$27*Smooth!$N223)*(1+Controls!O$28*Smooth!$O223)),2))</f>
        <v/>
      </c>
      <c r="K223" s="10" t="str">
        <f t="array" ref="K223">IF(OR($A223="",10&gt;Controls!$B$6),"",ROUND(MAX(0,Smooth!K223*Controls!K$17*INDEX(Controls!$B$21:$H$21,1,WEEKDAY($A223,2))*(1+Controls!$B$11)^221*(1+Controls!P$25*Smooth!$L223)*(1+Controls!P$26*Smooth!$M223)*(1+Controls!P$27*Smooth!$N223)*(1+Controls!P$28*Smooth!$O223)),2))</f>
        <v/>
      </c>
      <c r="L223" s="18" t="str">
        <f t="shared" si="1"/>
        <v/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21.0" customHeight="1">
      <c r="A224" s="7" t="str">
        <f>IF(223&lt;=Controls!$B$5,Controls!$B$4+222,"")</f>
        <v/>
      </c>
      <c r="B224" s="10" t="str">
        <f t="array" ref="B224">IF(OR($A224="",1&gt;Controls!$B$6),"",ROUND(MAX(0,Smooth!B224*Controls!B$17*INDEX(Controls!$B$21:$H$21,1,WEEKDAY($A224,2))*(1+Controls!$B$11)^222*(1+Controls!G$25*Smooth!$L224)*(1+Controls!G$26*Smooth!$M224)*(1+Controls!G$27*Smooth!$N224)*(1+Controls!G$28*Smooth!$O224)),2))</f>
        <v/>
      </c>
      <c r="C224" s="10" t="str">
        <f t="array" ref="C224">IF(OR($A224="",2&gt;Controls!$B$6),"",ROUND(MAX(0,Smooth!C224*Controls!C$17*INDEX(Controls!$B$21:$H$21,1,WEEKDAY($A224,2))*(1+Controls!$B$11)^222*(1+Controls!H$25*Smooth!$L224)*(1+Controls!H$26*Smooth!$M224)*(1+Controls!H$27*Smooth!$N224)*(1+Controls!H$28*Smooth!$O224)),2))</f>
        <v/>
      </c>
      <c r="D224" s="10" t="str">
        <f t="array" ref="D224">IF(OR($A224="",3&gt;Controls!$B$6),"",ROUND(MAX(0,Smooth!D224*Controls!D$17*INDEX(Controls!$B$21:$H$21,1,WEEKDAY($A224,2))*(1+Controls!$B$11)^222*(1+Controls!I$25*Smooth!$L224)*(1+Controls!I$26*Smooth!$M224)*(1+Controls!I$27*Smooth!$N224)*(1+Controls!I$28*Smooth!$O224)),2))</f>
        <v/>
      </c>
      <c r="E224" s="10" t="str">
        <f t="array" ref="E224">IF(OR($A224="",4&gt;Controls!$B$6),"",ROUND(MAX(0,Smooth!E224*Controls!E$17*INDEX(Controls!$B$21:$H$21,1,WEEKDAY($A224,2))*(1+Controls!$B$11)^222*(1+Controls!J$25*Smooth!$L224)*(1+Controls!J$26*Smooth!$M224)*(1+Controls!J$27*Smooth!$N224)*(1+Controls!J$28*Smooth!$O224)),2))</f>
        <v/>
      </c>
      <c r="F224" s="10" t="str">
        <f t="array" ref="F224">IF(OR($A224="",5&gt;Controls!$B$6),"",ROUND(MAX(0,Smooth!F224*Controls!F$17*INDEX(Controls!$B$21:$H$21,1,WEEKDAY($A224,2))*(1+Controls!$B$11)^222*(1+Controls!K$25*Smooth!$L224)*(1+Controls!K$26*Smooth!$M224)*(1+Controls!K$27*Smooth!$N224)*(1+Controls!K$28*Smooth!$O224)),2))</f>
        <v/>
      </c>
      <c r="G224" s="10" t="str">
        <f t="array" ref="G224">IF(OR($A224="",6&gt;Controls!$B$6),"",ROUND(MAX(0,Smooth!G224*Controls!G$17*INDEX(Controls!$B$21:$H$21,1,WEEKDAY($A224,2))*(1+Controls!$B$11)^222*(1+Controls!L$25*Smooth!$L224)*(1+Controls!L$26*Smooth!$M224)*(1+Controls!L$27*Smooth!$N224)*(1+Controls!L$28*Smooth!$O224)),2))</f>
        <v/>
      </c>
      <c r="H224" s="10" t="str">
        <f t="array" ref="H224">IF(OR($A224="",7&gt;Controls!$B$6),"",ROUND(MAX(0,Smooth!H224*Controls!H$17*INDEX(Controls!$B$21:$H$21,1,WEEKDAY($A224,2))*(1+Controls!$B$11)^222*(1+Controls!M$25*Smooth!$L224)*(1+Controls!M$26*Smooth!$M224)*(1+Controls!M$27*Smooth!$N224)*(1+Controls!M$28*Smooth!$O224)),2))</f>
        <v/>
      </c>
      <c r="I224" s="10" t="str">
        <f t="array" ref="I224">IF(OR($A224="",8&gt;Controls!$B$6),"",ROUND(MAX(0,Smooth!I224*Controls!I$17*INDEX(Controls!$B$21:$H$21,1,WEEKDAY($A224,2))*(1+Controls!$B$11)^222*(1+Controls!N$25*Smooth!$L224)*(1+Controls!N$26*Smooth!$M224)*(1+Controls!N$27*Smooth!$N224)*(1+Controls!N$28*Smooth!$O224)),2))</f>
        <v/>
      </c>
      <c r="J224" s="10" t="str">
        <f t="array" ref="J224">IF(OR($A224="",9&gt;Controls!$B$6),"",ROUND(MAX(0,Smooth!J224*Controls!J$17*INDEX(Controls!$B$21:$H$21,1,WEEKDAY($A224,2))*(1+Controls!$B$11)^222*(1+Controls!O$25*Smooth!$L224)*(1+Controls!O$26*Smooth!$M224)*(1+Controls!O$27*Smooth!$N224)*(1+Controls!O$28*Smooth!$O224)),2))</f>
        <v/>
      </c>
      <c r="K224" s="10" t="str">
        <f t="array" ref="K224">IF(OR($A224="",10&gt;Controls!$B$6),"",ROUND(MAX(0,Smooth!K224*Controls!K$17*INDEX(Controls!$B$21:$H$21,1,WEEKDAY($A224,2))*(1+Controls!$B$11)^222*(1+Controls!P$25*Smooth!$L224)*(1+Controls!P$26*Smooth!$M224)*(1+Controls!P$27*Smooth!$N224)*(1+Controls!P$28*Smooth!$O224)),2))</f>
        <v/>
      </c>
      <c r="L224" s="18" t="str">
        <f t="shared" si="1"/>
        <v/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21.0" customHeight="1">
      <c r="A225" s="7" t="str">
        <f>IF(224&lt;=Controls!$B$5,Controls!$B$4+223,"")</f>
        <v/>
      </c>
      <c r="B225" s="10" t="str">
        <f t="array" ref="B225">IF(OR($A225="",1&gt;Controls!$B$6),"",ROUND(MAX(0,Smooth!B225*Controls!B$17*INDEX(Controls!$B$21:$H$21,1,WEEKDAY($A225,2))*(1+Controls!$B$11)^223*(1+Controls!G$25*Smooth!$L225)*(1+Controls!G$26*Smooth!$M225)*(1+Controls!G$27*Smooth!$N225)*(1+Controls!G$28*Smooth!$O225)),2))</f>
        <v/>
      </c>
      <c r="C225" s="10" t="str">
        <f t="array" ref="C225">IF(OR($A225="",2&gt;Controls!$B$6),"",ROUND(MAX(0,Smooth!C225*Controls!C$17*INDEX(Controls!$B$21:$H$21,1,WEEKDAY($A225,2))*(1+Controls!$B$11)^223*(1+Controls!H$25*Smooth!$L225)*(1+Controls!H$26*Smooth!$M225)*(1+Controls!H$27*Smooth!$N225)*(1+Controls!H$28*Smooth!$O225)),2))</f>
        <v/>
      </c>
      <c r="D225" s="10" t="str">
        <f t="array" ref="D225">IF(OR($A225="",3&gt;Controls!$B$6),"",ROUND(MAX(0,Smooth!D225*Controls!D$17*INDEX(Controls!$B$21:$H$21,1,WEEKDAY($A225,2))*(1+Controls!$B$11)^223*(1+Controls!I$25*Smooth!$L225)*(1+Controls!I$26*Smooth!$M225)*(1+Controls!I$27*Smooth!$N225)*(1+Controls!I$28*Smooth!$O225)),2))</f>
        <v/>
      </c>
      <c r="E225" s="10" t="str">
        <f t="array" ref="E225">IF(OR($A225="",4&gt;Controls!$B$6),"",ROUND(MAX(0,Smooth!E225*Controls!E$17*INDEX(Controls!$B$21:$H$21,1,WEEKDAY($A225,2))*(1+Controls!$B$11)^223*(1+Controls!J$25*Smooth!$L225)*(1+Controls!J$26*Smooth!$M225)*(1+Controls!J$27*Smooth!$N225)*(1+Controls!J$28*Smooth!$O225)),2))</f>
        <v/>
      </c>
      <c r="F225" s="10" t="str">
        <f t="array" ref="F225">IF(OR($A225="",5&gt;Controls!$B$6),"",ROUND(MAX(0,Smooth!F225*Controls!F$17*INDEX(Controls!$B$21:$H$21,1,WEEKDAY($A225,2))*(1+Controls!$B$11)^223*(1+Controls!K$25*Smooth!$L225)*(1+Controls!K$26*Smooth!$M225)*(1+Controls!K$27*Smooth!$N225)*(1+Controls!K$28*Smooth!$O225)),2))</f>
        <v/>
      </c>
      <c r="G225" s="10" t="str">
        <f t="array" ref="G225">IF(OR($A225="",6&gt;Controls!$B$6),"",ROUND(MAX(0,Smooth!G225*Controls!G$17*INDEX(Controls!$B$21:$H$21,1,WEEKDAY($A225,2))*(1+Controls!$B$11)^223*(1+Controls!L$25*Smooth!$L225)*(1+Controls!L$26*Smooth!$M225)*(1+Controls!L$27*Smooth!$N225)*(1+Controls!L$28*Smooth!$O225)),2))</f>
        <v/>
      </c>
      <c r="H225" s="10" t="str">
        <f t="array" ref="H225">IF(OR($A225="",7&gt;Controls!$B$6),"",ROUND(MAX(0,Smooth!H225*Controls!H$17*INDEX(Controls!$B$21:$H$21,1,WEEKDAY($A225,2))*(1+Controls!$B$11)^223*(1+Controls!M$25*Smooth!$L225)*(1+Controls!M$26*Smooth!$M225)*(1+Controls!M$27*Smooth!$N225)*(1+Controls!M$28*Smooth!$O225)),2))</f>
        <v/>
      </c>
      <c r="I225" s="10" t="str">
        <f t="array" ref="I225">IF(OR($A225="",8&gt;Controls!$B$6),"",ROUND(MAX(0,Smooth!I225*Controls!I$17*INDEX(Controls!$B$21:$H$21,1,WEEKDAY($A225,2))*(1+Controls!$B$11)^223*(1+Controls!N$25*Smooth!$L225)*(1+Controls!N$26*Smooth!$M225)*(1+Controls!N$27*Smooth!$N225)*(1+Controls!N$28*Smooth!$O225)),2))</f>
        <v/>
      </c>
      <c r="J225" s="10" t="str">
        <f t="array" ref="J225">IF(OR($A225="",9&gt;Controls!$B$6),"",ROUND(MAX(0,Smooth!J225*Controls!J$17*INDEX(Controls!$B$21:$H$21,1,WEEKDAY($A225,2))*(1+Controls!$B$11)^223*(1+Controls!O$25*Smooth!$L225)*(1+Controls!O$26*Smooth!$M225)*(1+Controls!O$27*Smooth!$N225)*(1+Controls!O$28*Smooth!$O225)),2))</f>
        <v/>
      </c>
      <c r="K225" s="10" t="str">
        <f t="array" ref="K225">IF(OR($A225="",10&gt;Controls!$B$6),"",ROUND(MAX(0,Smooth!K225*Controls!K$17*INDEX(Controls!$B$21:$H$21,1,WEEKDAY($A225,2))*(1+Controls!$B$11)^223*(1+Controls!P$25*Smooth!$L225)*(1+Controls!P$26*Smooth!$M225)*(1+Controls!P$27*Smooth!$N225)*(1+Controls!P$28*Smooth!$O225)),2))</f>
        <v/>
      </c>
      <c r="L225" s="18" t="str">
        <f t="shared" si="1"/>
        <v/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21.0" customHeight="1">
      <c r="A226" s="7" t="str">
        <f>IF(225&lt;=Controls!$B$5,Controls!$B$4+224,"")</f>
        <v/>
      </c>
      <c r="B226" s="10" t="str">
        <f t="array" ref="B226">IF(OR($A226="",1&gt;Controls!$B$6),"",ROUND(MAX(0,Smooth!B226*Controls!B$17*INDEX(Controls!$B$21:$H$21,1,WEEKDAY($A226,2))*(1+Controls!$B$11)^224*(1+Controls!G$25*Smooth!$L226)*(1+Controls!G$26*Smooth!$M226)*(1+Controls!G$27*Smooth!$N226)*(1+Controls!G$28*Smooth!$O226)),2))</f>
        <v/>
      </c>
      <c r="C226" s="10" t="str">
        <f t="array" ref="C226">IF(OR($A226="",2&gt;Controls!$B$6),"",ROUND(MAX(0,Smooth!C226*Controls!C$17*INDEX(Controls!$B$21:$H$21,1,WEEKDAY($A226,2))*(1+Controls!$B$11)^224*(1+Controls!H$25*Smooth!$L226)*(1+Controls!H$26*Smooth!$M226)*(1+Controls!H$27*Smooth!$N226)*(1+Controls!H$28*Smooth!$O226)),2))</f>
        <v/>
      </c>
      <c r="D226" s="10" t="str">
        <f t="array" ref="D226">IF(OR($A226="",3&gt;Controls!$B$6),"",ROUND(MAX(0,Smooth!D226*Controls!D$17*INDEX(Controls!$B$21:$H$21,1,WEEKDAY($A226,2))*(1+Controls!$B$11)^224*(1+Controls!I$25*Smooth!$L226)*(1+Controls!I$26*Smooth!$M226)*(1+Controls!I$27*Smooth!$N226)*(1+Controls!I$28*Smooth!$O226)),2))</f>
        <v/>
      </c>
      <c r="E226" s="10" t="str">
        <f t="array" ref="E226">IF(OR($A226="",4&gt;Controls!$B$6),"",ROUND(MAX(0,Smooth!E226*Controls!E$17*INDEX(Controls!$B$21:$H$21,1,WEEKDAY($A226,2))*(1+Controls!$B$11)^224*(1+Controls!J$25*Smooth!$L226)*(1+Controls!J$26*Smooth!$M226)*(1+Controls!J$27*Smooth!$N226)*(1+Controls!J$28*Smooth!$O226)),2))</f>
        <v/>
      </c>
      <c r="F226" s="10" t="str">
        <f t="array" ref="F226">IF(OR($A226="",5&gt;Controls!$B$6),"",ROUND(MAX(0,Smooth!F226*Controls!F$17*INDEX(Controls!$B$21:$H$21,1,WEEKDAY($A226,2))*(1+Controls!$B$11)^224*(1+Controls!K$25*Smooth!$L226)*(1+Controls!K$26*Smooth!$M226)*(1+Controls!K$27*Smooth!$N226)*(1+Controls!K$28*Smooth!$O226)),2))</f>
        <v/>
      </c>
      <c r="G226" s="10" t="str">
        <f t="array" ref="G226">IF(OR($A226="",6&gt;Controls!$B$6),"",ROUND(MAX(0,Smooth!G226*Controls!G$17*INDEX(Controls!$B$21:$H$21,1,WEEKDAY($A226,2))*(1+Controls!$B$11)^224*(1+Controls!L$25*Smooth!$L226)*(1+Controls!L$26*Smooth!$M226)*(1+Controls!L$27*Smooth!$N226)*(1+Controls!L$28*Smooth!$O226)),2))</f>
        <v/>
      </c>
      <c r="H226" s="10" t="str">
        <f t="array" ref="H226">IF(OR($A226="",7&gt;Controls!$B$6),"",ROUND(MAX(0,Smooth!H226*Controls!H$17*INDEX(Controls!$B$21:$H$21,1,WEEKDAY($A226,2))*(1+Controls!$B$11)^224*(1+Controls!M$25*Smooth!$L226)*(1+Controls!M$26*Smooth!$M226)*(1+Controls!M$27*Smooth!$N226)*(1+Controls!M$28*Smooth!$O226)),2))</f>
        <v/>
      </c>
      <c r="I226" s="10" t="str">
        <f t="array" ref="I226">IF(OR($A226="",8&gt;Controls!$B$6),"",ROUND(MAX(0,Smooth!I226*Controls!I$17*INDEX(Controls!$B$21:$H$21,1,WEEKDAY($A226,2))*(1+Controls!$B$11)^224*(1+Controls!N$25*Smooth!$L226)*(1+Controls!N$26*Smooth!$M226)*(1+Controls!N$27*Smooth!$N226)*(1+Controls!N$28*Smooth!$O226)),2))</f>
        <v/>
      </c>
      <c r="J226" s="10" t="str">
        <f t="array" ref="J226">IF(OR($A226="",9&gt;Controls!$B$6),"",ROUND(MAX(0,Smooth!J226*Controls!J$17*INDEX(Controls!$B$21:$H$21,1,WEEKDAY($A226,2))*(1+Controls!$B$11)^224*(1+Controls!O$25*Smooth!$L226)*(1+Controls!O$26*Smooth!$M226)*(1+Controls!O$27*Smooth!$N226)*(1+Controls!O$28*Smooth!$O226)),2))</f>
        <v/>
      </c>
      <c r="K226" s="10" t="str">
        <f t="array" ref="K226">IF(OR($A226="",10&gt;Controls!$B$6),"",ROUND(MAX(0,Smooth!K226*Controls!K$17*INDEX(Controls!$B$21:$H$21,1,WEEKDAY($A226,2))*(1+Controls!$B$11)^224*(1+Controls!P$25*Smooth!$L226)*(1+Controls!P$26*Smooth!$M226)*(1+Controls!P$27*Smooth!$N226)*(1+Controls!P$28*Smooth!$O226)),2))</f>
        <v/>
      </c>
      <c r="L226" s="18" t="str">
        <f t="shared" si="1"/>
        <v/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21.0" customHeight="1">
      <c r="A227" s="7" t="str">
        <f>IF(226&lt;=Controls!$B$5,Controls!$B$4+225,"")</f>
        <v/>
      </c>
      <c r="B227" s="10" t="str">
        <f t="array" ref="B227">IF(OR($A227="",1&gt;Controls!$B$6),"",ROUND(MAX(0,Smooth!B227*Controls!B$17*INDEX(Controls!$B$21:$H$21,1,WEEKDAY($A227,2))*(1+Controls!$B$11)^225*(1+Controls!G$25*Smooth!$L227)*(1+Controls!G$26*Smooth!$M227)*(1+Controls!G$27*Smooth!$N227)*(1+Controls!G$28*Smooth!$O227)),2))</f>
        <v/>
      </c>
      <c r="C227" s="10" t="str">
        <f t="array" ref="C227">IF(OR($A227="",2&gt;Controls!$B$6),"",ROUND(MAX(0,Smooth!C227*Controls!C$17*INDEX(Controls!$B$21:$H$21,1,WEEKDAY($A227,2))*(1+Controls!$B$11)^225*(1+Controls!H$25*Smooth!$L227)*(1+Controls!H$26*Smooth!$M227)*(1+Controls!H$27*Smooth!$N227)*(1+Controls!H$28*Smooth!$O227)),2))</f>
        <v/>
      </c>
      <c r="D227" s="10" t="str">
        <f t="array" ref="D227">IF(OR($A227="",3&gt;Controls!$B$6),"",ROUND(MAX(0,Smooth!D227*Controls!D$17*INDEX(Controls!$B$21:$H$21,1,WEEKDAY($A227,2))*(1+Controls!$B$11)^225*(1+Controls!I$25*Smooth!$L227)*(1+Controls!I$26*Smooth!$M227)*(1+Controls!I$27*Smooth!$N227)*(1+Controls!I$28*Smooth!$O227)),2))</f>
        <v/>
      </c>
      <c r="E227" s="10" t="str">
        <f t="array" ref="E227">IF(OR($A227="",4&gt;Controls!$B$6),"",ROUND(MAX(0,Smooth!E227*Controls!E$17*INDEX(Controls!$B$21:$H$21,1,WEEKDAY($A227,2))*(1+Controls!$B$11)^225*(1+Controls!J$25*Smooth!$L227)*(1+Controls!J$26*Smooth!$M227)*(1+Controls!J$27*Smooth!$N227)*(1+Controls!J$28*Smooth!$O227)),2))</f>
        <v/>
      </c>
      <c r="F227" s="10" t="str">
        <f t="array" ref="F227">IF(OR($A227="",5&gt;Controls!$B$6),"",ROUND(MAX(0,Smooth!F227*Controls!F$17*INDEX(Controls!$B$21:$H$21,1,WEEKDAY($A227,2))*(1+Controls!$B$11)^225*(1+Controls!K$25*Smooth!$L227)*(1+Controls!K$26*Smooth!$M227)*(1+Controls!K$27*Smooth!$N227)*(1+Controls!K$28*Smooth!$O227)),2))</f>
        <v/>
      </c>
      <c r="G227" s="10" t="str">
        <f t="array" ref="G227">IF(OR($A227="",6&gt;Controls!$B$6),"",ROUND(MAX(0,Smooth!G227*Controls!G$17*INDEX(Controls!$B$21:$H$21,1,WEEKDAY($A227,2))*(1+Controls!$B$11)^225*(1+Controls!L$25*Smooth!$L227)*(1+Controls!L$26*Smooth!$M227)*(1+Controls!L$27*Smooth!$N227)*(1+Controls!L$28*Smooth!$O227)),2))</f>
        <v/>
      </c>
      <c r="H227" s="10" t="str">
        <f t="array" ref="H227">IF(OR($A227="",7&gt;Controls!$B$6),"",ROUND(MAX(0,Smooth!H227*Controls!H$17*INDEX(Controls!$B$21:$H$21,1,WEEKDAY($A227,2))*(1+Controls!$B$11)^225*(1+Controls!M$25*Smooth!$L227)*(1+Controls!M$26*Smooth!$M227)*(1+Controls!M$27*Smooth!$N227)*(1+Controls!M$28*Smooth!$O227)),2))</f>
        <v/>
      </c>
      <c r="I227" s="10" t="str">
        <f t="array" ref="I227">IF(OR($A227="",8&gt;Controls!$B$6),"",ROUND(MAX(0,Smooth!I227*Controls!I$17*INDEX(Controls!$B$21:$H$21,1,WEEKDAY($A227,2))*(1+Controls!$B$11)^225*(1+Controls!N$25*Smooth!$L227)*(1+Controls!N$26*Smooth!$M227)*(1+Controls!N$27*Smooth!$N227)*(1+Controls!N$28*Smooth!$O227)),2))</f>
        <v/>
      </c>
      <c r="J227" s="10" t="str">
        <f t="array" ref="J227">IF(OR($A227="",9&gt;Controls!$B$6),"",ROUND(MAX(0,Smooth!J227*Controls!J$17*INDEX(Controls!$B$21:$H$21,1,WEEKDAY($A227,2))*(1+Controls!$B$11)^225*(1+Controls!O$25*Smooth!$L227)*(1+Controls!O$26*Smooth!$M227)*(1+Controls!O$27*Smooth!$N227)*(1+Controls!O$28*Smooth!$O227)),2))</f>
        <v/>
      </c>
      <c r="K227" s="10" t="str">
        <f t="array" ref="K227">IF(OR($A227="",10&gt;Controls!$B$6),"",ROUND(MAX(0,Smooth!K227*Controls!K$17*INDEX(Controls!$B$21:$H$21,1,WEEKDAY($A227,2))*(1+Controls!$B$11)^225*(1+Controls!P$25*Smooth!$L227)*(1+Controls!P$26*Smooth!$M227)*(1+Controls!P$27*Smooth!$N227)*(1+Controls!P$28*Smooth!$O227)),2))</f>
        <v/>
      </c>
      <c r="L227" s="18" t="str">
        <f t="shared" si="1"/>
        <v/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21.0" customHeight="1">
      <c r="A228" s="7" t="str">
        <f>IF(227&lt;=Controls!$B$5,Controls!$B$4+226,"")</f>
        <v/>
      </c>
      <c r="B228" s="10" t="str">
        <f t="array" ref="B228">IF(OR($A228="",1&gt;Controls!$B$6),"",ROUND(MAX(0,Smooth!B228*Controls!B$17*INDEX(Controls!$B$21:$H$21,1,WEEKDAY($A228,2))*(1+Controls!$B$11)^226*(1+Controls!G$25*Smooth!$L228)*(1+Controls!G$26*Smooth!$M228)*(1+Controls!G$27*Smooth!$N228)*(1+Controls!G$28*Smooth!$O228)),2))</f>
        <v/>
      </c>
      <c r="C228" s="10" t="str">
        <f t="array" ref="C228">IF(OR($A228="",2&gt;Controls!$B$6),"",ROUND(MAX(0,Smooth!C228*Controls!C$17*INDEX(Controls!$B$21:$H$21,1,WEEKDAY($A228,2))*(1+Controls!$B$11)^226*(1+Controls!H$25*Smooth!$L228)*(1+Controls!H$26*Smooth!$M228)*(1+Controls!H$27*Smooth!$N228)*(1+Controls!H$28*Smooth!$O228)),2))</f>
        <v/>
      </c>
      <c r="D228" s="10" t="str">
        <f t="array" ref="D228">IF(OR($A228="",3&gt;Controls!$B$6),"",ROUND(MAX(0,Smooth!D228*Controls!D$17*INDEX(Controls!$B$21:$H$21,1,WEEKDAY($A228,2))*(1+Controls!$B$11)^226*(1+Controls!I$25*Smooth!$L228)*(1+Controls!I$26*Smooth!$M228)*(1+Controls!I$27*Smooth!$N228)*(1+Controls!I$28*Smooth!$O228)),2))</f>
        <v/>
      </c>
      <c r="E228" s="10" t="str">
        <f t="array" ref="E228">IF(OR($A228="",4&gt;Controls!$B$6),"",ROUND(MAX(0,Smooth!E228*Controls!E$17*INDEX(Controls!$B$21:$H$21,1,WEEKDAY($A228,2))*(1+Controls!$B$11)^226*(1+Controls!J$25*Smooth!$L228)*(1+Controls!J$26*Smooth!$M228)*(1+Controls!J$27*Smooth!$N228)*(1+Controls!J$28*Smooth!$O228)),2))</f>
        <v/>
      </c>
      <c r="F228" s="10" t="str">
        <f t="array" ref="F228">IF(OR($A228="",5&gt;Controls!$B$6),"",ROUND(MAX(0,Smooth!F228*Controls!F$17*INDEX(Controls!$B$21:$H$21,1,WEEKDAY($A228,2))*(1+Controls!$B$11)^226*(1+Controls!K$25*Smooth!$L228)*(1+Controls!K$26*Smooth!$M228)*(1+Controls!K$27*Smooth!$N228)*(1+Controls!K$28*Smooth!$O228)),2))</f>
        <v/>
      </c>
      <c r="G228" s="10" t="str">
        <f t="array" ref="G228">IF(OR($A228="",6&gt;Controls!$B$6),"",ROUND(MAX(0,Smooth!G228*Controls!G$17*INDEX(Controls!$B$21:$H$21,1,WEEKDAY($A228,2))*(1+Controls!$B$11)^226*(1+Controls!L$25*Smooth!$L228)*(1+Controls!L$26*Smooth!$M228)*(1+Controls!L$27*Smooth!$N228)*(1+Controls!L$28*Smooth!$O228)),2))</f>
        <v/>
      </c>
      <c r="H228" s="10" t="str">
        <f t="array" ref="H228">IF(OR($A228="",7&gt;Controls!$B$6),"",ROUND(MAX(0,Smooth!H228*Controls!H$17*INDEX(Controls!$B$21:$H$21,1,WEEKDAY($A228,2))*(1+Controls!$B$11)^226*(1+Controls!M$25*Smooth!$L228)*(1+Controls!M$26*Smooth!$M228)*(1+Controls!M$27*Smooth!$N228)*(1+Controls!M$28*Smooth!$O228)),2))</f>
        <v/>
      </c>
      <c r="I228" s="10" t="str">
        <f t="array" ref="I228">IF(OR($A228="",8&gt;Controls!$B$6),"",ROUND(MAX(0,Smooth!I228*Controls!I$17*INDEX(Controls!$B$21:$H$21,1,WEEKDAY($A228,2))*(1+Controls!$B$11)^226*(1+Controls!N$25*Smooth!$L228)*(1+Controls!N$26*Smooth!$M228)*(1+Controls!N$27*Smooth!$N228)*(1+Controls!N$28*Smooth!$O228)),2))</f>
        <v/>
      </c>
      <c r="J228" s="10" t="str">
        <f t="array" ref="J228">IF(OR($A228="",9&gt;Controls!$B$6),"",ROUND(MAX(0,Smooth!J228*Controls!J$17*INDEX(Controls!$B$21:$H$21,1,WEEKDAY($A228,2))*(1+Controls!$B$11)^226*(1+Controls!O$25*Smooth!$L228)*(1+Controls!O$26*Smooth!$M228)*(1+Controls!O$27*Smooth!$N228)*(1+Controls!O$28*Smooth!$O228)),2))</f>
        <v/>
      </c>
      <c r="K228" s="10" t="str">
        <f t="array" ref="K228">IF(OR($A228="",10&gt;Controls!$B$6),"",ROUND(MAX(0,Smooth!K228*Controls!K$17*INDEX(Controls!$B$21:$H$21,1,WEEKDAY($A228,2))*(1+Controls!$B$11)^226*(1+Controls!P$25*Smooth!$L228)*(1+Controls!P$26*Smooth!$M228)*(1+Controls!P$27*Smooth!$N228)*(1+Controls!P$28*Smooth!$O228)),2))</f>
        <v/>
      </c>
      <c r="L228" s="18" t="str">
        <f t="shared" si="1"/>
        <v/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21.0" customHeight="1">
      <c r="A229" s="7" t="str">
        <f>IF(228&lt;=Controls!$B$5,Controls!$B$4+227,"")</f>
        <v/>
      </c>
      <c r="B229" s="10" t="str">
        <f t="array" ref="B229">IF(OR($A229="",1&gt;Controls!$B$6),"",ROUND(MAX(0,Smooth!B229*Controls!B$17*INDEX(Controls!$B$21:$H$21,1,WEEKDAY($A229,2))*(1+Controls!$B$11)^227*(1+Controls!G$25*Smooth!$L229)*(1+Controls!G$26*Smooth!$M229)*(1+Controls!G$27*Smooth!$N229)*(1+Controls!G$28*Smooth!$O229)),2))</f>
        <v/>
      </c>
      <c r="C229" s="10" t="str">
        <f t="array" ref="C229">IF(OR($A229="",2&gt;Controls!$B$6),"",ROUND(MAX(0,Smooth!C229*Controls!C$17*INDEX(Controls!$B$21:$H$21,1,WEEKDAY($A229,2))*(1+Controls!$B$11)^227*(1+Controls!H$25*Smooth!$L229)*(1+Controls!H$26*Smooth!$M229)*(1+Controls!H$27*Smooth!$N229)*(1+Controls!H$28*Smooth!$O229)),2))</f>
        <v/>
      </c>
      <c r="D229" s="10" t="str">
        <f t="array" ref="D229">IF(OR($A229="",3&gt;Controls!$B$6),"",ROUND(MAX(0,Smooth!D229*Controls!D$17*INDEX(Controls!$B$21:$H$21,1,WEEKDAY($A229,2))*(1+Controls!$B$11)^227*(1+Controls!I$25*Smooth!$L229)*(1+Controls!I$26*Smooth!$M229)*(1+Controls!I$27*Smooth!$N229)*(1+Controls!I$28*Smooth!$O229)),2))</f>
        <v/>
      </c>
      <c r="E229" s="10" t="str">
        <f t="array" ref="E229">IF(OR($A229="",4&gt;Controls!$B$6),"",ROUND(MAX(0,Smooth!E229*Controls!E$17*INDEX(Controls!$B$21:$H$21,1,WEEKDAY($A229,2))*(1+Controls!$B$11)^227*(1+Controls!J$25*Smooth!$L229)*(1+Controls!J$26*Smooth!$M229)*(1+Controls!J$27*Smooth!$N229)*(1+Controls!J$28*Smooth!$O229)),2))</f>
        <v/>
      </c>
      <c r="F229" s="10" t="str">
        <f t="array" ref="F229">IF(OR($A229="",5&gt;Controls!$B$6),"",ROUND(MAX(0,Smooth!F229*Controls!F$17*INDEX(Controls!$B$21:$H$21,1,WEEKDAY($A229,2))*(1+Controls!$B$11)^227*(1+Controls!K$25*Smooth!$L229)*(1+Controls!K$26*Smooth!$M229)*(1+Controls!K$27*Smooth!$N229)*(1+Controls!K$28*Smooth!$O229)),2))</f>
        <v/>
      </c>
      <c r="G229" s="10" t="str">
        <f t="array" ref="G229">IF(OR($A229="",6&gt;Controls!$B$6),"",ROUND(MAX(0,Smooth!G229*Controls!G$17*INDEX(Controls!$B$21:$H$21,1,WEEKDAY($A229,2))*(1+Controls!$B$11)^227*(1+Controls!L$25*Smooth!$L229)*(1+Controls!L$26*Smooth!$M229)*(1+Controls!L$27*Smooth!$N229)*(1+Controls!L$28*Smooth!$O229)),2))</f>
        <v/>
      </c>
      <c r="H229" s="10" t="str">
        <f t="array" ref="H229">IF(OR($A229="",7&gt;Controls!$B$6),"",ROUND(MAX(0,Smooth!H229*Controls!H$17*INDEX(Controls!$B$21:$H$21,1,WEEKDAY($A229,2))*(1+Controls!$B$11)^227*(1+Controls!M$25*Smooth!$L229)*(1+Controls!M$26*Smooth!$M229)*(1+Controls!M$27*Smooth!$N229)*(1+Controls!M$28*Smooth!$O229)),2))</f>
        <v/>
      </c>
      <c r="I229" s="10" t="str">
        <f t="array" ref="I229">IF(OR($A229="",8&gt;Controls!$B$6),"",ROUND(MAX(0,Smooth!I229*Controls!I$17*INDEX(Controls!$B$21:$H$21,1,WEEKDAY($A229,2))*(1+Controls!$B$11)^227*(1+Controls!N$25*Smooth!$L229)*(1+Controls!N$26*Smooth!$M229)*(1+Controls!N$27*Smooth!$N229)*(1+Controls!N$28*Smooth!$O229)),2))</f>
        <v/>
      </c>
      <c r="J229" s="10" t="str">
        <f t="array" ref="J229">IF(OR($A229="",9&gt;Controls!$B$6),"",ROUND(MAX(0,Smooth!J229*Controls!J$17*INDEX(Controls!$B$21:$H$21,1,WEEKDAY($A229,2))*(1+Controls!$B$11)^227*(1+Controls!O$25*Smooth!$L229)*(1+Controls!O$26*Smooth!$M229)*(1+Controls!O$27*Smooth!$N229)*(1+Controls!O$28*Smooth!$O229)),2))</f>
        <v/>
      </c>
      <c r="K229" s="10" t="str">
        <f t="array" ref="K229">IF(OR($A229="",10&gt;Controls!$B$6),"",ROUND(MAX(0,Smooth!K229*Controls!K$17*INDEX(Controls!$B$21:$H$21,1,WEEKDAY($A229,2))*(1+Controls!$B$11)^227*(1+Controls!P$25*Smooth!$L229)*(1+Controls!P$26*Smooth!$M229)*(1+Controls!P$27*Smooth!$N229)*(1+Controls!P$28*Smooth!$O229)),2))</f>
        <v/>
      </c>
      <c r="L229" s="18" t="str">
        <f t="shared" si="1"/>
        <v/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21.0" customHeight="1">
      <c r="A230" s="7" t="str">
        <f>IF(229&lt;=Controls!$B$5,Controls!$B$4+228,"")</f>
        <v/>
      </c>
      <c r="B230" s="10" t="str">
        <f t="array" ref="B230">IF(OR($A230="",1&gt;Controls!$B$6),"",ROUND(MAX(0,Smooth!B230*Controls!B$17*INDEX(Controls!$B$21:$H$21,1,WEEKDAY($A230,2))*(1+Controls!$B$11)^228*(1+Controls!G$25*Smooth!$L230)*(1+Controls!G$26*Smooth!$M230)*(1+Controls!G$27*Smooth!$N230)*(1+Controls!G$28*Smooth!$O230)),2))</f>
        <v/>
      </c>
      <c r="C230" s="10" t="str">
        <f t="array" ref="C230">IF(OR($A230="",2&gt;Controls!$B$6),"",ROUND(MAX(0,Smooth!C230*Controls!C$17*INDEX(Controls!$B$21:$H$21,1,WEEKDAY($A230,2))*(1+Controls!$B$11)^228*(1+Controls!H$25*Smooth!$L230)*(1+Controls!H$26*Smooth!$M230)*(1+Controls!H$27*Smooth!$N230)*(1+Controls!H$28*Smooth!$O230)),2))</f>
        <v/>
      </c>
      <c r="D230" s="10" t="str">
        <f t="array" ref="D230">IF(OR($A230="",3&gt;Controls!$B$6),"",ROUND(MAX(0,Smooth!D230*Controls!D$17*INDEX(Controls!$B$21:$H$21,1,WEEKDAY($A230,2))*(1+Controls!$B$11)^228*(1+Controls!I$25*Smooth!$L230)*(1+Controls!I$26*Smooth!$M230)*(1+Controls!I$27*Smooth!$N230)*(1+Controls!I$28*Smooth!$O230)),2))</f>
        <v/>
      </c>
      <c r="E230" s="10" t="str">
        <f t="array" ref="E230">IF(OR($A230="",4&gt;Controls!$B$6),"",ROUND(MAX(0,Smooth!E230*Controls!E$17*INDEX(Controls!$B$21:$H$21,1,WEEKDAY($A230,2))*(1+Controls!$B$11)^228*(1+Controls!J$25*Smooth!$L230)*(1+Controls!J$26*Smooth!$M230)*(1+Controls!J$27*Smooth!$N230)*(1+Controls!J$28*Smooth!$O230)),2))</f>
        <v/>
      </c>
      <c r="F230" s="10" t="str">
        <f t="array" ref="F230">IF(OR($A230="",5&gt;Controls!$B$6),"",ROUND(MAX(0,Smooth!F230*Controls!F$17*INDEX(Controls!$B$21:$H$21,1,WEEKDAY($A230,2))*(1+Controls!$B$11)^228*(1+Controls!K$25*Smooth!$L230)*(1+Controls!K$26*Smooth!$M230)*(1+Controls!K$27*Smooth!$N230)*(1+Controls!K$28*Smooth!$O230)),2))</f>
        <v/>
      </c>
      <c r="G230" s="10" t="str">
        <f t="array" ref="G230">IF(OR($A230="",6&gt;Controls!$B$6),"",ROUND(MAX(0,Smooth!G230*Controls!G$17*INDEX(Controls!$B$21:$H$21,1,WEEKDAY($A230,2))*(1+Controls!$B$11)^228*(1+Controls!L$25*Smooth!$L230)*(1+Controls!L$26*Smooth!$M230)*(1+Controls!L$27*Smooth!$N230)*(1+Controls!L$28*Smooth!$O230)),2))</f>
        <v/>
      </c>
      <c r="H230" s="10" t="str">
        <f t="array" ref="H230">IF(OR($A230="",7&gt;Controls!$B$6),"",ROUND(MAX(0,Smooth!H230*Controls!H$17*INDEX(Controls!$B$21:$H$21,1,WEEKDAY($A230,2))*(1+Controls!$B$11)^228*(1+Controls!M$25*Smooth!$L230)*(1+Controls!M$26*Smooth!$M230)*(1+Controls!M$27*Smooth!$N230)*(1+Controls!M$28*Smooth!$O230)),2))</f>
        <v/>
      </c>
      <c r="I230" s="10" t="str">
        <f t="array" ref="I230">IF(OR($A230="",8&gt;Controls!$B$6),"",ROUND(MAX(0,Smooth!I230*Controls!I$17*INDEX(Controls!$B$21:$H$21,1,WEEKDAY($A230,2))*(1+Controls!$B$11)^228*(1+Controls!N$25*Smooth!$L230)*(1+Controls!N$26*Smooth!$M230)*(1+Controls!N$27*Smooth!$N230)*(1+Controls!N$28*Smooth!$O230)),2))</f>
        <v/>
      </c>
      <c r="J230" s="10" t="str">
        <f t="array" ref="J230">IF(OR($A230="",9&gt;Controls!$B$6),"",ROUND(MAX(0,Smooth!J230*Controls!J$17*INDEX(Controls!$B$21:$H$21,1,WEEKDAY($A230,2))*(1+Controls!$B$11)^228*(1+Controls!O$25*Smooth!$L230)*(1+Controls!O$26*Smooth!$M230)*(1+Controls!O$27*Smooth!$N230)*(1+Controls!O$28*Smooth!$O230)),2))</f>
        <v/>
      </c>
      <c r="K230" s="10" t="str">
        <f t="array" ref="K230">IF(OR($A230="",10&gt;Controls!$B$6),"",ROUND(MAX(0,Smooth!K230*Controls!K$17*INDEX(Controls!$B$21:$H$21,1,WEEKDAY($A230,2))*(1+Controls!$B$11)^228*(1+Controls!P$25*Smooth!$L230)*(1+Controls!P$26*Smooth!$M230)*(1+Controls!P$27*Smooth!$N230)*(1+Controls!P$28*Smooth!$O230)),2))</f>
        <v/>
      </c>
      <c r="L230" s="18" t="str">
        <f t="shared" si="1"/>
        <v/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21.0" customHeight="1">
      <c r="A231" s="7" t="str">
        <f>IF(230&lt;=Controls!$B$5,Controls!$B$4+229,"")</f>
        <v/>
      </c>
      <c r="B231" s="10" t="str">
        <f t="array" ref="B231">IF(OR($A231="",1&gt;Controls!$B$6),"",ROUND(MAX(0,Smooth!B231*Controls!B$17*INDEX(Controls!$B$21:$H$21,1,WEEKDAY($A231,2))*(1+Controls!$B$11)^229*(1+Controls!G$25*Smooth!$L231)*(1+Controls!G$26*Smooth!$M231)*(1+Controls!G$27*Smooth!$N231)*(1+Controls!G$28*Smooth!$O231)),2))</f>
        <v/>
      </c>
      <c r="C231" s="10" t="str">
        <f t="array" ref="C231">IF(OR($A231="",2&gt;Controls!$B$6),"",ROUND(MAX(0,Smooth!C231*Controls!C$17*INDEX(Controls!$B$21:$H$21,1,WEEKDAY($A231,2))*(1+Controls!$B$11)^229*(1+Controls!H$25*Smooth!$L231)*(1+Controls!H$26*Smooth!$M231)*(1+Controls!H$27*Smooth!$N231)*(1+Controls!H$28*Smooth!$O231)),2))</f>
        <v/>
      </c>
      <c r="D231" s="10" t="str">
        <f t="array" ref="D231">IF(OR($A231="",3&gt;Controls!$B$6),"",ROUND(MAX(0,Smooth!D231*Controls!D$17*INDEX(Controls!$B$21:$H$21,1,WEEKDAY($A231,2))*(1+Controls!$B$11)^229*(1+Controls!I$25*Smooth!$L231)*(1+Controls!I$26*Smooth!$M231)*(1+Controls!I$27*Smooth!$N231)*(1+Controls!I$28*Smooth!$O231)),2))</f>
        <v/>
      </c>
      <c r="E231" s="10" t="str">
        <f t="array" ref="E231">IF(OR($A231="",4&gt;Controls!$B$6),"",ROUND(MAX(0,Smooth!E231*Controls!E$17*INDEX(Controls!$B$21:$H$21,1,WEEKDAY($A231,2))*(1+Controls!$B$11)^229*(1+Controls!J$25*Smooth!$L231)*(1+Controls!J$26*Smooth!$M231)*(1+Controls!J$27*Smooth!$N231)*(1+Controls!J$28*Smooth!$O231)),2))</f>
        <v/>
      </c>
      <c r="F231" s="10" t="str">
        <f t="array" ref="F231">IF(OR($A231="",5&gt;Controls!$B$6),"",ROUND(MAX(0,Smooth!F231*Controls!F$17*INDEX(Controls!$B$21:$H$21,1,WEEKDAY($A231,2))*(1+Controls!$B$11)^229*(1+Controls!K$25*Smooth!$L231)*(1+Controls!K$26*Smooth!$M231)*(1+Controls!K$27*Smooth!$N231)*(1+Controls!K$28*Smooth!$O231)),2))</f>
        <v/>
      </c>
      <c r="G231" s="10" t="str">
        <f t="array" ref="G231">IF(OR($A231="",6&gt;Controls!$B$6),"",ROUND(MAX(0,Smooth!G231*Controls!G$17*INDEX(Controls!$B$21:$H$21,1,WEEKDAY($A231,2))*(1+Controls!$B$11)^229*(1+Controls!L$25*Smooth!$L231)*(1+Controls!L$26*Smooth!$M231)*(1+Controls!L$27*Smooth!$N231)*(1+Controls!L$28*Smooth!$O231)),2))</f>
        <v/>
      </c>
      <c r="H231" s="10" t="str">
        <f t="array" ref="H231">IF(OR($A231="",7&gt;Controls!$B$6),"",ROUND(MAX(0,Smooth!H231*Controls!H$17*INDEX(Controls!$B$21:$H$21,1,WEEKDAY($A231,2))*(1+Controls!$B$11)^229*(1+Controls!M$25*Smooth!$L231)*(1+Controls!M$26*Smooth!$M231)*(1+Controls!M$27*Smooth!$N231)*(1+Controls!M$28*Smooth!$O231)),2))</f>
        <v/>
      </c>
      <c r="I231" s="10" t="str">
        <f t="array" ref="I231">IF(OR($A231="",8&gt;Controls!$B$6),"",ROUND(MAX(0,Smooth!I231*Controls!I$17*INDEX(Controls!$B$21:$H$21,1,WEEKDAY($A231,2))*(1+Controls!$B$11)^229*(1+Controls!N$25*Smooth!$L231)*(1+Controls!N$26*Smooth!$M231)*(1+Controls!N$27*Smooth!$N231)*(1+Controls!N$28*Smooth!$O231)),2))</f>
        <v/>
      </c>
      <c r="J231" s="10" t="str">
        <f t="array" ref="J231">IF(OR($A231="",9&gt;Controls!$B$6),"",ROUND(MAX(0,Smooth!J231*Controls!J$17*INDEX(Controls!$B$21:$H$21,1,WEEKDAY($A231,2))*(1+Controls!$B$11)^229*(1+Controls!O$25*Smooth!$L231)*(1+Controls!O$26*Smooth!$M231)*(1+Controls!O$27*Smooth!$N231)*(1+Controls!O$28*Smooth!$O231)),2))</f>
        <v/>
      </c>
      <c r="K231" s="10" t="str">
        <f t="array" ref="K231">IF(OR($A231="",10&gt;Controls!$B$6),"",ROUND(MAX(0,Smooth!K231*Controls!K$17*INDEX(Controls!$B$21:$H$21,1,WEEKDAY($A231,2))*(1+Controls!$B$11)^229*(1+Controls!P$25*Smooth!$L231)*(1+Controls!P$26*Smooth!$M231)*(1+Controls!P$27*Smooth!$N231)*(1+Controls!P$28*Smooth!$O231)),2))</f>
        <v/>
      </c>
      <c r="L231" s="18" t="str">
        <f t="shared" si="1"/>
        <v/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21.0" customHeight="1">
      <c r="A232" s="7" t="str">
        <f>IF(231&lt;=Controls!$B$5,Controls!$B$4+230,"")</f>
        <v/>
      </c>
      <c r="B232" s="10" t="str">
        <f t="array" ref="B232">IF(OR($A232="",1&gt;Controls!$B$6),"",ROUND(MAX(0,Smooth!B232*Controls!B$17*INDEX(Controls!$B$21:$H$21,1,WEEKDAY($A232,2))*(1+Controls!$B$11)^230*(1+Controls!G$25*Smooth!$L232)*(1+Controls!G$26*Smooth!$M232)*(1+Controls!G$27*Smooth!$N232)*(1+Controls!G$28*Smooth!$O232)),2))</f>
        <v/>
      </c>
      <c r="C232" s="10" t="str">
        <f t="array" ref="C232">IF(OR($A232="",2&gt;Controls!$B$6),"",ROUND(MAX(0,Smooth!C232*Controls!C$17*INDEX(Controls!$B$21:$H$21,1,WEEKDAY($A232,2))*(1+Controls!$B$11)^230*(1+Controls!H$25*Smooth!$L232)*(1+Controls!H$26*Smooth!$M232)*(1+Controls!H$27*Smooth!$N232)*(1+Controls!H$28*Smooth!$O232)),2))</f>
        <v/>
      </c>
      <c r="D232" s="10" t="str">
        <f t="array" ref="D232">IF(OR($A232="",3&gt;Controls!$B$6),"",ROUND(MAX(0,Smooth!D232*Controls!D$17*INDEX(Controls!$B$21:$H$21,1,WEEKDAY($A232,2))*(1+Controls!$B$11)^230*(1+Controls!I$25*Smooth!$L232)*(1+Controls!I$26*Smooth!$M232)*(1+Controls!I$27*Smooth!$N232)*(1+Controls!I$28*Smooth!$O232)),2))</f>
        <v/>
      </c>
      <c r="E232" s="10" t="str">
        <f t="array" ref="E232">IF(OR($A232="",4&gt;Controls!$B$6),"",ROUND(MAX(0,Smooth!E232*Controls!E$17*INDEX(Controls!$B$21:$H$21,1,WEEKDAY($A232,2))*(1+Controls!$B$11)^230*(1+Controls!J$25*Smooth!$L232)*(1+Controls!J$26*Smooth!$M232)*(1+Controls!J$27*Smooth!$N232)*(1+Controls!J$28*Smooth!$O232)),2))</f>
        <v/>
      </c>
      <c r="F232" s="10" t="str">
        <f t="array" ref="F232">IF(OR($A232="",5&gt;Controls!$B$6),"",ROUND(MAX(0,Smooth!F232*Controls!F$17*INDEX(Controls!$B$21:$H$21,1,WEEKDAY($A232,2))*(1+Controls!$B$11)^230*(1+Controls!K$25*Smooth!$L232)*(1+Controls!K$26*Smooth!$M232)*(1+Controls!K$27*Smooth!$N232)*(1+Controls!K$28*Smooth!$O232)),2))</f>
        <v/>
      </c>
      <c r="G232" s="10" t="str">
        <f t="array" ref="G232">IF(OR($A232="",6&gt;Controls!$B$6),"",ROUND(MAX(0,Smooth!G232*Controls!G$17*INDEX(Controls!$B$21:$H$21,1,WEEKDAY($A232,2))*(1+Controls!$B$11)^230*(1+Controls!L$25*Smooth!$L232)*(1+Controls!L$26*Smooth!$M232)*(1+Controls!L$27*Smooth!$N232)*(1+Controls!L$28*Smooth!$O232)),2))</f>
        <v/>
      </c>
      <c r="H232" s="10" t="str">
        <f t="array" ref="H232">IF(OR($A232="",7&gt;Controls!$B$6),"",ROUND(MAX(0,Smooth!H232*Controls!H$17*INDEX(Controls!$B$21:$H$21,1,WEEKDAY($A232,2))*(1+Controls!$B$11)^230*(1+Controls!M$25*Smooth!$L232)*(1+Controls!M$26*Smooth!$M232)*(1+Controls!M$27*Smooth!$N232)*(1+Controls!M$28*Smooth!$O232)),2))</f>
        <v/>
      </c>
      <c r="I232" s="10" t="str">
        <f t="array" ref="I232">IF(OR($A232="",8&gt;Controls!$B$6),"",ROUND(MAX(0,Smooth!I232*Controls!I$17*INDEX(Controls!$B$21:$H$21,1,WEEKDAY($A232,2))*(1+Controls!$B$11)^230*(1+Controls!N$25*Smooth!$L232)*(1+Controls!N$26*Smooth!$M232)*(1+Controls!N$27*Smooth!$N232)*(1+Controls!N$28*Smooth!$O232)),2))</f>
        <v/>
      </c>
      <c r="J232" s="10" t="str">
        <f t="array" ref="J232">IF(OR($A232="",9&gt;Controls!$B$6),"",ROUND(MAX(0,Smooth!J232*Controls!J$17*INDEX(Controls!$B$21:$H$21,1,WEEKDAY($A232,2))*(1+Controls!$B$11)^230*(1+Controls!O$25*Smooth!$L232)*(1+Controls!O$26*Smooth!$M232)*(1+Controls!O$27*Smooth!$N232)*(1+Controls!O$28*Smooth!$O232)),2))</f>
        <v/>
      </c>
      <c r="K232" s="10" t="str">
        <f t="array" ref="K232">IF(OR($A232="",10&gt;Controls!$B$6),"",ROUND(MAX(0,Smooth!K232*Controls!K$17*INDEX(Controls!$B$21:$H$21,1,WEEKDAY($A232,2))*(1+Controls!$B$11)^230*(1+Controls!P$25*Smooth!$L232)*(1+Controls!P$26*Smooth!$M232)*(1+Controls!P$27*Smooth!$N232)*(1+Controls!P$28*Smooth!$O232)),2))</f>
        <v/>
      </c>
      <c r="L232" s="18" t="str">
        <f t="shared" si="1"/>
        <v/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21.0" customHeight="1">
      <c r="A233" s="7" t="str">
        <f>IF(232&lt;=Controls!$B$5,Controls!$B$4+231,"")</f>
        <v/>
      </c>
      <c r="B233" s="10" t="str">
        <f t="array" ref="B233">IF(OR($A233="",1&gt;Controls!$B$6),"",ROUND(MAX(0,Smooth!B233*Controls!B$17*INDEX(Controls!$B$21:$H$21,1,WEEKDAY($A233,2))*(1+Controls!$B$11)^231*(1+Controls!G$25*Smooth!$L233)*(1+Controls!G$26*Smooth!$M233)*(1+Controls!G$27*Smooth!$N233)*(1+Controls!G$28*Smooth!$O233)),2))</f>
        <v/>
      </c>
      <c r="C233" s="10" t="str">
        <f t="array" ref="C233">IF(OR($A233="",2&gt;Controls!$B$6),"",ROUND(MAX(0,Smooth!C233*Controls!C$17*INDEX(Controls!$B$21:$H$21,1,WEEKDAY($A233,2))*(1+Controls!$B$11)^231*(1+Controls!H$25*Smooth!$L233)*(1+Controls!H$26*Smooth!$M233)*(1+Controls!H$27*Smooth!$N233)*(1+Controls!H$28*Smooth!$O233)),2))</f>
        <v/>
      </c>
      <c r="D233" s="10" t="str">
        <f t="array" ref="D233">IF(OR($A233="",3&gt;Controls!$B$6),"",ROUND(MAX(0,Smooth!D233*Controls!D$17*INDEX(Controls!$B$21:$H$21,1,WEEKDAY($A233,2))*(1+Controls!$B$11)^231*(1+Controls!I$25*Smooth!$L233)*(1+Controls!I$26*Smooth!$M233)*(1+Controls!I$27*Smooth!$N233)*(1+Controls!I$28*Smooth!$O233)),2))</f>
        <v/>
      </c>
      <c r="E233" s="10" t="str">
        <f t="array" ref="E233">IF(OR($A233="",4&gt;Controls!$B$6),"",ROUND(MAX(0,Smooth!E233*Controls!E$17*INDEX(Controls!$B$21:$H$21,1,WEEKDAY($A233,2))*(1+Controls!$B$11)^231*(1+Controls!J$25*Smooth!$L233)*(1+Controls!J$26*Smooth!$M233)*(1+Controls!J$27*Smooth!$N233)*(1+Controls!J$28*Smooth!$O233)),2))</f>
        <v/>
      </c>
      <c r="F233" s="10" t="str">
        <f t="array" ref="F233">IF(OR($A233="",5&gt;Controls!$B$6),"",ROUND(MAX(0,Smooth!F233*Controls!F$17*INDEX(Controls!$B$21:$H$21,1,WEEKDAY($A233,2))*(1+Controls!$B$11)^231*(1+Controls!K$25*Smooth!$L233)*(1+Controls!K$26*Smooth!$M233)*(1+Controls!K$27*Smooth!$N233)*(1+Controls!K$28*Smooth!$O233)),2))</f>
        <v/>
      </c>
      <c r="G233" s="10" t="str">
        <f t="array" ref="G233">IF(OR($A233="",6&gt;Controls!$B$6),"",ROUND(MAX(0,Smooth!G233*Controls!G$17*INDEX(Controls!$B$21:$H$21,1,WEEKDAY($A233,2))*(1+Controls!$B$11)^231*(1+Controls!L$25*Smooth!$L233)*(1+Controls!L$26*Smooth!$M233)*(1+Controls!L$27*Smooth!$N233)*(1+Controls!L$28*Smooth!$O233)),2))</f>
        <v/>
      </c>
      <c r="H233" s="10" t="str">
        <f t="array" ref="H233">IF(OR($A233="",7&gt;Controls!$B$6),"",ROUND(MAX(0,Smooth!H233*Controls!H$17*INDEX(Controls!$B$21:$H$21,1,WEEKDAY($A233,2))*(1+Controls!$B$11)^231*(1+Controls!M$25*Smooth!$L233)*(1+Controls!M$26*Smooth!$M233)*(1+Controls!M$27*Smooth!$N233)*(1+Controls!M$28*Smooth!$O233)),2))</f>
        <v/>
      </c>
      <c r="I233" s="10" t="str">
        <f t="array" ref="I233">IF(OR($A233="",8&gt;Controls!$B$6),"",ROUND(MAX(0,Smooth!I233*Controls!I$17*INDEX(Controls!$B$21:$H$21,1,WEEKDAY($A233,2))*(1+Controls!$B$11)^231*(1+Controls!N$25*Smooth!$L233)*(1+Controls!N$26*Smooth!$M233)*(1+Controls!N$27*Smooth!$N233)*(1+Controls!N$28*Smooth!$O233)),2))</f>
        <v/>
      </c>
      <c r="J233" s="10" t="str">
        <f t="array" ref="J233">IF(OR($A233="",9&gt;Controls!$B$6),"",ROUND(MAX(0,Smooth!J233*Controls!J$17*INDEX(Controls!$B$21:$H$21,1,WEEKDAY($A233,2))*(1+Controls!$B$11)^231*(1+Controls!O$25*Smooth!$L233)*(1+Controls!O$26*Smooth!$M233)*(1+Controls!O$27*Smooth!$N233)*(1+Controls!O$28*Smooth!$O233)),2))</f>
        <v/>
      </c>
      <c r="K233" s="10" t="str">
        <f t="array" ref="K233">IF(OR($A233="",10&gt;Controls!$B$6),"",ROUND(MAX(0,Smooth!K233*Controls!K$17*INDEX(Controls!$B$21:$H$21,1,WEEKDAY($A233,2))*(1+Controls!$B$11)^231*(1+Controls!P$25*Smooth!$L233)*(1+Controls!P$26*Smooth!$M233)*(1+Controls!P$27*Smooth!$N233)*(1+Controls!P$28*Smooth!$O233)),2))</f>
        <v/>
      </c>
      <c r="L233" s="18" t="str">
        <f t="shared" si="1"/>
        <v/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21.0" customHeight="1">
      <c r="A234" s="7" t="str">
        <f>IF(233&lt;=Controls!$B$5,Controls!$B$4+232,"")</f>
        <v/>
      </c>
      <c r="B234" s="10" t="str">
        <f t="array" ref="B234">IF(OR($A234="",1&gt;Controls!$B$6),"",ROUND(MAX(0,Smooth!B234*Controls!B$17*INDEX(Controls!$B$21:$H$21,1,WEEKDAY($A234,2))*(1+Controls!$B$11)^232*(1+Controls!G$25*Smooth!$L234)*(1+Controls!G$26*Smooth!$M234)*(1+Controls!G$27*Smooth!$N234)*(1+Controls!G$28*Smooth!$O234)),2))</f>
        <v/>
      </c>
      <c r="C234" s="10" t="str">
        <f t="array" ref="C234">IF(OR($A234="",2&gt;Controls!$B$6),"",ROUND(MAX(0,Smooth!C234*Controls!C$17*INDEX(Controls!$B$21:$H$21,1,WEEKDAY($A234,2))*(1+Controls!$B$11)^232*(1+Controls!H$25*Smooth!$L234)*(1+Controls!H$26*Smooth!$M234)*(1+Controls!H$27*Smooth!$N234)*(1+Controls!H$28*Smooth!$O234)),2))</f>
        <v/>
      </c>
      <c r="D234" s="10" t="str">
        <f t="array" ref="D234">IF(OR($A234="",3&gt;Controls!$B$6),"",ROUND(MAX(0,Smooth!D234*Controls!D$17*INDEX(Controls!$B$21:$H$21,1,WEEKDAY($A234,2))*(1+Controls!$B$11)^232*(1+Controls!I$25*Smooth!$L234)*(1+Controls!I$26*Smooth!$M234)*(1+Controls!I$27*Smooth!$N234)*(1+Controls!I$28*Smooth!$O234)),2))</f>
        <v/>
      </c>
      <c r="E234" s="10" t="str">
        <f t="array" ref="E234">IF(OR($A234="",4&gt;Controls!$B$6),"",ROUND(MAX(0,Smooth!E234*Controls!E$17*INDEX(Controls!$B$21:$H$21,1,WEEKDAY($A234,2))*(1+Controls!$B$11)^232*(1+Controls!J$25*Smooth!$L234)*(1+Controls!J$26*Smooth!$M234)*(1+Controls!J$27*Smooth!$N234)*(1+Controls!J$28*Smooth!$O234)),2))</f>
        <v/>
      </c>
      <c r="F234" s="10" t="str">
        <f t="array" ref="F234">IF(OR($A234="",5&gt;Controls!$B$6),"",ROUND(MAX(0,Smooth!F234*Controls!F$17*INDEX(Controls!$B$21:$H$21,1,WEEKDAY($A234,2))*(1+Controls!$B$11)^232*(1+Controls!K$25*Smooth!$L234)*(1+Controls!K$26*Smooth!$M234)*(1+Controls!K$27*Smooth!$N234)*(1+Controls!K$28*Smooth!$O234)),2))</f>
        <v/>
      </c>
      <c r="G234" s="10" t="str">
        <f t="array" ref="G234">IF(OR($A234="",6&gt;Controls!$B$6),"",ROUND(MAX(0,Smooth!G234*Controls!G$17*INDEX(Controls!$B$21:$H$21,1,WEEKDAY($A234,2))*(1+Controls!$B$11)^232*(1+Controls!L$25*Smooth!$L234)*(1+Controls!L$26*Smooth!$M234)*(1+Controls!L$27*Smooth!$N234)*(1+Controls!L$28*Smooth!$O234)),2))</f>
        <v/>
      </c>
      <c r="H234" s="10" t="str">
        <f t="array" ref="H234">IF(OR($A234="",7&gt;Controls!$B$6),"",ROUND(MAX(0,Smooth!H234*Controls!H$17*INDEX(Controls!$B$21:$H$21,1,WEEKDAY($A234,2))*(1+Controls!$B$11)^232*(1+Controls!M$25*Smooth!$L234)*(1+Controls!M$26*Smooth!$M234)*(1+Controls!M$27*Smooth!$N234)*(1+Controls!M$28*Smooth!$O234)),2))</f>
        <v/>
      </c>
      <c r="I234" s="10" t="str">
        <f t="array" ref="I234">IF(OR($A234="",8&gt;Controls!$B$6),"",ROUND(MAX(0,Smooth!I234*Controls!I$17*INDEX(Controls!$B$21:$H$21,1,WEEKDAY($A234,2))*(1+Controls!$B$11)^232*(1+Controls!N$25*Smooth!$L234)*(1+Controls!N$26*Smooth!$M234)*(1+Controls!N$27*Smooth!$N234)*(1+Controls!N$28*Smooth!$O234)),2))</f>
        <v/>
      </c>
      <c r="J234" s="10" t="str">
        <f t="array" ref="J234">IF(OR($A234="",9&gt;Controls!$B$6),"",ROUND(MAX(0,Smooth!J234*Controls!J$17*INDEX(Controls!$B$21:$H$21,1,WEEKDAY($A234,2))*(1+Controls!$B$11)^232*(1+Controls!O$25*Smooth!$L234)*(1+Controls!O$26*Smooth!$M234)*(1+Controls!O$27*Smooth!$N234)*(1+Controls!O$28*Smooth!$O234)),2))</f>
        <v/>
      </c>
      <c r="K234" s="10" t="str">
        <f t="array" ref="K234">IF(OR($A234="",10&gt;Controls!$B$6),"",ROUND(MAX(0,Smooth!K234*Controls!K$17*INDEX(Controls!$B$21:$H$21,1,WEEKDAY($A234,2))*(1+Controls!$B$11)^232*(1+Controls!P$25*Smooth!$L234)*(1+Controls!P$26*Smooth!$M234)*(1+Controls!P$27*Smooth!$N234)*(1+Controls!P$28*Smooth!$O234)),2))</f>
        <v/>
      </c>
      <c r="L234" s="18" t="str">
        <f t="shared" si="1"/>
        <v/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21.0" customHeight="1">
      <c r="A235" s="7" t="str">
        <f>IF(234&lt;=Controls!$B$5,Controls!$B$4+233,"")</f>
        <v/>
      </c>
      <c r="B235" s="10" t="str">
        <f t="array" ref="B235">IF(OR($A235="",1&gt;Controls!$B$6),"",ROUND(MAX(0,Smooth!B235*Controls!B$17*INDEX(Controls!$B$21:$H$21,1,WEEKDAY($A235,2))*(1+Controls!$B$11)^233*(1+Controls!G$25*Smooth!$L235)*(1+Controls!G$26*Smooth!$M235)*(1+Controls!G$27*Smooth!$N235)*(1+Controls!G$28*Smooth!$O235)),2))</f>
        <v/>
      </c>
      <c r="C235" s="10" t="str">
        <f t="array" ref="C235">IF(OR($A235="",2&gt;Controls!$B$6),"",ROUND(MAX(0,Smooth!C235*Controls!C$17*INDEX(Controls!$B$21:$H$21,1,WEEKDAY($A235,2))*(1+Controls!$B$11)^233*(1+Controls!H$25*Smooth!$L235)*(1+Controls!H$26*Smooth!$M235)*(1+Controls!H$27*Smooth!$N235)*(1+Controls!H$28*Smooth!$O235)),2))</f>
        <v/>
      </c>
      <c r="D235" s="10" t="str">
        <f t="array" ref="D235">IF(OR($A235="",3&gt;Controls!$B$6),"",ROUND(MAX(0,Smooth!D235*Controls!D$17*INDEX(Controls!$B$21:$H$21,1,WEEKDAY($A235,2))*(1+Controls!$B$11)^233*(1+Controls!I$25*Smooth!$L235)*(1+Controls!I$26*Smooth!$M235)*(1+Controls!I$27*Smooth!$N235)*(1+Controls!I$28*Smooth!$O235)),2))</f>
        <v/>
      </c>
      <c r="E235" s="10" t="str">
        <f t="array" ref="E235">IF(OR($A235="",4&gt;Controls!$B$6),"",ROUND(MAX(0,Smooth!E235*Controls!E$17*INDEX(Controls!$B$21:$H$21,1,WEEKDAY($A235,2))*(1+Controls!$B$11)^233*(1+Controls!J$25*Smooth!$L235)*(1+Controls!J$26*Smooth!$M235)*(1+Controls!J$27*Smooth!$N235)*(1+Controls!J$28*Smooth!$O235)),2))</f>
        <v/>
      </c>
      <c r="F235" s="10" t="str">
        <f t="array" ref="F235">IF(OR($A235="",5&gt;Controls!$B$6),"",ROUND(MAX(0,Smooth!F235*Controls!F$17*INDEX(Controls!$B$21:$H$21,1,WEEKDAY($A235,2))*(1+Controls!$B$11)^233*(1+Controls!K$25*Smooth!$L235)*(1+Controls!K$26*Smooth!$M235)*(1+Controls!K$27*Smooth!$N235)*(1+Controls!K$28*Smooth!$O235)),2))</f>
        <v/>
      </c>
      <c r="G235" s="10" t="str">
        <f t="array" ref="G235">IF(OR($A235="",6&gt;Controls!$B$6),"",ROUND(MAX(0,Smooth!G235*Controls!G$17*INDEX(Controls!$B$21:$H$21,1,WEEKDAY($A235,2))*(1+Controls!$B$11)^233*(1+Controls!L$25*Smooth!$L235)*(1+Controls!L$26*Smooth!$M235)*(1+Controls!L$27*Smooth!$N235)*(1+Controls!L$28*Smooth!$O235)),2))</f>
        <v/>
      </c>
      <c r="H235" s="10" t="str">
        <f t="array" ref="H235">IF(OR($A235="",7&gt;Controls!$B$6),"",ROUND(MAX(0,Smooth!H235*Controls!H$17*INDEX(Controls!$B$21:$H$21,1,WEEKDAY($A235,2))*(1+Controls!$B$11)^233*(1+Controls!M$25*Smooth!$L235)*(1+Controls!M$26*Smooth!$M235)*(1+Controls!M$27*Smooth!$N235)*(1+Controls!M$28*Smooth!$O235)),2))</f>
        <v/>
      </c>
      <c r="I235" s="10" t="str">
        <f t="array" ref="I235">IF(OR($A235="",8&gt;Controls!$B$6),"",ROUND(MAX(0,Smooth!I235*Controls!I$17*INDEX(Controls!$B$21:$H$21,1,WEEKDAY($A235,2))*(1+Controls!$B$11)^233*(1+Controls!N$25*Smooth!$L235)*(1+Controls!N$26*Smooth!$M235)*(1+Controls!N$27*Smooth!$N235)*(1+Controls!N$28*Smooth!$O235)),2))</f>
        <v/>
      </c>
      <c r="J235" s="10" t="str">
        <f t="array" ref="J235">IF(OR($A235="",9&gt;Controls!$B$6),"",ROUND(MAX(0,Smooth!J235*Controls!J$17*INDEX(Controls!$B$21:$H$21,1,WEEKDAY($A235,2))*(1+Controls!$B$11)^233*(1+Controls!O$25*Smooth!$L235)*(1+Controls!O$26*Smooth!$M235)*(1+Controls!O$27*Smooth!$N235)*(1+Controls!O$28*Smooth!$O235)),2))</f>
        <v/>
      </c>
      <c r="K235" s="10" t="str">
        <f t="array" ref="K235">IF(OR($A235="",10&gt;Controls!$B$6),"",ROUND(MAX(0,Smooth!K235*Controls!K$17*INDEX(Controls!$B$21:$H$21,1,WEEKDAY($A235,2))*(1+Controls!$B$11)^233*(1+Controls!P$25*Smooth!$L235)*(1+Controls!P$26*Smooth!$M235)*(1+Controls!P$27*Smooth!$N235)*(1+Controls!P$28*Smooth!$O235)),2))</f>
        <v/>
      </c>
      <c r="L235" s="18" t="str">
        <f t="shared" si="1"/>
        <v/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21.0" customHeight="1">
      <c r="A236" s="7" t="str">
        <f>IF(235&lt;=Controls!$B$5,Controls!$B$4+234,"")</f>
        <v/>
      </c>
      <c r="B236" s="10" t="str">
        <f t="array" ref="B236">IF(OR($A236="",1&gt;Controls!$B$6),"",ROUND(MAX(0,Smooth!B236*Controls!B$17*INDEX(Controls!$B$21:$H$21,1,WEEKDAY($A236,2))*(1+Controls!$B$11)^234*(1+Controls!G$25*Smooth!$L236)*(1+Controls!G$26*Smooth!$M236)*(1+Controls!G$27*Smooth!$N236)*(1+Controls!G$28*Smooth!$O236)),2))</f>
        <v/>
      </c>
      <c r="C236" s="10" t="str">
        <f t="array" ref="C236">IF(OR($A236="",2&gt;Controls!$B$6),"",ROUND(MAX(0,Smooth!C236*Controls!C$17*INDEX(Controls!$B$21:$H$21,1,WEEKDAY($A236,2))*(1+Controls!$B$11)^234*(1+Controls!H$25*Smooth!$L236)*(1+Controls!H$26*Smooth!$M236)*(1+Controls!H$27*Smooth!$N236)*(1+Controls!H$28*Smooth!$O236)),2))</f>
        <v/>
      </c>
      <c r="D236" s="10" t="str">
        <f t="array" ref="D236">IF(OR($A236="",3&gt;Controls!$B$6),"",ROUND(MAX(0,Smooth!D236*Controls!D$17*INDEX(Controls!$B$21:$H$21,1,WEEKDAY($A236,2))*(1+Controls!$B$11)^234*(1+Controls!I$25*Smooth!$L236)*(1+Controls!I$26*Smooth!$M236)*(1+Controls!I$27*Smooth!$N236)*(1+Controls!I$28*Smooth!$O236)),2))</f>
        <v/>
      </c>
      <c r="E236" s="10" t="str">
        <f t="array" ref="E236">IF(OR($A236="",4&gt;Controls!$B$6),"",ROUND(MAX(0,Smooth!E236*Controls!E$17*INDEX(Controls!$B$21:$H$21,1,WEEKDAY($A236,2))*(1+Controls!$B$11)^234*(1+Controls!J$25*Smooth!$L236)*(1+Controls!J$26*Smooth!$M236)*(1+Controls!J$27*Smooth!$N236)*(1+Controls!J$28*Smooth!$O236)),2))</f>
        <v/>
      </c>
      <c r="F236" s="10" t="str">
        <f t="array" ref="F236">IF(OR($A236="",5&gt;Controls!$B$6),"",ROUND(MAX(0,Smooth!F236*Controls!F$17*INDEX(Controls!$B$21:$H$21,1,WEEKDAY($A236,2))*(1+Controls!$B$11)^234*(1+Controls!K$25*Smooth!$L236)*(1+Controls!K$26*Smooth!$M236)*(1+Controls!K$27*Smooth!$N236)*(1+Controls!K$28*Smooth!$O236)),2))</f>
        <v/>
      </c>
      <c r="G236" s="10" t="str">
        <f t="array" ref="G236">IF(OR($A236="",6&gt;Controls!$B$6),"",ROUND(MAX(0,Smooth!G236*Controls!G$17*INDEX(Controls!$B$21:$H$21,1,WEEKDAY($A236,2))*(1+Controls!$B$11)^234*(1+Controls!L$25*Smooth!$L236)*(1+Controls!L$26*Smooth!$M236)*(1+Controls!L$27*Smooth!$N236)*(1+Controls!L$28*Smooth!$O236)),2))</f>
        <v/>
      </c>
      <c r="H236" s="10" t="str">
        <f t="array" ref="H236">IF(OR($A236="",7&gt;Controls!$B$6),"",ROUND(MAX(0,Smooth!H236*Controls!H$17*INDEX(Controls!$B$21:$H$21,1,WEEKDAY($A236,2))*(1+Controls!$B$11)^234*(1+Controls!M$25*Smooth!$L236)*(1+Controls!M$26*Smooth!$M236)*(1+Controls!M$27*Smooth!$N236)*(1+Controls!M$28*Smooth!$O236)),2))</f>
        <v/>
      </c>
      <c r="I236" s="10" t="str">
        <f t="array" ref="I236">IF(OR($A236="",8&gt;Controls!$B$6),"",ROUND(MAX(0,Smooth!I236*Controls!I$17*INDEX(Controls!$B$21:$H$21,1,WEEKDAY($A236,2))*(1+Controls!$B$11)^234*(1+Controls!N$25*Smooth!$L236)*(1+Controls!N$26*Smooth!$M236)*(1+Controls!N$27*Smooth!$N236)*(1+Controls!N$28*Smooth!$O236)),2))</f>
        <v/>
      </c>
      <c r="J236" s="10" t="str">
        <f t="array" ref="J236">IF(OR($A236="",9&gt;Controls!$B$6),"",ROUND(MAX(0,Smooth!J236*Controls!J$17*INDEX(Controls!$B$21:$H$21,1,WEEKDAY($A236,2))*(1+Controls!$B$11)^234*(1+Controls!O$25*Smooth!$L236)*(1+Controls!O$26*Smooth!$M236)*(1+Controls!O$27*Smooth!$N236)*(1+Controls!O$28*Smooth!$O236)),2))</f>
        <v/>
      </c>
      <c r="K236" s="10" t="str">
        <f t="array" ref="K236">IF(OR($A236="",10&gt;Controls!$B$6),"",ROUND(MAX(0,Smooth!K236*Controls!K$17*INDEX(Controls!$B$21:$H$21,1,WEEKDAY($A236,2))*(1+Controls!$B$11)^234*(1+Controls!P$25*Smooth!$L236)*(1+Controls!P$26*Smooth!$M236)*(1+Controls!P$27*Smooth!$N236)*(1+Controls!P$28*Smooth!$O236)),2))</f>
        <v/>
      </c>
      <c r="L236" s="18" t="str">
        <f t="shared" si="1"/>
        <v/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21.0" customHeight="1">
      <c r="A237" s="7" t="str">
        <f>IF(236&lt;=Controls!$B$5,Controls!$B$4+235,"")</f>
        <v/>
      </c>
      <c r="B237" s="10" t="str">
        <f t="array" ref="B237">IF(OR($A237="",1&gt;Controls!$B$6),"",ROUND(MAX(0,Smooth!B237*Controls!B$17*INDEX(Controls!$B$21:$H$21,1,WEEKDAY($A237,2))*(1+Controls!$B$11)^235*(1+Controls!G$25*Smooth!$L237)*(1+Controls!G$26*Smooth!$M237)*(1+Controls!G$27*Smooth!$N237)*(1+Controls!G$28*Smooth!$O237)),2))</f>
        <v/>
      </c>
      <c r="C237" s="10" t="str">
        <f t="array" ref="C237">IF(OR($A237="",2&gt;Controls!$B$6),"",ROUND(MAX(0,Smooth!C237*Controls!C$17*INDEX(Controls!$B$21:$H$21,1,WEEKDAY($A237,2))*(1+Controls!$B$11)^235*(1+Controls!H$25*Smooth!$L237)*(1+Controls!H$26*Smooth!$M237)*(1+Controls!H$27*Smooth!$N237)*(1+Controls!H$28*Smooth!$O237)),2))</f>
        <v/>
      </c>
      <c r="D237" s="10" t="str">
        <f t="array" ref="D237">IF(OR($A237="",3&gt;Controls!$B$6),"",ROUND(MAX(0,Smooth!D237*Controls!D$17*INDEX(Controls!$B$21:$H$21,1,WEEKDAY($A237,2))*(1+Controls!$B$11)^235*(1+Controls!I$25*Smooth!$L237)*(1+Controls!I$26*Smooth!$M237)*(1+Controls!I$27*Smooth!$N237)*(1+Controls!I$28*Smooth!$O237)),2))</f>
        <v/>
      </c>
      <c r="E237" s="10" t="str">
        <f t="array" ref="E237">IF(OR($A237="",4&gt;Controls!$B$6),"",ROUND(MAX(0,Smooth!E237*Controls!E$17*INDEX(Controls!$B$21:$H$21,1,WEEKDAY($A237,2))*(1+Controls!$B$11)^235*(1+Controls!J$25*Smooth!$L237)*(1+Controls!J$26*Smooth!$M237)*(1+Controls!J$27*Smooth!$N237)*(1+Controls!J$28*Smooth!$O237)),2))</f>
        <v/>
      </c>
      <c r="F237" s="10" t="str">
        <f t="array" ref="F237">IF(OR($A237="",5&gt;Controls!$B$6),"",ROUND(MAX(0,Smooth!F237*Controls!F$17*INDEX(Controls!$B$21:$H$21,1,WEEKDAY($A237,2))*(1+Controls!$B$11)^235*(1+Controls!K$25*Smooth!$L237)*(1+Controls!K$26*Smooth!$M237)*(1+Controls!K$27*Smooth!$N237)*(1+Controls!K$28*Smooth!$O237)),2))</f>
        <v/>
      </c>
      <c r="G237" s="10" t="str">
        <f t="array" ref="G237">IF(OR($A237="",6&gt;Controls!$B$6),"",ROUND(MAX(0,Smooth!G237*Controls!G$17*INDEX(Controls!$B$21:$H$21,1,WEEKDAY($A237,2))*(1+Controls!$B$11)^235*(1+Controls!L$25*Smooth!$L237)*(1+Controls!L$26*Smooth!$M237)*(1+Controls!L$27*Smooth!$N237)*(1+Controls!L$28*Smooth!$O237)),2))</f>
        <v/>
      </c>
      <c r="H237" s="10" t="str">
        <f t="array" ref="H237">IF(OR($A237="",7&gt;Controls!$B$6),"",ROUND(MAX(0,Smooth!H237*Controls!H$17*INDEX(Controls!$B$21:$H$21,1,WEEKDAY($A237,2))*(1+Controls!$B$11)^235*(1+Controls!M$25*Smooth!$L237)*(1+Controls!M$26*Smooth!$M237)*(1+Controls!M$27*Smooth!$N237)*(1+Controls!M$28*Smooth!$O237)),2))</f>
        <v/>
      </c>
      <c r="I237" s="10" t="str">
        <f t="array" ref="I237">IF(OR($A237="",8&gt;Controls!$B$6),"",ROUND(MAX(0,Smooth!I237*Controls!I$17*INDEX(Controls!$B$21:$H$21,1,WEEKDAY($A237,2))*(1+Controls!$B$11)^235*(1+Controls!N$25*Smooth!$L237)*(1+Controls!N$26*Smooth!$M237)*(1+Controls!N$27*Smooth!$N237)*(1+Controls!N$28*Smooth!$O237)),2))</f>
        <v/>
      </c>
      <c r="J237" s="10" t="str">
        <f t="array" ref="J237">IF(OR($A237="",9&gt;Controls!$B$6),"",ROUND(MAX(0,Smooth!J237*Controls!J$17*INDEX(Controls!$B$21:$H$21,1,WEEKDAY($A237,2))*(1+Controls!$B$11)^235*(1+Controls!O$25*Smooth!$L237)*(1+Controls!O$26*Smooth!$M237)*(1+Controls!O$27*Smooth!$N237)*(1+Controls!O$28*Smooth!$O237)),2))</f>
        <v/>
      </c>
      <c r="K237" s="10" t="str">
        <f t="array" ref="K237">IF(OR($A237="",10&gt;Controls!$B$6),"",ROUND(MAX(0,Smooth!K237*Controls!K$17*INDEX(Controls!$B$21:$H$21,1,WEEKDAY($A237,2))*(1+Controls!$B$11)^235*(1+Controls!P$25*Smooth!$L237)*(1+Controls!P$26*Smooth!$M237)*(1+Controls!P$27*Smooth!$N237)*(1+Controls!P$28*Smooth!$O237)),2))</f>
        <v/>
      </c>
      <c r="L237" s="18" t="str">
        <f t="shared" si="1"/>
        <v/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21.0" customHeight="1">
      <c r="A238" s="7" t="str">
        <f>IF(237&lt;=Controls!$B$5,Controls!$B$4+236,"")</f>
        <v/>
      </c>
      <c r="B238" s="10" t="str">
        <f t="array" ref="B238">IF(OR($A238="",1&gt;Controls!$B$6),"",ROUND(MAX(0,Smooth!B238*Controls!B$17*INDEX(Controls!$B$21:$H$21,1,WEEKDAY($A238,2))*(1+Controls!$B$11)^236*(1+Controls!G$25*Smooth!$L238)*(1+Controls!G$26*Smooth!$M238)*(1+Controls!G$27*Smooth!$N238)*(1+Controls!G$28*Smooth!$O238)),2))</f>
        <v/>
      </c>
      <c r="C238" s="10" t="str">
        <f t="array" ref="C238">IF(OR($A238="",2&gt;Controls!$B$6),"",ROUND(MAX(0,Smooth!C238*Controls!C$17*INDEX(Controls!$B$21:$H$21,1,WEEKDAY($A238,2))*(1+Controls!$B$11)^236*(1+Controls!H$25*Smooth!$L238)*(1+Controls!H$26*Smooth!$M238)*(1+Controls!H$27*Smooth!$N238)*(1+Controls!H$28*Smooth!$O238)),2))</f>
        <v/>
      </c>
      <c r="D238" s="10" t="str">
        <f t="array" ref="D238">IF(OR($A238="",3&gt;Controls!$B$6),"",ROUND(MAX(0,Smooth!D238*Controls!D$17*INDEX(Controls!$B$21:$H$21,1,WEEKDAY($A238,2))*(1+Controls!$B$11)^236*(1+Controls!I$25*Smooth!$L238)*(1+Controls!I$26*Smooth!$M238)*(1+Controls!I$27*Smooth!$N238)*(1+Controls!I$28*Smooth!$O238)),2))</f>
        <v/>
      </c>
      <c r="E238" s="10" t="str">
        <f t="array" ref="E238">IF(OR($A238="",4&gt;Controls!$B$6),"",ROUND(MAX(0,Smooth!E238*Controls!E$17*INDEX(Controls!$B$21:$H$21,1,WEEKDAY($A238,2))*(1+Controls!$B$11)^236*(1+Controls!J$25*Smooth!$L238)*(1+Controls!J$26*Smooth!$M238)*(1+Controls!J$27*Smooth!$N238)*(1+Controls!J$28*Smooth!$O238)),2))</f>
        <v/>
      </c>
      <c r="F238" s="10" t="str">
        <f t="array" ref="F238">IF(OR($A238="",5&gt;Controls!$B$6),"",ROUND(MAX(0,Smooth!F238*Controls!F$17*INDEX(Controls!$B$21:$H$21,1,WEEKDAY($A238,2))*(1+Controls!$B$11)^236*(1+Controls!K$25*Smooth!$L238)*(1+Controls!K$26*Smooth!$M238)*(1+Controls!K$27*Smooth!$N238)*(1+Controls!K$28*Smooth!$O238)),2))</f>
        <v/>
      </c>
      <c r="G238" s="10" t="str">
        <f t="array" ref="G238">IF(OR($A238="",6&gt;Controls!$B$6),"",ROUND(MAX(0,Smooth!G238*Controls!G$17*INDEX(Controls!$B$21:$H$21,1,WEEKDAY($A238,2))*(1+Controls!$B$11)^236*(1+Controls!L$25*Smooth!$L238)*(1+Controls!L$26*Smooth!$M238)*(1+Controls!L$27*Smooth!$N238)*(1+Controls!L$28*Smooth!$O238)),2))</f>
        <v/>
      </c>
      <c r="H238" s="10" t="str">
        <f t="array" ref="H238">IF(OR($A238="",7&gt;Controls!$B$6),"",ROUND(MAX(0,Smooth!H238*Controls!H$17*INDEX(Controls!$B$21:$H$21,1,WEEKDAY($A238,2))*(1+Controls!$B$11)^236*(1+Controls!M$25*Smooth!$L238)*(1+Controls!M$26*Smooth!$M238)*(1+Controls!M$27*Smooth!$N238)*(1+Controls!M$28*Smooth!$O238)),2))</f>
        <v/>
      </c>
      <c r="I238" s="10" t="str">
        <f t="array" ref="I238">IF(OR($A238="",8&gt;Controls!$B$6),"",ROUND(MAX(0,Smooth!I238*Controls!I$17*INDEX(Controls!$B$21:$H$21,1,WEEKDAY($A238,2))*(1+Controls!$B$11)^236*(1+Controls!N$25*Smooth!$L238)*(1+Controls!N$26*Smooth!$M238)*(1+Controls!N$27*Smooth!$N238)*(1+Controls!N$28*Smooth!$O238)),2))</f>
        <v/>
      </c>
      <c r="J238" s="10" t="str">
        <f t="array" ref="J238">IF(OR($A238="",9&gt;Controls!$B$6),"",ROUND(MAX(0,Smooth!J238*Controls!J$17*INDEX(Controls!$B$21:$H$21,1,WEEKDAY($A238,2))*(1+Controls!$B$11)^236*(1+Controls!O$25*Smooth!$L238)*(1+Controls!O$26*Smooth!$M238)*(1+Controls!O$27*Smooth!$N238)*(1+Controls!O$28*Smooth!$O238)),2))</f>
        <v/>
      </c>
      <c r="K238" s="10" t="str">
        <f t="array" ref="K238">IF(OR($A238="",10&gt;Controls!$B$6),"",ROUND(MAX(0,Smooth!K238*Controls!K$17*INDEX(Controls!$B$21:$H$21,1,WEEKDAY($A238,2))*(1+Controls!$B$11)^236*(1+Controls!P$25*Smooth!$L238)*(1+Controls!P$26*Smooth!$M238)*(1+Controls!P$27*Smooth!$N238)*(1+Controls!P$28*Smooth!$O238)),2))</f>
        <v/>
      </c>
      <c r="L238" s="18" t="str">
        <f t="shared" si="1"/>
        <v/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21.0" customHeight="1">
      <c r="A239" s="7" t="str">
        <f>IF(238&lt;=Controls!$B$5,Controls!$B$4+237,"")</f>
        <v/>
      </c>
      <c r="B239" s="10" t="str">
        <f t="array" ref="B239">IF(OR($A239="",1&gt;Controls!$B$6),"",ROUND(MAX(0,Smooth!B239*Controls!B$17*INDEX(Controls!$B$21:$H$21,1,WEEKDAY($A239,2))*(1+Controls!$B$11)^237*(1+Controls!G$25*Smooth!$L239)*(1+Controls!G$26*Smooth!$M239)*(1+Controls!G$27*Smooth!$N239)*(1+Controls!G$28*Smooth!$O239)),2))</f>
        <v/>
      </c>
      <c r="C239" s="10" t="str">
        <f t="array" ref="C239">IF(OR($A239="",2&gt;Controls!$B$6),"",ROUND(MAX(0,Smooth!C239*Controls!C$17*INDEX(Controls!$B$21:$H$21,1,WEEKDAY($A239,2))*(1+Controls!$B$11)^237*(1+Controls!H$25*Smooth!$L239)*(1+Controls!H$26*Smooth!$M239)*(1+Controls!H$27*Smooth!$N239)*(1+Controls!H$28*Smooth!$O239)),2))</f>
        <v/>
      </c>
      <c r="D239" s="10" t="str">
        <f t="array" ref="D239">IF(OR($A239="",3&gt;Controls!$B$6),"",ROUND(MAX(0,Smooth!D239*Controls!D$17*INDEX(Controls!$B$21:$H$21,1,WEEKDAY($A239,2))*(1+Controls!$B$11)^237*(1+Controls!I$25*Smooth!$L239)*(1+Controls!I$26*Smooth!$M239)*(1+Controls!I$27*Smooth!$N239)*(1+Controls!I$28*Smooth!$O239)),2))</f>
        <v/>
      </c>
      <c r="E239" s="10" t="str">
        <f t="array" ref="E239">IF(OR($A239="",4&gt;Controls!$B$6),"",ROUND(MAX(0,Smooth!E239*Controls!E$17*INDEX(Controls!$B$21:$H$21,1,WEEKDAY($A239,2))*(1+Controls!$B$11)^237*(1+Controls!J$25*Smooth!$L239)*(1+Controls!J$26*Smooth!$M239)*(1+Controls!J$27*Smooth!$N239)*(1+Controls!J$28*Smooth!$O239)),2))</f>
        <v/>
      </c>
      <c r="F239" s="10" t="str">
        <f t="array" ref="F239">IF(OR($A239="",5&gt;Controls!$B$6),"",ROUND(MAX(0,Smooth!F239*Controls!F$17*INDEX(Controls!$B$21:$H$21,1,WEEKDAY($A239,2))*(1+Controls!$B$11)^237*(1+Controls!K$25*Smooth!$L239)*(1+Controls!K$26*Smooth!$M239)*(1+Controls!K$27*Smooth!$N239)*(1+Controls!K$28*Smooth!$O239)),2))</f>
        <v/>
      </c>
      <c r="G239" s="10" t="str">
        <f t="array" ref="G239">IF(OR($A239="",6&gt;Controls!$B$6),"",ROUND(MAX(0,Smooth!G239*Controls!G$17*INDEX(Controls!$B$21:$H$21,1,WEEKDAY($A239,2))*(1+Controls!$B$11)^237*(1+Controls!L$25*Smooth!$L239)*(1+Controls!L$26*Smooth!$M239)*(1+Controls!L$27*Smooth!$N239)*(1+Controls!L$28*Smooth!$O239)),2))</f>
        <v/>
      </c>
      <c r="H239" s="10" t="str">
        <f t="array" ref="H239">IF(OR($A239="",7&gt;Controls!$B$6),"",ROUND(MAX(0,Smooth!H239*Controls!H$17*INDEX(Controls!$B$21:$H$21,1,WEEKDAY($A239,2))*(1+Controls!$B$11)^237*(1+Controls!M$25*Smooth!$L239)*(1+Controls!M$26*Smooth!$M239)*(1+Controls!M$27*Smooth!$N239)*(1+Controls!M$28*Smooth!$O239)),2))</f>
        <v/>
      </c>
      <c r="I239" s="10" t="str">
        <f t="array" ref="I239">IF(OR($A239="",8&gt;Controls!$B$6),"",ROUND(MAX(0,Smooth!I239*Controls!I$17*INDEX(Controls!$B$21:$H$21,1,WEEKDAY($A239,2))*(1+Controls!$B$11)^237*(1+Controls!N$25*Smooth!$L239)*(1+Controls!N$26*Smooth!$M239)*(1+Controls!N$27*Smooth!$N239)*(1+Controls!N$28*Smooth!$O239)),2))</f>
        <v/>
      </c>
      <c r="J239" s="10" t="str">
        <f t="array" ref="J239">IF(OR($A239="",9&gt;Controls!$B$6),"",ROUND(MAX(0,Smooth!J239*Controls!J$17*INDEX(Controls!$B$21:$H$21,1,WEEKDAY($A239,2))*(1+Controls!$B$11)^237*(1+Controls!O$25*Smooth!$L239)*(1+Controls!O$26*Smooth!$M239)*(1+Controls!O$27*Smooth!$N239)*(1+Controls!O$28*Smooth!$O239)),2))</f>
        <v/>
      </c>
      <c r="K239" s="10" t="str">
        <f t="array" ref="K239">IF(OR($A239="",10&gt;Controls!$B$6),"",ROUND(MAX(0,Smooth!K239*Controls!K$17*INDEX(Controls!$B$21:$H$21,1,WEEKDAY($A239,2))*(1+Controls!$B$11)^237*(1+Controls!P$25*Smooth!$L239)*(1+Controls!P$26*Smooth!$M239)*(1+Controls!P$27*Smooth!$N239)*(1+Controls!P$28*Smooth!$O239)),2))</f>
        <v/>
      </c>
      <c r="L239" s="18" t="str">
        <f t="shared" si="1"/>
        <v/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21.0" customHeight="1">
      <c r="A240" s="7" t="str">
        <f>IF(239&lt;=Controls!$B$5,Controls!$B$4+238,"")</f>
        <v/>
      </c>
      <c r="B240" s="10" t="str">
        <f t="array" ref="B240">IF(OR($A240="",1&gt;Controls!$B$6),"",ROUND(MAX(0,Smooth!B240*Controls!B$17*INDEX(Controls!$B$21:$H$21,1,WEEKDAY($A240,2))*(1+Controls!$B$11)^238*(1+Controls!G$25*Smooth!$L240)*(1+Controls!G$26*Smooth!$M240)*(1+Controls!G$27*Smooth!$N240)*(1+Controls!G$28*Smooth!$O240)),2))</f>
        <v/>
      </c>
      <c r="C240" s="10" t="str">
        <f t="array" ref="C240">IF(OR($A240="",2&gt;Controls!$B$6),"",ROUND(MAX(0,Smooth!C240*Controls!C$17*INDEX(Controls!$B$21:$H$21,1,WEEKDAY($A240,2))*(1+Controls!$B$11)^238*(1+Controls!H$25*Smooth!$L240)*(1+Controls!H$26*Smooth!$M240)*(1+Controls!H$27*Smooth!$N240)*(1+Controls!H$28*Smooth!$O240)),2))</f>
        <v/>
      </c>
      <c r="D240" s="10" t="str">
        <f t="array" ref="D240">IF(OR($A240="",3&gt;Controls!$B$6),"",ROUND(MAX(0,Smooth!D240*Controls!D$17*INDEX(Controls!$B$21:$H$21,1,WEEKDAY($A240,2))*(1+Controls!$B$11)^238*(1+Controls!I$25*Smooth!$L240)*(1+Controls!I$26*Smooth!$M240)*(1+Controls!I$27*Smooth!$N240)*(1+Controls!I$28*Smooth!$O240)),2))</f>
        <v/>
      </c>
      <c r="E240" s="10" t="str">
        <f t="array" ref="E240">IF(OR($A240="",4&gt;Controls!$B$6),"",ROUND(MAX(0,Smooth!E240*Controls!E$17*INDEX(Controls!$B$21:$H$21,1,WEEKDAY($A240,2))*(1+Controls!$B$11)^238*(1+Controls!J$25*Smooth!$L240)*(1+Controls!J$26*Smooth!$M240)*(1+Controls!J$27*Smooth!$N240)*(1+Controls!J$28*Smooth!$O240)),2))</f>
        <v/>
      </c>
      <c r="F240" s="10" t="str">
        <f t="array" ref="F240">IF(OR($A240="",5&gt;Controls!$B$6),"",ROUND(MAX(0,Smooth!F240*Controls!F$17*INDEX(Controls!$B$21:$H$21,1,WEEKDAY($A240,2))*(1+Controls!$B$11)^238*(1+Controls!K$25*Smooth!$L240)*(1+Controls!K$26*Smooth!$M240)*(1+Controls!K$27*Smooth!$N240)*(1+Controls!K$28*Smooth!$O240)),2))</f>
        <v/>
      </c>
      <c r="G240" s="10" t="str">
        <f t="array" ref="G240">IF(OR($A240="",6&gt;Controls!$B$6),"",ROUND(MAX(0,Smooth!G240*Controls!G$17*INDEX(Controls!$B$21:$H$21,1,WEEKDAY($A240,2))*(1+Controls!$B$11)^238*(1+Controls!L$25*Smooth!$L240)*(1+Controls!L$26*Smooth!$M240)*(1+Controls!L$27*Smooth!$N240)*(1+Controls!L$28*Smooth!$O240)),2))</f>
        <v/>
      </c>
      <c r="H240" s="10" t="str">
        <f t="array" ref="H240">IF(OR($A240="",7&gt;Controls!$B$6),"",ROUND(MAX(0,Smooth!H240*Controls!H$17*INDEX(Controls!$B$21:$H$21,1,WEEKDAY($A240,2))*(1+Controls!$B$11)^238*(1+Controls!M$25*Smooth!$L240)*(1+Controls!M$26*Smooth!$M240)*(1+Controls!M$27*Smooth!$N240)*(1+Controls!M$28*Smooth!$O240)),2))</f>
        <v/>
      </c>
      <c r="I240" s="10" t="str">
        <f t="array" ref="I240">IF(OR($A240="",8&gt;Controls!$B$6),"",ROUND(MAX(0,Smooth!I240*Controls!I$17*INDEX(Controls!$B$21:$H$21,1,WEEKDAY($A240,2))*(1+Controls!$B$11)^238*(1+Controls!N$25*Smooth!$L240)*(1+Controls!N$26*Smooth!$M240)*(1+Controls!N$27*Smooth!$N240)*(1+Controls!N$28*Smooth!$O240)),2))</f>
        <v/>
      </c>
      <c r="J240" s="10" t="str">
        <f t="array" ref="J240">IF(OR($A240="",9&gt;Controls!$B$6),"",ROUND(MAX(0,Smooth!J240*Controls!J$17*INDEX(Controls!$B$21:$H$21,1,WEEKDAY($A240,2))*(1+Controls!$B$11)^238*(1+Controls!O$25*Smooth!$L240)*(1+Controls!O$26*Smooth!$M240)*(1+Controls!O$27*Smooth!$N240)*(1+Controls!O$28*Smooth!$O240)),2))</f>
        <v/>
      </c>
      <c r="K240" s="10" t="str">
        <f t="array" ref="K240">IF(OR($A240="",10&gt;Controls!$B$6),"",ROUND(MAX(0,Smooth!K240*Controls!K$17*INDEX(Controls!$B$21:$H$21,1,WEEKDAY($A240,2))*(1+Controls!$B$11)^238*(1+Controls!P$25*Smooth!$L240)*(1+Controls!P$26*Smooth!$M240)*(1+Controls!P$27*Smooth!$N240)*(1+Controls!P$28*Smooth!$O240)),2))</f>
        <v/>
      </c>
      <c r="L240" s="18" t="str">
        <f t="shared" si="1"/>
        <v/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21.0" customHeight="1">
      <c r="A241" s="7" t="str">
        <f>IF(240&lt;=Controls!$B$5,Controls!$B$4+239,"")</f>
        <v/>
      </c>
      <c r="B241" s="10" t="str">
        <f t="array" ref="B241">IF(OR($A241="",1&gt;Controls!$B$6),"",ROUND(MAX(0,Smooth!B241*Controls!B$17*INDEX(Controls!$B$21:$H$21,1,WEEKDAY($A241,2))*(1+Controls!$B$11)^239*(1+Controls!G$25*Smooth!$L241)*(1+Controls!G$26*Smooth!$M241)*(1+Controls!G$27*Smooth!$N241)*(1+Controls!G$28*Smooth!$O241)),2))</f>
        <v/>
      </c>
      <c r="C241" s="10" t="str">
        <f t="array" ref="C241">IF(OR($A241="",2&gt;Controls!$B$6),"",ROUND(MAX(0,Smooth!C241*Controls!C$17*INDEX(Controls!$B$21:$H$21,1,WEEKDAY($A241,2))*(1+Controls!$B$11)^239*(1+Controls!H$25*Smooth!$L241)*(1+Controls!H$26*Smooth!$M241)*(1+Controls!H$27*Smooth!$N241)*(1+Controls!H$28*Smooth!$O241)),2))</f>
        <v/>
      </c>
      <c r="D241" s="10" t="str">
        <f t="array" ref="D241">IF(OR($A241="",3&gt;Controls!$B$6),"",ROUND(MAX(0,Smooth!D241*Controls!D$17*INDEX(Controls!$B$21:$H$21,1,WEEKDAY($A241,2))*(1+Controls!$B$11)^239*(1+Controls!I$25*Smooth!$L241)*(1+Controls!I$26*Smooth!$M241)*(1+Controls!I$27*Smooth!$N241)*(1+Controls!I$28*Smooth!$O241)),2))</f>
        <v/>
      </c>
      <c r="E241" s="10" t="str">
        <f t="array" ref="E241">IF(OR($A241="",4&gt;Controls!$B$6),"",ROUND(MAX(0,Smooth!E241*Controls!E$17*INDEX(Controls!$B$21:$H$21,1,WEEKDAY($A241,2))*(1+Controls!$B$11)^239*(1+Controls!J$25*Smooth!$L241)*(1+Controls!J$26*Smooth!$M241)*(1+Controls!J$27*Smooth!$N241)*(1+Controls!J$28*Smooth!$O241)),2))</f>
        <v/>
      </c>
      <c r="F241" s="10" t="str">
        <f t="array" ref="F241">IF(OR($A241="",5&gt;Controls!$B$6),"",ROUND(MAX(0,Smooth!F241*Controls!F$17*INDEX(Controls!$B$21:$H$21,1,WEEKDAY($A241,2))*(1+Controls!$B$11)^239*(1+Controls!K$25*Smooth!$L241)*(1+Controls!K$26*Smooth!$M241)*(1+Controls!K$27*Smooth!$N241)*(1+Controls!K$28*Smooth!$O241)),2))</f>
        <v/>
      </c>
      <c r="G241" s="10" t="str">
        <f t="array" ref="G241">IF(OR($A241="",6&gt;Controls!$B$6),"",ROUND(MAX(0,Smooth!G241*Controls!G$17*INDEX(Controls!$B$21:$H$21,1,WEEKDAY($A241,2))*(1+Controls!$B$11)^239*(1+Controls!L$25*Smooth!$L241)*(1+Controls!L$26*Smooth!$M241)*(1+Controls!L$27*Smooth!$N241)*(1+Controls!L$28*Smooth!$O241)),2))</f>
        <v/>
      </c>
      <c r="H241" s="10" t="str">
        <f t="array" ref="H241">IF(OR($A241="",7&gt;Controls!$B$6),"",ROUND(MAX(0,Smooth!H241*Controls!H$17*INDEX(Controls!$B$21:$H$21,1,WEEKDAY($A241,2))*(1+Controls!$B$11)^239*(1+Controls!M$25*Smooth!$L241)*(1+Controls!M$26*Smooth!$M241)*(1+Controls!M$27*Smooth!$N241)*(1+Controls!M$28*Smooth!$O241)),2))</f>
        <v/>
      </c>
      <c r="I241" s="10" t="str">
        <f t="array" ref="I241">IF(OR($A241="",8&gt;Controls!$B$6),"",ROUND(MAX(0,Smooth!I241*Controls!I$17*INDEX(Controls!$B$21:$H$21,1,WEEKDAY($A241,2))*(1+Controls!$B$11)^239*(1+Controls!N$25*Smooth!$L241)*(1+Controls!N$26*Smooth!$M241)*(1+Controls!N$27*Smooth!$N241)*(1+Controls!N$28*Smooth!$O241)),2))</f>
        <v/>
      </c>
      <c r="J241" s="10" t="str">
        <f t="array" ref="J241">IF(OR($A241="",9&gt;Controls!$B$6),"",ROUND(MAX(0,Smooth!J241*Controls!J$17*INDEX(Controls!$B$21:$H$21,1,WEEKDAY($A241,2))*(1+Controls!$B$11)^239*(1+Controls!O$25*Smooth!$L241)*(1+Controls!O$26*Smooth!$M241)*(1+Controls!O$27*Smooth!$N241)*(1+Controls!O$28*Smooth!$O241)),2))</f>
        <v/>
      </c>
      <c r="K241" s="10" t="str">
        <f t="array" ref="K241">IF(OR($A241="",10&gt;Controls!$B$6),"",ROUND(MAX(0,Smooth!K241*Controls!K$17*INDEX(Controls!$B$21:$H$21,1,WEEKDAY($A241,2))*(1+Controls!$B$11)^239*(1+Controls!P$25*Smooth!$L241)*(1+Controls!P$26*Smooth!$M241)*(1+Controls!P$27*Smooth!$N241)*(1+Controls!P$28*Smooth!$O241)),2))</f>
        <v/>
      </c>
      <c r="L241" s="18" t="str">
        <f t="shared" si="1"/>
        <v/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21.0" customHeight="1">
      <c r="A242" s="7" t="str">
        <f>IF(241&lt;=Controls!$B$5,Controls!$B$4+240,"")</f>
        <v/>
      </c>
      <c r="B242" s="10" t="str">
        <f t="array" ref="B242">IF(OR($A242="",1&gt;Controls!$B$6),"",ROUND(MAX(0,Smooth!B242*Controls!B$17*INDEX(Controls!$B$21:$H$21,1,WEEKDAY($A242,2))*(1+Controls!$B$11)^240*(1+Controls!G$25*Smooth!$L242)*(1+Controls!G$26*Smooth!$M242)*(1+Controls!G$27*Smooth!$N242)*(1+Controls!G$28*Smooth!$O242)),2))</f>
        <v/>
      </c>
      <c r="C242" s="10" t="str">
        <f t="array" ref="C242">IF(OR($A242="",2&gt;Controls!$B$6),"",ROUND(MAX(0,Smooth!C242*Controls!C$17*INDEX(Controls!$B$21:$H$21,1,WEEKDAY($A242,2))*(1+Controls!$B$11)^240*(1+Controls!H$25*Smooth!$L242)*(1+Controls!H$26*Smooth!$M242)*(1+Controls!H$27*Smooth!$N242)*(1+Controls!H$28*Smooth!$O242)),2))</f>
        <v/>
      </c>
      <c r="D242" s="10" t="str">
        <f t="array" ref="D242">IF(OR($A242="",3&gt;Controls!$B$6),"",ROUND(MAX(0,Smooth!D242*Controls!D$17*INDEX(Controls!$B$21:$H$21,1,WEEKDAY($A242,2))*(1+Controls!$B$11)^240*(1+Controls!I$25*Smooth!$L242)*(1+Controls!I$26*Smooth!$M242)*(1+Controls!I$27*Smooth!$N242)*(1+Controls!I$28*Smooth!$O242)),2))</f>
        <v/>
      </c>
      <c r="E242" s="10" t="str">
        <f t="array" ref="E242">IF(OR($A242="",4&gt;Controls!$B$6),"",ROUND(MAX(0,Smooth!E242*Controls!E$17*INDEX(Controls!$B$21:$H$21,1,WEEKDAY($A242,2))*(1+Controls!$B$11)^240*(1+Controls!J$25*Smooth!$L242)*(1+Controls!J$26*Smooth!$M242)*(1+Controls!J$27*Smooth!$N242)*(1+Controls!J$28*Smooth!$O242)),2))</f>
        <v/>
      </c>
      <c r="F242" s="10" t="str">
        <f t="array" ref="F242">IF(OR($A242="",5&gt;Controls!$B$6),"",ROUND(MAX(0,Smooth!F242*Controls!F$17*INDEX(Controls!$B$21:$H$21,1,WEEKDAY($A242,2))*(1+Controls!$B$11)^240*(1+Controls!K$25*Smooth!$L242)*(1+Controls!K$26*Smooth!$M242)*(1+Controls!K$27*Smooth!$N242)*(1+Controls!K$28*Smooth!$O242)),2))</f>
        <v/>
      </c>
      <c r="G242" s="10" t="str">
        <f t="array" ref="G242">IF(OR($A242="",6&gt;Controls!$B$6),"",ROUND(MAX(0,Smooth!G242*Controls!G$17*INDEX(Controls!$B$21:$H$21,1,WEEKDAY($A242,2))*(1+Controls!$B$11)^240*(1+Controls!L$25*Smooth!$L242)*(1+Controls!L$26*Smooth!$M242)*(1+Controls!L$27*Smooth!$N242)*(1+Controls!L$28*Smooth!$O242)),2))</f>
        <v/>
      </c>
      <c r="H242" s="10" t="str">
        <f t="array" ref="H242">IF(OR($A242="",7&gt;Controls!$B$6),"",ROUND(MAX(0,Smooth!H242*Controls!H$17*INDEX(Controls!$B$21:$H$21,1,WEEKDAY($A242,2))*(1+Controls!$B$11)^240*(1+Controls!M$25*Smooth!$L242)*(1+Controls!M$26*Smooth!$M242)*(1+Controls!M$27*Smooth!$N242)*(1+Controls!M$28*Smooth!$O242)),2))</f>
        <v/>
      </c>
      <c r="I242" s="10" t="str">
        <f t="array" ref="I242">IF(OR($A242="",8&gt;Controls!$B$6),"",ROUND(MAX(0,Smooth!I242*Controls!I$17*INDEX(Controls!$B$21:$H$21,1,WEEKDAY($A242,2))*(1+Controls!$B$11)^240*(1+Controls!N$25*Smooth!$L242)*(1+Controls!N$26*Smooth!$M242)*(1+Controls!N$27*Smooth!$N242)*(1+Controls!N$28*Smooth!$O242)),2))</f>
        <v/>
      </c>
      <c r="J242" s="10" t="str">
        <f t="array" ref="J242">IF(OR($A242="",9&gt;Controls!$B$6),"",ROUND(MAX(0,Smooth!J242*Controls!J$17*INDEX(Controls!$B$21:$H$21,1,WEEKDAY($A242,2))*(1+Controls!$B$11)^240*(1+Controls!O$25*Smooth!$L242)*(1+Controls!O$26*Smooth!$M242)*(1+Controls!O$27*Smooth!$N242)*(1+Controls!O$28*Smooth!$O242)),2))</f>
        <v/>
      </c>
      <c r="K242" s="10" t="str">
        <f t="array" ref="K242">IF(OR($A242="",10&gt;Controls!$B$6),"",ROUND(MAX(0,Smooth!K242*Controls!K$17*INDEX(Controls!$B$21:$H$21,1,WEEKDAY($A242,2))*(1+Controls!$B$11)^240*(1+Controls!P$25*Smooth!$L242)*(1+Controls!P$26*Smooth!$M242)*(1+Controls!P$27*Smooth!$N242)*(1+Controls!P$28*Smooth!$O242)),2))</f>
        <v/>
      </c>
      <c r="L242" s="18" t="str">
        <f t="shared" si="1"/>
        <v/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21.0" customHeight="1">
      <c r="A243" s="7" t="str">
        <f>IF(242&lt;=Controls!$B$5,Controls!$B$4+241,"")</f>
        <v/>
      </c>
      <c r="B243" s="10" t="str">
        <f t="array" ref="B243">IF(OR($A243="",1&gt;Controls!$B$6),"",ROUND(MAX(0,Smooth!B243*Controls!B$17*INDEX(Controls!$B$21:$H$21,1,WEEKDAY($A243,2))*(1+Controls!$B$11)^241*(1+Controls!G$25*Smooth!$L243)*(1+Controls!G$26*Smooth!$M243)*(1+Controls!G$27*Smooth!$N243)*(1+Controls!G$28*Smooth!$O243)),2))</f>
        <v/>
      </c>
      <c r="C243" s="10" t="str">
        <f t="array" ref="C243">IF(OR($A243="",2&gt;Controls!$B$6),"",ROUND(MAX(0,Smooth!C243*Controls!C$17*INDEX(Controls!$B$21:$H$21,1,WEEKDAY($A243,2))*(1+Controls!$B$11)^241*(1+Controls!H$25*Smooth!$L243)*(1+Controls!H$26*Smooth!$M243)*(1+Controls!H$27*Smooth!$N243)*(1+Controls!H$28*Smooth!$O243)),2))</f>
        <v/>
      </c>
      <c r="D243" s="10" t="str">
        <f t="array" ref="D243">IF(OR($A243="",3&gt;Controls!$B$6),"",ROUND(MAX(0,Smooth!D243*Controls!D$17*INDEX(Controls!$B$21:$H$21,1,WEEKDAY($A243,2))*(1+Controls!$B$11)^241*(1+Controls!I$25*Smooth!$L243)*(1+Controls!I$26*Smooth!$M243)*(1+Controls!I$27*Smooth!$N243)*(1+Controls!I$28*Smooth!$O243)),2))</f>
        <v/>
      </c>
      <c r="E243" s="10" t="str">
        <f t="array" ref="E243">IF(OR($A243="",4&gt;Controls!$B$6),"",ROUND(MAX(0,Smooth!E243*Controls!E$17*INDEX(Controls!$B$21:$H$21,1,WEEKDAY($A243,2))*(1+Controls!$B$11)^241*(1+Controls!J$25*Smooth!$L243)*(1+Controls!J$26*Smooth!$M243)*(1+Controls!J$27*Smooth!$N243)*(1+Controls!J$28*Smooth!$O243)),2))</f>
        <v/>
      </c>
      <c r="F243" s="10" t="str">
        <f t="array" ref="F243">IF(OR($A243="",5&gt;Controls!$B$6),"",ROUND(MAX(0,Smooth!F243*Controls!F$17*INDEX(Controls!$B$21:$H$21,1,WEEKDAY($A243,2))*(1+Controls!$B$11)^241*(1+Controls!K$25*Smooth!$L243)*(1+Controls!K$26*Smooth!$M243)*(1+Controls!K$27*Smooth!$N243)*(1+Controls!K$28*Smooth!$O243)),2))</f>
        <v/>
      </c>
      <c r="G243" s="10" t="str">
        <f t="array" ref="G243">IF(OR($A243="",6&gt;Controls!$B$6),"",ROUND(MAX(0,Smooth!G243*Controls!G$17*INDEX(Controls!$B$21:$H$21,1,WEEKDAY($A243,2))*(1+Controls!$B$11)^241*(1+Controls!L$25*Smooth!$L243)*(1+Controls!L$26*Smooth!$M243)*(1+Controls!L$27*Smooth!$N243)*(1+Controls!L$28*Smooth!$O243)),2))</f>
        <v/>
      </c>
      <c r="H243" s="10" t="str">
        <f t="array" ref="H243">IF(OR($A243="",7&gt;Controls!$B$6),"",ROUND(MAX(0,Smooth!H243*Controls!H$17*INDEX(Controls!$B$21:$H$21,1,WEEKDAY($A243,2))*(1+Controls!$B$11)^241*(1+Controls!M$25*Smooth!$L243)*(1+Controls!M$26*Smooth!$M243)*(1+Controls!M$27*Smooth!$N243)*(1+Controls!M$28*Smooth!$O243)),2))</f>
        <v/>
      </c>
      <c r="I243" s="10" t="str">
        <f t="array" ref="I243">IF(OR($A243="",8&gt;Controls!$B$6),"",ROUND(MAX(0,Smooth!I243*Controls!I$17*INDEX(Controls!$B$21:$H$21,1,WEEKDAY($A243,2))*(1+Controls!$B$11)^241*(1+Controls!N$25*Smooth!$L243)*(1+Controls!N$26*Smooth!$M243)*(1+Controls!N$27*Smooth!$N243)*(1+Controls!N$28*Smooth!$O243)),2))</f>
        <v/>
      </c>
      <c r="J243" s="10" t="str">
        <f t="array" ref="J243">IF(OR($A243="",9&gt;Controls!$B$6),"",ROUND(MAX(0,Smooth!J243*Controls!J$17*INDEX(Controls!$B$21:$H$21,1,WEEKDAY($A243,2))*(1+Controls!$B$11)^241*(1+Controls!O$25*Smooth!$L243)*(1+Controls!O$26*Smooth!$M243)*(1+Controls!O$27*Smooth!$N243)*(1+Controls!O$28*Smooth!$O243)),2))</f>
        <v/>
      </c>
      <c r="K243" s="10" t="str">
        <f t="array" ref="K243">IF(OR($A243="",10&gt;Controls!$B$6),"",ROUND(MAX(0,Smooth!K243*Controls!K$17*INDEX(Controls!$B$21:$H$21,1,WEEKDAY($A243,2))*(1+Controls!$B$11)^241*(1+Controls!P$25*Smooth!$L243)*(1+Controls!P$26*Smooth!$M243)*(1+Controls!P$27*Smooth!$N243)*(1+Controls!P$28*Smooth!$O243)),2))</f>
        <v/>
      </c>
      <c r="L243" s="18" t="str">
        <f t="shared" si="1"/>
        <v/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21.0" customHeight="1">
      <c r="A244" s="7" t="str">
        <f>IF(243&lt;=Controls!$B$5,Controls!$B$4+242,"")</f>
        <v/>
      </c>
      <c r="B244" s="10" t="str">
        <f t="array" ref="B244">IF(OR($A244="",1&gt;Controls!$B$6),"",ROUND(MAX(0,Smooth!B244*Controls!B$17*INDEX(Controls!$B$21:$H$21,1,WEEKDAY($A244,2))*(1+Controls!$B$11)^242*(1+Controls!G$25*Smooth!$L244)*(1+Controls!G$26*Smooth!$M244)*(1+Controls!G$27*Smooth!$N244)*(1+Controls!G$28*Smooth!$O244)),2))</f>
        <v/>
      </c>
      <c r="C244" s="10" t="str">
        <f t="array" ref="C244">IF(OR($A244="",2&gt;Controls!$B$6),"",ROUND(MAX(0,Smooth!C244*Controls!C$17*INDEX(Controls!$B$21:$H$21,1,WEEKDAY($A244,2))*(1+Controls!$B$11)^242*(1+Controls!H$25*Smooth!$L244)*(1+Controls!H$26*Smooth!$M244)*(1+Controls!H$27*Smooth!$N244)*(1+Controls!H$28*Smooth!$O244)),2))</f>
        <v/>
      </c>
      <c r="D244" s="10" t="str">
        <f t="array" ref="D244">IF(OR($A244="",3&gt;Controls!$B$6),"",ROUND(MAX(0,Smooth!D244*Controls!D$17*INDEX(Controls!$B$21:$H$21,1,WEEKDAY($A244,2))*(1+Controls!$B$11)^242*(1+Controls!I$25*Smooth!$L244)*(1+Controls!I$26*Smooth!$M244)*(1+Controls!I$27*Smooth!$N244)*(1+Controls!I$28*Smooth!$O244)),2))</f>
        <v/>
      </c>
      <c r="E244" s="10" t="str">
        <f t="array" ref="E244">IF(OR($A244="",4&gt;Controls!$B$6),"",ROUND(MAX(0,Smooth!E244*Controls!E$17*INDEX(Controls!$B$21:$H$21,1,WEEKDAY($A244,2))*(1+Controls!$B$11)^242*(1+Controls!J$25*Smooth!$L244)*(1+Controls!J$26*Smooth!$M244)*(1+Controls!J$27*Smooth!$N244)*(1+Controls!J$28*Smooth!$O244)),2))</f>
        <v/>
      </c>
      <c r="F244" s="10" t="str">
        <f t="array" ref="F244">IF(OR($A244="",5&gt;Controls!$B$6),"",ROUND(MAX(0,Smooth!F244*Controls!F$17*INDEX(Controls!$B$21:$H$21,1,WEEKDAY($A244,2))*(1+Controls!$B$11)^242*(1+Controls!K$25*Smooth!$L244)*(1+Controls!K$26*Smooth!$M244)*(1+Controls!K$27*Smooth!$N244)*(1+Controls!K$28*Smooth!$O244)),2))</f>
        <v/>
      </c>
      <c r="G244" s="10" t="str">
        <f t="array" ref="G244">IF(OR($A244="",6&gt;Controls!$B$6),"",ROUND(MAX(0,Smooth!G244*Controls!G$17*INDEX(Controls!$B$21:$H$21,1,WEEKDAY($A244,2))*(1+Controls!$B$11)^242*(1+Controls!L$25*Smooth!$L244)*(1+Controls!L$26*Smooth!$M244)*(1+Controls!L$27*Smooth!$N244)*(1+Controls!L$28*Smooth!$O244)),2))</f>
        <v/>
      </c>
      <c r="H244" s="10" t="str">
        <f t="array" ref="H244">IF(OR($A244="",7&gt;Controls!$B$6),"",ROUND(MAX(0,Smooth!H244*Controls!H$17*INDEX(Controls!$B$21:$H$21,1,WEEKDAY($A244,2))*(1+Controls!$B$11)^242*(1+Controls!M$25*Smooth!$L244)*(1+Controls!M$26*Smooth!$M244)*(1+Controls!M$27*Smooth!$N244)*(1+Controls!M$28*Smooth!$O244)),2))</f>
        <v/>
      </c>
      <c r="I244" s="10" t="str">
        <f t="array" ref="I244">IF(OR($A244="",8&gt;Controls!$B$6),"",ROUND(MAX(0,Smooth!I244*Controls!I$17*INDEX(Controls!$B$21:$H$21,1,WEEKDAY($A244,2))*(1+Controls!$B$11)^242*(1+Controls!N$25*Smooth!$L244)*(1+Controls!N$26*Smooth!$M244)*(1+Controls!N$27*Smooth!$N244)*(1+Controls!N$28*Smooth!$O244)),2))</f>
        <v/>
      </c>
      <c r="J244" s="10" t="str">
        <f t="array" ref="J244">IF(OR($A244="",9&gt;Controls!$B$6),"",ROUND(MAX(0,Smooth!J244*Controls!J$17*INDEX(Controls!$B$21:$H$21,1,WEEKDAY($A244,2))*(1+Controls!$B$11)^242*(1+Controls!O$25*Smooth!$L244)*(1+Controls!O$26*Smooth!$M244)*(1+Controls!O$27*Smooth!$N244)*(1+Controls!O$28*Smooth!$O244)),2))</f>
        <v/>
      </c>
      <c r="K244" s="10" t="str">
        <f t="array" ref="K244">IF(OR($A244="",10&gt;Controls!$B$6),"",ROUND(MAX(0,Smooth!K244*Controls!K$17*INDEX(Controls!$B$21:$H$21,1,WEEKDAY($A244,2))*(1+Controls!$B$11)^242*(1+Controls!P$25*Smooth!$L244)*(1+Controls!P$26*Smooth!$M244)*(1+Controls!P$27*Smooth!$N244)*(1+Controls!P$28*Smooth!$O244)),2))</f>
        <v/>
      </c>
      <c r="L244" s="18" t="str">
        <f t="shared" si="1"/>
        <v/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21.0" customHeight="1">
      <c r="A245" s="7" t="str">
        <f>IF(244&lt;=Controls!$B$5,Controls!$B$4+243,"")</f>
        <v/>
      </c>
      <c r="B245" s="10" t="str">
        <f t="array" ref="B245">IF(OR($A245="",1&gt;Controls!$B$6),"",ROUND(MAX(0,Smooth!B245*Controls!B$17*INDEX(Controls!$B$21:$H$21,1,WEEKDAY($A245,2))*(1+Controls!$B$11)^243*(1+Controls!G$25*Smooth!$L245)*(1+Controls!G$26*Smooth!$M245)*(1+Controls!G$27*Smooth!$N245)*(1+Controls!G$28*Smooth!$O245)),2))</f>
        <v/>
      </c>
      <c r="C245" s="10" t="str">
        <f t="array" ref="C245">IF(OR($A245="",2&gt;Controls!$B$6),"",ROUND(MAX(0,Smooth!C245*Controls!C$17*INDEX(Controls!$B$21:$H$21,1,WEEKDAY($A245,2))*(1+Controls!$B$11)^243*(1+Controls!H$25*Smooth!$L245)*(1+Controls!H$26*Smooth!$M245)*(1+Controls!H$27*Smooth!$N245)*(1+Controls!H$28*Smooth!$O245)),2))</f>
        <v/>
      </c>
      <c r="D245" s="10" t="str">
        <f t="array" ref="D245">IF(OR($A245="",3&gt;Controls!$B$6),"",ROUND(MAX(0,Smooth!D245*Controls!D$17*INDEX(Controls!$B$21:$H$21,1,WEEKDAY($A245,2))*(1+Controls!$B$11)^243*(1+Controls!I$25*Smooth!$L245)*(1+Controls!I$26*Smooth!$M245)*(1+Controls!I$27*Smooth!$N245)*(1+Controls!I$28*Smooth!$O245)),2))</f>
        <v/>
      </c>
      <c r="E245" s="10" t="str">
        <f t="array" ref="E245">IF(OR($A245="",4&gt;Controls!$B$6),"",ROUND(MAX(0,Smooth!E245*Controls!E$17*INDEX(Controls!$B$21:$H$21,1,WEEKDAY($A245,2))*(1+Controls!$B$11)^243*(1+Controls!J$25*Smooth!$L245)*(1+Controls!J$26*Smooth!$M245)*(1+Controls!J$27*Smooth!$N245)*(1+Controls!J$28*Smooth!$O245)),2))</f>
        <v/>
      </c>
      <c r="F245" s="10" t="str">
        <f t="array" ref="F245">IF(OR($A245="",5&gt;Controls!$B$6),"",ROUND(MAX(0,Smooth!F245*Controls!F$17*INDEX(Controls!$B$21:$H$21,1,WEEKDAY($A245,2))*(1+Controls!$B$11)^243*(1+Controls!K$25*Smooth!$L245)*(1+Controls!K$26*Smooth!$M245)*(1+Controls!K$27*Smooth!$N245)*(1+Controls!K$28*Smooth!$O245)),2))</f>
        <v/>
      </c>
      <c r="G245" s="10" t="str">
        <f t="array" ref="G245">IF(OR($A245="",6&gt;Controls!$B$6),"",ROUND(MAX(0,Smooth!G245*Controls!G$17*INDEX(Controls!$B$21:$H$21,1,WEEKDAY($A245,2))*(1+Controls!$B$11)^243*(1+Controls!L$25*Smooth!$L245)*(1+Controls!L$26*Smooth!$M245)*(1+Controls!L$27*Smooth!$N245)*(1+Controls!L$28*Smooth!$O245)),2))</f>
        <v/>
      </c>
      <c r="H245" s="10" t="str">
        <f t="array" ref="H245">IF(OR($A245="",7&gt;Controls!$B$6),"",ROUND(MAX(0,Smooth!H245*Controls!H$17*INDEX(Controls!$B$21:$H$21,1,WEEKDAY($A245,2))*(1+Controls!$B$11)^243*(1+Controls!M$25*Smooth!$L245)*(1+Controls!M$26*Smooth!$M245)*(1+Controls!M$27*Smooth!$N245)*(1+Controls!M$28*Smooth!$O245)),2))</f>
        <v/>
      </c>
      <c r="I245" s="10" t="str">
        <f t="array" ref="I245">IF(OR($A245="",8&gt;Controls!$B$6),"",ROUND(MAX(0,Smooth!I245*Controls!I$17*INDEX(Controls!$B$21:$H$21,1,WEEKDAY($A245,2))*(1+Controls!$B$11)^243*(1+Controls!N$25*Smooth!$L245)*(1+Controls!N$26*Smooth!$M245)*(1+Controls!N$27*Smooth!$N245)*(1+Controls!N$28*Smooth!$O245)),2))</f>
        <v/>
      </c>
      <c r="J245" s="10" t="str">
        <f t="array" ref="J245">IF(OR($A245="",9&gt;Controls!$B$6),"",ROUND(MAX(0,Smooth!J245*Controls!J$17*INDEX(Controls!$B$21:$H$21,1,WEEKDAY($A245,2))*(1+Controls!$B$11)^243*(1+Controls!O$25*Smooth!$L245)*(1+Controls!O$26*Smooth!$M245)*(1+Controls!O$27*Smooth!$N245)*(1+Controls!O$28*Smooth!$O245)),2))</f>
        <v/>
      </c>
      <c r="K245" s="10" t="str">
        <f t="array" ref="K245">IF(OR($A245="",10&gt;Controls!$B$6),"",ROUND(MAX(0,Smooth!K245*Controls!K$17*INDEX(Controls!$B$21:$H$21,1,WEEKDAY($A245,2))*(1+Controls!$B$11)^243*(1+Controls!P$25*Smooth!$L245)*(1+Controls!P$26*Smooth!$M245)*(1+Controls!P$27*Smooth!$N245)*(1+Controls!P$28*Smooth!$O245)),2))</f>
        <v/>
      </c>
      <c r="L245" s="18" t="str">
        <f t="shared" si="1"/>
        <v/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21.0" customHeight="1">
      <c r="A246" s="7" t="str">
        <f>IF(245&lt;=Controls!$B$5,Controls!$B$4+244,"")</f>
        <v/>
      </c>
      <c r="B246" s="10" t="str">
        <f t="array" ref="B246">IF(OR($A246="",1&gt;Controls!$B$6),"",ROUND(MAX(0,Smooth!B246*Controls!B$17*INDEX(Controls!$B$21:$H$21,1,WEEKDAY($A246,2))*(1+Controls!$B$11)^244*(1+Controls!G$25*Smooth!$L246)*(1+Controls!G$26*Smooth!$M246)*(1+Controls!G$27*Smooth!$N246)*(1+Controls!G$28*Smooth!$O246)),2))</f>
        <v/>
      </c>
      <c r="C246" s="10" t="str">
        <f t="array" ref="C246">IF(OR($A246="",2&gt;Controls!$B$6),"",ROUND(MAX(0,Smooth!C246*Controls!C$17*INDEX(Controls!$B$21:$H$21,1,WEEKDAY($A246,2))*(1+Controls!$B$11)^244*(1+Controls!H$25*Smooth!$L246)*(1+Controls!H$26*Smooth!$M246)*(1+Controls!H$27*Smooth!$N246)*(1+Controls!H$28*Smooth!$O246)),2))</f>
        <v/>
      </c>
      <c r="D246" s="10" t="str">
        <f t="array" ref="D246">IF(OR($A246="",3&gt;Controls!$B$6),"",ROUND(MAX(0,Smooth!D246*Controls!D$17*INDEX(Controls!$B$21:$H$21,1,WEEKDAY($A246,2))*(1+Controls!$B$11)^244*(1+Controls!I$25*Smooth!$L246)*(1+Controls!I$26*Smooth!$M246)*(1+Controls!I$27*Smooth!$N246)*(1+Controls!I$28*Smooth!$O246)),2))</f>
        <v/>
      </c>
      <c r="E246" s="10" t="str">
        <f t="array" ref="E246">IF(OR($A246="",4&gt;Controls!$B$6),"",ROUND(MAX(0,Smooth!E246*Controls!E$17*INDEX(Controls!$B$21:$H$21,1,WEEKDAY($A246,2))*(1+Controls!$B$11)^244*(1+Controls!J$25*Smooth!$L246)*(1+Controls!J$26*Smooth!$M246)*(1+Controls!J$27*Smooth!$N246)*(1+Controls!J$28*Smooth!$O246)),2))</f>
        <v/>
      </c>
      <c r="F246" s="10" t="str">
        <f t="array" ref="F246">IF(OR($A246="",5&gt;Controls!$B$6),"",ROUND(MAX(0,Smooth!F246*Controls!F$17*INDEX(Controls!$B$21:$H$21,1,WEEKDAY($A246,2))*(1+Controls!$B$11)^244*(1+Controls!K$25*Smooth!$L246)*(1+Controls!K$26*Smooth!$M246)*(1+Controls!K$27*Smooth!$N246)*(1+Controls!K$28*Smooth!$O246)),2))</f>
        <v/>
      </c>
      <c r="G246" s="10" t="str">
        <f t="array" ref="G246">IF(OR($A246="",6&gt;Controls!$B$6),"",ROUND(MAX(0,Smooth!G246*Controls!G$17*INDEX(Controls!$B$21:$H$21,1,WEEKDAY($A246,2))*(1+Controls!$B$11)^244*(1+Controls!L$25*Smooth!$L246)*(1+Controls!L$26*Smooth!$M246)*(1+Controls!L$27*Smooth!$N246)*(1+Controls!L$28*Smooth!$O246)),2))</f>
        <v/>
      </c>
      <c r="H246" s="10" t="str">
        <f t="array" ref="H246">IF(OR($A246="",7&gt;Controls!$B$6),"",ROUND(MAX(0,Smooth!H246*Controls!H$17*INDEX(Controls!$B$21:$H$21,1,WEEKDAY($A246,2))*(1+Controls!$B$11)^244*(1+Controls!M$25*Smooth!$L246)*(1+Controls!M$26*Smooth!$M246)*(1+Controls!M$27*Smooth!$N246)*(1+Controls!M$28*Smooth!$O246)),2))</f>
        <v/>
      </c>
      <c r="I246" s="10" t="str">
        <f t="array" ref="I246">IF(OR($A246="",8&gt;Controls!$B$6),"",ROUND(MAX(0,Smooth!I246*Controls!I$17*INDEX(Controls!$B$21:$H$21,1,WEEKDAY($A246,2))*(1+Controls!$B$11)^244*(1+Controls!N$25*Smooth!$L246)*(1+Controls!N$26*Smooth!$M246)*(1+Controls!N$27*Smooth!$N246)*(1+Controls!N$28*Smooth!$O246)),2))</f>
        <v/>
      </c>
      <c r="J246" s="10" t="str">
        <f t="array" ref="J246">IF(OR($A246="",9&gt;Controls!$B$6),"",ROUND(MAX(0,Smooth!J246*Controls!J$17*INDEX(Controls!$B$21:$H$21,1,WEEKDAY($A246,2))*(1+Controls!$B$11)^244*(1+Controls!O$25*Smooth!$L246)*(1+Controls!O$26*Smooth!$M246)*(1+Controls!O$27*Smooth!$N246)*(1+Controls!O$28*Smooth!$O246)),2))</f>
        <v/>
      </c>
      <c r="K246" s="10" t="str">
        <f t="array" ref="K246">IF(OR($A246="",10&gt;Controls!$B$6),"",ROUND(MAX(0,Smooth!K246*Controls!K$17*INDEX(Controls!$B$21:$H$21,1,WEEKDAY($A246,2))*(1+Controls!$B$11)^244*(1+Controls!P$25*Smooth!$L246)*(1+Controls!P$26*Smooth!$M246)*(1+Controls!P$27*Smooth!$N246)*(1+Controls!P$28*Smooth!$O246)),2))</f>
        <v/>
      </c>
      <c r="L246" s="18" t="str">
        <f t="shared" si="1"/>
        <v/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21.0" customHeight="1">
      <c r="A247" s="7" t="str">
        <f>IF(246&lt;=Controls!$B$5,Controls!$B$4+245,"")</f>
        <v/>
      </c>
      <c r="B247" s="10" t="str">
        <f t="array" ref="B247">IF(OR($A247="",1&gt;Controls!$B$6),"",ROUND(MAX(0,Smooth!B247*Controls!B$17*INDEX(Controls!$B$21:$H$21,1,WEEKDAY($A247,2))*(1+Controls!$B$11)^245*(1+Controls!G$25*Smooth!$L247)*(1+Controls!G$26*Smooth!$M247)*(1+Controls!G$27*Smooth!$N247)*(1+Controls!G$28*Smooth!$O247)),2))</f>
        <v/>
      </c>
      <c r="C247" s="10" t="str">
        <f t="array" ref="C247">IF(OR($A247="",2&gt;Controls!$B$6),"",ROUND(MAX(0,Smooth!C247*Controls!C$17*INDEX(Controls!$B$21:$H$21,1,WEEKDAY($A247,2))*(1+Controls!$B$11)^245*(1+Controls!H$25*Smooth!$L247)*(1+Controls!H$26*Smooth!$M247)*(1+Controls!H$27*Smooth!$N247)*(1+Controls!H$28*Smooth!$O247)),2))</f>
        <v/>
      </c>
      <c r="D247" s="10" t="str">
        <f t="array" ref="D247">IF(OR($A247="",3&gt;Controls!$B$6),"",ROUND(MAX(0,Smooth!D247*Controls!D$17*INDEX(Controls!$B$21:$H$21,1,WEEKDAY($A247,2))*(1+Controls!$B$11)^245*(1+Controls!I$25*Smooth!$L247)*(1+Controls!I$26*Smooth!$M247)*(1+Controls!I$27*Smooth!$N247)*(1+Controls!I$28*Smooth!$O247)),2))</f>
        <v/>
      </c>
      <c r="E247" s="10" t="str">
        <f t="array" ref="E247">IF(OR($A247="",4&gt;Controls!$B$6),"",ROUND(MAX(0,Smooth!E247*Controls!E$17*INDEX(Controls!$B$21:$H$21,1,WEEKDAY($A247,2))*(1+Controls!$B$11)^245*(1+Controls!J$25*Smooth!$L247)*(1+Controls!J$26*Smooth!$M247)*(1+Controls!J$27*Smooth!$N247)*(1+Controls!J$28*Smooth!$O247)),2))</f>
        <v/>
      </c>
      <c r="F247" s="10" t="str">
        <f t="array" ref="F247">IF(OR($A247="",5&gt;Controls!$B$6),"",ROUND(MAX(0,Smooth!F247*Controls!F$17*INDEX(Controls!$B$21:$H$21,1,WEEKDAY($A247,2))*(1+Controls!$B$11)^245*(1+Controls!K$25*Smooth!$L247)*(1+Controls!K$26*Smooth!$M247)*(1+Controls!K$27*Smooth!$N247)*(1+Controls!K$28*Smooth!$O247)),2))</f>
        <v/>
      </c>
      <c r="G247" s="10" t="str">
        <f t="array" ref="G247">IF(OR($A247="",6&gt;Controls!$B$6),"",ROUND(MAX(0,Smooth!G247*Controls!G$17*INDEX(Controls!$B$21:$H$21,1,WEEKDAY($A247,2))*(1+Controls!$B$11)^245*(1+Controls!L$25*Smooth!$L247)*(1+Controls!L$26*Smooth!$M247)*(1+Controls!L$27*Smooth!$N247)*(1+Controls!L$28*Smooth!$O247)),2))</f>
        <v/>
      </c>
      <c r="H247" s="10" t="str">
        <f t="array" ref="H247">IF(OR($A247="",7&gt;Controls!$B$6),"",ROUND(MAX(0,Smooth!H247*Controls!H$17*INDEX(Controls!$B$21:$H$21,1,WEEKDAY($A247,2))*(1+Controls!$B$11)^245*(1+Controls!M$25*Smooth!$L247)*(1+Controls!M$26*Smooth!$M247)*(1+Controls!M$27*Smooth!$N247)*(1+Controls!M$28*Smooth!$O247)),2))</f>
        <v/>
      </c>
      <c r="I247" s="10" t="str">
        <f t="array" ref="I247">IF(OR($A247="",8&gt;Controls!$B$6),"",ROUND(MAX(0,Smooth!I247*Controls!I$17*INDEX(Controls!$B$21:$H$21,1,WEEKDAY($A247,2))*(1+Controls!$B$11)^245*(1+Controls!N$25*Smooth!$L247)*(1+Controls!N$26*Smooth!$M247)*(1+Controls!N$27*Smooth!$N247)*(1+Controls!N$28*Smooth!$O247)),2))</f>
        <v/>
      </c>
      <c r="J247" s="10" t="str">
        <f t="array" ref="J247">IF(OR($A247="",9&gt;Controls!$B$6),"",ROUND(MAX(0,Smooth!J247*Controls!J$17*INDEX(Controls!$B$21:$H$21,1,WEEKDAY($A247,2))*(1+Controls!$B$11)^245*(1+Controls!O$25*Smooth!$L247)*(1+Controls!O$26*Smooth!$M247)*(1+Controls!O$27*Smooth!$N247)*(1+Controls!O$28*Smooth!$O247)),2))</f>
        <v/>
      </c>
      <c r="K247" s="10" t="str">
        <f t="array" ref="K247">IF(OR($A247="",10&gt;Controls!$B$6),"",ROUND(MAX(0,Smooth!K247*Controls!K$17*INDEX(Controls!$B$21:$H$21,1,WEEKDAY($A247,2))*(1+Controls!$B$11)^245*(1+Controls!P$25*Smooth!$L247)*(1+Controls!P$26*Smooth!$M247)*(1+Controls!P$27*Smooth!$N247)*(1+Controls!P$28*Smooth!$O247)),2))</f>
        <v/>
      </c>
      <c r="L247" s="18" t="str">
        <f t="shared" si="1"/>
        <v/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21.0" customHeight="1">
      <c r="A248" s="7" t="str">
        <f>IF(247&lt;=Controls!$B$5,Controls!$B$4+246,"")</f>
        <v/>
      </c>
      <c r="B248" s="10" t="str">
        <f t="array" ref="B248">IF(OR($A248="",1&gt;Controls!$B$6),"",ROUND(MAX(0,Smooth!B248*Controls!B$17*INDEX(Controls!$B$21:$H$21,1,WEEKDAY($A248,2))*(1+Controls!$B$11)^246*(1+Controls!G$25*Smooth!$L248)*(1+Controls!G$26*Smooth!$M248)*(1+Controls!G$27*Smooth!$N248)*(1+Controls!G$28*Smooth!$O248)),2))</f>
        <v/>
      </c>
      <c r="C248" s="10" t="str">
        <f t="array" ref="C248">IF(OR($A248="",2&gt;Controls!$B$6),"",ROUND(MAX(0,Smooth!C248*Controls!C$17*INDEX(Controls!$B$21:$H$21,1,WEEKDAY($A248,2))*(1+Controls!$B$11)^246*(1+Controls!H$25*Smooth!$L248)*(1+Controls!H$26*Smooth!$M248)*(1+Controls!H$27*Smooth!$N248)*(1+Controls!H$28*Smooth!$O248)),2))</f>
        <v/>
      </c>
      <c r="D248" s="10" t="str">
        <f t="array" ref="D248">IF(OR($A248="",3&gt;Controls!$B$6),"",ROUND(MAX(0,Smooth!D248*Controls!D$17*INDEX(Controls!$B$21:$H$21,1,WEEKDAY($A248,2))*(1+Controls!$B$11)^246*(1+Controls!I$25*Smooth!$L248)*(1+Controls!I$26*Smooth!$M248)*(1+Controls!I$27*Smooth!$N248)*(1+Controls!I$28*Smooth!$O248)),2))</f>
        <v/>
      </c>
      <c r="E248" s="10" t="str">
        <f t="array" ref="E248">IF(OR($A248="",4&gt;Controls!$B$6),"",ROUND(MAX(0,Smooth!E248*Controls!E$17*INDEX(Controls!$B$21:$H$21,1,WEEKDAY($A248,2))*(1+Controls!$B$11)^246*(1+Controls!J$25*Smooth!$L248)*(1+Controls!J$26*Smooth!$M248)*(1+Controls!J$27*Smooth!$N248)*(1+Controls!J$28*Smooth!$O248)),2))</f>
        <v/>
      </c>
      <c r="F248" s="10" t="str">
        <f t="array" ref="F248">IF(OR($A248="",5&gt;Controls!$B$6),"",ROUND(MAX(0,Smooth!F248*Controls!F$17*INDEX(Controls!$B$21:$H$21,1,WEEKDAY($A248,2))*(1+Controls!$B$11)^246*(1+Controls!K$25*Smooth!$L248)*(1+Controls!K$26*Smooth!$M248)*(1+Controls!K$27*Smooth!$N248)*(1+Controls!K$28*Smooth!$O248)),2))</f>
        <v/>
      </c>
      <c r="G248" s="10" t="str">
        <f t="array" ref="G248">IF(OR($A248="",6&gt;Controls!$B$6),"",ROUND(MAX(0,Smooth!G248*Controls!G$17*INDEX(Controls!$B$21:$H$21,1,WEEKDAY($A248,2))*(1+Controls!$B$11)^246*(1+Controls!L$25*Smooth!$L248)*(1+Controls!L$26*Smooth!$M248)*(1+Controls!L$27*Smooth!$N248)*(1+Controls!L$28*Smooth!$O248)),2))</f>
        <v/>
      </c>
      <c r="H248" s="10" t="str">
        <f t="array" ref="H248">IF(OR($A248="",7&gt;Controls!$B$6),"",ROUND(MAX(0,Smooth!H248*Controls!H$17*INDEX(Controls!$B$21:$H$21,1,WEEKDAY($A248,2))*(1+Controls!$B$11)^246*(1+Controls!M$25*Smooth!$L248)*(1+Controls!M$26*Smooth!$M248)*(1+Controls!M$27*Smooth!$N248)*(1+Controls!M$28*Smooth!$O248)),2))</f>
        <v/>
      </c>
      <c r="I248" s="10" t="str">
        <f t="array" ref="I248">IF(OR($A248="",8&gt;Controls!$B$6),"",ROUND(MAX(0,Smooth!I248*Controls!I$17*INDEX(Controls!$B$21:$H$21,1,WEEKDAY($A248,2))*(1+Controls!$B$11)^246*(1+Controls!N$25*Smooth!$L248)*(1+Controls!N$26*Smooth!$M248)*(1+Controls!N$27*Smooth!$N248)*(1+Controls!N$28*Smooth!$O248)),2))</f>
        <v/>
      </c>
      <c r="J248" s="10" t="str">
        <f t="array" ref="J248">IF(OR($A248="",9&gt;Controls!$B$6),"",ROUND(MAX(0,Smooth!J248*Controls!J$17*INDEX(Controls!$B$21:$H$21,1,WEEKDAY($A248,2))*(1+Controls!$B$11)^246*(1+Controls!O$25*Smooth!$L248)*(1+Controls!O$26*Smooth!$M248)*(1+Controls!O$27*Smooth!$N248)*(1+Controls!O$28*Smooth!$O248)),2))</f>
        <v/>
      </c>
      <c r="K248" s="10" t="str">
        <f t="array" ref="K248">IF(OR($A248="",10&gt;Controls!$B$6),"",ROUND(MAX(0,Smooth!K248*Controls!K$17*INDEX(Controls!$B$21:$H$21,1,WEEKDAY($A248,2))*(1+Controls!$B$11)^246*(1+Controls!P$25*Smooth!$L248)*(1+Controls!P$26*Smooth!$M248)*(1+Controls!P$27*Smooth!$N248)*(1+Controls!P$28*Smooth!$O248)),2))</f>
        <v/>
      </c>
      <c r="L248" s="18" t="str">
        <f t="shared" si="1"/>
        <v/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21.0" customHeight="1">
      <c r="A249" s="7" t="str">
        <f>IF(248&lt;=Controls!$B$5,Controls!$B$4+247,"")</f>
        <v/>
      </c>
      <c r="B249" s="10" t="str">
        <f t="array" ref="B249">IF(OR($A249="",1&gt;Controls!$B$6),"",ROUND(MAX(0,Smooth!B249*Controls!B$17*INDEX(Controls!$B$21:$H$21,1,WEEKDAY($A249,2))*(1+Controls!$B$11)^247*(1+Controls!G$25*Smooth!$L249)*(1+Controls!G$26*Smooth!$M249)*(1+Controls!G$27*Smooth!$N249)*(1+Controls!G$28*Smooth!$O249)),2))</f>
        <v/>
      </c>
      <c r="C249" s="10" t="str">
        <f t="array" ref="C249">IF(OR($A249="",2&gt;Controls!$B$6),"",ROUND(MAX(0,Smooth!C249*Controls!C$17*INDEX(Controls!$B$21:$H$21,1,WEEKDAY($A249,2))*(1+Controls!$B$11)^247*(1+Controls!H$25*Smooth!$L249)*(1+Controls!H$26*Smooth!$M249)*(1+Controls!H$27*Smooth!$N249)*(1+Controls!H$28*Smooth!$O249)),2))</f>
        <v/>
      </c>
      <c r="D249" s="10" t="str">
        <f t="array" ref="D249">IF(OR($A249="",3&gt;Controls!$B$6),"",ROUND(MAX(0,Smooth!D249*Controls!D$17*INDEX(Controls!$B$21:$H$21,1,WEEKDAY($A249,2))*(1+Controls!$B$11)^247*(1+Controls!I$25*Smooth!$L249)*(1+Controls!I$26*Smooth!$M249)*(1+Controls!I$27*Smooth!$N249)*(1+Controls!I$28*Smooth!$O249)),2))</f>
        <v/>
      </c>
      <c r="E249" s="10" t="str">
        <f t="array" ref="E249">IF(OR($A249="",4&gt;Controls!$B$6),"",ROUND(MAX(0,Smooth!E249*Controls!E$17*INDEX(Controls!$B$21:$H$21,1,WEEKDAY($A249,2))*(1+Controls!$B$11)^247*(1+Controls!J$25*Smooth!$L249)*(1+Controls!J$26*Smooth!$M249)*(1+Controls!J$27*Smooth!$N249)*(1+Controls!J$28*Smooth!$O249)),2))</f>
        <v/>
      </c>
      <c r="F249" s="10" t="str">
        <f t="array" ref="F249">IF(OR($A249="",5&gt;Controls!$B$6),"",ROUND(MAX(0,Smooth!F249*Controls!F$17*INDEX(Controls!$B$21:$H$21,1,WEEKDAY($A249,2))*(1+Controls!$B$11)^247*(1+Controls!K$25*Smooth!$L249)*(1+Controls!K$26*Smooth!$M249)*(1+Controls!K$27*Smooth!$N249)*(1+Controls!K$28*Smooth!$O249)),2))</f>
        <v/>
      </c>
      <c r="G249" s="10" t="str">
        <f t="array" ref="G249">IF(OR($A249="",6&gt;Controls!$B$6),"",ROUND(MAX(0,Smooth!G249*Controls!G$17*INDEX(Controls!$B$21:$H$21,1,WEEKDAY($A249,2))*(1+Controls!$B$11)^247*(1+Controls!L$25*Smooth!$L249)*(1+Controls!L$26*Smooth!$M249)*(1+Controls!L$27*Smooth!$N249)*(1+Controls!L$28*Smooth!$O249)),2))</f>
        <v/>
      </c>
      <c r="H249" s="10" t="str">
        <f t="array" ref="H249">IF(OR($A249="",7&gt;Controls!$B$6),"",ROUND(MAX(0,Smooth!H249*Controls!H$17*INDEX(Controls!$B$21:$H$21,1,WEEKDAY($A249,2))*(1+Controls!$B$11)^247*(1+Controls!M$25*Smooth!$L249)*(1+Controls!M$26*Smooth!$M249)*(1+Controls!M$27*Smooth!$N249)*(1+Controls!M$28*Smooth!$O249)),2))</f>
        <v/>
      </c>
      <c r="I249" s="10" t="str">
        <f t="array" ref="I249">IF(OR($A249="",8&gt;Controls!$B$6),"",ROUND(MAX(0,Smooth!I249*Controls!I$17*INDEX(Controls!$B$21:$H$21,1,WEEKDAY($A249,2))*(1+Controls!$B$11)^247*(1+Controls!N$25*Smooth!$L249)*(1+Controls!N$26*Smooth!$M249)*(1+Controls!N$27*Smooth!$N249)*(1+Controls!N$28*Smooth!$O249)),2))</f>
        <v/>
      </c>
      <c r="J249" s="10" t="str">
        <f t="array" ref="J249">IF(OR($A249="",9&gt;Controls!$B$6),"",ROUND(MAX(0,Smooth!J249*Controls!J$17*INDEX(Controls!$B$21:$H$21,1,WEEKDAY($A249,2))*(1+Controls!$B$11)^247*(1+Controls!O$25*Smooth!$L249)*(1+Controls!O$26*Smooth!$M249)*(1+Controls!O$27*Smooth!$N249)*(1+Controls!O$28*Smooth!$O249)),2))</f>
        <v/>
      </c>
      <c r="K249" s="10" t="str">
        <f t="array" ref="K249">IF(OR($A249="",10&gt;Controls!$B$6),"",ROUND(MAX(0,Smooth!K249*Controls!K$17*INDEX(Controls!$B$21:$H$21,1,WEEKDAY($A249,2))*(1+Controls!$B$11)^247*(1+Controls!P$25*Smooth!$L249)*(1+Controls!P$26*Smooth!$M249)*(1+Controls!P$27*Smooth!$N249)*(1+Controls!P$28*Smooth!$O249)),2))</f>
        <v/>
      </c>
      <c r="L249" s="18" t="str">
        <f t="shared" si="1"/>
        <v/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21.0" customHeight="1">
      <c r="A250" s="7" t="str">
        <f>IF(249&lt;=Controls!$B$5,Controls!$B$4+248,"")</f>
        <v/>
      </c>
      <c r="B250" s="10" t="str">
        <f t="array" ref="B250">IF(OR($A250="",1&gt;Controls!$B$6),"",ROUND(MAX(0,Smooth!B250*Controls!B$17*INDEX(Controls!$B$21:$H$21,1,WEEKDAY($A250,2))*(1+Controls!$B$11)^248*(1+Controls!G$25*Smooth!$L250)*(1+Controls!G$26*Smooth!$M250)*(1+Controls!G$27*Smooth!$N250)*(1+Controls!G$28*Smooth!$O250)),2))</f>
        <v/>
      </c>
      <c r="C250" s="10" t="str">
        <f t="array" ref="C250">IF(OR($A250="",2&gt;Controls!$B$6),"",ROUND(MAX(0,Smooth!C250*Controls!C$17*INDEX(Controls!$B$21:$H$21,1,WEEKDAY($A250,2))*(1+Controls!$B$11)^248*(1+Controls!H$25*Smooth!$L250)*(1+Controls!H$26*Smooth!$M250)*(1+Controls!H$27*Smooth!$N250)*(1+Controls!H$28*Smooth!$O250)),2))</f>
        <v/>
      </c>
      <c r="D250" s="10" t="str">
        <f t="array" ref="D250">IF(OR($A250="",3&gt;Controls!$B$6),"",ROUND(MAX(0,Smooth!D250*Controls!D$17*INDEX(Controls!$B$21:$H$21,1,WEEKDAY($A250,2))*(1+Controls!$B$11)^248*(1+Controls!I$25*Smooth!$L250)*(1+Controls!I$26*Smooth!$M250)*(1+Controls!I$27*Smooth!$N250)*(1+Controls!I$28*Smooth!$O250)),2))</f>
        <v/>
      </c>
      <c r="E250" s="10" t="str">
        <f t="array" ref="E250">IF(OR($A250="",4&gt;Controls!$B$6),"",ROUND(MAX(0,Smooth!E250*Controls!E$17*INDEX(Controls!$B$21:$H$21,1,WEEKDAY($A250,2))*(1+Controls!$B$11)^248*(1+Controls!J$25*Smooth!$L250)*(1+Controls!J$26*Smooth!$M250)*(1+Controls!J$27*Smooth!$N250)*(1+Controls!J$28*Smooth!$O250)),2))</f>
        <v/>
      </c>
      <c r="F250" s="10" t="str">
        <f t="array" ref="F250">IF(OR($A250="",5&gt;Controls!$B$6),"",ROUND(MAX(0,Smooth!F250*Controls!F$17*INDEX(Controls!$B$21:$H$21,1,WEEKDAY($A250,2))*(1+Controls!$B$11)^248*(1+Controls!K$25*Smooth!$L250)*(1+Controls!K$26*Smooth!$M250)*(1+Controls!K$27*Smooth!$N250)*(1+Controls!K$28*Smooth!$O250)),2))</f>
        <v/>
      </c>
      <c r="G250" s="10" t="str">
        <f t="array" ref="G250">IF(OR($A250="",6&gt;Controls!$B$6),"",ROUND(MAX(0,Smooth!G250*Controls!G$17*INDEX(Controls!$B$21:$H$21,1,WEEKDAY($A250,2))*(1+Controls!$B$11)^248*(1+Controls!L$25*Smooth!$L250)*(1+Controls!L$26*Smooth!$M250)*(1+Controls!L$27*Smooth!$N250)*(1+Controls!L$28*Smooth!$O250)),2))</f>
        <v/>
      </c>
      <c r="H250" s="10" t="str">
        <f t="array" ref="H250">IF(OR($A250="",7&gt;Controls!$B$6),"",ROUND(MAX(0,Smooth!H250*Controls!H$17*INDEX(Controls!$B$21:$H$21,1,WEEKDAY($A250,2))*(1+Controls!$B$11)^248*(1+Controls!M$25*Smooth!$L250)*(1+Controls!M$26*Smooth!$M250)*(1+Controls!M$27*Smooth!$N250)*(1+Controls!M$28*Smooth!$O250)),2))</f>
        <v/>
      </c>
      <c r="I250" s="10" t="str">
        <f t="array" ref="I250">IF(OR($A250="",8&gt;Controls!$B$6),"",ROUND(MAX(0,Smooth!I250*Controls!I$17*INDEX(Controls!$B$21:$H$21,1,WEEKDAY($A250,2))*(1+Controls!$B$11)^248*(1+Controls!N$25*Smooth!$L250)*(1+Controls!N$26*Smooth!$M250)*(1+Controls!N$27*Smooth!$N250)*(1+Controls!N$28*Smooth!$O250)),2))</f>
        <v/>
      </c>
      <c r="J250" s="10" t="str">
        <f t="array" ref="J250">IF(OR($A250="",9&gt;Controls!$B$6),"",ROUND(MAX(0,Smooth!J250*Controls!J$17*INDEX(Controls!$B$21:$H$21,1,WEEKDAY($A250,2))*(1+Controls!$B$11)^248*(1+Controls!O$25*Smooth!$L250)*(1+Controls!O$26*Smooth!$M250)*(1+Controls!O$27*Smooth!$N250)*(1+Controls!O$28*Smooth!$O250)),2))</f>
        <v/>
      </c>
      <c r="K250" s="10" t="str">
        <f t="array" ref="K250">IF(OR($A250="",10&gt;Controls!$B$6),"",ROUND(MAX(0,Smooth!K250*Controls!K$17*INDEX(Controls!$B$21:$H$21,1,WEEKDAY($A250,2))*(1+Controls!$B$11)^248*(1+Controls!P$25*Smooth!$L250)*(1+Controls!P$26*Smooth!$M250)*(1+Controls!P$27*Smooth!$N250)*(1+Controls!P$28*Smooth!$O250)),2))</f>
        <v/>
      </c>
      <c r="L250" s="18" t="str">
        <f t="shared" si="1"/>
        <v/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21.0" customHeight="1">
      <c r="A251" s="7" t="str">
        <f>IF(250&lt;=Controls!$B$5,Controls!$B$4+249,"")</f>
        <v/>
      </c>
      <c r="B251" s="10" t="str">
        <f t="array" ref="B251">IF(OR($A251="",1&gt;Controls!$B$6),"",ROUND(MAX(0,Smooth!B251*Controls!B$17*INDEX(Controls!$B$21:$H$21,1,WEEKDAY($A251,2))*(1+Controls!$B$11)^249*(1+Controls!G$25*Smooth!$L251)*(1+Controls!G$26*Smooth!$M251)*(1+Controls!G$27*Smooth!$N251)*(1+Controls!G$28*Smooth!$O251)),2))</f>
        <v/>
      </c>
      <c r="C251" s="10" t="str">
        <f t="array" ref="C251">IF(OR($A251="",2&gt;Controls!$B$6),"",ROUND(MAX(0,Smooth!C251*Controls!C$17*INDEX(Controls!$B$21:$H$21,1,WEEKDAY($A251,2))*(1+Controls!$B$11)^249*(1+Controls!H$25*Smooth!$L251)*(1+Controls!H$26*Smooth!$M251)*(1+Controls!H$27*Smooth!$N251)*(1+Controls!H$28*Smooth!$O251)),2))</f>
        <v/>
      </c>
      <c r="D251" s="10" t="str">
        <f t="array" ref="D251">IF(OR($A251="",3&gt;Controls!$B$6),"",ROUND(MAX(0,Smooth!D251*Controls!D$17*INDEX(Controls!$B$21:$H$21,1,WEEKDAY($A251,2))*(1+Controls!$B$11)^249*(1+Controls!I$25*Smooth!$L251)*(1+Controls!I$26*Smooth!$M251)*(1+Controls!I$27*Smooth!$N251)*(1+Controls!I$28*Smooth!$O251)),2))</f>
        <v/>
      </c>
      <c r="E251" s="10" t="str">
        <f t="array" ref="E251">IF(OR($A251="",4&gt;Controls!$B$6),"",ROUND(MAX(0,Smooth!E251*Controls!E$17*INDEX(Controls!$B$21:$H$21,1,WEEKDAY($A251,2))*(1+Controls!$B$11)^249*(1+Controls!J$25*Smooth!$L251)*(1+Controls!J$26*Smooth!$M251)*(1+Controls!J$27*Smooth!$N251)*(1+Controls!J$28*Smooth!$O251)),2))</f>
        <v/>
      </c>
      <c r="F251" s="10" t="str">
        <f t="array" ref="F251">IF(OR($A251="",5&gt;Controls!$B$6),"",ROUND(MAX(0,Smooth!F251*Controls!F$17*INDEX(Controls!$B$21:$H$21,1,WEEKDAY($A251,2))*(1+Controls!$B$11)^249*(1+Controls!K$25*Smooth!$L251)*(1+Controls!K$26*Smooth!$M251)*(1+Controls!K$27*Smooth!$N251)*(1+Controls!K$28*Smooth!$O251)),2))</f>
        <v/>
      </c>
      <c r="G251" s="10" t="str">
        <f t="array" ref="G251">IF(OR($A251="",6&gt;Controls!$B$6),"",ROUND(MAX(0,Smooth!G251*Controls!G$17*INDEX(Controls!$B$21:$H$21,1,WEEKDAY($A251,2))*(1+Controls!$B$11)^249*(1+Controls!L$25*Smooth!$L251)*(1+Controls!L$26*Smooth!$M251)*(1+Controls!L$27*Smooth!$N251)*(1+Controls!L$28*Smooth!$O251)),2))</f>
        <v/>
      </c>
      <c r="H251" s="10" t="str">
        <f t="array" ref="H251">IF(OR($A251="",7&gt;Controls!$B$6),"",ROUND(MAX(0,Smooth!H251*Controls!H$17*INDEX(Controls!$B$21:$H$21,1,WEEKDAY($A251,2))*(1+Controls!$B$11)^249*(1+Controls!M$25*Smooth!$L251)*(1+Controls!M$26*Smooth!$M251)*(1+Controls!M$27*Smooth!$N251)*(1+Controls!M$28*Smooth!$O251)),2))</f>
        <v/>
      </c>
      <c r="I251" s="10" t="str">
        <f t="array" ref="I251">IF(OR($A251="",8&gt;Controls!$B$6),"",ROUND(MAX(0,Smooth!I251*Controls!I$17*INDEX(Controls!$B$21:$H$21,1,WEEKDAY($A251,2))*(1+Controls!$B$11)^249*(1+Controls!N$25*Smooth!$L251)*(1+Controls!N$26*Smooth!$M251)*(1+Controls!N$27*Smooth!$N251)*(1+Controls!N$28*Smooth!$O251)),2))</f>
        <v/>
      </c>
      <c r="J251" s="10" t="str">
        <f t="array" ref="J251">IF(OR($A251="",9&gt;Controls!$B$6),"",ROUND(MAX(0,Smooth!J251*Controls!J$17*INDEX(Controls!$B$21:$H$21,1,WEEKDAY($A251,2))*(1+Controls!$B$11)^249*(1+Controls!O$25*Smooth!$L251)*(1+Controls!O$26*Smooth!$M251)*(1+Controls!O$27*Smooth!$N251)*(1+Controls!O$28*Smooth!$O251)),2))</f>
        <v/>
      </c>
      <c r="K251" s="10" t="str">
        <f t="array" ref="K251">IF(OR($A251="",10&gt;Controls!$B$6),"",ROUND(MAX(0,Smooth!K251*Controls!K$17*INDEX(Controls!$B$21:$H$21,1,WEEKDAY($A251,2))*(1+Controls!$B$11)^249*(1+Controls!P$25*Smooth!$L251)*(1+Controls!P$26*Smooth!$M251)*(1+Controls!P$27*Smooth!$N251)*(1+Controls!P$28*Smooth!$O251)),2))</f>
        <v/>
      </c>
      <c r="L251" s="18" t="str">
        <f t="shared" si="1"/>
        <v/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21.0" customHeight="1">
      <c r="A252" s="7" t="str">
        <f>IF(251&lt;=Controls!$B$5,Controls!$B$4+250,"")</f>
        <v/>
      </c>
      <c r="B252" s="10" t="str">
        <f t="array" ref="B252">IF(OR($A252="",1&gt;Controls!$B$6),"",ROUND(MAX(0,Smooth!B252*Controls!B$17*INDEX(Controls!$B$21:$H$21,1,WEEKDAY($A252,2))*(1+Controls!$B$11)^250*(1+Controls!G$25*Smooth!$L252)*(1+Controls!G$26*Smooth!$M252)*(1+Controls!G$27*Smooth!$N252)*(1+Controls!G$28*Smooth!$O252)),2))</f>
        <v/>
      </c>
      <c r="C252" s="10" t="str">
        <f t="array" ref="C252">IF(OR($A252="",2&gt;Controls!$B$6),"",ROUND(MAX(0,Smooth!C252*Controls!C$17*INDEX(Controls!$B$21:$H$21,1,WEEKDAY($A252,2))*(1+Controls!$B$11)^250*(1+Controls!H$25*Smooth!$L252)*(1+Controls!H$26*Smooth!$M252)*(1+Controls!H$27*Smooth!$N252)*(1+Controls!H$28*Smooth!$O252)),2))</f>
        <v/>
      </c>
      <c r="D252" s="10" t="str">
        <f t="array" ref="D252">IF(OR($A252="",3&gt;Controls!$B$6),"",ROUND(MAX(0,Smooth!D252*Controls!D$17*INDEX(Controls!$B$21:$H$21,1,WEEKDAY($A252,2))*(1+Controls!$B$11)^250*(1+Controls!I$25*Smooth!$L252)*(1+Controls!I$26*Smooth!$M252)*(1+Controls!I$27*Smooth!$N252)*(1+Controls!I$28*Smooth!$O252)),2))</f>
        <v/>
      </c>
      <c r="E252" s="10" t="str">
        <f t="array" ref="E252">IF(OR($A252="",4&gt;Controls!$B$6),"",ROUND(MAX(0,Smooth!E252*Controls!E$17*INDEX(Controls!$B$21:$H$21,1,WEEKDAY($A252,2))*(1+Controls!$B$11)^250*(1+Controls!J$25*Smooth!$L252)*(1+Controls!J$26*Smooth!$M252)*(1+Controls!J$27*Smooth!$N252)*(1+Controls!J$28*Smooth!$O252)),2))</f>
        <v/>
      </c>
      <c r="F252" s="10" t="str">
        <f t="array" ref="F252">IF(OR($A252="",5&gt;Controls!$B$6),"",ROUND(MAX(0,Smooth!F252*Controls!F$17*INDEX(Controls!$B$21:$H$21,1,WEEKDAY($A252,2))*(1+Controls!$B$11)^250*(1+Controls!K$25*Smooth!$L252)*(1+Controls!K$26*Smooth!$M252)*(1+Controls!K$27*Smooth!$N252)*(1+Controls!K$28*Smooth!$O252)),2))</f>
        <v/>
      </c>
      <c r="G252" s="10" t="str">
        <f t="array" ref="G252">IF(OR($A252="",6&gt;Controls!$B$6),"",ROUND(MAX(0,Smooth!G252*Controls!G$17*INDEX(Controls!$B$21:$H$21,1,WEEKDAY($A252,2))*(1+Controls!$B$11)^250*(1+Controls!L$25*Smooth!$L252)*(1+Controls!L$26*Smooth!$M252)*(1+Controls!L$27*Smooth!$N252)*(1+Controls!L$28*Smooth!$O252)),2))</f>
        <v/>
      </c>
      <c r="H252" s="10" t="str">
        <f t="array" ref="H252">IF(OR($A252="",7&gt;Controls!$B$6),"",ROUND(MAX(0,Smooth!H252*Controls!H$17*INDEX(Controls!$B$21:$H$21,1,WEEKDAY($A252,2))*(1+Controls!$B$11)^250*(1+Controls!M$25*Smooth!$L252)*(1+Controls!M$26*Smooth!$M252)*(1+Controls!M$27*Smooth!$N252)*(1+Controls!M$28*Smooth!$O252)),2))</f>
        <v/>
      </c>
      <c r="I252" s="10" t="str">
        <f t="array" ref="I252">IF(OR($A252="",8&gt;Controls!$B$6),"",ROUND(MAX(0,Smooth!I252*Controls!I$17*INDEX(Controls!$B$21:$H$21,1,WEEKDAY($A252,2))*(1+Controls!$B$11)^250*(1+Controls!N$25*Smooth!$L252)*(1+Controls!N$26*Smooth!$M252)*(1+Controls!N$27*Smooth!$N252)*(1+Controls!N$28*Smooth!$O252)),2))</f>
        <v/>
      </c>
      <c r="J252" s="10" t="str">
        <f t="array" ref="J252">IF(OR($A252="",9&gt;Controls!$B$6),"",ROUND(MAX(0,Smooth!J252*Controls!J$17*INDEX(Controls!$B$21:$H$21,1,WEEKDAY($A252,2))*(1+Controls!$B$11)^250*(1+Controls!O$25*Smooth!$L252)*(1+Controls!O$26*Smooth!$M252)*(1+Controls!O$27*Smooth!$N252)*(1+Controls!O$28*Smooth!$O252)),2))</f>
        <v/>
      </c>
      <c r="K252" s="10" t="str">
        <f t="array" ref="K252">IF(OR($A252="",10&gt;Controls!$B$6),"",ROUND(MAX(0,Smooth!K252*Controls!K$17*INDEX(Controls!$B$21:$H$21,1,WEEKDAY($A252,2))*(1+Controls!$B$11)^250*(1+Controls!P$25*Smooth!$L252)*(1+Controls!P$26*Smooth!$M252)*(1+Controls!P$27*Smooth!$N252)*(1+Controls!P$28*Smooth!$O252)),2))</f>
        <v/>
      </c>
      <c r="L252" s="18" t="str">
        <f t="shared" si="1"/>
        <v/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21.0" customHeight="1">
      <c r="A253" s="7" t="str">
        <f>IF(252&lt;=Controls!$B$5,Controls!$B$4+251,"")</f>
        <v/>
      </c>
      <c r="B253" s="10" t="str">
        <f t="array" ref="B253">IF(OR($A253="",1&gt;Controls!$B$6),"",ROUND(MAX(0,Smooth!B253*Controls!B$17*INDEX(Controls!$B$21:$H$21,1,WEEKDAY($A253,2))*(1+Controls!$B$11)^251*(1+Controls!G$25*Smooth!$L253)*(1+Controls!G$26*Smooth!$M253)*(1+Controls!G$27*Smooth!$N253)*(1+Controls!G$28*Smooth!$O253)),2))</f>
        <v/>
      </c>
      <c r="C253" s="10" t="str">
        <f t="array" ref="C253">IF(OR($A253="",2&gt;Controls!$B$6),"",ROUND(MAX(0,Smooth!C253*Controls!C$17*INDEX(Controls!$B$21:$H$21,1,WEEKDAY($A253,2))*(1+Controls!$B$11)^251*(1+Controls!H$25*Smooth!$L253)*(1+Controls!H$26*Smooth!$M253)*(1+Controls!H$27*Smooth!$N253)*(1+Controls!H$28*Smooth!$O253)),2))</f>
        <v/>
      </c>
      <c r="D253" s="10" t="str">
        <f t="array" ref="D253">IF(OR($A253="",3&gt;Controls!$B$6),"",ROUND(MAX(0,Smooth!D253*Controls!D$17*INDEX(Controls!$B$21:$H$21,1,WEEKDAY($A253,2))*(1+Controls!$B$11)^251*(1+Controls!I$25*Smooth!$L253)*(1+Controls!I$26*Smooth!$M253)*(1+Controls!I$27*Smooth!$N253)*(1+Controls!I$28*Smooth!$O253)),2))</f>
        <v/>
      </c>
      <c r="E253" s="10" t="str">
        <f t="array" ref="E253">IF(OR($A253="",4&gt;Controls!$B$6),"",ROUND(MAX(0,Smooth!E253*Controls!E$17*INDEX(Controls!$B$21:$H$21,1,WEEKDAY($A253,2))*(1+Controls!$B$11)^251*(1+Controls!J$25*Smooth!$L253)*(1+Controls!J$26*Smooth!$M253)*(1+Controls!J$27*Smooth!$N253)*(1+Controls!J$28*Smooth!$O253)),2))</f>
        <v/>
      </c>
      <c r="F253" s="10" t="str">
        <f t="array" ref="F253">IF(OR($A253="",5&gt;Controls!$B$6),"",ROUND(MAX(0,Smooth!F253*Controls!F$17*INDEX(Controls!$B$21:$H$21,1,WEEKDAY($A253,2))*(1+Controls!$B$11)^251*(1+Controls!K$25*Smooth!$L253)*(1+Controls!K$26*Smooth!$M253)*(1+Controls!K$27*Smooth!$N253)*(1+Controls!K$28*Smooth!$O253)),2))</f>
        <v/>
      </c>
      <c r="G253" s="10" t="str">
        <f t="array" ref="G253">IF(OR($A253="",6&gt;Controls!$B$6),"",ROUND(MAX(0,Smooth!G253*Controls!G$17*INDEX(Controls!$B$21:$H$21,1,WEEKDAY($A253,2))*(1+Controls!$B$11)^251*(1+Controls!L$25*Smooth!$L253)*(1+Controls!L$26*Smooth!$M253)*(1+Controls!L$27*Smooth!$N253)*(1+Controls!L$28*Smooth!$O253)),2))</f>
        <v/>
      </c>
      <c r="H253" s="10" t="str">
        <f t="array" ref="H253">IF(OR($A253="",7&gt;Controls!$B$6),"",ROUND(MAX(0,Smooth!H253*Controls!H$17*INDEX(Controls!$B$21:$H$21,1,WEEKDAY($A253,2))*(1+Controls!$B$11)^251*(1+Controls!M$25*Smooth!$L253)*(1+Controls!M$26*Smooth!$M253)*(1+Controls!M$27*Smooth!$N253)*(1+Controls!M$28*Smooth!$O253)),2))</f>
        <v/>
      </c>
      <c r="I253" s="10" t="str">
        <f t="array" ref="I253">IF(OR($A253="",8&gt;Controls!$B$6),"",ROUND(MAX(0,Smooth!I253*Controls!I$17*INDEX(Controls!$B$21:$H$21,1,WEEKDAY($A253,2))*(1+Controls!$B$11)^251*(1+Controls!N$25*Smooth!$L253)*(1+Controls!N$26*Smooth!$M253)*(1+Controls!N$27*Smooth!$N253)*(1+Controls!N$28*Smooth!$O253)),2))</f>
        <v/>
      </c>
      <c r="J253" s="10" t="str">
        <f t="array" ref="J253">IF(OR($A253="",9&gt;Controls!$B$6),"",ROUND(MAX(0,Smooth!J253*Controls!J$17*INDEX(Controls!$B$21:$H$21,1,WEEKDAY($A253,2))*(1+Controls!$B$11)^251*(1+Controls!O$25*Smooth!$L253)*(1+Controls!O$26*Smooth!$M253)*(1+Controls!O$27*Smooth!$N253)*(1+Controls!O$28*Smooth!$O253)),2))</f>
        <v/>
      </c>
      <c r="K253" s="10" t="str">
        <f t="array" ref="K253">IF(OR($A253="",10&gt;Controls!$B$6),"",ROUND(MAX(0,Smooth!K253*Controls!K$17*INDEX(Controls!$B$21:$H$21,1,WEEKDAY($A253,2))*(1+Controls!$B$11)^251*(1+Controls!P$25*Smooth!$L253)*(1+Controls!P$26*Smooth!$M253)*(1+Controls!P$27*Smooth!$N253)*(1+Controls!P$28*Smooth!$O253)),2))</f>
        <v/>
      </c>
      <c r="L253" s="18" t="str">
        <f t="shared" si="1"/>
        <v/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21.0" customHeight="1">
      <c r="A254" s="7" t="str">
        <f>IF(253&lt;=Controls!$B$5,Controls!$B$4+252,"")</f>
        <v/>
      </c>
      <c r="B254" s="10" t="str">
        <f t="array" ref="B254">IF(OR($A254="",1&gt;Controls!$B$6),"",ROUND(MAX(0,Smooth!B254*Controls!B$17*INDEX(Controls!$B$21:$H$21,1,WEEKDAY($A254,2))*(1+Controls!$B$11)^252*(1+Controls!G$25*Smooth!$L254)*(1+Controls!G$26*Smooth!$M254)*(1+Controls!G$27*Smooth!$N254)*(1+Controls!G$28*Smooth!$O254)),2))</f>
        <v/>
      </c>
      <c r="C254" s="10" t="str">
        <f t="array" ref="C254">IF(OR($A254="",2&gt;Controls!$B$6),"",ROUND(MAX(0,Smooth!C254*Controls!C$17*INDEX(Controls!$B$21:$H$21,1,WEEKDAY($A254,2))*(1+Controls!$B$11)^252*(1+Controls!H$25*Smooth!$L254)*(1+Controls!H$26*Smooth!$M254)*(1+Controls!H$27*Smooth!$N254)*(1+Controls!H$28*Smooth!$O254)),2))</f>
        <v/>
      </c>
      <c r="D254" s="10" t="str">
        <f t="array" ref="D254">IF(OR($A254="",3&gt;Controls!$B$6),"",ROUND(MAX(0,Smooth!D254*Controls!D$17*INDEX(Controls!$B$21:$H$21,1,WEEKDAY($A254,2))*(1+Controls!$B$11)^252*(1+Controls!I$25*Smooth!$L254)*(1+Controls!I$26*Smooth!$M254)*(1+Controls!I$27*Smooth!$N254)*(1+Controls!I$28*Smooth!$O254)),2))</f>
        <v/>
      </c>
      <c r="E254" s="10" t="str">
        <f t="array" ref="E254">IF(OR($A254="",4&gt;Controls!$B$6),"",ROUND(MAX(0,Smooth!E254*Controls!E$17*INDEX(Controls!$B$21:$H$21,1,WEEKDAY($A254,2))*(1+Controls!$B$11)^252*(1+Controls!J$25*Smooth!$L254)*(1+Controls!J$26*Smooth!$M254)*(1+Controls!J$27*Smooth!$N254)*(1+Controls!J$28*Smooth!$O254)),2))</f>
        <v/>
      </c>
      <c r="F254" s="10" t="str">
        <f t="array" ref="F254">IF(OR($A254="",5&gt;Controls!$B$6),"",ROUND(MAX(0,Smooth!F254*Controls!F$17*INDEX(Controls!$B$21:$H$21,1,WEEKDAY($A254,2))*(1+Controls!$B$11)^252*(1+Controls!K$25*Smooth!$L254)*(1+Controls!K$26*Smooth!$M254)*(1+Controls!K$27*Smooth!$N254)*(1+Controls!K$28*Smooth!$O254)),2))</f>
        <v/>
      </c>
      <c r="G254" s="10" t="str">
        <f t="array" ref="G254">IF(OR($A254="",6&gt;Controls!$B$6),"",ROUND(MAX(0,Smooth!G254*Controls!G$17*INDEX(Controls!$B$21:$H$21,1,WEEKDAY($A254,2))*(1+Controls!$B$11)^252*(1+Controls!L$25*Smooth!$L254)*(1+Controls!L$26*Smooth!$M254)*(1+Controls!L$27*Smooth!$N254)*(1+Controls!L$28*Smooth!$O254)),2))</f>
        <v/>
      </c>
      <c r="H254" s="10" t="str">
        <f t="array" ref="H254">IF(OR($A254="",7&gt;Controls!$B$6),"",ROUND(MAX(0,Smooth!H254*Controls!H$17*INDEX(Controls!$B$21:$H$21,1,WEEKDAY($A254,2))*(1+Controls!$B$11)^252*(1+Controls!M$25*Smooth!$L254)*(1+Controls!M$26*Smooth!$M254)*(1+Controls!M$27*Smooth!$N254)*(1+Controls!M$28*Smooth!$O254)),2))</f>
        <v/>
      </c>
      <c r="I254" s="10" t="str">
        <f t="array" ref="I254">IF(OR($A254="",8&gt;Controls!$B$6),"",ROUND(MAX(0,Smooth!I254*Controls!I$17*INDEX(Controls!$B$21:$H$21,1,WEEKDAY($A254,2))*(1+Controls!$B$11)^252*(1+Controls!N$25*Smooth!$L254)*(1+Controls!N$26*Smooth!$M254)*(1+Controls!N$27*Smooth!$N254)*(1+Controls!N$28*Smooth!$O254)),2))</f>
        <v/>
      </c>
      <c r="J254" s="10" t="str">
        <f t="array" ref="J254">IF(OR($A254="",9&gt;Controls!$B$6),"",ROUND(MAX(0,Smooth!J254*Controls!J$17*INDEX(Controls!$B$21:$H$21,1,WEEKDAY($A254,2))*(1+Controls!$B$11)^252*(1+Controls!O$25*Smooth!$L254)*(1+Controls!O$26*Smooth!$M254)*(1+Controls!O$27*Smooth!$N254)*(1+Controls!O$28*Smooth!$O254)),2))</f>
        <v/>
      </c>
      <c r="K254" s="10" t="str">
        <f t="array" ref="K254">IF(OR($A254="",10&gt;Controls!$B$6),"",ROUND(MAX(0,Smooth!K254*Controls!K$17*INDEX(Controls!$B$21:$H$21,1,WEEKDAY($A254,2))*(1+Controls!$B$11)^252*(1+Controls!P$25*Smooth!$L254)*(1+Controls!P$26*Smooth!$M254)*(1+Controls!P$27*Smooth!$N254)*(1+Controls!P$28*Smooth!$O254)),2))</f>
        <v/>
      </c>
      <c r="L254" s="18" t="str">
        <f t="shared" si="1"/>
        <v/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21.0" customHeight="1">
      <c r="A255" s="7" t="str">
        <f>IF(254&lt;=Controls!$B$5,Controls!$B$4+253,"")</f>
        <v/>
      </c>
      <c r="B255" s="10" t="str">
        <f t="array" ref="B255">IF(OR($A255="",1&gt;Controls!$B$6),"",ROUND(MAX(0,Smooth!B255*Controls!B$17*INDEX(Controls!$B$21:$H$21,1,WEEKDAY($A255,2))*(1+Controls!$B$11)^253*(1+Controls!G$25*Smooth!$L255)*(1+Controls!G$26*Smooth!$M255)*(1+Controls!G$27*Smooth!$N255)*(1+Controls!G$28*Smooth!$O255)),2))</f>
        <v/>
      </c>
      <c r="C255" s="10" t="str">
        <f t="array" ref="C255">IF(OR($A255="",2&gt;Controls!$B$6),"",ROUND(MAX(0,Smooth!C255*Controls!C$17*INDEX(Controls!$B$21:$H$21,1,WEEKDAY($A255,2))*(1+Controls!$B$11)^253*(1+Controls!H$25*Smooth!$L255)*(1+Controls!H$26*Smooth!$M255)*(1+Controls!H$27*Smooth!$N255)*(1+Controls!H$28*Smooth!$O255)),2))</f>
        <v/>
      </c>
      <c r="D255" s="10" t="str">
        <f t="array" ref="D255">IF(OR($A255="",3&gt;Controls!$B$6),"",ROUND(MAX(0,Smooth!D255*Controls!D$17*INDEX(Controls!$B$21:$H$21,1,WEEKDAY($A255,2))*(1+Controls!$B$11)^253*(1+Controls!I$25*Smooth!$L255)*(1+Controls!I$26*Smooth!$M255)*(1+Controls!I$27*Smooth!$N255)*(1+Controls!I$28*Smooth!$O255)),2))</f>
        <v/>
      </c>
      <c r="E255" s="10" t="str">
        <f t="array" ref="E255">IF(OR($A255="",4&gt;Controls!$B$6),"",ROUND(MAX(0,Smooth!E255*Controls!E$17*INDEX(Controls!$B$21:$H$21,1,WEEKDAY($A255,2))*(1+Controls!$B$11)^253*(1+Controls!J$25*Smooth!$L255)*(1+Controls!J$26*Smooth!$M255)*(1+Controls!J$27*Smooth!$N255)*(1+Controls!J$28*Smooth!$O255)),2))</f>
        <v/>
      </c>
      <c r="F255" s="10" t="str">
        <f t="array" ref="F255">IF(OR($A255="",5&gt;Controls!$B$6),"",ROUND(MAX(0,Smooth!F255*Controls!F$17*INDEX(Controls!$B$21:$H$21,1,WEEKDAY($A255,2))*(1+Controls!$B$11)^253*(1+Controls!K$25*Smooth!$L255)*(1+Controls!K$26*Smooth!$M255)*(1+Controls!K$27*Smooth!$N255)*(1+Controls!K$28*Smooth!$O255)),2))</f>
        <v/>
      </c>
      <c r="G255" s="10" t="str">
        <f t="array" ref="G255">IF(OR($A255="",6&gt;Controls!$B$6),"",ROUND(MAX(0,Smooth!G255*Controls!G$17*INDEX(Controls!$B$21:$H$21,1,WEEKDAY($A255,2))*(1+Controls!$B$11)^253*(1+Controls!L$25*Smooth!$L255)*(1+Controls!L$26*Smooth!$M255)*(1+Controls!L$27*Smooth!$N255)*(1+Controls!L$28*Smooth!$O255)),2))</f>
        <v/>
      </c>
      <c r="H255" s="10" t="str">
        <f t="array" ref="H255">IF(OR($A255="",7&gt;Controls!$B$6),"",ROUND(MAX(0,Smooth!H255*Controls!H$17*INDEX(Controls!$B$21:$H$21,1,WEEKDAY($A255,2))*(1+Controls!$B$11)^253*(1+Controls!M$25*Smooth!$L255)*(1+Controls!M$26*Smooth!$M255)*(1+Controls!M$27*Smooth!$N255)*(1+Controls!M$28*Smooth!$O255)),2))</f>
        <v/>
      </c>
      <c r="I255" s="10" t="str">
        <f t="array" ref="I255">IF(OR($A255="",8&gt;Controls!$B$6),"",ROUND(MAX(0,Smooth!I255*Controls!I$17*INDEX(Controls!$B$21:$H$21,1,WEEKDAY($A255,2))*(1+Controls!$B$11)^253*(1+Controls!N$25*Smooth!$L255)*(1+Controls!N$26*Smooth!$M255)*(1+Controls!N$27*Smooth!$N255)*(1+Controls!N$28*Smooth!$O255)),2))</f>
        <v/>
      </c>
      <c r="J255" s="10" t="str">
        <f t="array" ref="J255">IF(OR($A255="",9&gt;Controls!$B$6),"",ROUND(MAX(0,Smooth!J255*Controls!J$17*INDEX(Controls!$B$21:$H$21,1,WEEKDAY($A255,2))*(1+Controls!$B$11)^253*(1+Controls!O$25*Smooth!$L255)*(1+Controls!O$26*Smooth!$M255)*(1+Controls!O$27*Smooth!$N255)*(1+Controls!O$28*Smooth!$O255)),2))</f>
        <v/>
      </c>
      <c r="K255" s="10" t="str">
        <f t="array" ref="K255">IF(OR($A255="",10&gt;Controls!$B$6),"",ROUND(MAX(0,Smooth!K255*Controls!K$17*INDEX(Controls!$B$21:$H$21,1,WEEKDAY($A255,2))*(1+Controls!$B$11)^253*(1+Controls!P$25*Smooth!$L255)*(1+Controls!P$26*Smooth!$M255)*(1+Controls!P$27*Smooth!$N255)*(1+Controls!P$28*Smooth!$O255)),2))</f>
        <v/>
      </c>
      <c r="L255" s="18" t="str">
        <f t="shared" si="1"/>
        <v/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21.0" customHeight="1">
      <c r="A256" s="7" t="str">
        <f>IF(255&lt;=Controls!$B$5,Controls!$B$4+254,"")</f>
        <v/>
      </c>
      <c r="B256" s="10" t="str">
        <f t="array" ref="B256">IF(OR($A256="",1&gt;Controls!$B$6),"",ROUND(MAX(0,Smooth!B256*Controls!B$17*INDEX(Controls!$B$21:$H$21,1,WEEKDAY($A256,2))*(1+Controls!$B$11)^254*(1+Controls!G$25*Smooth!$L256)*(1+Controls!G$26*Smooth!$M256)*(1+Controls!G$27*Smooth!$N256)*(1+Controls!G$28*Smooth!$O256)),2))</f>
        <v/>
      </c>
      <c r="C256" s="10" t="str">
        <f t="array" ref="C256">IF(OR($A256="",2&gt;Controls!$B$6),"",ROUND(MAX(0,Smooth!C256*Controls!C$17*INDEX(Controls!$B$21:$H$21,1,WEEKDAY($A256,2))*(1+Controls!$B$11)^254*(1+Controls!H$25*Smooth!$L256)*(1+Controls!H$26*Smooth!$M256)*(1+Controls!H$27*Smooth!$N256)*(1+Controls!H$28*Smooth!$O256)),2))</f>
        <v/>
      </c>
      <c r="D256" s="10" t="str">
        <f t="array" ref="D256">IF(OR($A256="",3&gt;Controls!$B$6),"",ROUND(MAX(0,Smooth!D256*Controls!D$17*INDEX(Controls!$B$21:$H$21,1,WEEKDAY($A256,2))*(1+Controls!$B$11)^254*(1+Controls!I$25*Smooth!$L256)*(1+Controls!I$26*Smooth!$M256)*(1+Controls!I$27*Smooth!$N256)*(1+Controls!I$28*Smooth!$O256)),2))</f>
        <v/>
      </c>
      <c r="E256" s="10" t="str">
        <f t="array" ref="E256">IF(OR($A256="",4&gt;Controls!$B$6),"",ROUND(MAX(0,Smooth!E256*Controls!E$17*INDEX(Controls!$B$21:$H$21,1,WEEKDAY($A256,2))*(1+Controls!$B$11)^254*(1+Controls!J$25*Smooth!$L256)*(1+Controls!J$26*Smooth!$M256)*(1+Controls!J$27*Smooth!$N256)*(1+Controls!J$28*Smooth!$O256)),2))</f>
        <v/>
      </c>
      <c r="F256" s="10" t="str">
        <f t="array" ref="F256">IF(OR($A256="",5&gt;Controls!$B$6),"",ROUND(MAX(0,Smooth!F256*Controls!F$17*INDEX(Controls!$B$21:$H$21,1,WEEKDAY($A256,2))*(1+Controls!$B$11)^254*(1+Controls!K$25*Smooth!$L256)*(1+Controls!K$26*Smooth!$M256)*(1+Controls!K$27*Smooth!$N256)*(1+Controls!K$28*Smooth!$O256)),2))</f>
        <v/>
      </c>
      <c r="G256" s="10" t="str">
        <f t="array" ref="G256">IF(OR($A256="",6&gt;Controls!$B$6),"",ROUND(MAX(0,Smooth!G256*Controls!G$17*INDEX(Controls!$B$21:$H$21,1,WEEKDAY($A256,2))*(1+Controls!$B$11)^254*(1+Controls!L$25*Smooth!$L256)*(1+Controls!L$26*Smooth!$M256)*(1+Controls!L$27*Smooth!$N256)*(1+Controls!L$28*Smooth!$O256)),2))</f>
        <v/>
      </c>
      <c r="H256" s="10" t="str">
        <f t="array" ref="H256">IF(OR($A256="",7&gt;Controls!$B$6),"",ROUND(MAX(0,Smooth!H256*Controls!H$17*INDEX(Controls!$B$21:$H$21,1,WEEKDAY($A256,2))*(1+Controls!$B$11)^254*(1+Controls!M$25*Smooth!$L256)*(1+Controls!M$26*Smooth!$M256)*(1+Controls!M$27*Smooth!$N256)*(1+Controls!M$28*Smooth!$O256)),2))</f>
        <v/>
      </c>
      <c r="I256" s="10" t="str">
        <f t="array" ref="I256">IF(OR($A256="",8&gt;Controls!$B$6),"",ROUND(MAX(0,Smooth!I256*Controls!I$17*INDEX(Controls!$B$21:$H$21,1,WEEKDAY($A256,2))*(1+Controls!$B$11)^254*(1+Controls!N$25*Smooth!$L256)*(1+Controls!N$26*Smooth!$M256)*(1+Controls!N$27*Smooth!$N256)*(1+Controls!N$28*Smooth!$O256)),2))</f>
        <v/>
      </c>
      <c r="J256" s="10" t="str">
        <f t="array" ref="J256">IF(OR($A256="",9&gt;Controls!$B$6),"",ROUND(MAX(0,Smooth!J256*Controls!J$17*INDEX(Controls!$B$21:$H$21,1,WEEKDAY($A256,2))*(1+Controls!$B$11)^254*(1+Controls!O$25*Smooth!$L256)*(1+Controls!O$26*Smooth!$M256)*(1+Controls!O$27*Smooth!$N256)*(1+Controls!O$28*Smooth!$O256)),2))</f>
        <v/>
      </c>
      <c r="K256" s="10" t="str">
        <f t="array" ref="K256">IF(OR($A256="",10&gt;Controls!$B$6),"",ROUND(MAX(0,Smooth!K256*Controls!K$17*INDEX(Controls!$B$21:$H$21,1,WEEKDAY($A256,2))*(1+Controls!$B$11)^254*(1+Controls!P$25*Smooth!$L256)*(1+Controls!P$26*Smooth!$M256)*(1+Controls!P$27*Smooth!$N256)*(1+Controls!P$28*Smooth!$O256)),2))</f>
        <v/>
      </c>
      <c r="L256" s="18" t="str">
        <f t="shared" si="1"/>
        <v/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21.0" customHeight="1">
      <c r="A257" s="7" t="str">
        <f>IF(256&lt;=Controls!$B$5,Controls!$B$4+255,"")</f>
        <v/>
      </c>
      <c r="B257" s="10" t="str">
        <f t="array" ref="B257">IF(OR($A257="",1&gt;Controls!$B$6),"",ROUND(MAX(0,Smooth!B257*Controls!B$17*INDEX(Controls!$B$21:$H$21,1,WEEKDAY($A257,2))*(1+Controls!$B$11)^255*(1+Controls!G$25*Smooth!$L257)*(1+Controls!G$26*Smooth!$M257)*(1+Controls!G$27*Smooth!$N257)*(1+Controls!G$28*Smooth!$O257)),2))</f>
        <v/>
      </c>
      <c r="C257" s="10" t="str">
        <f t="array" ref="C257">IF(OR($A257="",2&gt;Controls!$B$6),"",ROUND(MAX(0,Smooth!C257*Controls!C$17*INDEX(Controls!$B$21:$H$21,1,WEEKDAY($A257,2))*(1+Controls!$B$11)^255*(1+Controls!H$25*Smooth!$L257)*(1+Controls!H$26*Smooth!$M257)*(1+Controls!H$27*Smooth!$N257)*(1+Controls!H$28*Smooth!$O257)),2))</f>
        <v/>
      </c>
      <c r="D257" s="10" t="str">
        <f t="array" ref="D257">IF(OR($A257="",3&gt;Controls!$B$6),"",ROUND(MAX(0,Smooth!D257*Controls!D$17*INDEX(Controls!$B$21:$H$21,1,WEEKDAY($A257,2))*(1+Controls!$B$11)^255*(1+Controls!I$25*Smooth!$L257)*(1+Controls!I$26*Smooth!$M257)*(1+Controls!I$27*Smooth!$N257)*(1+Controls!I$28*Smooth!$O257)),2))</f>
        <v/>
      </c>
      <c r="E257" s="10" t="str">
        <f t="array" ref="E257">IF(OR($A257="",4&gt;Controls!$B$6),"",ROUND(MAX(0,Smooth!E257*Controls!E$17*INDEX(Controls!$B$21:$H$21,1,WEEKDAY($A257,2))*(1+Controls!$B$11)^255*(1+Controls!J$25*Smooth!$L257)*(1+Controls!J$26*Smooth!$M257)*(1+Controls!J$27*Smooth!$N257)*(1+Controls!J$28*Smooth!$O257)),2))</f>
        <v/>
      </c>
      <c r="F257" s="10" t="str">
        <f t="array" ref="F257">IF(OR($A257="",5&gt;Controls!$B$6),"",ROUND(MAX(0,Smooth!F257*Controls!F$17*INDEX(Controls!$B$21:$H$21,1,WEEKDAY($A257,2))*(1+Controls!$B$11)^255*(1+Controls!K$25*Smooth!$L257)*(1+Controls!K$26*Smooth!$M257)*(1+Controls!K$27*Smooth!$N257)*(1+Controls!K$28*Smooth!$O257)),2))</f>
        <v/>
      </c>
      <c r="G257" s="10" t="str">
        <f t="array" ref="G257">IF(OR($A257="",6&gt;Controls!$B$6),"",ROUND(MAX(0,Smooth!G257*Controls!G$17*INDEX(Controls!$B$21:$H$21,1,WEEKDAY($A257,2))*(1+Controls!$B$11)^255*(1+Controls!L$25*Smooth!$L257)*(1+Controls!L$26*Smooth!$M257)*(1+Controls!L$27*Smooth!$N257)*(1+Controls!L$28*Smooth!$O257)),2))</f>
        <v/>
      </c>
      <c r="H257" s="10" t="str">
        <f t="array" ref="H257">IF(OR($A257="",7&gt;Controls!$B$6),"",ROUND(MAX(0,Smooth!H257*Controls!H$17*INDEX(Controls!$B$21:$H$21,1,WEEKDAY($A257,2))*(1+Controls!$B$11)^255*(1+Controls!M$25*Smooth!$L257)*(1+Controls!M$26*Smooth!$M257)*(1+Controls!M$27*Smooth!$N257)*(1+Controls!M$28*Smooth!$O257)),2))</f>
        <v/>
      </c>
      <c r="I257" s="10" t="str">
        <f t="array" ref="I257">IF(OR($A257="",8&gt;Controls!$B$6),"",ROUND(MAX(0,Smooth!I257*Controls!I$17*INDEX(Controls!$B$21:$H$21,1,WEEKDAY($A257,2))*(1+Controls!$B$11)^255*(1+Controls!N$25*Smooth!$L257)*(1+Controls!N$26*Smooth!$M257)*(1+Controls!N$27*Smooth!$N257)*(1+Controls!N$28*Smooth!$O257)),2))</f>
        <v/>
      </c>
      <c r="J257" s="10" t="str">
        <f t="array" ref="J257">IF(OR($A257="",9&gt;Controls!$B$6),"",ROUND(MAX(0,Smooth!J257*Controls!J$17*INDEX(Controls!$B$21:$H$21,1,WEEKDAY($A257,2))*(1+Controls!$B$11)^255*(1+Controls!O$25*Smooth!$L257)*(1+Controls!O$26*Smooth!$M257)*(1+Controls!O$27*Smooth!$N257)*(1+Controls!O$28*Smooth!$O257)),2))</f>
        <v/>
      </c>
      <c r="K257" s="10" t="str">
        <f t="array" ref="K257">IF(OR($A257="",10&gt;Controls!$B$6),"",ROUND(MAX(0,Smooth!K257*Controls!K$17*INDEX(Controls!$B$21:$H$21,1,WEEKDAY($A257,2))*(1+Controls!$B$11)^255*(1+Controls!P$25*Smooth!$L257)*(1+Controls!P$26*Smooth!$M257)*(1+Controls!P$27*Smooth!$N257)*(1+Controls!P$28*Smooth!$O257)),2))</f>
        <v/>
      </c>
      <c r="L257" s="18" t="str">
        <f t="shared" si="1"/>
        <v/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21.0" customHeight="1">
      <c r="A258" s="7" t="str">
        <f>IF(257&lt;=Controls!$B$5,Controls!$B$4+256,"")</f>
        <v/>
      </c>
      <c r="B258" s="10" t="str">
        <f t="array" ref="B258">IF(OR($A258="",1&gt;Controls!$B$6),"",ROUND(MAX(0,Smooth!B258*Controls!B$17*INDEX(Controls!$B$21:$H$21,1,WEEKDAY($A258,2))*(1+Controls!$B$11)^256*(1+Controls!G$25*Smooth!$L258)*(1+Controls!G$26*Smooth!$M258)*(1+Controls!G$27*Smooth!$N258)*(1+Controls!G$28*Smooth!$O258)),2))</f>
        <v/>
      </c>
      <c r="C258" s="10" t="str">
        <f t="array" ref="C258">IF(OR($A258="",2&gt;Controls!$B$6),"",ROUND(MAX(0,Smooth!C258*Controls!C$17*INDEX(Controls!$B$21:$H$21,1,WEEKDAY($A258,2))*(1+Controls!$B$11)^256*(1+Controls!H$25*Smooth!$L258)*(1+Controls!H$26*Smooth!$M258)*(1+Controls!H$27*Smooth!$N258)*(1+Controls!H$28*Smooth!$O258)),2))</f>
        <v/>
      </c>
      <c r="D258" s="10" t="str">
        <f t="array" ref="D258">IF(OR($A258="",3&gt;Controls!$B$6),"",ROUND(MAX(0,Smooth!D258*Controls!D$17*INDEX(Controls!$B$21:$H$21,1,WEEKDAY($A258,2))*(1+Controls!$B$11)^256*(1+Controls!I$25*Smooth!$L258)*(1+Controls!I$26*Smooth!$M258)*(1+Controls!I$27*Smooth!$N258)*(1+Controls!I$28*Smooth!$O258)),2))</f>
        <v/>
      </c>
      <c r="E258" s="10" t="str">
        <f t="array" ref="E258">IF(OR($A258="",4&gt;Controls!$B$6),"",ROUND(MAX(0,Smooth!E258*Controls!E$17*INDEX(Controls!$B$21:$H$21,1,WEEKDAY($A258,2))*(1+Controls!$B$11)^256*(1+Controls!J$25*Smooth!$L258)*(1+Controls!J$26*Smooth!$M258)*(1+Controls!J$27*Smooth!$N258)*(1+Controls!J$28*Smooth!$O258)),2))</f>
        <v/>
      </c>
      <c r="F258" s="10" t="str">
        <f t="array" ref="F258">IF(OR($A258="",5&gt;Controls!$B$6),"",ROUND(MAX(0,Smooth!F258*Controls!F$17*INDEX(Controls!$B$21:$H$21,1,WEEKDAY($A258,2))*(1+Controls!$B$11)^256*(1+Controls!K$25*Smooth!$L258)*(1+Controls!K$26*Smooth!$M258)*(1+Controls!K$27*Smooth!$N258)*(1+Controls!K$28*Smooth!$O258)),2))</f>
        <v/>
      </c>
      <c r="G258" s="10" t="str">
        <f t="array" ref="G258">IF(OR($A258="",6&gt;Controls!$B$6),"",ROUND(MAX(0,Smooth!G258*Controls!G$17*INDEX(Controls!$B$21:$H$21,1,WEEKDAY($A258,2))*(1+Controls!$B$11)^256*(1+Controls!L$25*Smooth!$L258)*(1+Controls!L$26*Smooth!$M258)*(1+Controls!L$27*Smooth!$N258)*(1+Controls!L$28*Smooth!$O258)),2))</f>
        <v/>
      </c>
      <c r="H258" s="10" t="str">
        <f t="array" ref="H258">IF(OR($A258="",7&gt;Controls!$B$6),"",ROUND(MAX(0,Smooth!H258*Controls!H$17*INDEX(Controls!$B$21:$H$21,1,WEEKDAY($A258,2))*(1+Controls!$B$11)^256*(1+Controls!M$25*Smooth!$L258)*(1+Controls!M$26*Smooth!$M258)*(1+Controls!M$27*Smooth!$N258)*(1+Controls!M$28*Smooth!$O258)),2))</f>
        <v/>
      </c>
      <c r="I258" s="10" t="str">
        <f t="array" ref="I258">IF(OR($A258="",8&gt;Controls!$B$6),"",ROUND(MAX(0,Smooth!I258*Controls!I$17*INDEX(Controls!$B$21:$H$21,1,WEEKDAY($A258,2))*(1+Controls!$B$11)^256*(1+Controls!N$25*Smooth!$L258)*(1+Controls!N$26*Smooth!$M258)*(1+Controls!N$27*Smooth!$N258)*(1+Controls!N$28*Smooth!$O258)),2))</f>
        <v/>
      </c>
      <c r="J258" s="10" t="str">
        <f t="array" ref="J258">IF(OR($A258="",9&gt;Controls!$B$6),"",ROUND(MAX(0,Smooth!J258*Controls!J$17*INDEX(Controls!$B$21:$H$21,1,WEEKDAY($A258,2))*(1+Controls!$B$11)^256*(1+Controls!O$25*Smooth!$L258)*(1+Controls!O$26*Smooth!$M258)*(1+Controls!O$27*Smooth!$N258)*(1+Controls!O$28*Smooth!$O258)),2))</f>
        <v/>
      </c>
      <c r="K258" s="10" t="str">
        <f t="array" ref="K258">IF(OR($A258="",10&gt;Controls!$B$6),"",ROUND(MAX(0,Smooth!K258*Controls!K$17*INDEX(Controls!$B$21:$H$21,1,WEEKDAY($A258,2))*(1+Controls!$B$11)^256*(1+Controls!P$25*Smooth!$L258)*(1+Controls!P$26*Smooth!$M258)*(1+Controls!P$27*Smooth!$N258)*(1+Controls!P$28*Smooth!$O258)),2))</f>
        <v/>
      </c>
      <c r="L258" s="18" t="str">
        <f t="shared" si="1"/>
        <v/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21.0" customHeight="1">
      <c r="A259" s="7" t="str">
        <f>IF(258&lt;=Controls!$B$5,Controls!$B$4+257,"")</f>
        <v/>
      </c>
      <c r="B259" s="10" t="str">
        <f t="array" ref="B259">IF(OR($A259="",1&gt;Controls!$B$6),"",ROUND(MAX(0,Smooth!B259*Controls!B$17*INDEX(Controls!$B$21:$H$21,1,WEEKDAY($A259,2))*(1+Controls!$B$11)^257*(1+Controls!G$25*Smooth!$L259)*(1+Controls!G$26*Smooth!$M259)*(1+Controls!G$27*Smooth!$N259)*(1+Controls!G$28*Smooth!$O259)),2))</f>
        <v/>
      </c>
      <c r="C259" s="10" t="str">
        <f t="array" ref="C259">IF(OR($A259="",2&gt;Controls!$B$6),"",ROUND(MAX(0,Smooth!C259*Controls!C$17*INDEX(Controls!$B$21:$H$21,1,WEEKDAY($A259,2))*(1+Controls!$B$11)^257*(1+Controls!H$25*Smooth!$L259)*(1+Controls!H$26*Smooth!$M259)*(1+Controls!H$27*Smooth!$N259)*(1+Controls!H$28*Smooth!$O259)),2))</f>
        <v/>
      </c>
      <c r="D259" s="10" t="str">
        <f t="array" ref="D259">IF(OR($A259="",3&gt;Controls!$B$6),"",ROUND(MAX(0,Smooth!D259*Controls!D$17*INDEX(Controls!$B$21:$H$21,1,WEEKDAY($A259,2))*(1+Controls!$B$11)^257*(1+Controls!I$25*Smooth!$L259)*(1+Controls!I$26*Smooth!$M259)*(1+Controls!I$27*Smooth!$N259)*(1+Controls!I$28*Smooth!$O259)),2))</f>
        <v/>
      </c>
      <c r="E259" s="10" t="str">
        <f t="array" ref="E259">IF(OR($A259="",4&gt;Controls!$B$6),"",ROUND(MAX(0,Smooth!E259*Controls!E$17*INDEX(Controls!$B$21:$H$21,1,WEEKDAY($A259,2))*(1+Controls!$B$11)^257*(1+Controls!J$25*Smooth!$L259)*(1+Controls!J$26*Smooth!$M259)*(1+Controls!J$27*Smooth!$N259)*(1+Controls!J$28*Smooth!$O259)),2))</f>
        <v/>
      </c>
      <c r="F259" s="10" t="str">
        <f t="array" ref="F259">IF(OR($A259="",5&gt;Controls!$B$6),"",ROUND(MAX(0,Smooth!F259*Controls!F$17*INDEX(Controls!$B$21:$H$21,1,WEEKDAY($A259,2))*(1+Controls!$B$11)^257*(1+Controls!K$25*Smooth!$L259)*(1+Controls!K$26*Smooth!$M259)*(1+Controls!K$27*Smooth!$N259)*(1+Controls!K$28*Smooth!$O259)),2))</f>
        <v/>
      </c>
      <c r="G259" s="10" t="str">
        <f t="array" ref="G259">IF(OR($A259="",6&gt;Controls!$B$6),"",ROUND(MAX(0,Smooth!G259*Controls!G$17*INDEX(Controls!$B$21:$H$21,1,WEEKDAY($A259,2))*(1+Controls!$B$11)^257*(1+Controls!L$25*Smooth!$L259)*(1+Controls!L$26*Smooth!$M259)*(1+Controls!L$27*Smooth!$N259)*(1+Controls!L$28*Smooth!$O259)),2))</f>
        <v/>
      </c>
      <c r="H259" s="10" t="str">
        <f t="array" ref="H259">IF(OR($A259="",7&gt;Controls!$B$6),"",ROUND(MAX(0,Smooth!H259*Controls!H$17*INDEX(Controls!$B$21:$H$21,1,WEEKDAY($A259,2))*(1+Controls!$B$11)^257*(1+Controls!M$25*Smooth!$L259)*(1+Controls!M$26*Smooth!$M259)*(1+Controls!M$27*Smooth!$N259)*(1+Controls!M$28*Smooth!$O259)),2))</f>
        <v/>
      </c>
      <c r="I259" s="10" t="str">
        <f t="array" ref="I259">IF(OR($A259="",8&gt;Controls!$B$6),"",ROUND(MAX(0,Smooth!I259*Controls!I$17*INDEX(Controls!$B$21:$H$21,1,WEEKDAY($A259,2))*(1+Controls!$B$11)^257*(1+Controls!N$25*Smooth!$L259)*(1+Controls!N$26*Smooth!$M259)*(1+Controls!N$27*Smooth!$N259)*(1+Controls!N$28*Smooth!$O259)),2))</f>
        <v/>
      </c>
      <c r="J259" s="10" t="str">
        <f t="array" ref="J259">IF(OR($A259="",9&gt;Controls!$B$6),"",ROUND(MAX(0,Smooth!J259*Controls!J$17*INDEX(Controls!$B$21:$H$21,1,WEEKDAY($A259,2))*(1+Controls!$B$11)^257*(1+Controls!O$25*Smooth!$L259)*(1+Controls!O$26*Smooth!$M259)*(1+Controls!O$27*Smooth!$N259)*(1+Controls!O$28*Smooth!$O259)),2))</f>
        <v/>
      </c>
      <c r="K259" s="10" t="str">
        <f t="array" ref="K259">IF(OR($A259="",10&gt;Controls!$B$6),"",ROUND(MAX(0,Smooth!K259*Controls!K$17*INDEX(Controls!$B$21:$H$21,1,WEEKDAY($A259,2))*(1+Controls!$B$11)^257*(1+Controls!P$25*Smooth!$L259)*(1+Controls!P$26*Smooth!$M259)*(1+Controls!P$27*Smooth!$N259)*(1+Controls!P$28*Smooth!$O259)),2))</f>
        <v/>
      </c>
      <c r="L259" s="18" t="str">
        <f t="shared" si="1"/>
        <v/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21.0" customHeight="1">
      <c r="A260" s="7" t="str">
        <f>IF(259&lt;=Controls!$B$5,Controls!$B$4+258,"")</f>
        <v/>
      </c>
      <c r="B260" s="10" t="str">
        <f t="array" ref="B260">IF(OR($A260="",1&gt;Controls!$B$6),"",ROUND(MAX(0,Smooth!B260*Controls!B$17*INDEX(Controls!$B$21:$H$21,1,WEEKDAY($A260,2))*(1+Controls!$B$11)^258*(1+Controls!G$25*Smooth!$L260)*(1+Controls!G$26*Smooth!$M260)*(1+Controls!G$27*Smooth!$N260)*(1+Controls!G$28*Smooth!$O260)),2))</f>
        <v/>
      </c>
      <c r="C260" s="10" t="str">
        <f t="array" ref="C260">IF(OR($A260="",2&gt;Controls!$B$6),"",ROUND(MAX(0,Smooth!C260*Controls!C$17*INDEX(Controls!$B$21:$H$21,1,WEEKDAY($A260,2))*(1+Controls!$B$11)^258*(1+Controls!H$25*Smooth!$L260)*(1+Controls!H$26*Smooth!$M260)*(1+Controls!H$27*Smooth!$N260)*(1+Controls!H$28*Smooth!$O260)),2))</f>
        <v/>
      </c>
      <c r="D260" s="10" t="str">
        <f t="array" ref="D260">IF(OR($A260="",3&gt;Controls!$B$6),"",ROUND(MAX(0,Smooth!D260*Controls!D$17*INDEX(Controls!$B$21:$H$21,1,WEEKDAY($A260,2))*(1+Controls!$B$11)^258*(1+Controls!I$25*Smooth!$L260)*(1+Controls!I$26*Smooth!$M260)*(1+Controls!I$27*Smooth!$N260)*(1+Controls!I$28*Smooth!$O260)),2))</f>
        <v/>
      </c>
      <c r="E260" s="10" t="str">
        <f t="array" ref="E260">IF(OR($A260="",4&gt;Controls!$B$6),"",ROUND(MAX(0,Smooth!E260*Controls!E$17*INDEX(Controls!$B$21:$H$21,1,WEEKDAY($A260,2))*(1+Controls!$B$11)^258*(1+Controls!J$25*Smooth!$L260)*(1+Controls!J$26*Smooth!$M260)*(1+Controls!J$27*Smooth!$N260)*(1+Controls!J$28*Smooth!$O260)),2))</f>
        <v/>
      </c>
      <c r="F260" s="10" t="str">
        <f t="array" ref="F260">IF(OR($A260="",5&gt;Controls!$B$6),"",ROUND(MAX(0,Smooth!F260*Controls!F$17*INDEX(Controls!$B$21:$H$21,1,WEEKDAY($A260,2))*(1+Controls!$B$11)^258*(1+Controls!K$25*Smooth!$L260)*(1+Controls!K$26*Smooth!$M260)*(1+Controls!K$27*Smooth!$N260)*(1+Controls!K$28*Smooth!$O260)),2))</f>
        <v/>
      </c>
      <c r="G260" s="10" t="str">
        <f t="array" ref="G260">IF(OR($A260="",6&gt;Controls!$B$6),"",ROUND(MAX(0,Smooth!G260*Controls!G$17*INDEX(Controls!$B$21:$H$21,1,WEEKDAY($A260,2))*(1+Controls!$B$11)^258*(1+Controls!L$25*Smooth!$L260)*(1+Controls!L$26*Smooth!$M260)*(1+Controls!L$27*Smooth!$N260)*(1+Controls!L$28*Smooth!$O260)),2))</f>
        <v/>
      </c>
      <c r="H260" s="10" t="str">
        <f t="array" ref="H260">IF(OR($A260="",7&gt;Controls!$B$6),"",ROUND(MAX(0,Smooth!H260*Controls!H$17*INDEX(Controls!$B$21:$H$21,1,WEEKDAY($A260,2))*(1+Controls!$B$11)^258*(1+Controls!M$25*Smooth!$L260)*(1+Controls!M$26*Smooth!$M260)*(1+Controls!M$27*Smooth!$N260)*(1+Controls!M$28*Smooth!$O260)),2))</f>
        <v/>
      </c>
      <c r="I260" s="10" t="str">
        <f t="array" ref="I260">IF(OR($A260="",8&gt;Controls!$B$6),"",ROUND(MAX(0,Smooth!I260*Controls!I$17*INDEX(Controls!$B$21:$H$21,1,WEEKDAY($A260,2))*(1+Controls!$B$11)^258*(1+Controls!N$25*Smooth!$L260)*(1+Controls!N$26*Smooth!$M260)*(1+Controls!N$27*Smooth!$N260)*(1+Controls!N$28*Smooth!$O260)),2))</f>
        <v/>
      </c>
      <c r="J260" s="10" t="str">
        <f t="array" ref="J260">IF(OR($A260="",9&gt;Controls!$B$6),"",ROUND(MAX(0,Smooth!J260*Controls!J$17*INDEX(Controls!$B$21:$H$21,1,WEEKDAY($A260,2))*(1+Controls!$B$11)^258*(1+Controls!O$25*Smooth!$L260)*(1+Controls!O$26*Smooth!$M260)*(1+Controls!O$27*Smooth!$N260)*(1+Controls!O$28*Smooth!$O260)),2))</f>
        <v/>
      </c>
      <c r="K260" s="10" t="str">
        <f t="array" ref="K260">IF(OR($A260="",10&gt;Controls!$B$6),"",ROUND(MAX(0,Smooth!K260*Controls!K$17*INDEX(Controls!$B$21:$H$21,1,WEEKDAY($A260,2))*(1+Controls!$B$11)^258*(1+Controls!P$25*Smooth!$L260)*(1+Controls!P$26*Smooth!$M260)*(1+Controls!P$27*Smooth!$N260)*(1+Controls!P$28*Smooth!$O260)),2))</f>
        <v/>
      </c>
      <c r="L260" s="18" t="str">
        <f t="shared" si="1"/>
        <v/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21.0" customHeight="1">
      <c r="A261" s="7" t="str">
        <f>IF(260&lt;=Controls!$B$5,Controls!$B$4+259,"")</f>
        <v/>
      </c>
      <c r="B261" s="10" t="str">
        <f t="array" ref="B261">IF(OR($A261="",1&gt;Controls!$B$6),"",ROUND(MAX(0,Smooth!B261*Controls!B$17*INDEX(Controls!$B$21:$H$21,1,WEEKDAY($A261,2))*(1+Controls!$B$11)^259*(1+Controls!G$25*Smooth!$L261)*(1+Controls!G$26*Smooth!$M261)*(1+Controls!G$27*Smooth!$N261)*(1+Controls!G$28*Smooth!$O261)),2))</f>
        <v/>
      </c>
      <c r="C261" s="10" t="str">
        <f t="array" ref="C261">IF(OR($A261="",2&gt;Controls!$B$6),"",ROUND(MAX(0,Smooth!C261*Controls!C$17*INDEX(Controls!$B$21:$H$21,1,WEEKDAY($A261,2))*(1+Controls!$B$11)^259*(1+Controls!H$25*Smooth!$L261)*(1+Controls!H$26*Smooth!$M261)*(1+Controls!H$27*Smooth!$N261)*(1+Controls!H$28*Smooth!$O261)),2))</f>
        <v/>
      </c>
      <c r="D261" s="10" t="str">
        <f t="array" ref="D261">IF(OR($A261="",3&gt;Controls!$B$6),"",ROUND(MAX(0,Smooth!D261*Controls!D$17*INDEX(Controls!$B$21:$H$21,1,WEEKDAY($A261,2))*(1+Controls!$B$11)^259*(1+Controls!I$25*Smooth!$L261)*(1+Controls!I$26*Smooth!$M261)*(1+Controls!I$27*Smooth!$N261)*(1+Controls!I$28*Smooth!$O261)),2))</f>
        <v/>
      </c>
      <c r="E261" s="10" t="str">
        <f t="array" ref="E261">IF(OR($A261="",4&gt;Controls!$B$6),"",ROUND(MAX(0,Smooth!E261*Controls!E$17*INDEX(Controls!$B$21:$H$21,1,WEEKDAY($A261,2))*(1+Controls!$B$11)^259*(1+Controls!J$25*Smooth!$L261)*(1+Controls!J$26*Smooth!$M261)*(1+Controls!J$27*Smooth!$N261)*(1+Controls!J$28*Smooth!$O261)),2))</f>
        <v/>
      </c>
      <c r="F261" s="10" t="str">
        <f t="array" ref="F261">IF(OR($A261="",5&gt;Controls!$B$6),"",ROUND(MAX(0,Smooth!F261*Controls!F$17*INDEX(Controls!$B$21:$H$21,1,WEEKDAY($A261,2))*(1+Controls!$B$11)^259*(1+Controls!K$25*Smooth!$L261)*(1+Controls!K$26*Smooth!$M261)*(1+Controls!K$27*Smooth!$N261)*(1+Controls!K$28*Smooth!$O261)),2))</f>
        <v/>
      </c>
      <c r="G261" s="10" t="str">
        <f t="array" ref="G261">IF(OR($A261="",6&gt;Controls!$B$6),"",ROUND(MAX(0,Smooth!G261*Controls!G$17*INDEX(Controls!$B$21:$H$21,1,WEEKDAY($A261,2))*(1+Controls!$B$11)^259*(1+Controls!L$25*Smooth!$L261)*(1+Controls!L$26*Smooth!$M261)*(1+Controls!L$27*Smooth!$N261)*(1+Controls!L$28*Smooth!$O261)),2))</f>
        <v/>
      </c>
      <c r="H261" s="10" t="str">
        <f t="array" ref="H261">IF(OR($A261="",7&gt;Controls!$B$6),"",ROUND(MAX(0,Smooth!H261*Controls!H$17*INDEX(Controls!$B$21:$H$21,1,WEEKDAY($A261,2))*(1+Controls!$B$11)^259*(1+Controls!M$25*Smooth!$L261)*(1+Controls!M$26*Smooth!$M261)*(1+Controls!M$27*Smooth!$N261)*(1+Controls!M$28*Smooth!$O261)),2))</f>
        <v/>
      </c>
      <c r="I261" s="10" t="str">
        <f t="array" ref="I261">IF(OR($A261="",8&gt;Controls!$B$6),"",ROUND(MAX(0,Smooth!I261*Controls!I$17*INDEX(Controls!$B$21:$H$21,1,WEEKDAY($A261,2))*(1+Controls!$B$11)^259*(1+Controls!N$25*Smooth!$L261)*(1+Controls!N$26*Smooth!$M261)*(1+Controls!N$27*Smooth!$N261)*(1+Controls!N$28*Smooth!$O261)),2))</f>
        <v/>
      </c>
      <c r="J261" s="10" t="str">
        <f t="array" ref="J261">IF(OR($A261="",9&gt;Controls!$B$6),"",ROUND(MAX(0,Smooth!J261*Controls!J$17*INDEX(Controls!$B$21:$H$21,1,WEEKDAY($A261,2))*(1+Controls!$B$11)^259*(1+Controls!O$25*Smooth!$L261)*(1+Controls!O$26*Smooth!$M261)*(1+Controls!O$27*Smooth!$N261)*(1+Controls!O$28*Smooth!$O261)),2))</f>
        <v/>
      </c>
      <c r="K261" s="10" t="str">
        <f t="array" ref="K261">IF(OR($A261="",10&gt;Controls!$B$6),"",ROUND(MAX(0,Smooth!K261*Controls!K$17*INDEX(Controls!$B$21:$H$21,1,WEEKDAY($A261,2))*(1+Controls!$B$11)^259*(1+Controls!P$25*Smooth!$L261)*(1+Controls!P$26*Smooth!$M261)*(1+Controls!P$27*Smooth!$N261)*(1+Controls!P$28*Smooth!$O261)),2))</f>
        <v/>
      </c>
      <c r="L261" s="18" t="str">
        <f t="shared" si="1"/>
        <v/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21.0" customHeight="1">
      <c r="A262" s="7" t="str">
        <f>IF(261&lt;=Controls!$B$5,Controls!$B$4+260,"")</f>
        <v/>
      </c>
      <c r="B262" s="10" t="str">
        <f t="array" ref="B262">IF(OR($A262="",1&gt;Controls!$B$6),"",ROUND(MAX(0,Smooth!B262*Controls!B$17*INDEX(Controls!$B$21:$H$21,1,WEEKDAY($A262,2))*(1+Controls!$B$11)^260*(1+Controls!G$25*Smooth!$L262)*(1+Controls!G$26*Smooth!$M262)*(1+Controls!G$27*Smooth!$N262)*(1+Controls!G$28*Smooth!$O262)),2))</f>
        <v/>
      </c>
      <c r="C262" s="10" t="str">
        <f t="array" ref="C262">IF(OR($A262="",2&gt;Controls!$B$6),"",ROUND(MAX(0,Smooth!C262*Controls!C$17*INDEX(Controls!$B$21:$H$21,1,WEEKDAY($A262,2))*(1+Controls!$B$11)^260*(1+Controls!H$25*Smooth!$L262)*(1+Controls!H$26*Smooth!$M262)*(1+Controls!H$27*Smooth!$N262)*(1+Controls!H$28*Smooth!$O262)),2))</f>
        <v/>
      </c>
      <c r="D262" s="10" t="str">
        <f t="array" ref="D262">IF(OR($A262="",3&gt;Controls!$B$6),"",ROUND(MAX(0,Smooth!D262*Controls!D$17*INDEX(Controls!$B$21:$H$21,1,WEEKDAY($A262,2))*(1+Controls!$B$11)^260*(1+Controls!I$25*Smooth!$L262)*(1+Controls!I$26*Smooth!$M262)*(1+Controls!I$27*Smooth!$N262)*(1+Controls!I$28*Smooth!$O262)),2))</f>
        <v/>
      </c>
      <c r="E262" s="10" t="str">
        <f t="array" ref="E262">IF(OR($A262="",4&gt;Controls!$B$6),"",ROUND(MAX(0,Smooth!E262*Controls!E$17*INDEX(Controls!$B$21:$H$21,1,WEEKDAY($A262,2))*(1+Controls!$B$11)^260*(1+Controls!J$25*Smooth!$L262)*(1+Controls!J$26*Smooth!$M262)*(1+Controls!J$27*Smooth!$N262)*(1+Controls!J$28*Smooth!$O262)),2))</f>
        <v/>
      </c>
      <c r="F262" s="10" t="str">
        <f t="array" ref="F262">IF(OR($A262="",5&gt;Controls!$B$6),"",ROUND(MAX(0,Smooth!F262*Controls!F$17*INDEX(Controls!$B$21:$H$21,1,WEEKDAY($A262,2))*(1+Controls!$B$11)^260*(1+Controls!K$25*Smooth!$L262)*(1+Controls!K$26*Smooth!$M262)*(1+Controls!K$27*Smooth!$N262)*(1+Controls!K$28*Smooth!$O262)),2))</f>
        <v/>
      </c>
      <c r="G262" s="10" t="str">
        <f t="array" ref="G262">IF(OR($A262="",6&gt;Controls!$B$6),"",ROUND(MAX(0,Smooth!G262*Controls!G$17*INDEX(Controls!$B$21:$H$21,1,WEEKDAY($A262,2))*(1+Controls!$B$11)^260*(1+Controls!L$25*Smooth!$L262)*(1+Controls!L$26*Smooth!$M262)*(1+Controls!L$27*Smooth!$N262)*(1+Controls!L$28*Smooth!$O262)),2))</f>
        <v/>
      </c>
      <c r="H262" s="10" t="str">
        <f t="array" ref="H262">IF(OR($A262="",7&gt;Controls!$B$6),"",ROUND(MAX(0,Smooth!H262*Controls!H$17*INDEX(Controls!$B$21:$H$21,1,WEEKDAY($A262,2))*(1+Controls!$B$11)^260*(1+Controls!M$25*Smooth!$L262)*(1+Controls!M$26*Smooth!$M262)*(1+Controls!M$27*Smooth!$N262)*(1+Controls!M$28*Smooth!$O262)),2))</f>
        <v/>
      </c>
      <c r="I262" s="10" t="str">
        <f t="array" ref="I262">IF(OR($A262="",8&gt;Controls!$B$6),"",ROUND(MAX(0,Smooth!I262*Controls!I$17*INDEX(Controls!$B$21:$H$21,1,WEEKDAY($A262,2))*(1+Controls!$B$11)^260*(1+Controls!N$25*Smooth!$L262)*(1+Controls!N$26*Smooth!$M262)*(1+Controls!N$27*Smooth!$N262)*(1+Controls!N$28*Smooth!$O262)),2))</f>
        <v/>
      </c>
      <c r="J262" s="10" t="str">
        <f t="array" ref="J262">IF(OR($A262="",9&gt;Controls!$B$6),"",ROUND(MAX(0,Smooth!J262*Controls!J$17*INDEX(Controls!$B$21:$H$21,1,WEEKDAY($A262,2))*(1+Controls!$B$11)^260*(1+Controls!O$25*Smooth!$L262)*(1+Controls!O$26*Smooth!$M262)*(1+Controls!O$27*Smooth!$N262)*(1+Controls!O$28*Smooth!$O262)),2))</f>
        <v/>
      </c>
      <c r="K262" s="10" t="str">
        <f t="array" ref="K262">IF(OR($A262="",10&gt;Controls!$B$6),"",ROUND(MAX(0,Smooth!K262*Controls!K$17*INDEX(Controls!$B$21:$H$21,1,WEEKDAY($A262,2))*(1+Controls!$B$11)^260*(1+Controls!P$25*Smooth!$L262)*(1+Controls!P$26*Smooth!$M262)*(1+Controls!P$27*Smooth!$N262)*(1+Controls!P$28*Smooth!$O262)),2))</f>
        <v/>
      </c>
      <c r="L262" s="18" t="str">
        <f t="shared" si="1"/>
        <v/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21.0" customHeight="1">
      <c r="A263" s="7" t="str">
        <f>IF(262&lt;=Controls!$B$5,Controls!$B$4+261,"")</f>
        <v/>
      </c>
      <c r="B263" s="10" t="str">
        <f t="array" ref="B263">IF(OR($A263="",1&gt;Controls!$B$6),"",ROUND(MAX(0,Smooth!B263*Controls!B$17*INDEX(Controls!$B$21:$H$21,1,WEEKDAY($A263,2))*(1+Controls!$B$11)^261*(1+Controls!G$25*Smooth!$L263)*(1+Controls!G$26*Smooth!$M263)*(1+Controls!G$27*Smooth!$N263)*(1+Controls!G$28*Smooth!$O263)),2))</f>
        <v/>
      </c>
      <c r="C263" s="10" t="str">
        <f t="array" ref="C263">IF(OR($A263="",2&gt;Controls!$B$6),"",ROUND(MAX(0,Smooth!C263*Controls!C$17*INDEX(Controls!$B$21:$H$21,1,WEEKDAY($A263,2))*(1+Controls!$B$11)^261*(1+Controls!H$25*Smooth!$L263)*(1+Controls!H$26*Smooth!$M263)*(1+Controls!H$27*Smooth!$N263)*(1+Controls!H$28*Smooth!$O263)),2))</f>
        <v/>
      </c>
      <c r="D263" s="10" t="str">
        <f t="array" ref="D263">IF(OR($A263="",3&gt;Controls!$B$6),"",ROUND(MAX(0,Smooth!D263*Controls!D$17*INDEX(Controls!$B$21:$H$21,1,WEEKDAY($A263,2))*(1+Controls!$B$11)^261*(1+Controls!I$25*Smooth!$L263)*(1+Controls!I$26*Smooth!$M263)*(1+Controls!I$27*Smooth!$N263)*(1+Controls!I$28*Smooth!$O263)),2))</f>
        <v/>
      </c>
      <c r="E263" s="10" t="str">
        <f t="array" ref="E263">IF(OR($A263="",4&gt;Controls!$B$6),"",ROUND(MAX(0,Smooth!E263*Controls!E$17*INDEX(Controls!$B$21:$H$21,1,WEEKDAY($A263,2))*(1+Controls!$B$11)^261*(1+Controls!J$25*Smooth!$L263)*(1+Controls!J$26*Smooth!$M263)*(1+Controls!J$27*Smooth!$N263)*(1+Controls!J$28*Smooth!$O263)),2))</f>
        <v/>
      </c>
      <c r="F263" s="10" t="str">
        <f t="array" ref="F263">IF(OR($A263="",5&gt;Controls!$B$6),"",ROUND(MAX(0,Smooth!F263*Controls!F$17*INDEX(Controls!$B$21:$H$21,1,WEEKDAY($A263,2))*(1+Controls!$B$11)^261*(1+Controls!K$25*Smooth!$L263)*(1+Controls!K$26*Smooth!$M263)*(1+Controls!K$27*Smooth!$N263)*(1+Controls!K$28*Smooth!$O263)),2))</f>
        <v/>
      </c>
      <c r="G263" s="10" t="str">
        <f t="array" ref="G263">IF(OR($A263="",6&gt;Controls!$B$6),"",ROUND(MAX(0,Smooth!G263*Controls!G$17*INDEX(Controls!$B$21:$H$21,1,WEEKDAY($A263,2))*(1+Controls!$B$11)^261*(1+Controls!L$25*Smooth!$L263)*(1+Controls!L$26*Smooth!$M263)*(1+Controls!L$27*Smooth!$N263)*(1+Controls!L$28*Smooth!$O263)),2))</f>
        <v/>
      </c>
      <c r="H263" s="10" t="str">
        <f t="array" ref="H263">IF(OR($A263="",7&gt;Controls!$B$6),"",ROUND(MAX(0,Smooth!H263*Controls!H$17*INDEX(Controls!$B$21:$H$21,1,WEEKDAY($A263,2))*(1+Controls!$B$11)^261*(1+Controls!M$25*Smooth!$L263)*(1+Controls!M$26*Smooth!$M263)*(1+Controls!M$27*Smooth!$N263)*(1+Controls!M$28*Smooth!$O263)),2))</f>
        <v/>
      </c>
      <c r="I263" s="10" t="str">
        <f t="array" ref="I263">IF(OR($A263="",8&gt;Controls!$B$6),"",ROUND(MAX(0,Smooth!I263*Controls!I$17*INDEX(Controls!$B$21:$H$21,1,WEEKDAY($A263,2))*(1+Controls!$B$11)^261*(1+Controls!N$25*Smooth!$L263)*(1+Controls!N$26*Smooth!$M263)*(1+Controls!N$27*Smooth!$N263)*(1+Controls!N$28*Smooth!$O263)),2))</f>
        <v/>
      </c>
      <c r="J263" s="10" t="str">
        <f t="array" ref="J263">IF(OR($A263="",9&gt;Controls!$B$6),"",ROUND(MAX(0,Smooth!J263*Controls!J$17*INDEX(Controls!$B$21:$H$21,1,WEEKDAY($A263,2))*(1+Controls!$B$11)^261*(1+Controls!O$25*Smooth!$L263)*(1+Controls!O$26*Smooth!$M263)*(1+Controls!O$27*Smooth!$N263)*(1+Controls!O$28*Smooth!$O263)),2))</f>
        <v/>
      </c>
      <c r="K263" s="10" t="str">
        <f t="array" ref="K263">IF(OR($A263="",10&gt;Controls!$B$6),"",ROUND(MAX(0,Smooth!K263*Controls!K$17*INDEX(Controls!$B$21:$H$21,1,WEEKDAY($A263,2))*(1+Controls!$B$11)^261*(1+Controls!P$25*Smooth!$L263)*(1+Controls!P$26*Smooth!$M263)*(1+Controls!P$27*Smooth!$N263)*(1+Controls!P$28*Smooth!$O263)),2))</f>
        <v/>
      </c>
      <c r="L263" s="18" t="str">
        <f t="shared" si="1"/>
        <v/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21.0" customHeight="1">
      <c r="A264" s="7" t="str">
        <f>IF(263&lt;=Controls!$B$5,Controls!$B$4+262,"")</f>
        <v/>
      </c>
      <c r="B264" s="10" t="str">
        <f t="array" ref="B264">IF(OR($A264="",1&gt;Controls!$B$6),"",ROUND(MAX(0,Smooth!B264*Controls!B$17*INDEX(Controls!$B$21:$H$21,1,WEEKDAY($A264,2))*(1+Controls!$B$11)^262*(1+Controls!G$25*Smooth!$L264)*(1+Controls!G$26*Smooth!$M264)*(1+Controls!G$27*Smooth!$N264)*(1+Controls!G$28*Smooth!$O264)),2))</f>
        <v/>
      </c>
      <c r="C264" s="10" t="str">
        <f t="array" ref="C264">IF(OR($A264="",2&gt;Controls!$B$6),"",ROUND(MAX(0,Smooth!C264*Controls!C$17*INDEX(Controls!$B$21:$H$21,1,WEEKDAY($A264,2))*(1+Controls!$B$11)^262*(1+Controls!H$25*Smooth!$L264)*(1+Controls!H$26*Smooth!$M264)*(1+Controls!H$27*Smooth!$N264)*(1+Controls!H$28*Smooth!$O264)),2))</f>
        <v/>
      </c>
      <c r="D264" s="10" t="str">
        <f t="array" ref="D264">IF(OR($A264="",3&gt;Controls!$B$6),"",ROUND(MAX(0,Smooth!D264*Controls!D$17*INDEX(Controls!$B$21:$H$21,1,WEEKDAY($A264,2))*(1+Controls!$B$11)^262*(1+Controls!I$25*Smooth!$L264)*(1+Controls!I$26*Smooth!$M264)*(1+Controls!I$27*Smooth!$N264)*(1+Controls!I$28*Smooth!$O264)),2))</f>
        <v/>
      </c>
      <c r="E264" s="10" t="str">
        <f t="array" ref="E264">IF(OR($A264="",4&gt;Controls!$B$6),"",ROUND(MAX(0,Smooth!E264*Controls!E$17*INDEX(Controls!$B$21:$H$21,1,WEEKDAY($A264,2))*(1+Controls!$B$11)^262*(1+Controls!J$25*Smooth!$L264)*(1+Controls!J$26*Smooth!$M264)*(1+Controls!J$27*Smooth!$N264)*(1+Controls!J$28*Smooth!$O264)),2))</f>
        <v/>
      </c>
      <c r="F264" s="10" t="str">
        <f t="array" ref="F264">IF(OR($A264="",5&gt;Controls!$B$6),"",ROUND(MAX(0,Smooth!F264*Controls!F$17*INDEX(Controls!$B$21:$H$21,1,WEEKDAY($A264,2))*(1+Controls!$B$11)^262*(1+Controls!K$25*Smooth!$L264)*(1+Controls!K$26*Smooth!$M264)*(1+Controls!K$27*Smooth!$N264)*(1+Controls!K$28*Smooth!$O264)),2))</f>
        <v/>
      </c>
      <c r="G264" s="10" t="str">
        <f t="array" ref="G264">IF(OR($A264="",6&gt;Controls!$B$6),"",ROUND(MAX(0,Smooth!G264*Controls!G$17*INDEX(Controls!$B$21:$H$21,1,WEEKDAY($A264,2))*(1+Controls!$B$11)^262*(1+Controls!L$25*Smooth!$L264)*(1+Controls!L$26*Smooth!$M264)*(1+Controls!L$27*Smooth!$N264)*(1+Controls!L$28*Smooth!$O264)),2))</f>
        <v/>
      </c>
      <c r="H264" s="10" t="str">
        <f t="array" ref="H264">IF(OR($A264="",7&gt;Controls!$B$6),"",ROUND(MAX(0,Smooth!H264*Controls!H$17*INDEX(Controls!$B$21:$H$21,1,WEEKDAY($A264,2))*(1+Controls!$B$11)^262*(1+Controls!M$25*Smooth!$L264)*(1+Controls!M$26*Smooth!$M264)*(1+Controls!M$27*Smooth!$N264)*(1+Controls!M$28*Smooth!$O264)),2))</f>
        <v/>
      </c>
      <c r="I264" s="10" t="str">
        <f t="array" ref="I264">IF(OR($A264="",8&gt;Controls!$B$6),"",ROUND(MAX(0,Smooth!I264*Controls!I$17*INDEX(Controls!$B$21:$H$21,1,WEEKDAY($A264,2))*(1+Controls!$B$11)^262*(1+Controls!N$25*Smooth!$L264)*(1+Controls!N$26*Smooth!$M264)*(1+Controls!N$27*Smooth!$N264)*(1+Controls!N$28*Smooth!$O264)),2))</f>
        <v/>
      </c>
      <c r="J264" s="10" t="str">
        <f t="array" ref="J264">IF(OR($A264="",9&gt;Controls!$B$6),"",ROUND(MAX(0,Smooth!J264*Controls!J$17*INDEX(Controls!$B$21:$H$21,1,WEEKDAY($A264,2))*(1+Controls!$B$11)^262*(1+Controls!O$25*Smooth!$L264)*(1+Controls!O$26*Smooth!$M264)*(1+Controls!O$27*Smooth!$N264)*(1+Controls!O$28*Smooth!$O264)),2))</f>
        <v/>
      </c>
      <c r="K264" s="10" t="str">
        <f t="array" ref="K264">IF(OR($A264="",10&gt;Controls!$B$6),"",ROUND(MAX(0,Smooth!K264*Controls!K$17*INDEX(Controls!$B$21:$H$21,1,WEEKDAY($A264,2))*(1+Controls!$B$11)^262*(1+Controls!P$25*Smooth!$L264)*(1+Controls!P$26*Smooth!$M264)*(1+Controls!P$27*Smooth!$N264)*(1+Controls!P$28*Smooth!$O264)),2))</f>
        <v/>
      </c>
      <c r="L264" s="18" t="str">
        <f t="shared" si="1"/>
        <v/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21.0" customHeight="1">
      <c r="A265" s="7" t="str">
        <f>IF(264&lt;=Controls!$B$5,Controls!$B$4+263,"")</f>
        <v/>
      </c>
      <c r="B265" s="10" t="str">
        <f t="array" ref="B265">IF(OR($A265="",1&gt;Controls!$B$6),"",ROUND(MAX(0,Smooth!B265*Controls!B$17*INDEX(Controls!$B$21:$H$21,1,WEEKDAY($A265,2))*(1+Controls!$B$11)^263*(1+Controls!G$25*Smooth!$L265)*(1+Controls!G$26*Smooth!$M265)*(1+Controls!G$27*Smooth!$N265)*(1+Controls!G$28*Smooth!$O265)),2))</f>
        <v/>
      </c>
      <c r="C265" s="10" t="str">
        <f t="array" ref="C265">IF(OR($A265="",2&gt;Controls!$B$6),"",ROUND(MAX(0,Smooth!C265*Controls!C$17*INDEX(Controls!$B$21:$H$21,1,WEEKDAY($A265,2))*(1+Controls!$B$11)^263*(1+Controls!H$25*Smooth!$L265)*(1+Controls!H$26*Smooth!$M265)*(1+Controls!H$27*Smooth!$N265)*(1+Controls!H$28*Smooth!$O265)),2))</f>
        <v/>
      </c>
      <c r="D265" s="10" t="str">
        <f t="array" ref="D265">IF(OR($A265="",3&gt;Controls!$B$6),"",ROUND(MAX(0,Smooth!D265*Controls!D$17*INDEX(Controls!$B$21:$H$21,1,WEEKDAY($A265,2))*(1+Controls!$B$11)^263*(1+Controls!I$25*Smooth!$L265)*(1+Controls!I$26*Smooth!$M265)*(1+Controls!I$27*Smooth!$N265)*(1+Controls!I$28*Smooth!$O265)),2))</f>
        <v/>
      </c>
      <c r="E265" s="10" t="str">
        <f t="array" ref="E265">IF(OR($A265="",4&gt;Controls!$B$6),"",ROUND(MAX(0,Smooth!E265*Controls!E$17*INDEX(Controls!$B$21:$H$21,1,WEEKDAY($A265,2))*(1+Controls!$B$11)^263*(1+Controls!J$25*Smooth!$L265)*(1+Controls!J$26*Smooth!$M265)*(1+Controls!J$27*Smooth!$N265)*(1+Controls!J$28*Smooth!$O265)),2))</f>
        <v/>
      </c>
      <c r="F265" s="10" t="str">
        <f t="array" ref="F265">IF(OR($A265="",5&gt;Controls!$B$6),"",ROUND(MAX(0,Smooth!F265*Controls!F$17*INDEX(Controls!$B$21:$H$21,1,WEEKDAY($A265,2))*(1+Controls!$B$11)^263*(1+Controls!K$25*Smooth!$L265)*(1+Controls!K$26*Smooth!$M265)*(1+Controls!K$27*Smooth!$N265)*(1+Controls!K$28*Smooth!$O265)),2))</f>
        <v/>
      </c>
      <c r="G265" s="10" t="str">
        <f t="array" ref="G265">IF(OR($A265="",6&gt;Controls!$B$6),"",ROUND(MAX(0,Smooth!G265*Controls!G$17*INDEX(Controls!$B$21:$H$21,1,WEEKDAY($A265,2))*(1+Controls!$B$11)^263*(1+Controls!L$25*Smooth!$L265)*(1+Controls!L$26*Smooth!$M265)*(1+Controls!L$27*Smooth!$N265)*(1+Controls!L$28*Smooth!$O265)),2))</f>
        <v/>
      </c>
      <c r="H265" s="10" t="str">
        <f t="array" ref="H265">IF(OR($A265="",7&gt;Controls!$B$6),"",ROUND(MAX(0,Smooth!H265*Controls!H$17*INDEX(Controls!$B$21:$H$21,1,WEEKDAY($A265,2))*(1+Controls!$B$11)^263*(1+Controls!M$25*Smooth!$L265)*(1+Controls!M$26*Smooth!$M265)*(1+Controls!M$27*Smooth!$N265)*(1+Controls!M$28*Smooth!$O265)),2))</f>
        <v/>
      </c>
      <c r="I265" s="10" t="str">
        <f t="array" ref="I265">IF(OR($A265="",8&gt;Controls!$B$6),"",ROUND(MAX(0,Smooth!I265*Controls!I$17*INDEX(Controls!$B$21:$H$21,1,WEEKDAY($A265,2))*(1+Controls!$B$11)^263*(1+Controls!N$25*Smooth!$L265)*(1+Controls!N$26*Smooth!$M265)*(1+Controls!N$27*Smooth!$N265)*(1+Controls!N$28*Smooth!$O265)),2))</f>
        <v/>
      </c>
      <c r="J265" s="10" t="str">
        <f t="array" ref="J265">IF(OR($A265="",9&gt;Controls!$B$6),"",ROUND(MAX(0,Smooth!J265*Controls!J$17*INDEX(Controls!$B$21:$H$21,1,WEEKDAY($A265,2))*(1+Controls!$B$11)^263*(1+Controls!O$25*Smooth!$L265)*(1+Controls!O$26*Smooth!$M265)*(1+Controls!O$27*Smooth!$N265)*(1+Controls!O$28*Smooth!$O265)),2))</f>
        <v/>
      </c>
      <c r="K265" s="10" t="str">
        <f t="array" ref="K265">IF(OR($A265="",10&gt;Controls!$B$6),"",ROUND(MAX(0,Smooth!K265*Controls!K$17*INDEX(Controls!$B$21:$H$21,1,WEEKDAY($A265,2))*(1+Controls!$B$11)^263*(1+Controls!P$25*Smooth!$L265)*(1+Controls!P$26*Smooth!$M265)*(1+Controls!P$27*Smooth!$N265)*(1+Controls!P$28*Smooth!$O265)),2))</f>
        <v/>
      </c>
      <c r="L265" s="18" t="str">
        <f t="shared" si="1"/>
        <v/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21.0" customHeight="1">
      <c r="A266" s="7" t="str">
        <f>IF(265&lt;=Controls!$B$5,Controls!$B$4+264,"")</f>
        <v/>
      </c>
      <c r="B266" s="10" t="str">
        <f t="array" ref="B266">IF(OR($A266="",1&gt;Controls!$B$6),"",ROUND(MAX(0,Smooth!B266*Controls!B$17*INDEX(Controls!$B$21:$H$21,1,WEEKDAY($A266,2))*(1+Controls!$B$11)^264*(1+Controls!G$25*Smooth!$L266)*(1+Controls!G$26*Smooth!$M266)*(1+Controls!G$27*Smooth!$N266)*(1+Controls!G$28*Smooth!$O266)),2))</f>
        <v/>
      </c>
      <c r="C266" s="10" t="str">
        <f t="array" ref="C266">IF(OR($A266="",2&gt;Controls!$B$6),"",ROUND(MAX(0,Smooth!C266*Controls!C$17*INDEX(Controls!$B$21:$H$21,1,WEEKDAY($A266,2))*(1+Controls!$B$11)^264*(1+Controls!H$25*Smooth!$L266)*(1+Controls!H$26*Smooth!$M266)*(1+Controls!H$27*Smooth!$N266)*(1+Controls!H$28*Smooth!$O266)),2))</f>
        <v/>
      </c>
      <c r="D266" s="10" t="str">
        <f t="array" ref="D266">IF(OR($A266="",3&gt;Controls!$B$6),"",ROUND(MAX(0,Smooth!D266*Controls!D$17*INDEX(Controls!$B$21:$H$21,1,WEEKDAY($A266,2))*(1+Controls!$B$11)^264*(1+Controls!I$25*Smooth!$L266)*(1+Controls!I$26*Smooth!$M266)*(1+Controls!I$27*Smooth!$N266)*(1+Controls!I$28*Smooth!$O266)),2))</f>
        <v/>
      </c>
      <c r="E266" s="10" t="str">
        <f t="array" ref="E266">IF(OR($A266="",4&gt;Controls!$B$6),"",ROUND(MAX(0,Smooth!E266*Controls!E$17*INDEX(Controls!$B$21:$H$21,1,WEEKDAY($A266,2))*(1+Controls!$B$11)^264*(1+Controls!J$25*Smooth!$L266)*(1+Controls!J$26*Smooth!$M266)*(1+Controls!J$27*Smooth!$N266)*(1+Controls!J$28*Smooth!$O266)),2))</f>
        <v/>
      </c>
      <c r="F266" s="10" t="str">
        <f t="array" ref="F266">IF(OR($A266="",5&gt;Controls!$B$6),"",ROUND(MAX(0,Smooth!F266*Controls!F$17*INDEX(Controls!$B$21:$H$21,1,WEEKDAY($A266,2))*(1+Controls!$B$11)^264*(1+Controls!K$25*Smooth!$L266)*(1+Controls!K$26*Smooth!$M266)*(1+Controls!K$27*Smooth!$N266)*(1+Controls!K$28*Smooth!$O266)),2))</f>
        <v/>
      </c>
      <c r="G266" s="10" t="str">
        <f t="array" ref="G266">IF(OR($A266="",6&gt;Controls!$B$6),"",ROUND(MAX(0,Smooth!G266*Controls!G$17*INDEX(Controls!$B$21:$H$21,1,WEEKDAY($A266,2))*(1+Controls!$B$11)^264*(1+Controls!L$25*Smooth!$L266)*(1+Controls!L$26*Smooth!$M266)*(1+Controls!L$27*Smooth!$N266)*(1+Controls!L$28*Smooth!$O266)),2))</f>
        <v/>
      </c>
      <c r="H266" s="10" t="str">
        <f t="array" ref="H266">IF(OR($A266="",7&gt;Controls!$B$6),"",ROUND(MAX(0,Smooth!H266*Controls!H$17*INDEX(Controls!$B$21:$H$21,1,WEEKDAY($A266,2))*(1+Controls!$B$11)^264*(1+Controls!M$25*Smooth!$L266)*(1+Controls!M$26*Smooth!$M266)*(1+Controls!M$27*Smooth!$N266)*(1+Controls!M$28*Smooth!$O266)),2))</f>
        <v/>
      </c>
      <c r="I266" s="10" t="str">
        <f t="array" ref="I266">IF(OR($A266="",8&gt;Controls!$B$6),"",ROUND(MAX(0,Smooth!I266*Controls!I$17*INDEX(Controls!$B$21:$H$21,1,WEEKDAY($A266,2))*(1+Controls!$B$11)^264*(1+Controls!N$25*Smooth!$L266)*(1+Controls!N$26*Smooth!$M266)*(1+Controls!N$27*Smooth!$N266)*(1+Controls!N$28*Smooth!$O266)),2))</f>
        <v/>
      </c>
      <c r="J266" s="10" t="str">
        <f t="array" ref="J266">IF(OR($A266="",9&gt;Controls!$B$6),"",ROUND(MAX(0,Smooth!J266*Controls!J$17*INDEX(Controls!$B$21:$H$21,1,WEEKDAY($A266,2))*(1+Controls!$B$11)^264*(1+Controls!O$25*Smooth!$L266)*(1+Controls!O$26*Smooth!$M266)*(1+Controls!O$27*Smooth!$N266)*(1+Controls!O$28*Smooth!$O266)),2))</f>
        <v/>
      </c>
      <c r="K266" s="10" t="str">
        <f t="array" ref="K266">IF(OR($A266="",10&gt;Controls!$B$6),"",ROUND(MAX(0,Smooth!K266*Controls!K$17*INDEX(Controls!$B$21:$H$21,1,WEEKDAY($A266,2))*(1+Controls!$B$11)^264*(1+Controls!P$25*Smooth!$L266)*(1+Controls!P$26*Smooth!$M266)*(1+Controls!P$27*Smooth!$N266)*(1+Controls!P$28*Smooth!$O266)),2))</f>
        <v/>
      </c>
      <c r="L266" s="18" t="str">
        <f t="shared" si="1"/>
        <v/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21.0" customHeight="1">
      <c r="A267" s="7" t="str">
        <f>IF(266&lt;=Controls!$B$5,Controls!$B$4+265,"")</f>
        <v/>
      </c>
      <c r="B267" s="10" t="str">
        <f t="array" ref="B267">IF(OR($A267="",1&gt;Controls!$B$6),"",ROUND(MAX(0,Smooth!B267*Controls!B$17*INDEX(Controls!$B$21:$H$21,1,WEEKDAY($A267,2))*(1+Controls!$B$11)^265*(1+Controls!G$25*Smooth!$L267)*(1+Controls!G$26*Smooth!$M267)*(1+Controls!G$27*Smooth!$N267)*(1+Controls!G$28*Smooth!$O267)),2))</f>
        <v/>
      </c>
      <c r="C267" s="10" t="str">
        <f t="array" ref="C267">IF(OR($A267="",2&gt;Controls!$B$6),"",ROUND(MAX(0,Smooth!C267*Controls!C$17*INDEX(Controls!$B$21:$H$21,1,WEEKDAY($A267,2))*(1+Controls!$B$11)^265*(1+Controls!H$25*Smooth!$L267)*(1+Controls!H$26*Smooth!$M267)*(1+Controls!H$27*Smooth!$N267)*(1+Controls!H$28*Smooth!$O267)),2))</f>
        <v/>
      </c>
      <c r="D267" s="10" t="str">
        <f t="array" ref="D267">IF(OR($A267="",3&gt;Controls!$B$6),"",ROUND(MAX(0,Smooth!D267*Controls!D$17*INDEX(Controls!$B$21:$H$21,1,WEEKDAY($A267,2))*(1+Controls!$B$11)^265*(1+Controls!I$25*Smooth!$L267)*(1+Controls!I$26*Smooth!$M267)*(1+Controls!I$27*Smooth!$N267)*(1+Controls!I$28*Smooth!$O267)),2))</f>
        <v/>
      </c>
      <c r="E267" s="10" t="str">
        <f t="array" ref="E267">IF(OR($A267="",4&gt;Controls!$B$6),"",ROUND(MAX(0,Smooth!E267*Controls!E$17*INDEX(Controls!$B$21:$H$21,1,WEEKDAY($A267,2))*(1+Controls!$B$11)^265*(1+Controls!J$25*Smooth!$L267)*(1+Controls!J$26*Smooth!$M267)*(1+Controls!J$27*Smooth!$N267)*(1+Controls!J$28*Smooth!$O267)),2))</f>
        <v/>
      </c>
      <c r="F267" s="10" t="str">
        <f t="array" ref="F267">IF(OR($A267="",5&gt;Controls!$B$6),"",ROUND(MAX(0,Smooth!F267*Controls!F$17*INDEX(Controls!$B$21:$H$21,1,WEEKDAY($A267,2))*(1+Controls!$B$11)^265*(1+Controls!K$25*Smooth!$L267)*(1+Controls!K$26*Smooth!$M267)*(1+Controls!K$27*Smooth!$N267)*(1+Controls!K$28*Smooth!$O267)),2))</f>
        <v/>
      </c>
      <c r="G267" s="10" t="str">
        <f t="array" ref="G267">IF(OR($A267="",6&gt;Controls!$B$6),"",ROUND(MAX(0,Smooth!G267*Controls!G$17*INDEX(Controls!$B$21:$H$21,1,WEEKDAY($A267,2))*(1+Controls!$B$11)^265*(1+Controls!L$25*Smooth!$L267)*(1+Controls!L$26*Smooth!$M267)*(1+Controls!L$27*Smooth!$N267)*(1+Controls!L$28*Smooth!$O267)),2))</f>
        <v/>
      </c>
      <c r="H267" s="10" t="str">
        <f t="array" ref="H267">IF(OR($A267="",7&gt;Controls!$B$6),"",ROUND(MAX(0,Smooth!H267*Controls!H$17*INDEX(Controls!$B$21:$H$21,1,WEEKDAY($A267,2))*(1+Controls!$B$11)^265*(1+Controls!M$25*Smooth!$L267)*(1+Controls!M$26*Smooth!$M267)*(1+Controls!M$27*Smooth!$N267)*(1+Controls!M$28*Smooth!$O267)),2))</f>
        <v/>
      </c>
      <c r="I267" s="10" t="str">
        <f t="array" ref="I267">IF(OR($A267="",8&gt;Controls!$B$6),"",ROUND(MAX(0,Smooth!I267*Controls!I$17*INDEX(Controls!$B$21:$H$21,1,WEEKDAY($A267,2))*(1+Controls!$B$11)^265*(1+Controls!N$25*Smooth!$L267)*(1+Controls!N$26*Smooth!$M267)*(1+Controls!N$27*Smooth!$N267)*(1+Controls!N$28*Smooth!$O267)),2))</f>
        <v/>
      </c>
      <c r="J267" s="10" t="str">
        <f t="array" ref="J267">IF(OR($A267="",9&gt;Controls!$B$6),"",ROUND(MAX(0,Smooth!J267*Controls!J$17*INDEX(Controls!$B$21:$H$21,1,WEEKDAY($A267,2))*(1+Controls!$B$11)^265*(1+Controls!O$25*Smooth!$L267)*(1+Controls!O$26*Smooth!$M267)*(1+Controls!O$27*Smooth!$N267)*(1+Controls!O$28*Smooth!$O267)),2))</f>
        <v/>
      </c>
      <c r="K267" s="10" t="str">
        <f t="array" ref="K267">IF(OR($A267="",10&gt;Controls!$B$6),"",ROUND(MAX(0,Smooth!K267*Controls!K$17*INDEX(Controls!$B$21:$H$21,1,WEEKDAY($A267,2))*(1+Controls!$B$11)^265*(1+Controls!P$25*Smooth!$L267)*(1+Controls!P$26*Smooth!$M267)*(1+Controls!P$27*Smooth!$N267)*(1+Controls!P$28*Smooth!$O267)),2))</f>
        <v/>
      </c>
      <c r="L267" s="18" t="str">
        <f t="shared" si="1"/>
        <v/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21.0" customHeight="1">
      <c r="A268" s="7" t="str">
        <f>IF(267&lt;=Controls!$B$5,Controls!$B$4+266,"")</f>
        <v/>
      </c>
      <c r="B268" s="10" t="str">
        <f t="array" ref="B268">IF(OR($A268="",1&gt;Controls!$B$6),"",ROUND(MAX(0,Smooth!B268*Controls!B$17*INDEX(Controls!$B$21:$H$21,1,WEEKDAY($A268,2))*(1+Controls!$B$11)^266*(1+Controls!G$25*Smooth!$L268)*(1+Controls!G$26*Smooth!$M268)*(1+Controls!G$27*Smooth!$N268)*(1+Controls!G$28*Smooth!$O268)),2))</f>
        <v/>
      </c>
      <c r="C268" s="10" t="str">
        <f t="array" ref="C268">IF(OR($A268="",2&gt;Controls!$B$6),"",ROUND(MAX(0,Smooth!C268*Controls!C$17*INDEX(Controls!$B$21:$H$21,1,WEEKDAY($A268,2))*(1+Controls!$B$11)^266*(1+Controls!H$25*Smooth!$L268)*(1+Controls!H$26*Smooth!$M268)*(1+Controls!H$27*Smooth!$N268)*(1+Controls!H$28*Smooth!$O268)),2))</f>
        <v/>
      </c>
      <c r="D268" s="10" t="str">
        <f t="array" ref="D268">IF(OR($A268="",3&gt;Controls!$B$6),"",ROUND(MAX(0,Smooth!D268*Controls!D$17*INDEX(Controls!$B$21:$H$21,1,WEEKDAY($A268,2))*(1+Controls!$B$11)^266*(1+Controls!I$25*Smooth!$L268)*(1+Controls!I$26*Smooth!$M268)*(1+Controls!I$27*Smooth!$N268)*(1+Controls!I$28*Smooth!$O268)),2))</f>
        <v/>
      </c>
      <c r="E268" s="10" t="str">
        <f t="array" ref="E268">IF(OR($A268="",4&gt;Controls!$B$6),"",ROUND(MAX(0,Smooth!E268*Controls!E$17*INDEX(Controls!$B$21:$H$21,1,WEEKDAY($A268,2))*(1+Controls!$B$11)^266*(1+Controls!J$25*Smooth!$L268)*(1+Controls!J$26*Smooth!$M268)*(1+Controls!J$27*Smooth!$N268)*(1+Controls!J$28*Smooth!$O268)),2))</f>
        <v/>
      </c>
      <c r="F268" s="10" t="str">
        <f t="array" ref="F268">IF(OR($A268="",5&gt;Controls!$B$6),"",ROUND(MAX(0,Smooth!F268*Controls!F$17*INDEX(Controls!$B$21:$H$21,1,WEEKDAY($A268,2))*(1+Controls!$B$11)^266*(1+Controls!K$25*Smooth!$L268)*(1+Controls!K$26*Smooth!$M268)*(1+Controls!K$27*Smooth!$N268)*(1+Controls!K$28*Smooth!$O268)),2))</f>
        <v/>
      </c>
      <c r="G268" s="10" t="str">
        <f t="array" ref="G268">IF(OR($A268="",6&gt;Controls!$B$6),"",ROUND(MAX(0,Smooth!G268*Controls!G$17*INDEX(Controls!$B$21:$H$21,1,WEEKDAY($A268,2))*(1+Controls!$B$11)^266*(1+Controls!L$25*Smooth!$L268)*(1+Controls!L$26*Smooth!$M268)*(1+Controls!L$27*Smooth!$N268)*(1+Controls!L$28*Smooth!$O268)),2))</f>
        <v/>
      </c>
      <c r="H268" s="10" t="str">
        <f t="array" ref="H268">IF(OR($A268="",7&gt;Controls!$B$6),"",ROUND(MAX(0,Smooth!H268*Controls!H$17*INDEX(Controls!$B$21:$H$21,1,WEEKDAY($A268,2))*(1+Controls!$B$11)^266*(1+Controls!M$25*Smooth!$L268)*(1+Controls!M$26*Smooth!$M268)*(1+Controls!M$27*Smooth!$N268)*(1+Controls!M$28*Smooth!$O268)),2))</f>
        <v/>
      </c>
      <c r="I268" s="10" t="str">
        <f t="array" ref="I268">IF(OR($A268="",8&gt;Controls!$B$6),"",ROUND(MAX(0,Smooth!I268*Controls!I$17*INDEX(Controls!$B$21:$H$21,1,WEEKDAY($A268,2))*(1+Controls!$B$11)^266*(1+Controls!N$25*Smooth!$L268)*(1+Controls!N$26*Smooth!$M268)*(1+Controls!N$27*Smooth!$N268)*(1+Controls!N$28*Smooth!$O268)),2))</f>
        <v/>
      </c>
      <c r="J268" s="10" t="str">
        <f t="array" ref="J268">IF(OR($A268="",9&gt;Controls!$B$6),"",ROUND(MAX(0,Smooth!J268*Controls!J$17*INDEX(Controls!$B$21:$H$21,1,WEEKDAY($A268,2))*(1+Controls!$B$11)^266*(1+Controls!O$25*Smooth!$L268)*(1+Controls!O$26*Smooth!$M268)*(1+Controls!O$27*Smooth!$N268)*(1+Controls!O$28*Smooth!$O268)),2))</f>
        <v/>
      </c>
      <c r="K268" s="10" t="str">
        <f t="array" ref="K268">IF(OR($A268="",10&gt;Controls!$B$6),"",ROUND(MAX(0,Smooth!K268*Controls!K$17*INDEX(Controls!$B$21:$H$21,1,WEEKDAY($A268,2))*(1+Controls!$B$11)^266*(1+Controls!P$25*Smooth!$L268)*(1+Controls!P$26*Smooth!$M268)*(1+Controls!P$27*Smooth!$N268)*(1+Controls!P$28*Smooth!$O268)),2))</f>
        <v/>
      </c>
      <c r="L268" s="18" t="str">
        <f t="shared" si="1"/>
        <v/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21.0" customHeight="1">
      <c r="A269" s="7" t="str">
        <f>IF(268&lt;=Controls!$B$5,Controls!$B$4+267,"")</f>
        <v/>
      </c>
      <c r="B269" s="10" t="str">
        <f t="array" ref="B269">IF(OR($A269="",1&gt;Controls!$B$6),"",ROUND(MAX(0,Smooth!B269*Controls!B$17*INDEX(Controls!$B$21:$H$21,1,WEEKDAY($A269,2))*(1+Controls!$B$11)^267*(1+Controls!G$25*Smooth!$L269)*(1+Controls!G$26*Smooth!$M269)*(1+Controls!G$27*Smooth!$N269)*(1+Controls!G$28*Smooth!$O269)),2))</f>
        <v/>
      </c>
      <c r="C269" s="10" t="str">
        <f t="array" ref="C269">IF(OR($A269="",2&gt;Controls!$B$6),"",ROUND(MAX(0,Smooth!C269*Controls!C$17*INDEX(Controls!$B$21:$H$21,1,WEEKDAY($A269,2))*(1+Controls!$B$11)^267*(1+Controls!H$25*Smooth!$L269)*(1+Controls!H$26*Smooth!$M269)*(1+Controls!H$27*Smooth!$N269)*(1+Controls!H$28*Smooth!$O269)),2))</f>
        <v/>
      </c>
      <c r="D269" s="10" t="str">
        <f t="array" ref="D269">IF(OR($A269="",3&gt;Controls!$B$6),"",ROUND(MAX(0,Smooth!D269*Controls!D$17*INDEX(Controls!$B$21:$H$21,1,WEEKDAY($A269,2))*(1+Controls!$B$11)^267*(1+Controls!I$25*Smooth!$L269)*(1+Controls!I$26*Smooth!$M269)*(1+Controls!I$27*Smooth!$N269)*(1+Controls!I$28*Smooth!$O269)),2))</f>
        <v/>
      </c>
      <c r="E269" s="10" t="str">
        <f t="array" ref="E269">IF(OR($A269="",4&gt;Controls!$B$6),"",ROUND(MAX(0,Smooth!E269*Controls!E$17*INDEX(Controls!$B$21:$H$21,1,WEEKDAY($A269,2))*(1+Controls!$B$11)^267*(1+Controls!J$25*Smooth!$L269)*(1+Controls!J$26*Smooth!$M269)*(1+Controls!J$27*Smooth!$N269)*(1+Controls!J$28*Smooth!$O269)),2))</f>
        <v/>
      </c>
      <c r="F269" s="10" t="str">
        <f t="array" ref="F269">IF(OR($A269="",5&gt;Controls!$B$6),"",ROUND(MAX(0,Smooth!F269*Controls!F$17*INDEX(Controls!$B$21:$H$21,1,WEEKDAY($A269,2))*(1+Controls!$B$11)^267*(1+Controls!K$25*Smooth!$L269)*(1+Controls!K$26*Smooth!$M269)*(1+Controls!K$27*Smooth!$N269)*(1+Controls!K$28*Smooth!$O269)),2))</f>
        <v/>
      </c>
      <c r="G269" s="10" t="str">
        <f t="array" ref="G269">IF(OR($A269="",6&gt;Controls!$B$6),"",ROUND(MAX(0,Smooth!G269*Controls!G$17*INDEX(Controls!$B$21:$H$21,1,WEEKDAY($A269,2))*(1+Controls!$B$11)^267*(1+Controls!L$25*Smooth!$L269)*(1+Controls!L$26*Smooth!$M269)*(1+Controls!L$27*Smooth!$N269)*(1+Controls!L$28*Smooth!$O269)),2))</f>
        <v/>
      </c>
      <c r="H269" s="10" t="str">
        <f t="array" ref="H269">IF(OR($A269="",7&gt;Controls!$B$6),"",ROUND(MAX(0,Smooth!H269*Controls!H$17*INDEX(Controls!$B$21:$H$21,1,WEEKDAY($A269,2))*(1+Controls!$B$11)^267*(1+Controls!M$25*Smooth!$L269)*(1+Controls!M$26*Smooth!$M269)*(1+Controls!M$27*Smooth!$N269)*(1+Controls!M$28*Smooth!$O269)),2))</f>
        <v/>
      </c>
      <c r="I269" s="10" t="str">
        <f t="array" ref="I269">IF(OR($A269="",8&gt;Controls!$B$6),"",ROUND(MAX(0,Smooth!I269*Controls!I$17*INDEX(Controls!$B$21:$H$21,1,WEEKDAY($A269,2))*(1+Controls!$B$11)^267*(1+Controls!N$25*Smooth!$L269)*(1+Controls!N$26*Smooth!$M269)*(1+Controls!N$27*Smooth!$N269)*(1+Controls!N$28*Smooth!$O269)),2))</f>
        <v/>
      </c>
      <c r="J269" s="10" t="str">
        <f t="array" ref="J269">IF(OR($A269="",9&gt;Controls!$B$6),"",ROUND(MAX(0,Smooth!J269*Controls!J$17*INDEX(Controls!$B$21:$H$21,1,WEEKDAY($A269,2))*(1+Controls!$B$11)^267*(1+Controls!O$25*Smooth!$L269)*(1+Controls!O$26*Smooth!$M269)*(1+Controls!O$27*Smooth!$N269)*(1+Controls!O$28*Smooth!$O269)),2))</f>
        <v/>
      </c>
      <c r="K269" s="10" t="str">
        <f t="array" ref="K269">IF(OR($A269="",10&gt;Controls!$B$6),"",ROUND(MAX(0,Smooth!K269*Controls!K$17*INDEX(Controls!$B$21:$H$21,1,WEEKDAY($A269,2))*(1+Controls!$B$11)^267*(1+Controls!P$25*Smooth!$L269)*(1+Controls!P$26*Smooth!$M269)*(1+Controls!P$27*Smooth!$N269)*(1+Controls!P$28*Smooth!$O269)),2))</f>
        <v/>
      </c>
      <c r="L269" s="18" t="str">
        <f t="shared" si="1"/>
        <v/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21.0" customHeight="1">
      <c r="A270" s="7" t="str">
        <f>IF(269&lt;=Controls!$B$5,Controls!$B$4+268,"")</f>
        <v/>
      </c>
      <c r="B270" s="10" t="str">
        <f t="array" ref="B270">IF(OR($A270="",1&gt;Controls!$B$6),"",ROUND(MAX(0,Smooth!B270*Controls!B$17*INDEX(Controls!$B$21:$H$21,1,WEEKDAY($A270,2))*(1+Controls!$B$11)^268*(1+Controls!G$25*Smooth!$L270)*(1+Controls!G$26*Smooth!$M270)*(1+Controls!G$27*Smooth!$N270)*(1+Controls!G$28*Smooth!$O270)),2))</f>
        <v/>
      </c>
      <c r="C270" s="10" t="str">
        <f t="array" ref="C270">IF(OR($A270="",2&gt;Controls!$B$6),"",ROUND(MAX(0,Smooth!C270*Controls!C$17*INDEX(Controls!$B$21:$H$21,1,WEEKDAY($A270,2))*(1+Controls!$B$11)^268*(1+Controls!H$25*Smooth!$L270)*(1+Controls!H$26*Smooth!$M270)*(1+Controls!H$27*Smooth!$N270)*(1+Controls!H$28*Smooth!$O270)),2))</f>
        <v/>
      </c>
      <c r="D270" s="10" t="str">
        <f t="array" ref="D270">IF(OR($A270="",3&gt;Controls!$B$6),"",ROUND(MAX(0,Smooth!D270*Controls!D$17*INDEX(Controls!$B$21:$H$21,1,WEEKDAY($A270,2))*(1+Controls!$B$11)^268*(1+Controls!I$25*Smooth!$L270)*(1+Controls!I$26*Smooth!$M270)*(1+Controls!I$27*Smooth!$N270)*(1+Controls!I$28*Smooth!$O270)),2))</f>
        <v/>
      </c>
      <c r="E270" s="10" t="str">
        <f t="array" ref="E270">IF(OR($A270="",4&gt;Controls!$B$6),"",ROUND(MAX(0,Smooth!E270*Controls!E$17*INDEX(Controls!$B$21:$H$21,1,WEEKDAY($A270,2))*(1+Controls!$B$11)^268*(1+Controls!J$25*Smooth!$L270)*(1+Controls!J$26*Smooth!$M270)*(1+Controls!J$27*Smooth!$N270)*(1+Controls!J$28*Smooth!$O270)),2))</f>
        <v/>
      </c>
      <c r="F270" s="10" t="str">
        <f t="array" ref="F270">IF(OR($A270="",5&gt;Controls!$B$6),"",ROUND(MAX(0,Smooth!F270*Controls!F$17*INDEX(Controls!$B$21:$H$21,1,WEEKDAY($A270,2))*(1+Controls!$B$11)^268*(1+Controls!K$25*Smooth!$L270)*(1+Controls!K$26*Smooth!$M270)*(1+Controls!K$27*Smooth!$N270)*(1+Controls!K$28*Smooth!$O270)),2))</f>
        <v/>
      </c>
      <c r="G270" s="10" t="str">
        <f t="array" ref="G270">IF(OR($A270="",6&gt;Controls!$B$6),"",ROUND(MAX(0,Smooth!G270*Controls!G$17*INDEX(Controls!$B$21:$H$21,1,WEEKDAY($A270,2))*(1+Controls!$B$11)^268*(1+Controls!L$25*Smooth!$L270)*(1+Controls!L$26*Smooth!$M270)*(1+Controls!L$27*Smooth!$N270)*(1+Controls!L$28*Smooth!$O270)),2))</f>
        <v/>
      </c>
      <c r="H270" s="10" t="str">
        <f t="array" ref="H270">IF(OR($A270="",7&gt;Controls!$B$6),"",ROUND(MAX(0,Smooth!H270*Controls!H$17*INDEX(Controls!$B$21:$H$21,1,WEEKDAY($A270,2))*(1+Controls!$B$11)^268*(1+Controls!M$25*Smooth!$L270)*(1+Controls!M$26*Smooth!$M270)*(1+Controls!M$27*Smooth!$N270)*(1+Controls!M$28*Smooth!$O270)),2))</f>
        <v/>
      </c>
      <c r="I270" s="10" t="str">
        <f t="array" ref="I270">IF(OR($A270="",8&gt;Controls!$B$6),"",ROUND(MAX(0,Smooth!I270*Controls!I$17*INDEX(Controls!$B$21:$H$21,1,WEEKDAY($A270,2))*(1+Controls!$B$11)^268*(1+Controls!N$25*Smooth!$L270)*(1+Controls!N$26*Smooth!$M270)*(1+Controls!N$27*Smooth!$N270)*(1+Controls!N$28*Smooth!$O270)),2))</f>
        <v/>
      </c>
      <c r="J270" s="10" t="str">
        <f t="array" ref="J270">IF(OR($A270="",9&gt;Controls!$B$6),"",ROUND(MAX(0,Smooth!J270*Controls!J$17*INDEX(Controls!$B$21:$H$21,1,WEEKDAY($A270,2))*(1+Controls!$B$11)^268*(1+Controls!O$25*Smooth!$L270)*(1+Controls!O$26*Smooth!$M270)*(1+Controls!O$27*Smooth!$N270)*(1+Controls!O$28*Smooth!$O270)),2))</f>
        <v/>
      </c>
      <c r="K270" s="10" t="str">
        <f t="array" ref="K270">IF(OR($A270="",10&gt;Controls!$B$6),"",ROUND(MAX(0,Smooth!K270*Controls!K$17*INDEX(Controls!$B$21:$H$21,1,WEEKDAY($A270,2))*(1+Controls!$B$11)^268*(1+Controls!P$25*Smooth!$L270)*(1+Controls!P$26*Smooth!$M270)*(1+Controls!P$27*Smooth!$N270)*(1+Controls!P$28*Smooth!$O270)),2))</f>
        <v/>
      </c>
      <c r="L270" s="18" t="str">
        <f t="shared" si="1"/>
        <v/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21.0" customHeight="1">
      <c r="A271" s="7" t="str">
        <f>IF(270&lt;=Controls!$B$5,Controls!$B$4+269,"")</f>
        <v/>
      </c>
      <c r="B271" s="10" t="str">
        <f t="array" ref="B271">IF(OR($A271="",1&gt;Controls!$B$6),"",ROUND(MAX(0,Smooth!B271*Controls!B$17*INDEX(Controls!$B$21:$H$21,1,WEEKDAY($A271,2))*(1+Controls!$B$11)^269*(1+Controls!G$25*Smooth!$L271)*(1+Controls!G$26*Smooth!$M271)*(1+Controls!G$27*Smooth!$N271)*(1+Controls!G$28*Smooth!$O271)),2))</f>
        <v/>
      </c>
      <c r="C271" s="10" t="str">
        <f t="array" ref="C271">IF(OR($A271="",2&gt;Controls!$B$6),"",ROUND(MAX(0,Smooth!C271*Controls!C$17*INDEX(Controls!$B$21:$H$21,1,WEEKDAY($A271,2))*(1+Controls!$B$11)^269*(1+Controls!H$25*Smooth!$L271)*(1+Controls!H$26*Smooth!$M271)*(1+Controls!H$27*Smooth!$N271)*(1+Controls!H$28*Smooth!$O271)),2))</f>
        <v/>
      </c>
      <c r="D271" s="10" t="str">
        <f t="array" ref="D271">IF(OR($A271="",3&gt;Controls!$B$6),"",ROUND(MAX(0,Smooth!D271*Controls!D$17*INDEX(Controls!$B$21:$H$21,1,WEEKDAY($A271,2))*(1+Controls!$B$11)^269*(1+Controls!I$25*Smooth!$L271)*(1+Controls!I$26*Smooth!$M271)*(1+Controls!I$27*Smooth!$N271)*(1+Controls!I$28*Smooth!$O271)),2))</f>
        <v/>
      </c>
      <c r="E271" s="10" t="str">
        <f t="array" ref="E271">IF(OR($A271="",4&gt;Controls!$B$6),"",ROUND(MAX(0,Smooth!E271*Controls!E$17*INDEX(Controls!$B$21:$H$21,1,WEEKDAY($A271,2))*(1+Controls!$B$11)^269*(1+Controls!J$25*Smooth!$L271)*(1+Controls!J$26*Smooth!$M271)*(1+Controls!J$27*Smooth!$N271)*(1+Controls!J$28*Smooth!$O271)),2))</f>
        <v/>
      </c>
      <c r="F271" s="10" t="str">
        <f t="array" ref="F271">IF(OR($A271="",5&gt;Controls!$B$6),"",ROUND(MAX(0,Smooth!F271*Controls!F$17*INDEX(Controls!$B$21:$H$21,1,WEEKDAY($A271,2))*(1+Controls!$B$11)^269*(1+Controls!K$25*Smooth!$L271)*(1+Controls!K$26*Smooth!$M271)*(1+Controls!K$27*Smooth!$N271)*(1+Controls!K$28*Smooth!$O271)),2))</f>
        <v/>
      </c>
      <c r="G271" s="10" t="str">
        <f t="array" ref="G271">IF(OR($A271="",6&gt;Controls!$B$6),"",ROUND(MAX(0,Smooth!G271*Controls!G$17*INDEX(Controls!$B$21:$H$21,1,WEEKDAY($A271,2))*(1+Controls!$B$11)^269*(1+Controls!L$25*Smooth!$L271)*(1+Controls!L$26*Smooth!$M271)*(1+Controls!L$27*Smooth!$N271)*(1+Controls!L$28*Smooth!$O271)),2))</f>
        <v/>
      </c>
      <c r="H271" s="10" t="str">
        <f t="array" ref="H271">IF(OR($A271="",7&gt;Controls!$B$6),"",ROUND(MAX(0,Smooth!H271*Controls!H$17*INDEX(Controls!$B$21:$H$21,1,WEEKDAY($A271,2))*(1+Controls!$B$11)^269*(1+Controls!M$25*Smooth!$L271)*(1+Controls!M$26*Smooth!$M271)*(1+Controls!M$27*Smooth!$N271)*(1+Controls!M$28*Smooth!$O271)),2))</f>
        <v/>
      </c>
      <c r="I271" s="10" t="str">
        <f t="array" ref="I271">IF(OR($A271="",8&gt;Controls!$B$6),"",ROUND(MAX(0,Smooth!I271*Controls!I$17*INDEX(Controls!$B$21:$H$21,1,WEEKDAY($A271,2))*(1+Controls!$B$11)^269*(1+Controls!N$25*Smooth!$L271)*(1+Controls!N$26*Smooth!$M271)*(1+Controls!N$27*Smooth!$N271)*(1+Controls!N$28*Smooth!$O271)),2))</f>
        <v/>
      </c>
      <c r="J271" s="10" t="str">
        <f t="array" ref="J271">IF(OR($A271="",9&gt;Controls!$B$6),"",ROUND(MAX(0,Smooth!J271*Controls!J$17*INDEX(Controls!$B$21:$H$21,1,WEEKDAY($A271,2))*(1+Controls!$B$11)^269*(1+Controls!O$25*Smooth!$L271)*(1+Controls!O$26*Smooth!$M271)*(1+Controls!O$27*Smooth!$N271)*(1+Controls!O$28*Smooth!$O271)),2))</f>
        <v/>
      </c>
      <c r="K271" s="10" t="str">
        <f t="array" ref="K271">IF(OR($A271="",10&gt;Controls!$B$6),"",ROUND(MAX(0,Smooth!K271*Controls!K$17*INDEX(Controls!$B$21:$H$21,1,WEEKDAY($A271,2))*(1+Controls!$B$11)^269*(1+Controls!P$25*Smooth!$L271)*(1+Controls!P$26*Smooth!$M271)*(1+Controls!P$27*Smooth!$N271)*(1+Controls!P$28*Smooth!$O271)),2))</f>
        <v/>
      </c>
      <c r="L271" s="18" t="str">
        <f t="shared" si="1"/>
        <v/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21.0" customHeight="1">
      <c r="A272" s="7" t="str">
        <f>IF(271&lt;=Controls!$B$5,Controls!$B$4+270,"")</f>
        <v/>
      </c>
      <c r="B272" s="10" t="str">
        <f t="array" ref="B272">IF(OR($A272="",1&gt;Controls!$B$6),"",ROUND(MAX(0,Smooth!B272*Controls!B$17*INDEX(Controls!$B$21:$H$21,1,WEEKDAY($A272,2))*(1+Controls!$B$11)^270*(1+Controls!G$25*Smooth!$L272)*(1+Controls!G$26*Smooth!$M272)*(1+Controls!G$27*Smooth!$N272)*(1+Controls!G$28*Smooth!$O272)),2))</f>
        <v/>
      </c>
      <c r="C272" s="10" t="str">
        <f t="array" ref="C272">IF(OR($A272="",2&gt;Controls!$B$6),"",ROUND(MAX(0,Smooth!C272*Controls!C$17*INDEX(Controls!$B$21:$H$21,1,WEEKDAY($A272,2))*(1+Controls!$B$11)^270*(1+Controls!H$25*Smooth!$L272)*(1+Controls!H$26*Smooth!$M272)*(1+Controls!H$27*Smooth!$N272)*(1+Controls!H$28*Smooth!$O272)),2))</f>
        <v/>
      </c>
      <c r="D272" s="10" t="str">
        <f t="array" ref="D272">IF(OR($A272="",3&gt;Controls!$B$6),"",ROUND(MAX(0,Smooth!D272*Controls!D$17*INDEX(Controls!$B$21:$H$21,1,WEEKDAY($A272,2))*(1+Controls!$B$11)^270*(1+Controls!I$25*Smooth!$L272)*(1+Controls!I$26*Smooth!$M272)*(1+Controls!I$27*Smooth!$N272)*(1+Controls!I$28*Smooth!$O272)),2))</f>
        <v/>
      </c>
      <c r="E272" s="10" t="str">
        <f t="array" ref="E272">IF(OR($A272="",4&gt;Controls!$B$6),"",ROUND(MAX(0,Smooth!E272*Controls!E$17*INDEX(Controls!$B$21:$H$21,1,WEEKDAY($A272,2))*(1+Controls!$B$11)^270*(1+Controls!J$25*Smooth!$L272)*(1+Controls!J$26*Smooth!$M272)*(1+Controls!J$27*Smooth!$N272)*(1+Controls!J$28*Smooth!$O272)),2))</f>
        <v/>
      </c>
      <c r="F272" s="10" t="str">
        <f t="array" ref="F272">IF(OR($A272="",5&gt;Controls!$B$6),"",ROUND(MAX(0,Smooth!F272*Controls!F$17*INDEX(Controls!$B$21:$H$21,1,WEEKDAY($A272,2))*(1+Controls!$B$11)^270*(1+Controls!K$25*Smooth!$L272)*(1+Controls!K$26*Smooth!$M272)*(1+Controls!K$27*Smooth!$N272)*(1+Controls!K$28*Smooth!$O272)),2))</f>
        <v/>
      </c>
      <c r="G272" s="10" t="str">
        <f t="array" ref="G272">IF(OR($A272="",6&gt;Controls!$B$6),"",ROUND(MAX(0,Smooth!G272*Controls!G$17*INDEX(Controls!$B$21:$H$21,1,WEEKDAY($A272,2))*(1+Controls!$B$11)^270*(1+Controls!L$25*Smooth!$L272)*(1+Controls!L$26*Smooth!$M272)*(1+Controls!L$27*Smooth!$N272)*(1+Controls!L$28*Smooth!$O272)),2))</f>
        <v/>
      </c>
      <c r="H272" s="10" t="str">
        <f t="array" ref="H272">IF(OR($A272="",7&gt;Controls!$B$6),"",ROUND(MAX(0,Smooth!H272*Controls!H$17*INDEX(Controls!$B$21:$H$21,1,WEEKDAY($A272,2))*(1+Controls!$B$11)^270*(1+Controls!M$25*Smooth!$L272)*(1+Controls!M$26*Smooth!$M272)*(1+Controls!M$27*Smooth!$N272)*(1+Controls!M$28*Smooth!$O272)),2))</f>
        <v/>
      </c>
      <c r="I272" s="10" t="str">
        <f t="array" ref="I272">IF(OR($A272="",8&gt;Controls!$B$6),"",ROUND(MAX(0,Smooth!I272*Controls!I$17*INDEX(Controls!$B$21:$H$21,1,WEEKDAY($A272,2))*(1+Controls!$B$11)^270*(1+Controls!N$25*Smooth!$L272)*(1+Controls!N$26*Smooth!$M272)*(1+Controls!N$27*Smooth!$N272)*(1+Controls!N$28*Smooth!$O272)),2))</f>
        <v/>
      </c>
      <c r="J272" s="10" t="str">
        <f t="array" ref="J272">IF(OR($A272="",9&gt;Controls!$B$6),"",ROUND(MAX(0,Smooth!J272*Controls!J$17*INDEX(Controls!$B$21:$H$21,1,WEEKDAY($A272,2))*(1+Controls!$B$11)^270*(1+Controls!O$25*Smooth!$L272)*(1+Controls!O$26*Smooth!$M272)*(1+Controls!O$27*Smooth!$N272)*(1+Controls!O$28*Smooth!$O272)),2))</f>
        <v/>
      </c>
      <c r="K272" s="10" t="str">
        <f t="array" ref="K272">IF(OR($A272="",10&gt;Controls!$B$6),"",ROUND(MAX(0,Smooth!K272*Controls!K$17*INDEX(Controls!$B$21:$H$21,1,WEEKDAY($A272,2))*(1+Controls!$B$11)^270*(1+Controls!P$25*Smooth!$L272)*(1+Controls!P$26*Smooth!$M272)*(1+Controls!P$27*Smooth!$N272)*(1+Controls!P$28*Smooth!$O272)),2))</f>
        <v/>
      </c>
      <c r="L272" s="18" t="str">
        <f t="shared" si="1"/>
        <v/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21.0" customHeight="1">
      <c r="A273" s="7" t="str">
        <f>IF(272&lt;=Controls!$B$5,Controls!$B$4+271,"")</f>
        <v/>
      </c>
      <c r="B273" s="10" t="str">
        <f t="array" ref="B273">IF(OR($A273="",1&gt;Controls!$B$6),"",ROUND(MAX(0,Smooth!B273*Controls!B$17*INDEX(Controls!$B$21:$H$21,1,WEEKDAY($A273,2))*(1+Controls!$B$11)^271*(1+Controls!G$25*Smooth!$L273)*(1+Controls!G$26*Smooth!$M273)*(1+Controls!G$27*Smooth!$N273)*(1+Controls!G$28*Smooth!$O273)),2))</f>
        <v/>
      </c>
      <c r="C273" s="10" t="str">
        <f t="array" ref="C273">IF(OR($A273="",2&gt;Controls!$B$6),"",ROUND(MAX(0,Smooth!C273*Controls!C$17*INDEX(Controls!$B$21:$H$21,1,WEEKDAY($A273,2))*(1+Controls!$B$11)^271*(1+Controls!H$25*Smooth!$L273)*(1+Controls!H$26*Smooth!$M273)*(1+Controls!H$27*Smooth!$N273)*(1+Controls!H$28*Smooth!$O273)),2))</f>
        <v/>
      </c>
      <c r="D273" s="10" t="str">
        <f t="array" ref="D273">IF(OR($A273="",3&gt;Controls!$B$6),"",ROUND(MAX(0,Smooth!D273*Controls!D$17*INDEX(Controls!$B$21:$H$21,1,WEEKDAY($A273,2))*(1+Controls!$B$11)^271*(1+Controls!I$25*Smooth!$L273)*(1+Controls!I$26*Smooth!$M273)*(1+Controls!I$27*Smooth!$N273)*(1+Controls!I$28*Smooth!$O273)),2))</f>
        <v/>
      </c>
      <c r="E273" s="10" t="str">
        <f t="array" ref="E273">IF(OR($A273="",4&gt;Controls!$B$6),"",ROUND(MAX(0,Smooth!E273*Controls!E$17*INDEX(Controls!$B$21:$H$21,1,WEEKDAY($A273,2))*(1+Controls!$B$11)^271*(1+Controls!J$25*Smooth!$L273)*(1+Controls!J$26*Smooth!$M273)*(1+Controls!J$27*Smooth!$N273)*(1+Controls!J$28*Smooth!$O273)),2))</f>
        <v/>
      </c>
      <c r="F273" s="10" t="str">
        <f t="array" ref="F273">IF(OR($A273="",5&gt;Controls!$B$6),"",ROUND(MAX(0,Smooth!F273*Controls!F$17*INDEX(Controls!$B$21:$H$21,1,WEEKDAY($A273,2))*(1+Controls!$B$11)^271*(1+Controls!K$25*Smooth!$L273)*(1+Controls!K$26*Smooth!$M273)*(1+Controls!K$27*Smooth!$N273)*(1+Controls!K$28*Smooth!$O273)),2))</f>
        <v/>
      </c>
      <c r="G273" s="10" t="str">
        <f t="array" ref="G273">IF(OR($A273="",6&gt;Controls!$B$6),"",ROUND(MAX(0,Smooth!G273*Controls!G$17*INDEX(Controls!$B$21:$H$21,1,WEEKDAY($A273,2))*(1+Controls!$B$11)^271*(1+Controls!L$25*Smooth!$L273)*(1+Controls!L$26*Smooth!$M273)*(1+Controls!L$27*Smooth!$N273)*(1+Controls!L$28*Smooth!$O273)),2))</f>
        <v/>
      </c>
      <c r="H273" s="10" t="str">
        <f t="array" ref="H273">IF(OR($A273="",7&gt;Controls!$B$6),"",ROUND(MAX(0,Smooth!H273*Controls!H$17*INDEX(Controls!$B$21:$H$21,1,WEEKDAY($A273,2))*(1+Controls!$B$11)^271*(1+Controls!M$25*Smooth!$L273)*(1+Controls!M$26*Smooth!$M273)*(1+Controls!M$27*Smooth!$N273)*(1+Controls!M$28*Smooth!$O273)),2))</f>
        <v/>
      </c>
      <c r="I273" s="10" t="str">
        <f t="array" ref="I273">IF(OR($A273="",8&gt;Controls!$B$6),"",ROUND(MAX(0,Smooth!I273*Controls!I$17*INDEX(Controls!$B$21:$H$21,1,WEEKDAY($A273,2))*(1+Controls!$B$11)^271*(1+Controls!N$25*Smooth!$L273)*(1+Controls!N$26*Smooth!$M273)*(1+Controls!N$27*Smooth!$N273)*(1+Controls!N$28*Smooth!$O273)),2))</f>
        <v/>
      </c>
      <c r="J273" s="10" t="str">
        <f t="array" ref="J273">IF(OR($A273="",9&gt;Controls!$B$6),"",ROUND(MAX(0,Smooth!J273*Controls!J$17*INDEX(Controls!$B$21:$H$21,1,WEEKDAY($A273,2))*(1+Controls!$B$11)^271*(1+Controls!O$25*Smooth!$L273)*(1+Controls!O$26*Smooth!$M273)*(1+Controls!O$27*Smooth!$N273)*(1+Controls!O$28*Smooth!$O273)),2))</f>
        <v/>
      </c>
      <c r="K273" s="10" t="str">
        <f t="array" ref="K273">IF(OR($A273="",10&gt;Controls!$B$6),"",ROUND(MAX(0,Smooth!K273*Controls!K$17*INDEX(Controls!$B$21:$H$21,1,WEEKDAY($A273,2))*(1+Controls!$B$11)^271*(1+Controls!P$25*Smooth!$L273)*(1+Controls!P$26*Smooth!$M273)*(1+Controls!P$27*Smooth!$N273)*(1+Controls!P$28*Smooth!$O273)),2))</f>
        <v/>
      </c>
      <c r="L273" s="18" t="str">
        <f t="shared" si="1"/>
        <v/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21.0" customHeight="1">
      <c r="A274" s="7" t="str">
        <f>IF(273&lt;=Controls!$B$5,Controls!$B$4+272,"")</f>
        <v/>
      </c>
      <c r="B274" s="10" t="str">
        <f t="array" ref="B274">IF(OR($A274="",1&gt;Controls!$B$6),"",ROUND(MAX(0,Smooth!B274*Controls!B$17*INDEX(Controls!$B$21:$H$21,1,WEEKDAY($A274,2))*(1+Controls!$B$11)^272*(1+Controls!G$25*Smooth!$L274)*(1+Controls!G$26*Smooth!$M274)*(1+Controls!G$27*Smooth!$N274)*(1+Controls!G$28*Smooth!$O274)),2))</f>
        <v/>
      </c>
      <c r="C274" s="10" t="str">
        <f t="array" ref="C274">IF(OR($A274="",2&gt;Controls!$B$6),"",ROUND(MAX(0,Smooth!C274*Controls!C$17*INDEX(Controls!$B$21:$H$21,1,WEEKDAY($A274,2))*(1+Controls!$B$11)^272*(1+Controls!H$25*Smooth!$L274)*(1+Controls!H$26*Smooth!$M274)*(1+Controls!H$27*Smooth!$N274)*(1+Controls!H$28*Smooth!$O274)),2))</f>
        <v/>
      </c>
      <c r="D274" s="10" t="str">
        <f t="array" ref="D274">IF(OR($A274="",3&gt;Controls!$B$6),"",ROUND(MAX(0,Smooth!D274*Controls!D$17*INDEX(Controls!$B$21:$H$21,1,WEEKDAY($A274,2))*(1+Controls!$B$11)^272*(1+Controls!I$25*Smooth!$L274)*(1+Controls!I$26*Smooth!$M274)*(1+Controls!I$27*Smooth!$N274)*(1+Controls!I$28*Smooth!$O274)),2))</f>
        <v/>
      </c>
      <c r="E274" s="10" t="str">
        <f t="array" ref="E274">IF(OR($A274="",4&gt;Controls!$B$6),"",ROUND(MAX(0,Smooth!E274*Controls!E$17*INDEX(Controls!$B$21:$H$21,1,WEEKDAY($A274,2))*(1+Controls!$B$11)^272*(1+Controls!J$25*Smooth!$L274)*(1+Controls!J$26*Smooth!$M274)*(1+Controls!J$27*Smooth!$N274)*(1+Controls!J$28*Smooth!$O274)),2))</f>
        <v/>
      </c>
      <c r="F274" s="10" t="str">
        <f t="array" ref="F274">IF(OR($A274="",5&gt;Controls!$B$6),"",ROUND(MAX(0,Smooth!F274*Controls!F$17*INDEX(Controls!$B$21:$H$21,1,WEEKDAY($A274,2))*(1+Controls!$B$11)^272*(1+Controls!K$25*Smooth!$L274)*(1+Controls!K$26*Smooth!$M274)*(1+Controls!K$27*Smooth!$N274)*(1+Controls!K$28*Smooth!$O274)),2))</f>
        <v/>
      </c>
      <c r="G274" s="10" t="str">
        <f t="array" ref="G274">IF(OR($A274="",6&gt;Controls!$B$6),"",ROUND(MAX(0,Smooth!G274*Controls!G$17*INDEX(Controls!$B$21:$H$21,1,WEEKDAY($A274,2))*(1+Controls!$B$11)^272*(1+Controls!L$25*Smooth!$L274)*(1+Controls!L$26*Smooth!$M274)*(1+Controls!L$27*Smooth!$N274)*(1+Controls!L$28*Smooth!$O274)),2))</f>
        <v/>
      </c>
      <c r="H274" s="10" t="str">
        <f t="array" ref="H274">IF(OR($A274="",7&gt;Controls!$B$6),"",ROUND(MAX(0,Smooth!H274*Controls!H$17*INDEX(Controls!$B$21:$H$21,1,WEEKDAY($A274,2))*(1+Controls!$B$11)^272*(1+Controls!M$25*Smooth!$L274)*(1+Controls!M$26*Smooth!$M274)*(1+Controls!M$27*Smooth!$N274)*(1+Controls!M$28*Smooth!$O274)),2))</f>
        <v/>
      </c>
      <c r="I274" s="10" t="str">
        <f t="array" ref="I274">IF(OR($A274="",8&gt;Controls!$B$6),"",ROUND(MAX(0,Smooth!I274*Controls!I$17*INDEX(Controls!$B$21:$H$21,1,WEEKDAY($A274,2))*(1+Controls!$B$11)^272*(1+Controls!N$25*Smooth!$L274)*(1+Controls!N$26*Smooth!$M274)*(1+Controls!N$27*Smooth!$N274)*(1+Controls!N$28*Smooth!$O274)),2))</f>
        <v/>
      </c>
      <c r="J274" s="10" t="str">
        <f t="array" ref="J274">IF(OR($A274="",9&gt;Controls!$B$6),"",ROUND(MAX(0,Smooth!J274*Controls!J$17*INDEX(Controls!$B$21:$H$21,1,WEEKDAY($A274,2))*(1+Controls!$B$11)^272*(1+Controls!O$25*Smooth!$L274)*(1+Controls!O$26*Smooth!$M274)*(1+Controls!O$27*Smooth!$N274)*(1+Controls!O$28*Smooth!$O274)),2))</f>
        <v/>
      </c>
      <c r="K274" s="10" t="str">
        <f t="array" ref="K274">IF(OR($A274="",10&gt;Controls!$B$6),"",ROUND(MAX(0,Smooth!K274*Controls!K$17*INDEX(Controls!$B$21:$H$21,1,WEEKDAY($A274,2))*(1+Controls!$B$11)^272*(1+Controls!P$25*Smooth!$L274)*(1+Controls!P$26*Smooth!$M274)*(1+Controls!P$27*Smooth!$N274)*(1+Controls!P$28*Smooth!$O274)),2))</f>
        <v/>
      </c>
      <c r="L274" s="18" t="str">
        <f t="shared" si="1"/>
        <v/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21.0" customHeight="1">
      <c r="A275" s="7" t="str">
        <f>IF(274&lt;=Controls!$B$5,Controls!$B$4+273,"")</f>
        <v/>
      </c>
      <c r="B275" s="10" t="str">
        <f t="array" ref="B275">IF(OR($A275="",1&gt;Controls!$B$6),"",ROUND(MAX(0,Smooth!B275*Controls!B$17*INDEX(Controls!$B$21:$H$21,1,WEEKDAY($A275,2))*(1+Controls!$B$11)^273*(1+Controls!G$25*Smooth!$L275)*(1+Controls!G$26*Smooth!$M275)*(1+Controls!G$27*Smooth!$N275)*(1+Controls!G$28*Smooth!$O275)),2))</f>
        <v/>
      </c>
      <c r="C275" s="10" t="str">
        <f t="array" ref="C275">IF(OR($A275="",2&gt;Controls!$B$6),"",ROUND(MAX(0,Smooth!C275*Controls!C$17*INDEX(Controls!$B$21:$H$21,1,WEEKDAY($A275,2))*(1+Controls!$B$11)^273*(1+Controls!H$25*Smooth!$L275)*(1+Controls!H$26*Smooth!$M275)*(1+Controls!H$27*Smooth!$N275)*(1+Controls!H$28*Smooth!$O275)),2))</f>
        <v/>
      </c>
      <c r="D275" s="10" t="str">
        <f t="array" ref="D275">IF(OR($A275="",3&gt;Controls!$B$6),"",ROUND(MAX(0,Smooth!D275*Controls!D$17*INDEX(Controls!$B$21:$H$21,1,WEEKDAY($A275,2))*(1+Controls!$B$11)^273*(1+Controls!I$25*Smooth!$L275)*(1+Controls!I$26*Smooth!$M275)*(1+Controls!I$27*Smooth!$N275)*(1+Controls!I$28*Smooth!$O275)),2))</f>
        <v/>
      </c>
      <c r="E275" s="10" t="str">
        <f t="array" ref="E275">IF(OR($A275="",4&gt;Controls!$B$6),"",ROUND(MAX(0,Smooth!E275*Controls!E$17*INDEX(Controls!$B$21:$H$21,1,WEEKDAY($A275,2))*(1+Controls!$B$11)^273*(1+Controls!J$25*Smooth!$L275)*(1+Controls!J$26*Smooth!$M275)*(1+Controls!J$27*Smooth!$N275)*(1+Controls!J$28*Smooth!$O275)),2))</f>
        <v/>
      </c>
      <c r="F275" s="10" t="str">
        <f t="array" ref="F275">IF(OR($A275="",5&gt;Controls!$B$6),"",ROUND(MAX(0,Smooth!F275*Controls!F$17*INDEX(Controls!$B$21:$H$21,1,WEEKDAY($A275,2))*(1+Controls!$B$11)^273*(1+Controls!K$25*Smooth!$L275)*(1+Controls!K$26*Smooth!$M275)*(1+Controls!K$27*Smooth!$N275)*(1+Controls!K$28*Smooth!$O275)),2))</f>
        <v/>
      </c>
      <c r="G275" s="10" t="str">
        <f t="array" ref="G275">IF(OR($A275="",6&gt;Controls!$B$6),"",ROUND(MAX(0,Smooth!G275*Controls!G$17*INDEX(Controls!$B$21:$H$21,1,WEEKDAY($A275,2))*(1+Controls!$B$11)^273*(1+Controls!L$25*Smooth!$L275)*(1+Controls!L$26*Smooth!$M275)*(1+Controls!L$27*Smooth!$N275)*(1+Controls!L$28*Smooth!$O275)),2))</f>
        <v/>
      </c>
      <c r="H275" s="10" t="str">
        <f t="array" ref="H275">IF(OR($A275="",7&gt;Controls!$B$6),"",ROUND(MAX(0,Smooth!H275*Controls!H$17*INDEX(Controls!$B$21:$H$21,1,WEEKDAY($A275,2))*(1+Controls!$B$11)^273*(1+Controls!M$25*Smooth!$L275)*(1+Controls!M$26*Smooth!$M275)*(1+Controls!M$27*Smooth!$N275)*(1+Controls!M$28*Smooth!$O275)),2))</f>
        <v/>
      </c>
      <c r="I275" s="10" t="str">
        <f t="array" ref="I275">IF(OR($A275="",8&gt;Controls!$B$6),"",ROUND(MAX(0,Smooth!I275*Controls!I$17*INDEX(Controls!$B$21:$H$21,1,WEEKDAY($A275,2))*(1+Controls!$B$11)^273*(1+Controls!N$25*Smooth!$L275)*(1+Controls!N$26*Smooth!$M275)*(1+Controls!N$27*Smooth!$N275)*(1+Controls!N$28*Smooth!$O275)),2))</f>
        <v/>
      </c>
      <c r="J275" s="10" t="str">
        <f t="array" ref="J275">IF(OR($A275="",9&gt;Controls!$B$6),"",ROUND(MAX(0,Smooth!J275*Controls!J$17*INDEX(Controls!$B$21:$H$21,1,WEEKDAY($A275,2))*(1+Controls!$B$11)^273*(1+Controls!O$25*Smooth!$L275)*(1+Controls!O$26*Smooth!$M275)*(1+Controls!O$27*Smooth!$N275)*(1+Controls!O$28*Smooth!$O275)),2))</f>
        <v/>
      </c>
      <c r="K275" s="10" t="str">
        <f t="array" ref="K275">IF(OR($A275="",10&gt;Controls!$B$6),"",ROUND(MAX(0,Smooth!K275*Controls!K$17*INDEX(Controls!$B$21:$H$21,1,WEEKDAY($A275,2))*(1+Controls!$B$11)^273*(1+Controls!P$25*Smooth!$L275)*(1+Controls!P$26*Smooth!$M275)*(1+Controls!P$27*Smooth!$N275)*(1+Controls!P$28*Smooth!$O275)),2))</f>
        <v/>
      </c>
      <c r="L275" s="18" t="str">
        <f t="shared" si="1"/>
        <v/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21.0" customHeight="1">
      <c r="A276" s="7" t="str">
        <f>IF(275&lt;=Controls!$B$5,Controls!$B$4+274,"")</f>
        <v/>
      </c>
      <c r="B276" s="10" t="str">
        <f t="array" ref="B276">IF(OR($A276="",1&gt;Controls!$B$6),"",ROUND(MAX(0,Smooth!B276*Controls!B$17*INDEX(Controls!$B$21:$H$21,1,WEEKDAY($A276,2))*(1+Controls!$B$11)^274*(1+Controls!G$25*Smooth!$L276)*(1+Controls!G$26*Smooth!$M276)*(1+Controls!G$27*Smooth!$N276)*(1+Controls!G$28*Smooth!$O276)),2))</f>
        <v/>
      </c>
      <c r="C276" s="10" t="str">
        <f t="array" ref="C276">IF(OR($A276="",2&gt;Controls!$B$6),"",ROUND(MAX(0,Smooth!C276*Controls!C$17*INDEX(Controls!$B$21:$H$21,1,WEEKDAY($A276,2))*(1+Controls!$B$11)^274*(1+Controls!H$25*Smooth!$L276)*(1+Controls!H$26*Smooth!$M276)*(1+Controls!H$27*Smooth!$N276)*(1+Controls!H$28*Smooth!$O276)),2))</f>
        <v/>
      </c>
      <c r="D276" s="10" t="str">
        <f t="array" ref="D276">IF(OR($A276="",3&gt;Controls!$B$6),"",ROUND(MAX(0,Smooth!D276*Controls!D$17*INDEX(Controls!$B$21:$H$21,1,WEEKDAY($A276,2))*(1+Controls!$B$11)^274*(1+Controls!I$25*Smooth!$L276)*(1+Controls!I$26*Smooth!$M276)*(1+Controls!I$27*Smooth!$N276)*(1+Controls!I$28*Smooth!$O276)),2))</f>
        <v/>
      </c>
      <c r="E276" s="10" t="str">
        <f t="array" ref="E276">IF(OR($A276="",4&gt;Controls!$B$6),"",ROUND(MAX(0,Smooth!E276*Controls!E$17*INDEX(Controls!$B$21:$H$21,1,WEEKDAY($A276,2))*(1+Controls!$B$11)^274*(1+Controls!J$25*Smooth!$L276)*(1+Controls!J$26*Smooth!$M276)*(1+Controls!J$27*Smooth!$N276)*(1+Controls!J$28*Smooth!$O276)),2))</f>
        <v/>
      </c>
      <c r="F276" s="10" t="str">
        <f t="array" ref="F276">IF(OR($A276="",5&gt;Controls!$B$6),"",ROUND(MAX(0,Smooth!F276*Controls!F$17*INDEX(Controls!$B$21:$H$21,1,WEEKDAY($A276,2))*(1+Controls!$B$11)^274*(1+Controls!K$25*Smooth!$L276)*(1+Controls!K$26*Smooth!$M276)*(1+Controls!K$27*Smooth!$N276)*(1+Controls!K$28*Smooth!$O276)),2))</f>
        <v/>
      </c>
      <c r="G276" s="10" t="str">
        <f t="array" ref="G276">IF(OR($A276="",6&gt;Controls!$B$6),"",ROUND(MAX(0,Smooth!G276*Controls!G$17*INDEX(Controls!$B$21:$H$21,1,WEEKDAY($A276,2))*(1+Controls!$B$11)^274*(1+Controls!L$25*Smooth!$L276)*(1+Controls!L$26*Smooth!$M276)*(1+Controls!L$27*Smooth!$N276)*(1+Controls!L$28*Smooth!$O276)),2))</f>
        <v/>
      </c>
      <c r="H276" s="10" t="str">
        <f t="array" ref="H276">IF(OR($A276="",7&gt;Controls!$B$6),"",ROUND(MAX(0,Smooth!H276*Controls!H$17*INDEX(Controls!$B$21:$H$21,1,WEEKDAY($A276,2))*(1+Controls!$B$11)^274*(1+Controls!M$25*Smooth!$L276)*(1+Controls!M$26*Smooth!$M276)*(1+Controls!M$27*Smooth!$N276)*(1+Controls!M$28*Smooth!$O276)),2))</f>
        <v/>
      </c>
      <c r="I276" s="10" t="str">
        <f t="array" ref="I276">IF(OR($A276="",8&gt;Controls!$B$6),"",ROUND(MAX(0,Smooth!I276*Controls!I$17*INDEX(Controls!$B$21:$H$21,1,WEEKDAY($A276,2))*(1+Controls!$B$11)^274*(1+Controls!N$25*Smooth!$L276)*(1+Controls!N$26*Smooth!$M276)*(1+Controls!N$27*Smooth!$N276)*(1+Controls!N$28*Smooth!$O276)),2))</f>
        <v/>
      </c>
      <c r="J276" s="10" t="str">
        <f t="array" ref="J276">IF(OR($A276="",9&gt;Controls!$B$6),"",ROUND(MAX(0,Smooth!J276*Controls!J$17*INDEX(Controls!$B$21:$H$21,1,WEEKDAY($A276,2))*(1+Controls!$B$11)^274*(1+Controls!O$25*Smooth!$L276)*(1+Controls!O$26*Smooth!$M276)*(1+Controls!O$27*Smooth!$N276)*(1+Controls!O$28*Smooth!$O276)),2))</f>
        <v/>
      </c>
      <c r="K276" s="10" t="str">
        <f t="array" ref="K276">IF(OR($A276="",10&gt;Controls!$B$6),"",ROUND(MAX(0,Smooth!K276*Controls!K$17*INDEX(Controls!$B$21:$H$21,1,WEEKDAY($A276,2))*(1+Controls!$B$11)^274*(1+Controls!P$25*Smooth!$L276)*(1+Controls!P$26*Smooth!$M276)*(1+Controls!P$27*Smooth!$N276)*(1+Controls!P$28*Smooth!$O276)),2))</f>
        <v/>
      </c>
      <c r="L276" s="18" t="str">
        <f t="shared" si="1"/>
        <v/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21.0" customHeight="1">
      <c r="A277" s="7" t="str">
        <f>IF(276&lt;=Controls!$B$5,Controls!$B$4+275,"")</f>
        <v/>
      </c>
      <c r="B277" s="10" t="str">
        <f t="array" ref="B277">IF(OR($A277="",1&gt;Controls!$B$6),"",ROUND(MAX(0,Smooth!B277*Controls!B$17*INDEX(Controls!$B$21:$H$21,1,WEEKDAY($A277,2))*(1+Controls!$B$11)^275*(1+Controls!G$25*Smooth!$L277)*(1+Controls!G$26*Smooth!$M277)*(1+Controls!G$27*Smooth!$N277)*(1+Controls!G$28*Smooth!$O277)),2))</f>
        <v/>
      </c>
      <c r="C277" s="10" t="str">
        <f t="array" ref="C277">IF(OR($A277="",2&gt;Controls!$B$6),"",ROUND(MAX(0,Smooth!C277*Controls!C$17*INDEX(Controls!$B$21:$H$21,1,WEEKDAY($A277,2))*(1+Controls!$B$11)^275*(1+Controls!H$25*Smooth!$L277)*(1+Controls!H$26*Smooth!$M277)*(1+Controls!H$27*Smooth!$N277)*(1+Controls!H$28*Smooth!$O277)),2))</f>
        <v/>
      </c>
      <c r="D277" s="10" t="str">
        <f t="array" ref="D277">IF(OR($A277="",3&gt;Controls!$B$6),"",ROUND(MAX(0,Smooth!D277*Controls!D$17*INDEX(Controls!$B$21:$H$21,1,WEEKDAY($A277,2))*(1+Controls!$B$11)^275*(1+Controls!I$25*Smooth!$L277)*(1+Controls!I$26*Smooth!$M277)*(1+Controls!I$27*Smooth!$N277)*(1+Controls!I$28*Smooth!$O277)),2))</f>
        <v/>
      </c>
      <c r="E277" s="10" t="str">
        <f t="array" ref="E277">IF(OR($A277="",4&gt;Controls!$B$6),"",ROUND(MAX(0,Smooth!E277*Controls!E$17*INDEX(Controls!$B$21:$H$21,1,WEEKDAY($A277,2))*(1+Controls!$B$11)^275*(1+Controls!J$25*Smooth!$L277)*(1+Controls!J$26*Smooth!$M277)*(1+Controls!J$27*Smooth!$N277)*(1+Controls!J$28*Smooth!$O277)),2))</f>
        <v/>
      </c>
      <c r="F277" s="10" t="str">
        <f t="array" ref="F277">IF(OR($A277="",5&gt;Controls!$B$6),"",ROUND(MAX(0,Smooth!F277*Controls!F$17*INDEX(Controls!$B$21:$H$21,1,WEEKDAY($A277,2))*(1+Controls!$B$11)^275*(1+Controls!K$25*Smooth!$L277)*(1+Controls!K$26*Smooth!$M277)*(1+Controls!K$27*Smooth!$N277)*(1+Controls!K$28*Smooth!$O277)),2))</f>
        <v/>
      </c>
      <c r="G277" s="10" t="str">
        <f t="array" ref="G277">IF(OR($A277="",6&gt;Controls!$B$6),"",ROUND(MAX(0,Smooth!G277*Controls!G$17*INDEX(Controls!$B$21:$H$21,1,WEEKDAY($A277,2))*(1+Controls!$B$11)^275*(1+Controls!L$25*Smooth!$L277)*(1+Controls!L$26*Smooth!$M277)*(1+Controls!L$27*Smooth!$N277)*(1+Controls!L$28*Smooth!$O277)),2))</f>
        <v/>
      </c>
      <c r="H277" s="10" t="str">
        <f t="array" ref="H277">IF(OR($A277="",7&gt;Controls!$B$6),"",ROUND(MAX(0,Smooth!H277*Controls!H$17*INDEX(Controls!$B$21:$H$21,1,WEEKDAY($A277,2))*(1+Controls!$B$11)^275*(1+Controls!M$25*Smooth!$L277)*(1+Controls!M$26*Smooth!$M277)*(1+Controls!M$27*Smooth!$N277)*(1+Controls!M$28*Smooth!$O277)),2))</f>
        <v/>
      </c>
      <c r="I277" s="10" t="str">
        <f t="array" ref="I277">IF(OR($A277="",8&gt;Controls!$B$6),"",ROUND(MAX(0,Smooth!I277*Controls!I$17*INDEX(Controls!$B$21:$H$21,1,WEEKDAY($A277,2))*(1+Controls!$B$11)^275*(1+Controls!N$25*Smooth!$L277)*(1+Controls!N$26*Smooth!$M277)*(1+Controls!N$27*Smooth!$N277)*(1+Controls!N$28*Smooth!$O277)),2))</f>
        <v/>
      </c>
      <c r="J277" s="10" t="str">
        <f t="array" ref="J277">IF(OR($A277="",9&gt;Controls!$B$6),"",ROUND(MAX(0,Smooth!J277*Controls!J$17*INDEX(Controls!$B$21:$H$21,1,WEEKDAY($A277,2))*(1+Controls!$B$11)^275*(1+Controls!O$25*Smooth!$L277)*(1+Controls!O$26*Smooth!$M277)*(1+Controls!O$27*Smooth!$N277)*(1+Controls!O$28*Smooth!$O277)),2))</f>
        <v/>
      </c>
      <c r="K277" s="10" t="str">
        <f t="array" ref="K277">IF(OR($A277="",10&gt;Controls!$B$6),"",ROUND(MAX(0,Smooth!K277*Controls!K$17*INDEX(Controls!$B$21:$H$21,1,WEEKDAY($A277,2))*(1+Controls!$B$11)^275*(1+Controls!P$25*Smooth!$L277)*(1+Controls!P$26*Smooth!$M277)*(1+Controls!P$27*Smooth!$N277)*(1+Controls!P$28*Smooth!$O277)),2))</f>
        <v/>
      </c>
      <c r="L277" s="18" t="str">
        <f t="shared" si="1"/>
        <v/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21.0" customHeight="1">
      <c r="A278" s="7" t="str">
        <f>IF(277&lt;=Controls!$B$5,Controls!$B$4+276,"")</f>
        <v/>
      </c>
      <c r="B278" s="10" t="str">
        <f t="array" ref="B278">IF(OR($A278="",1&gt;Controls!$B$6),"",ROUND(MAX(0,Smooth!B278*Controls!B$17*INDEX(Controls!$B$21:$H$21,1,WEEKDAY($A278,2))*(1+Controls!$B$11)^276*(1+Controls!G$25*Smooth!$L278)*(1+Controls!G$26*Smooth!$M278)*(1+Controls!G$27*Smooth!$N278)*(1+Controls!G$28*Smooth!$O278)),2))</f>
        <v/>
      </c>
      <c r="C278" s="10" t="str">
        <f t="array" ref="C278">IF(OR($A278="",2&gt;Controls!$B$6),"",ROUND(MAX(0,Smooth!C278*Controls!C$17*INDEX(Controls!$B$21:$H$21,1,WEEKDAY($A278,2))*(1+Controls!$B$11)^276*(1+Controls!H$25*Smooth!$L278)*(1+Controls!H$26*Smooth!$M278)*(1+Controls!H$27*Smooth!$N278)*(1+Controls!H$28*Smooth!$O278)),2))</f>
        <v/>
      </c>
      <c r="D278" s="10" t="str">
        <f t="array" ref="D278">IF(OR($A278="",3&gt;Controls!$B$6),"",ROUND(MAX(0,Smooth!D278*Controls!D$17*INDEX(Controls!$B$21:$H$21,1,WEEKDAY($A278,2))*(1+Controls!$B$11)^276*(1+Controls!I$25*Smooth!$L278)*(1+Controls!I$26*Smooth!$M278)*(1+Controls!I$27*Smooth!$N278)*(1+Controls!I$28*Smooth!$O278)),2))</f>
        <v/>
      </c>
      <c r="E278" s="10" t="str">
        <f t="array" ref="E278">IF(OR($A278="",4&gt;Controls!$B$6),"",ROUND(MAX(0,Smooth!E278*Controls!E$17*INDEX(Controls!$B$21:$H$21,1,WEEKDAY($A278,2))*(1+Controls!$B$11)^276*(1+Controls!J$25*Smooth!$L278)*(1+Controls!J$26*Smooth!$M278)*(1+Controls!J$27*Smooth!$N278)*(1+Controls!J$28*Smooth!$O278)),2))</f>
        <v/>
      </c>
      <c r="F278" s="10" t="str">
        <f t="array" ref="F278">IF(OR($A278="",5&gt;Controls!$B$6),"",ROUND(MAX(0,Smooth!F278*Controls!F$17*INDEX(Controls!$B$21:$H$21,1,WEEKDAY($A278,2))*(1+Controls!$B$11)^276*(1+Controls!K$25*Smooth!$L278)*(1+Controls!K$26*Smooth!$M278)*(1+Controls!K$27*Smooth!$N278)*(1+Controls!K$28*Smooth!$O278)),2))</f>
        <v/>
      </c>
      <c r="G278" s="10" t="str">
        <f t="array" ref="G278">IF(OR($A278="",6&gt;Controls!$B$6),"",ROUND(MAX(0,Smooth!G278*Controls!G$17*INDEX(Controls!$B$21:$H$21,1,WEEKDAY($A278,2))*(1+Controls!$B$11)^276*(1+Controls!L$25*Smooth!$L278)*(1+Controls!L$26*Smooth!$M278)*(1+Controls!L$27*Smooth!$N278)*(1+Controls!L$28*Smooth!$O278)),2))</f>
        <v/>
      </c>
      <c r="H278" s="10" t="str">
        <f t="array" ref="H278">IF(OR($A278="",7&gt;Controls!$B$6),"",ROUND(MAX(0,Smooth!H278*Controls!H$17*INDEX(Controls!$B$21:$H$21,1,WEEKDAY($A278,2))*(1+Controls!$B$11)^276*(1+Controls!M$25*Smooth!$L278)*(1+Controls!M$26*Smooth!$M278)*(1+Controls!M$27*Smooth!$N278)*(1+Controls!M$28*Smooth!$O278)),2))</f>
        <v/>
      </c>
      <c r="I278" s="10" t="str">
        <f t="array" ref="I278">IF(OR($A278="",8&gt;Controls!$B$6),"",ROUND(MAX(0,Smooth!I278*Controls!I$17*INDEX(Controls!$B$21:$H$21,1,WEEKDAY($A278,2))*(1+Controls!$B$11)^276*(1+Controls!N$25*Smooth!$L278)*(1+Controls!N$26*Smooth!$M278)*(1+Controls!N$27*Smooth!$N278)*(1+Controls!N$28*Smooth!$O278)),2))</f>
        <v/>
      </c>
      <c r="J278" s="10" t="str">
        <f t="array" ref="J278">IF(OR($A278="",9&gt;Controls!$B$6),"",ROUND(MAX(0,Smooth!J278*Controls!J$17*INDEX(Controls!$B$21:$H$21,1,WEEKDAY($A278,2))*(1+Controls!$B$11)^276*(1+Controls!O$25*Smooth!$L278)*(1+Controls!O$26*Smooth!$M278)*(1+Controls!O$27*Smooth!$N278)*(1+Controls!O$28*Smooth!$O278)),2))</f>
        <v/>
      </c>
      <c r="K278" s="10" t="str">
        <f t="array" ref="K278">IF(OR($A278="",10&gt;Controls!$B$6),"",ROUND(MAX(0,Smooth!K278*Controls!K$17*INDEX(Controls!$B$21:$H$21,1,WEEKDAY($A278,2))*(1+Controls!$B$11)^276*(1+Controls!P$25*Smooth!$L278)*(1+Controls!P$26*Smooth!$M278)*(1+Controls!P$27*Smooth!$N278)*(1+Controls!P$28*Smooth!$O278)),2))</f>
        <v/>
      </c>
      <c r="L278" s="18" t="str">
        <f t="shared" si="1"/>
        <v/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21.0" customHeight="1">
      <c r="A279" s="7" t="str">
        <f>IF(278&lt;=Controls!$B$5,Controls!$B$4+277,"")</f>
        <v/>
      </c>
      <c r="B279" s="10" t="str">
        <f t="array" ref="B279">IF(OR($A279="",1&gt;Controls!$B$6),"",ROUND(MAX(0,Smooth!B279*Controls!B$17*INDEX(Controls!$B$21:$H$21,1,WEEKDAY($A279,2))*(1+Controls!$B$11)^277*(1+Controls!G$25*Smooth!$L279)*(1+Controls!G$26*Smooth!$M279)*(1+Controls!G$27*Smooth!$N279)*(1+Controls!G$28*Smooth!$O279)),2))</f>
        <v/>
      </c>
      <c r="C279" s="10" t="str">
        <f t="array" ref="C279">IF(OR($A279="",2&gt;Controls!$B$6),"",ROUND(MAX(0,Smooth!C279*Controls!C$17*INDEX(Controls!$B$21:$H$21,1,WEEKDAY($A279,2))*(1+Controls!$B$11)^277*(1+Controls!H$25*Smooth!$L279)*(1+Controls!H$26*Smooth!$M279)*(1+Controls!H$27*Smooth!$N279)*(1+Controls!H$28*Smooth!$O279)),2))</f>
        <v/>
      </c>
      <c r="D279" s="10" t="str">
        <f t="array" ref="D279">IF(OR($A279="",3&gt;Controls!$B$6),"",ROUND(MAX(0,Smooth!D279*Controls!D$17*INDEX(Controls!$B$21:$H$21,1,WEEKDAY($A279,2))*(1+Controls!$B$11)^277*(1+Controls!I$25*Smooth!$L279)*(1+Controls!I$26*Smooth!$M279)*(1+Controls!I$27*Smooth!$N279)*(1+Controls!I$28*Smooth!$O279)),2))</f>
        <v/>
      </c>
      <c r="E279" s="10" t="str">
        <f t="array" ref="E279">IF(OR($A279="",4&gt;Controls!$B$6),"",ROUND(MAX(0,Smooth!E279*Controls!E$17*INDEX(Controls!$B$21:$H$21,1,WEEKDAY($A279,2))*(1+Controls!$B$11)^277*(1+Controls!J$25*Smooth!$L279)*(1+Controls!J$26*Smooth!$M279)*(1+Controls!J$27*Smooth!$N279)*(1+Controls!J$28*Smooth!$O279)),2))</f>
        <v/>
      </c>
      <c r="F279" s="10" t="str">
        <f t="array" ref="F279">IF(OR($A279="",5&gt;Controls!$B$6),"",ROUND(MAX(0,Smooth!F279*Controls!F$17*INDEX(Controls!$B$21:$H$21,1,WEEKDAY($A279,2))*(1+Controls!$B$11)^277*(1+Controls!K$25*Smooth!$L279)*(1+Controls!K$26*Smooth!$M279)*(1+Controls!K$27*Smooth!$N279)*(1+Controls!K$28*Smooth!$O279)),2))</f>
        <v/>
      </c>
      <c r="G279" s="10" t="str">
        <f t="array" ref="G279">IF(OR($A279="",6&gt;Controls!$B$6),"",ROUND(MAX(0,Smooth!G279*Controls!G$17*INDEX(Controls!$B$21:$H$21,1,WEEKDAY($A279,2))*(1+Controls!$B$11)^277*(1+Controls!L$25*Smooth!$L279)*(1+Controls!L$26*Smooth!$M279)*(1+Controls!L$27*Smooth!$N279)*(1+Controls!L$28*Smooth!$O279)),2))</f>
        <v/>
      </c>
      <c r="H279" s="10" t="str">
        <f t="array" ref="H279">IF(OR($A279="",7&gt;Controls!$B$6),"",ROUND(MAX(0,Smooth!H279*Controls!H$17*INDEX(Controls!$B$21:$H$21,1,WEEKDAY($A279,2))*(1+Controls!$B$11)^277*(1+Controls!M$25*Smooth!$L279)*(1+Controls!M$26*Smooth!$M279)*(1+Controls!M$27*Smooth!$N279)*(1+Controls!M$28*Smooth!$O279)),2))</f>
        <v/>
      </c>
      <c r="I279" s="10" t="str">
        <f t="array" ref="I279">IF(OR($A279="",8&gt;Controls!$B$6),"",ROUND(MAX(0,Smooth!I279*Controls!I$17*INDEX(Controls!$B$21:$H$21,1,WEEKDAY($A279,2))*(1+Controls!$B$11)^277*(1+Controls!N$25*Smooth!$L279)*(1+Controls!N$26*Smooth!$M279)*(1+Controls!N$27*Smooth!$N279)*(1+Controls!N$28*Smooth!$O279)),2))</f>
        <v/>
      </c>
      <c r="J279" s="10" t="str">
        <f t="array" ref="J279">IF(OR($A279="",9&gt;Controls!$B$6),"",ROUND(MAX(0,Smooth!J279*Controls!J$17*INDEX(Controls!$B$21:$H$21,1,WEEKDAY($A279,2))*(1+Controls!$B$11)^277*(1+Controls!O$25*Smooth!$L279)*(1+Controls!O$26*Smooth!$M279)*(1+Controls!O$27*Smooth!$N279)*(1+Controls!O$28*Smooth!$O279)),2))</f>
        <v/>
      </c>
      <c r="K279" s="10" t="str">
        <f t="array" ref="K279">IF(OR($A279="",10&gt;Controls!$B$6),"",ROUND(MAX(0,Smooth!K279*Controls!K$17*INDEX(Controls!$B$21:$H$21,1,WEEKDAY($A279,2))*(1+Controls!$B$11)^277*(1+Controls!P$25*Smooth!$L279)*(1+Controls!P$26*Smooth!$M279)*(1+Controls!P$27*Smooth!$N279)*(1+Controls!P$28*Smooth!$O279)),2))</f>
        <v/>
      </c>
      <c r="L279" s="18" t="str">
        <f t="shared" si="1"/>
        <v/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21.0" customHeight="1">
      <c r="A280" s="7" t="str">
        <f>IF(279&lt;=Controls!$B$5,Controls!$B$4+278,"")</f>
        <v/>
      </c>
      <c r="B280" s="10" t="str">
        <f t="array" ref="B280">IF(OR($A280="",1&gt;Controls!$B$6),"",ROUND(MAX(0,Smooth!B280*Controls!B$17*INDEX(Controls!$B$21:$H$21,1,WEEKDAY($A280,2))*(1+Controls!$B$11)^278*(1+Controls!G$25*Smooth!$L280)*(1+Controls!G$26*Smooth!$M280)*(1+Controls!G$27*Smooth!$N280)*(1+Controls!G$28*Smooth!$O280)),2))</f>
        <v/>
      </c>
      <c r="C280" s="10" t="str">
        <f t="array" ref="C280">IF(OR($A280="",2&gt;Controls!$B$6),"",ROUND(MAX(0,Smooth!C280*Controls!C$17*INDEX(Controls!$B$21:$H$21,1,WEEKDAY($A280,2))*(1+Controls!$B$11)^278*(1+Controls!H$25*Smooth!$L280)*(1+Controls!H$26*Smooth!$M280)*(1+Controls!H$27*Smooth!$N280)*(1+Controls!H$28*Smooth!$O280)),2))</f>
        <v/>
      </c>
      <c r="D280" s="10" t="str">
        <f t="array" ref="D280">IF(OR($A280="",3&gt;Controls!$B$6),"",ROUND(MAX(0,Smooth!D280*Controls!D$17*INDEX(Controls!$B$21:$H$21,1,WEEKDAY($A280,2))*(1+Controls!$B$11)^278*(1+Controls!I$25*Smooth!$L280)*(1+Controls!I$26*Smooth!$M280)*(1+Controls!I$27*Smooth!$N280)*(1+Controls!I$28*Smooth!$O280)),2))</f>
        <v/>
      </c>
      <c r="E280" s="10" t="str">
        <f t="array" ref="E280">IF(OR($A280="",4&gt;Controls!$B$6),"",ROUND(MAX(0,Smooth!E280*Controls!E$17*INDEX(Controls!$B$21:$H$21,1,WEEKDAY($A280,2))*(1+Controls!$B$11)^278*(1+Controls!J$25*Smooth!$L280)*(1+Controls!J$26*Smooth!$M280)*(1+Controls!J$27*Smooth!$N280)*(1+Controls!J$28*Smooth!$O280)),2))</f>
        <v/>
      </c>
      <c r="F280" s="10" t="str">
        <f t="array" ref="F280">IF(OR($A280="",5&gt;Controls!$B$6),"",ROUND(MAX(0,Smooth!F280*Controls!F$17*INDEX(Controls!$B$21:$H$21,1,WEEKDAY($A280,2))*(1+Controls!$B$11)^278*(1+Controls!K$25*Smooth!$L280)*(1+Controls!K$26*Smooth!$M280)*(1+Controls!K$27*Smooth!$N280)*(1+Controls!K$28*Smooth!$O280)),2))</f>
        <v/>
      </c>
      <c r="G280" s="10" t="str">
        <f t="array" ref="G280">IF(OR($A280="",6&gt;Controls!$B$6),"",ROUND(MAX(0,Smooth!G280*Controls!G$17*INDEX(Controls!$B$21:$H$21,1,WEEKDAY($A280,2))*(1+Controls!$B$11)^278*(1+Controls!L$25*Smooth!$L280)*(1+Controls!L$26*Smooth!$M280)*(1+Controls!L$27*Smooth!$N280)*(1+Controls!L$28*Smooth!$O280)),2))</f>
        <v/>
      </c>
      <c r="H280" s="10" t="str">
        <f t="array" ref="H280">IF(OR($A280="",7&gt;Controls!$B$6),"",ROUND(MAX(0,Smooth!H280*Controls!H$17*INDEX(Controls!$B$21:$H$21,1,WEEKDAY($A280,2))*(1+Controls!$B$11)^278*(1+Controls!M$25*Smooth!$L280)*(1+Controls!M$26*Smooth!$M280)*(1+Controls!M$27*Smooth!$N280)*(1+Controls!M$28*Smooth!$O280)),2))</f>
        <v/>
      </c>
      <c r="I280" s="10" t="str">
        <f t="array" ref="I280">IF(OR($A280="",8&gt;Controls!$B$6),"",ROUND(MAX(0,Smooth!I280*Controls!I$17*INDEX(Controls!$B$21:$H$21,1,WEEKDAY($A280,2))*(1+Controls!$B$11)^278*(1+Controls!N$25*Smooth!$L280)*(1+Controls!N$26*Smooth!$M280)*(1+Controls!N$27*Smooth!$N280)*(1+Controls!N$28*Smooth!$O280)),2))</f>
        <v/>
      </c>
      <c r="J280" s="10" t="str">
        <f t="array" ref="J280">IF(OR($A280="",9&gt;Controls!$B$6),"",ROUND(MAX(0,Smooth!J280*Controls!J$17*INDEX(Controls!$B$21:$H$21,1,WEEKDAY($A280,2))*(1+Controls!$B$11)^278*(1+Controls!O$25*Smooth!$L280)*(1+Controls!O$26*Smooth!$M280)*(1+Controls!O$27*Smooth!$N280)*(1+Controls!O$28*Smooth!$O280)),2))</f>
        <v/>
      </c>
      <c r="K280" s="10" t="str">
        <f t="array" ref="K280">IF(OR($A280="",10&gt;Controls!$B$6),"",ROUND(MAX(0,Smooth!K280*Controls!K$17*INDEX(Controls!$B$21:$H$21,1,WEEKDAY($A280,2))*(1+Controls!$B$11)^278*(1+Controls!P$25*Smooth!$L280)*(1+Controls!P$26*Smooth!$M280)*(1+Controls!P$27*Smooth!$N280)*(1+Controls!P$28*Smooth!$O280)),2))</f>
        <v/>
      </c>
      <c r="L280" s="18" t="str">
        <f t="shared" si="1"/>
        <v/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21.0" customHeight="1">
      <c r="A281" s="7" t="str">
        <f>IF(280&lt;=Controls!$B$5,Controls!$B$4+279,"")</f>
        <v/>
      </c>
      <c r="B281" s="10" t="str">
        <f t="array" ref="B281">IF(OR($A281="",1&gt;Controls!$B$6),"",ROUND(MAX(0,Smooth!B281*Controls!B$17*INDEX(Controls!$B$21:$H$21,1,WEEKDAY($A281,2))*(1+Controls!$B$11)^279*(1+Controls!G$25*Smooth!$L281)*(1+Controls!G$26*Smooth!$M281)*(1+Controls!G$27*Smooth!$N281)*(1+Controls!G$28*Smooth!$O281)),2))</f>
        <v/>
      </c>
      <c r="C281" s="10" t="str">
        <f t="array" ref="C281">IF(OR($A281="",2&gt;Controls!$B$6),"",ROUND(MAX(0,Smooth!C281*Controls!C$17*INDEX(Controls!$B$21:$H$21,1,WEEKDAY($A281,2))*(1+Controls!$B$11)^279*(1+Controls!H$25*Smooth!$L281)*(1+Controls!H$26*Smooth!$M281)*(1+Controls!H$27*Smooth!$N281)*(1+Controls!H$28*Smooth!$O281)),2))</f>
        <v/>
      </c>
      <c r="D281" s="10" t="str">
        <f t="array" ref="D281">IF(OR($A281="",3&gt;Controls!$B$6),"",ROUND(MAX(0,Smooth!D281*Controls!D$17*INDEX(Controls!$B$21:$H$21,1,WEEKDAY($A281,2))*(1+Controls!$B$11)^279*(1+Controls!I$25*Smooth!$L281)*(1+Controls!I$26*Smooth!$M281)*(1+Controls!I$27*Smooth!$N281)*(1+Controls!I$28*Smooth!$O281)),2))</f>
        <v/>
      </c>
      <c r="E281" s="10" t="str">
        <f t="array" ref="E281">IF(OR($A281="",4&gt;Controls!$B$6),"",ROUND(MAX(0,Smooth!E281*Controls!E$17*INDEX(Controls!$B$21:$H$21,1,WEEKDAY($A281,2))*(1+Controls!$B$11)^279*(1+Controls!J$25*Smooth!$L281)*(1+Controls!J$26*Smooth!$M281)*(1+Controls!J$27*Smooth!$N281)*(1+Controls!J$28*Smooth!$O281)),2))</f>
        <v/>
      </c>
      <c r="F281" s="10" t="str">
        <f t="array" ref="F281">IF(OR($A281="",5&gt;Controls!$B$6),"",ROUND(MAX(0,Smooth!F281*Controls!F$17*INDEX(Controls!$B$21:$H$21,1,WEEKDAY($A281,2))*(1+Controls!$B$11)^279*(1+Controls!K$25*Smooth!$L281)*(1+Controls!K$26*Smooth!$M281)*(1+Controls!K$27*Smooth!$N281)*(1+Controls!K$28*Smooth!$O281)),2))</f>
        <v/>
      </c>
      <c r="G281" s="10" t="str">
        <f t="array" ref="G281">IF(OR($A281="",6&gt;Controls!$B$6),"",ROUND(MAX(0,Smooth!G281*Controls!G$17*INDEX(Controls!$B$21:$H$21,1,WEEKDAY($A281,2))*(1+Controls!$B$11)^279*(1+Controls!L$25*Smooth!$L281)*(1+Controls!L$26*Smooth!$M281)*(1+Controls!L$27*Smooth!$N281)*(1+Controls!L$28*Smooth!$O281)),2))</f>
        <v/>
      </c>
      <c r="H281" s="10" t="str">
        <f t="array" ref="H281">IF(OR($A281="",7&gt;Controls!$B$6),"",ROUND(MAX(0,Smooth!H281*Controls!H$17*INDEX(Controls!$B$21:$H$21,1,WEEKDAY($A281,2))*(1+Controls!$B$11)^279*(1+Controls!M$25*Smooth!$L281)*(1+Controls!M$26*Smooth!$M281)*(1+Controls!M$27*Smooth!$N281)*(1+Controls!M$28*Smooth!$O281)),2))</f>
        <v/>
      </c>
      <c r="I281" s="10" t="str">
        <f t="array" ref="I281">IF(OR($A281="",8&gt;Controls!$B$6),"",ROUND(MAX(0,Smooth!I281*Controls!I$17*INDEX(Controls!$B$21:$H$21,1,WEEKDAY($A281,2))*(1+Controls!$B$11)^279*(1+Controls!N$25*Smooth!$L281)*(1+Controls!N$26*Smooth!$M281)*(1+Controls!N$27*Smooth!$N281)*(1+Controls!N$28*Smooth!$O281)),2))</f>
        <v/>
      </c>
      <c r="J281" s="10" t="str">
        <f t="array" ref="J281">IF(OR($A281="",9&gt;Controls!$B$6),"",ROUND(MAX(0,Smooth!J281*Controls!J$17*INDEX(Controls!$B$21:$H$21,1,WEEKDAY($A281,2))*(1+Controls!$B$11)^279*(1+Controls!O$25*Smooth!$L281)*(1+Controls!O$26*Smooth!$M281)*(1+Controls!O$27*Smooth!$N281)*(1+Controls!O$28*Smooth!$O281)),2))</f>
        <v/>
      </c>
      <c r="K281" s="10" t="str">
        <f t="array" ref="K281">IF(OR($A281="",10&gt;Controls!$B$6),"",ROUND(MAX(0,Smooth!K281*Controls!K$17*INDEX(Controls!$B$21:$H$21,1,WEEKDAY($A281,2))*(1+Controls!$B$11)^279*(1+Controls!P$25*Smooth!$L281)*(1+Controls!P$26*Smooth!$M281)*(1+Controls!P$27*Smooth!$N281)*(1+Controls!P$28*Smooth!$O281)),2))</f>
        <v/>
      </c>
      <c r="L281" s="18" t="str">
        <f t="shared" si="1"/>
        <v/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21.0" customHeight="1">
      <c r="A282" s="7" t="str">
        <f>IF(281&lt;=Controls!$B$5,Controls!$B$4+280,"")</f>
        <v/>
      </c>
      <c r="B282" s="10" t="str">
        <f t="array" ref="B282">IF(OR($A282="",1&gt;Controls!$B$6),"",ROUND(MAX(0,Smooth!B282*Controls!B$17*INDEX(Controls!$B$21:$H$21,1,WEEKDAY($A282,2))*(1+Controls!$B$11)^280*(1+Controls!G$25*Smooth!$L282)*(1+Controls!G$26*Smooth!$M282)*(1+Controls!G$27*Smooth!$N282)*(1+Controls!G$28*Smooth!$O282)),2))</f>
        <v/>
      </c>
      <c r="C282" s="10" t="str">
        <f t="array" ref="C282">IF(OR($A282="",2&gt;Controls!$B$6),"",ROUND(MAX(0,Smooth!C282*Controls!C$17*INDEX(Controls!$B$21:$H$21,1,WEEKDAY($A282,2))*(1+Controls!$B$11)^280*(1+Controls!H$25*Smooth!$L282)*(1+Controls!H$26*Smooth!$M282)*(1+Controls!H$27*Smooth!$N282)*(1+Controls!H$28*Smooth!$O282)),2))</f>
        <v/>
      </c>
      <c r="D282" s="10" t="str">
        <f t="array" ref="D282">IF(OR($A282="",3&gt;Controls!$B$6),"",ROUND(MAX(0,Smooth!D282*Controls!D$17*INDEX(Controls!$B$21:$H$21,1,WEEKDAY($A282,2))*(1+Controls!$B$11)^280*(1+Controls!I$25*Smooth!$L282)*(1+Controls!I$26*Smooth!$M282)*(1+Controls!I$27*Smooth!$N282)*(1+Controls!I$28*Smooth!$O282)),2))</f>
        <v/>
      </c>
      <c r="E282" s="10" t="str">
        <f t="array" ref="E282">IF(OR($A282="",4&gt;Controls!$B$6),"",ROUND(MAX(0,Smooth!E282*Controls!E$17*INDEX(Controls!$B$21:$H$21,1,WEEKDAY($A282,2))*(1+Controls!$B$11)^280*(1+Controls!J$25*Smooth!$L282)*(1+Controls!J$26*Smooth!$M282)*(1+Controls!J$27*Smooth!$N282)*(1+Controls!J$28*Smooth!$O282)),2))</f>
        <v/>
      </c>
      <c r="F282" s="10" t="str">
        <f t="array" ref="F282">IF(OR($A282="",5&gt;Controls!$B$6),"",ROUND(MAX(0,Smooth!F282*Controls!F$17*INDEX(Controls!$B$21:$H$21,1,WEEKDAY($A282,2))*(1+Controls!$B$11)^280*(1+Controls!K$25*Smooth!$L282)*(1+Controls!K$26*Smooth!$M282)*(1+Controls!K$27*Smooth!$N282)*(1+Controls!K$28*Smooth!$O282)),2))</f>
        <v/>
      </c>
      <c r="G282" s="10" t="str">
        <f t="array" ref="G282">IF(OR($A282="",6&gt;Controls!$B$6),"",ROUND(MAX(0,Smooth!G282*Controls!G$17*INDEX(Controls!$B$21:$H$21,1,WEEKDAY($A282,2))*(1+Controls!$B$11)^280*(1+Controls!L$25*Smooth!$L282)*(1+Controls!L$26*Smooth!$M282)*(1+Controls!L$27*Smooth!$N282)*(1+Controls!L$28*Smooth!$O282)),2))</f>
        <v/>
      </c>
      <c r="H282" s="10" t="str">
        <f t="array" ref="H282">IF(OR($A282="",7&gt;Controls!$B$6),"",ROUND(MAX(0,Smooth!H282*Controls!H$17*INDEX(Controls!$B$21:$H$21,1,WEEKDAY($A282,2))*(1+Controls!$B$11)^280*(1+Controls!M$25*Smooth!$L282)*(1+Controls!M$26*Smooth!$M282)*(1+Controls!M$27*Smooth!$N282)*(1+Controls!M$28*Smooth!$O282)),2))</f>
        <v/>
      </c>
      <c r="I282" s="10" t="str">
        <f t="array" ref="I282">IF(OR($A282="",8&gt;Controls!$B$6),"",ROUND(MAX(0,Smooth!I282*Controls!I$17*INDEX(Controls!$B$21:$H$21,1,WEEKDAY($A282,2))*(1+Controls!$B$11)^280*(1+Controls!N$25*Smooth!$L282)*(1+Controls!N$26*Smooth!$M282)*(1+Controls!N$27*Smooth!$N282)*(1+Controls!N$28*Smooth!$O282)),2))</f>
        <v/>
      </c>
      <c r="J282" s="10" t="str">
        <f t="array" ref="J282">IF(OR($A282="",9&gt;Controls!$B$6),"",ROUND(MAX(0,Smooth!J282*Controls!J$17*INDEX(Controls!$B$21:$H$21,1,WEEKDAY($A282,2))*(1+Controls!$B$11)^280*(1+Controls!O$25*Smooth!$L282)*(1+Controls!O$26*Smooth!$M282)*(1+Controls!O$27*Smooth!$N282)*(1+Controls!O$28*Smooth!$O282)),2))</f>
        <v/>
      </c>
      <c r="K282" s="10" t="str">
        <f t="array" ref="K282">IF(OR($A282="",10&gt;Controls!$B$6),"",ROUND(MAX(0,Smooth!K282*Controls!K$17*INDEX(Controls!$B$21:$H$21,1,WEEKDAY($A282,2))*(1+Controls!$B$11)^280*(1+Controls!P$25*Smooth!$L282)*(1+Controls!P$26*Smooth!$M282)*(1+Controls!P$27*Smooth!$N282)*(1+Controls!P$28*Smooth!$O282)),2))</f>
        <v/>
      </c>
      <c r="L282" s="18" t="str">
        <f t="shared" si="1"/>
        <v/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21.0" customHeight="1">
      <c r="A283" s="7" t="str">
        <f>IF(282&lt;=Controls!$B$5,Controls!$B$4+281,"")</f>
        <v/>
      </c>
      <c r="B283" s="10" t="str">
        <f t="array" ref="B283">IF(OR($A283="",1&gt;Controls!$B$6),"",ROUND(MAX(0,Smooth!B283*Controls!B$17*INDEX(Controls!$B$21:$H$21,1,WEEKDAY($A283,2))*(1+Controls!$B$11)^281*(1+Controls!G$25*Smooth!$L283)*(1+Controls!G$26*Smooth!$M283)*(1+Controls!G$27*Smooth!$N283)*(1+Controls!G$28*Smooth!$O283)),2))</f>
        <v/>
      </c>
      <c r="C283" s="10" t="str">
        <f t="array" ref="C283">IF(OR($A283="",2&gt;Controls!$B$6),"",ROUND(MAX(0,Smooth!C283*Controls!C$17*INDEX(Controls!$B$21:$H$21,1,WEEKDAY($A283,2))*(1+Controls!$B$11)^281*(1+Controls!H$25*Smooth!$L283)*(1+Controls!H$26*Smooth!$M283)*(1+Controls!H$27*Smooth!$N283)*(1+Controls!H$28*Smooth!$O283)),2))</f>
        <v/>
      </c>
      <c r="D283" s="10" t="str">
        <f t="array" ref="D283">IF(OR($A283="",3&gt;Controls!$B$6),"",ROUND(MAX(0,Smooth!D283*Controls!D$17*INDEX(Controls!$B$21:$H$21,1,WEEKDAY($A283,2))*(1+Controls!$B$11)^281*(1+Controls!I$25*Smooth!$L283)*(1+Controls!I$26*Smooth!$M283)*(1+Controls!I$27*Smooth!$N283)*(1+Controls!I$28*Smooth!$O283)),2))</f>
        <v/>
      </c>
      <c r="E283" s="10" t="str">
        <f t="array" ref="E283">IF(OR($A283="",4&gt;Controls!$B$6),"",ROUND(MAX(0,Smooth!E283*Controls!E$17*INDEX(Controls!$B$21:$H$21,1,WEEKDAY($A283,2))*(1+Controls!$B$11)^281*(1+Controls!J$25*Smooth!$L283)*(1+Controls!J$26*Smooth!$M283)*(1+Controls!J$27*Smooth!$N283)*(1+Controls!J$28*Smooth!$O283)),2))</f>
        <v/>
      </c>
      <c r="F283" s="10" t="str">
        <f t="array" ref="F283">IF(OR($A283="",5&gt;Controls!$B$6),"",ROUND(MAX(0,Smooth!F283*Controls!F$17*INDEX(Controls!$B$21:$H$21,1,WEEKDAY($A283,2))*(1+Controls!$B$11)^281*(1+Controls!K$25*Smooth!$L283)*(1+Controls!K$26*Smooth!$M283)*(1+Controls!K$27*Smooth!$N283)*(1+Controls!K$28*Smooth!$O283)),2))</f>
        <v/>
      </c>
      <c r="G283" s="10" t="str">
        <f t="array" ref="G283">IF(OR($A283="",6&gt;Controls!$B$6),"",ROUND(MAX(0,Smooth!G283*Controls!G$17*INDEX(Controls!$B$21:$H$21,1,WEEKDAY($A283,2))*(1+Controls!$B$11)^281*(1+Controls!L$25*Smooth!$L283)*(1+Controls!L$26*Smooth!$M283)*(1+Controls!L$27*Smooth!$N283)*(1+Controls!L$28*Smooth!$O283)),2))</f>
        <v/>
      </c>
      <c r="H283" s="10" t="str">
        <f t="array" ref="H283">IF(OR($A283="",7&gt;Controls!$B$6),"",ROUND(MAX(0,Smooth!H283*Controls!H$17*INDEX(Controls!$B$21:$H$21,1,WEEKDAY($A283,2))*(1+Controls!$B$11)^281*(1+Controls!M$25*Smooth!$L283)*(1+Controls!M$26*Smooth!$M283)*(1+Controls!M$27*Smooth!$N283)*(1+Controls!M$28*Smooth!$O283)),2))</f>
        <v/>
      </c>
      <c r="I283" s="10" t="str">
        <f t="array" ref="I283">IF(OR($A283="",8&gt;Controls!$B$6),"",ROUND(MAX(0,Smooth!I283*Controls!I$17*INDEX(Controls!$B$21:$H$21,1,WEEKDAY($A283,2))*(1+Controls!$B$11)^281*(1+Controls!N$25*Smooth!$L283)*(1+Controls!N$26*Smooth!$M283)*(1+Controls!N$27*Smooth!$N283)*(1+Controls!N$28*Smooth!$O283)),2))</f>
        <v/>
      </c>
      <c r="J283" s="10" t="str">
        <f t="array" ref="J283">IF(OR($A283="",9&gt;Controls!$B$6),"",ROUND(MAX(0,Smooth!J283*Controls!J$17*INDEX(Controls!$B$21:$H$21,1,WEEKDAY($A283,2))*(1+Controls!$B$11)^281*(1+Controls!O$25*Smooth!$L283)*(1+Controls!O$26*Smooth!$M283)*(1+Controls!O$27*Smooth!$N283)*(1+Controls!O$28*Smooth!$O283)),2))</f>
        <v/>
      </c>
      <c r="K283" s="10" t="str">
        <f t="array" ref="K283">IF(OR($A283="",10&gt;Controls!$B$6),"",ROUND(MAX(0,Smooth!K283*Controls!K$17*INDEX(Controls!$B$21:$H$21,1,WEEKDAY($A283,2))*(1+Controls!$B$11)^281*(1+Controls!P$25*Smooth!$L283)*(1+Controls!P$26*Smooth!$M283)*(1+Controls!P$27*Smooth!$N283)*(1+Controls!P$28*Smooth!$O283)),2))</f>
        <v/>
      </c>
      <c r="L283" s="18" t="str">
        <f t="shared" si="1"/>
        <v/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21.0" customHeight="1">
      <c r="A284" s="7" t="str">
        <f>IF(283&lt;=Controls!$B$5,Controls!$B$4+282,"")</f>
        <v/>
      </c>
      <c r="B284" s="10" t="str">
        <f t="array" ref="B284">IF(OR($A284="",1&gt;Controls!$B$6),"",ROUND(MAX(0,Smooth!B284*Controls!B$17*INDEX(Controls!$B$21:$H$21,1,WEEKDAY($A284,2))*(1+Controls!$B$11)^282*(1+Controls!G$25*Smooth!$L284)*(1+Controls!G$26*Smooth!$M284)*(1+Controls!G$27*Smooth!$N284)*(1+Controls!G$28*Smooth!$O284)),2))</f>
        <v/>
      </c>
      <c r="C284" s="10" t="str">
        <f t="array" ref="C284">IF(OR($A284="",2&gt;Controls!$B$6),"",ROUND(MAX(0,Smooth!C284*Controls!C$17*INDEX(Controls!$B$21:$H$21,1,WEEKDAY($A284,2))*(1+Controls!$B$11)^282*(1+Controls!H$25*Smooth!$L284)*(1+Controls!H$26*Smooth!$M284)*(1+Controls!H$27*Smooth!$N284)*(1+Controls!H$28*Smooth!$O284)),2))</f>
        <v/>
      </c>
      <c r="D284" s="10" t="str">
        <f t="array" ref="D284">IF(OR($A284="",3&gt;Controls!$B$6),"",ROUND(MAX(0,Smooth!D284*Controls!D$17*INDEX(Controls!$B$21:$H$21,1,WEEKDAY($A284,2))*(1+Controls!$B$11)^282*(1+Controls!I$25*Smooth!$L284)*(1+Controls!I$26*Smooth!$M284)*(1+Controls!I$27*Smooth!$N284)*(1+Controls!I$28*Smooth!$O284)),2))</f>
        <v/>
      </c>
      <c r="E284" s="10" t="str">
        <f t="array" ref="E284">IF(OR($A284="",4&gt;Controls!$B$6),"",ROUND(MAX(0,Smooth!E284*Controls!E$17*INDEX(Controls!$B$21:$H$21,1,WEEKDAY($A284,2))*(1+Controls!$B$11)^282*(1+Controls!J$25*Smooth!$L284)*(1+Controls!J$26*Smooth!$M284)*(1+Controls!J$27*Smooth!$N284)*(1+Controls!J$28*Smooth!$O284)),2))</f>
        <v/>
      </c>
      <c r="F284" s="10" t="str">
        <f t="array" ref="F284">IF(OR($A284="",5&gt;Controls!$B$6),"",ROUND(MAX(0,Smooth!F284*Controls!F$17*INDEX(Controls!$B$21:$H$21,1,WEEKDAY($A284,2))*(1+Controls!$B$11)^282*(1+Controls!K$25*Smooth!$L284)*(1+Controls!K$26*Smooth!$M284)*(1+Controls!K$27*Smooth!$N284)*(1+Controls!K$28*Smooth!$O284)),2))</f>
        <v/>
      </c>
      <c r="G284" s="10" t="str">
        <f t="array" ref="G284">IF(OR($A284="",6&gt;Controls!$B$6),"",ROUND(MAX(0,Smooth!G284*Controls!G$17*INDEX(Controls!$B$21:$H$21,1,WEEKDAY($A284,2))*(1+Controls!$B$11)^282*(1+Controls!L$25*Smooth!$L284)*(1+Controls!L$26*Smooth!$M284)*(1+Controls!L$27*Smooth!$N284)*(1+Controls!L$28*Smooth!$O284)),2))</f>
        <v/>
      </c>
      <c r="H284" s="10" t="str">
        <f t="array" ref="H284">IF(OR($A284="",7&gt;Controls!$B$6),"",ROUND(MAX(0,Smooth!H284*Controls!H$17*INDEX(Controls!$B$21:$H$21,1,WEEKDAY($A284,2))*(1+Controls!$B$11)^282*(1+Controls!M$25*Smooth!$L284)*(1+Controls!M$26*Smooth!$M284)*(1+Controls!M$27*Smooth!$N284)*(1+Controls!M$28*Smooth!$O284)),2))</f>
        <v/>
      </c>
      <c r="I284" s="10" t="str">
        <f t="array" ref="I284">IF(OR($A284="",8&gt;Controls!$B$6),"",ROUND(MAX(0,Smooth!I284*Controls!I$17*INDEX(Controls!$B$21:$H$21,1,WEEKDAY($A284,2))*(1+Controls!$B$11)^282*(1+Controls!N$25*Smooth!$L284)*(1+Controls!N$26*Smooth!$M284)*(1+Controls!N$27*Smooth!$N284)*(1+Controls!N$28*Smooth!$O284)),2))</f>
        <v/>
      </c>
      <c r="J284" s="10" t="str">
        <f t="array" ref="J284">IF(OR($A284="",9&gt;Controls!$B$6),"",ROUND(MAX(0,Smooth!J284*Controls!J$17*INDEX(Controls!$B$21:$H$21,1,WEEKDAY($A284,2))*(1+Controls!$B$11)^282*(1+Controls!O$25*Smooth!$L284)*(1+Controls!O$26*Smooth!$M284)*(1+Controls!O$27*Smooth!$N284)*(1+Controls!O$28*Smooth!$O284)),2))</f>
        <v/>
      </c>
      <c r="K284" s="10" t="str">
        <f t="array" ref="K284">IF(OR($A284="",10&gt;Controls!$B$6),"",ROUND(MAX(0,Smooth!K284*Controls!K$17*INDEX(Controls!$B$21:$H$21,1,WEEKDAY($A284,2))*(1+Controls!$B$11)^282*(1+Controls!P$25*Smooth!$L284)*(1+Controls!P$26*Smooth!$M284)*(1+Controls!P$27*Smooth!$N284)*(1+Controls!P$28*Smooth!$O284)),2))</f>
        <v/>
      </c>
      <c r="L284" s="18" t="str">
        <f t="shared" si="1"/>
        <v/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21.0" customHeight="1">
      <c r="A285" s="7" t="str">
        <f>IF(284&lt;=Controls!$B$5,Controls!$B$4+283,"")</f>
        <v/>
      </c>
      <c r="B285" s="10" t="str">
        <f t="array" ref="B285">IF(OR($A285="",1&gt;Controls!$B$6),"",ROUND(MAX(0,Smooth!B285*Controls!B$17*INDEX(Controls!$B$21:$H$21,1,WEEKDAY($A285,2))*(1+Controls!$B$11)^283*(1+Controls!G$25*Smooth!$L285)*(1+Controls!G$26*Smooth!$M285)*(1+Controls!G$27*Smooth!$N285)*(1+Controls!G$28*Smooth!$O285)),2))</f>
        <v/>
      </c>
      <c r="C285" s="10" t="str">
        <f t="array" ref="C285">IF(OR($A285="",2&gt;Controls!$B$6),"",ROUND(MAX(0,Smooth!C285*Controls!C$17*INDEX(Controls!$B$21:$H$21,1,WEEKDAY($A285,2))*(1+Controls!$B$11)^283*(1+Controls!H$25*Smooth!$L285)*(1+Controls!H$26*Smooth!$M285)*(1+Controls!H$27*Smooth!$N285)*(1+Controls!H$28*Smooth!$O285)),2))</f>
        <v/>
      </c>
      <c r="D285" s="10" t="str">
        <f t="array" ref="D285">IF(OR($A285="",3&gt;Controls!$B$6),"",ROUND(MAX(0,Smooth!D285*Controls!D$17*INDEX(Controls!$B$21:$H$21,1,WEEKDAY($A285,2))*(1+Controls!$B$11)^283*(1+Controls!I$25*Smooth!$L285)*(1+Controls!I$26*Smooth!$M285)*(1+Controls!I$27*Smooth!$N285)*(1+Controls!I$28*Smooth!$O285)),2))</f>
        <v/>
      </c>
      <c r="E285" s="10" t="str">
        <f t="array" ref="E285">IF(OR($A285="",4&gt;Controls!$B$6),"",ROUND(MAX(0,Smooth!E285*Controls!E$17*INDEX(Controls!$B$21:$H$21,1,WEEKDAY($A285,2))*(1+Controls!$B$11)^283*(1+Controls!J$25*Smooth!$L285)*(1+Controls!J$26*Smooth!$M285)*(1+Controls!J$27*Smooth!$N285)*(1+Controls!J$28*Smooth!$O285)),2))</f>
        <v/>
      </c>
      <c r="F285" s="10" t="str">
        <f t="array" ref="F285">IF(OR($A285="",5&gt;Controls!$B$6),"",ROUND(MAX(0,Smooth!F285*Controls!F$17*INDEX(Controls!$B$21:$H$21,1,WEEKDAY($A285,2))*(1+Controls!$B$11)^283*(1+Controls!K$25*Smooth!$L285)*(1+Controls!K$26*Smooth!$M285)*(1+Controls!K$27*Smooth!$N285)*(1+Controls!K$28*Smooth!$O285)),2))</f>
        <v/>
      </c>
      <c r="G285" s="10" t="str">
        <f t="array" ref="G285">IF(OR($A285="",6&gt;Controls!$B$6),"",ROUND(MAX(0,Smooth!G285*Controls!G$17*INDEX(Controls!$B$21:$H$21,1,WEEKDAY($A285,2))*(1+Controls!$B$11)^283*(1+Controls!L$25*Smooth!$L285)*(1+Controls!L$26*Smooth!$M285)*(1+Controls!L$27*Smooth!$N285)*(1+Controls!L$28*Smooth!$O285)),2))</f>
        <v/>
      </c>
      <c r="H285" s="10" t="str">
        <f t="array" ref="H285">IF(OR($A285="",7&gt;Controls!$B$6),"",ROUND(MAX(0,Smooth!H285*Controls!H$17*INDEX(Controls!$B$21:$H$21,1,WEEKDAY($A285,2))*(1+Controls!$B$11)^283*(1+Controls!M$25*Smooth!$L285)*(1+Controls!M$26*Smooth!$M285)*(1+Controls!M$27*Smooth!$N285)*(1+Controls!M$28*Smooth!$O285)),2))</f>
        <v/>
      </c>
      <c r="I285" s="10" t="str">
        <f t="array" ref="I285">IF(OR($A285="",8&gt;Controls!$B$6),"",ROUND(MAX(0,Smooth!I285*Controls!I$17*INDEX(Controls!$B$21:$H$21,1,WEEKDAY($A285,2))*(1+Controls!$B$11)^283*(1+Controls!N$25*Smooth!$L285)*(1+Controls!N$26*Smooth!$M285)*(1+Controls!N$27*Smooth!$N285)*(1+Controls!N$28*Smooth!$O285)),2))</f>
        <v/>
      </c>
      <c r="J285" s="10" t="str">
        <f t="array" ref="J285">IF(OR($A285="",9&gt;Controls!$B$6),"",ROUND(MAX(0,Smooth!J285*Controls!J$17*INDEX(Controls!$B$21:$H$21,1,WEEKDAY($A285,2))*(1+Controls!$B$11)^283*(1+Controls!O$25*Smooth!$L285)*(1+Controls!O$26*Smooth!$M285)*(1+Controls!O$27*Smooth!$N285)*(1+Controls!O$28*Smooth!$O285)),2))</f>
        <v/>
      </c>
      <c r="K285" s="10" t="str">
        <f t="array" ref="K285">IF(OR($A285="",10&gt;Controls!$B$6),"",ROUND(MAX(0,Smooth!K285*Controls!K$17*INDEX(Controls!$B$21:$H$21,1,WEEKDAY($A285,2))*(1+Controls!$B$11)^283*(1+Controls!P$25*Smooth!$L285)*(1+Controls!P$26*Smooth!$M285)*(1+Controls!P$27*Smooth!$N285)*(1+Controls!P$28*Smooth!$O285)),2))</f>
        <v/>
      </c>
      <c r="L285" s="18" t="str">
        <f t="shared" si="1"/>
        <v/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21.0" customHeight="1">
      <c r="A286" s="7" t="str">
        <f>IF(285&lt;=Controls!$B$5,Controls!$B$4+284,"")</f>
        <v/>
      </c>
      <c r="B286" s="10" t="str">
        <f t="array" ref="B286">IF(OR($A286="",1&gt;Controls!$B$6),"",ROUND(MAX(0,Smooth!B286*Controls!B$17*INDEX(Controls!$B$21:$H$21,1,WEEKDAY($A286,2))*(1+Controls!$B$11)^284*(1+Controls!G$25*Smooth!$L286)*(1+Controls!G$26*Smooth!$M286)*(1+Controls!G$27*Smooth!$N286)*(1+Controls!G$28*Smooth!$O286)),2))</f>
        <v/>
      </c>
      <c r="C286" s="10" t="str">
        <f t="array" ref="C286">IF(OR($A286="",2&gt;Controls!$B$6),"",ROUND(MAX(0,Smooth!C286*Controls!C$17*INDEX(Controls!$B$21:$H$21,1,WEEKDAY($A286,2))*(1+Controls!$B$11)^284*(1+Controls!H$25*Smooth!$L286)*(1+Controls!H$26*Smooth!$M286)*(1+Controls!H$27*Smooth!$N286)*(1+Controls!H$28*Smooth!$O286)),2))</f>
        <v/>
      </c>
      <c r="D286" s="10" t="str">
        <f t="array" ref="D286">IF(OR($A286="",3&gt;Controls!$B$6),"",ROUND(MAX(0,Smooth!D286*Controls!D$17*INDEX(Controls!$B$21:$H$21,1,WEEKDAY($A286,2))*(1+Controls!$B$11)^284*(1+Controls!I$25*Smooth!$L286)*(1+Controls!I$26*Smooth!$M286)*(1+Controls!I$27*Smooth!$N286)*(1+Controls!I$28*Smooth!$O286)),2))</f>
        <v/>
      </c>
      <c r="E286" s="10" t="str">
        <f t="array" ref="E286">IF(OR($A286="",4&gt;Controls!$B$6),"",ROUND(MAX(0,Smooth!E286*Controls!E$17*INDEX(Controls!$B$21:$H$21,1,WEEKDAY($A286,2))*(1+Controls!$B$11)^284*(1+Controls!J$25*Smooth!$L286)*(1+Controls!J$26*Smooth!$M286)*(1+Controls!J$27*Smooth!$N286)*(1+Controls!J$28*Smooth!$O286)),2))</f>
        <v/>
      </c>
      <c r="F286" s="10" t="str">
        <f t="array" ref="F286">IF(OR($A286="",5&gt;Controls!$B$6),"",ROUND(MAX(0,Smooth!F286*Controls!F$17*INDEX(Controls!$B$21:$H$21,1,WEEKDAY($A286,2))*(1+Controls!$B$11)^284*(1+Controls!K$25*Smooth!$L286)*(1+Controls!K$26*Smooth!$M286)*(1+Controls!K$27*Smooth!$N286)*(1+Controls!K$28*Smooth!$O286)),2))</f>
        <v/>
      </c>
      <c r="G286" s="10" t="str">
        <f t="array" ref="G286">IF(OR($A286="",6&gt;Controls!$B$6),"",ROUND(MAX(0,Smooth!G286*Controls!G$17*INDEX(Controls!$B$21:$H$21,1,WEEKDAY($A286,2))*(1+Controls!$B$11)^284*(1+Controls!L$25*Smooth!$L286)*(1+Controls!L$26*Smooth!$M286)*(1+Controls!L$27*Smooth!$N286)*(1+Controls!L$28*Smooth!$O286)),2))</f>
        <v/>
      </c>
      <c r="H286" s="10" t="str">
        <f t="array" ref="H286">IF(OR($A286="",7&gt;Controls!$B$6),"",ROUND(MAX(0,Smooth!H286*Controls!H$17*INDEX(Controls!$B$21:$H$21,1,WEEKDAY($A286,2))*(1+Controls!$B$11)^284*(1+Controls!M$25*Smooth!$L286)*(1+Controls!M$26*Smooth!$M286)*(1+Controls!M$27*Smooth!$N286)*(1+Controls!M$28*Smooth!$O286)),2))</f>
        <v/>
      </c>
      <c r="I286" s="10" t="str">
        <f t="array" ref="I286">IF(OR($A286="",8&gt;Controls!$B$6),"",ROUND(MAX(0,Smooth!I286*Controls!I$17*INDEX(Controls!$B$21:$H$21,1,WEEKDAY($A286,2))*(1+Controls!$B$11)^284*(1+Controls!N$25*Smooth!$L286)*(1+Controls!N$26*Smooth!$M286)*(1+Controls!N$27*Smooth!$N286)*(1+Controls!N$28*Smooth!$O286)),2))</f>
        <v/>
      </c>
      <c r="J286" s="10" t="str">
        <f t="array" ref="J286">IF(OR($A286="",9&gt;Controls!$B$6),"",ROUND(MAX(0,Smooth!J286*Controls!J$17*INDEX(Controls!$B$21:$H$21,1,WEEKDAY($A286,2))*(1+Controls!$B$11)^284*(1+Controls!O$25*Smooth!$L286)*(1+Controls!O$26*Smooth!$M286)*(1+Controls!O$27*Smooth!$N286)*(1+Controls!O$28*Smooth!$O286)),2))</f>
        <v/>
      </c>
      <c r="K286" s="10" t="str">
        <f t="array" ref="K286">IF(OR($A286="",10&gt;Controls!$B$6),"",ROUND(MAX(0,Smooth!K286*Controls!K$17*INDEX(Controls!$B$21:$H$21,1,WEEKDAY($A286,2))*(1+Controls!$B$11)^284*(1+Controls!P$25*Smooth!$L286)*(1+Controls!P$26*Smooth!$M286)*(1+Controls!P$27*Smooth!$N286)*(1+Controls!P$28*Smooth!$O286)),2))</f>
        <v/>
      </c>
      <c r="L286" s="18" t="str">
        <f t="shared" si="1"/>
        <v/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21.0" customHeight="1">
      <c r="A287" s="7" t="str">
        <f>IF(286&lt;=Controls!$B$5,Controls!$B$4+285,"")</f>
        <v/>
      </c>
      <c r="B287" s="10" t="str">
        <f t="array" ref="B287">IF(OR($A287="",1&gt;Controls!$B$6),"",ROUND(MAX(0,Smooth!B287*Controls!B$17*INDEX(Controls!$B$21:$H$21,1,WEEKDAY($A287,2))*(1+Controls!$B$11)^285*(1+Controls!G$25*Smooth!$L287)*(1+Controls!G$26*Smooth!$M287)*(1+Controls!G$27*Smooth!$N287)*(1+Controls!G$28*Smooth!$O287)),2))</f>
        <v/>
      </c>
      <c r="C287" s="10" t="str">
        <f t="array" ref="C287">IF(OR($A287="",2&gt;Controls!$B$6),"",ROUND(MAX(0,Smooth!C287*Controls!C$17*INDEX(Controls!$B$21:$H$21,1,WEEKDAY($A287,2))*(1+Controls!$B$11)^285*(1+Controls!H$25*Smooth!$L287)*(1+Controls!H$26*Smooth!$M287)*(1+Controls!H$27*Smooth!$N287)*(1+Controls!H$28*Smooth!$O287)),2))</f>
        <v/>
      </c>
      <c r="D287" s="10" t="str">
        <f t="array" ref="D287">IF(OR($A287="",3&gt;Controls!$B$6),"",ROUND(MAX(0,Smooth!D287*Controls!D$17*INDEX(Controls!$B$21:$H$21,1,WEEKDAY($A287,2))*(1+Controls!$B$11)^285*(1+Controls!I$25*Smooth!$L287)*(1+Controls!I$26*Smooth!$M287)*(1+Controls!I$27*Smooth!$N287)*(1+Controls!I$28*Smooth!$O287)),2))</f>
        <v/>
      </c>
      <c r="E287" s="10" t="str">
        <f t="array" ref="E287">IF(OR($A287="",4&gt;Controls!$B$6),"",ROUND(MAX(0,Smooth!E287*Controls!E$17*INDEX(Controls!$B$21:$H$21,1,WEEKDAY($A287,2))*(1+Controls!$B$11)^285*(1+Controls!J$25*Smooth!$L287)*(1+Controls!J$26*Smooth!$M287)*(1+Controls!J$27*Smooth!$N287)*(1+Controls!J$28*Smooth!$O287)),2))</f>
        <v/>
      </c>
      <c r="F287" s="10" t="str">
        <f t="array" ref="F287">IF(OR($A287="",5&gt;Controls!$B$6),"",ROUND(MAX(0,Smooth!F287*Controls!F$17*INDEX(Controls!$B$21:$H$21,1,WEEKDAY($A287,2))*(1+Controls!$B$11)^285*(1+Controls!K$25*Smooth!$L287)*(1+Controls!K$26*Smooth!$M287)*(1+Controls!K$27*Smooth!$N287)*(1+Controls!K$28*Smooth!$O287)),2))</f>
        <v/>
      </c>
      <c r="G287" s="10" t="str">
        <f t="array" ref="G287">IF(OR($A287="",6&gt;Controls!$B$6),"",ROUND(MAX(0,Smooth!G287*Controls!G$17*INDEX(Controls!$B$21:$H$21,1,WEEKDAY($A287,2))*(1+Controls!$B$11)^285*(1+Controls!L$25*Smooth!$L287)*(1+Controls!L$26*Smooth!$M287)*(1+Controls!L$27*Smooth!$N287)*(1+Controls!L$28*Smooth!$O287)),2))</f>
        <v/>
      </c>
      <c r="H287" s="10" t="str">
        <f t="array" ref="H287">IF(OR($A287="",7&gt;Controls!$B$6),"",ROUND(MAX(0,Smooth!H287*Controls!H$17*INDEX(Controls!$B$21:$H$21,1,WEEKDAY($A287,2))*(1+Controls!$B$11)^285*(1+Controls!M$25*Smooth!$L287)*(1+Controls!M$26*Smooth!$M287)*(1+Controls!M$27*Smooth!$N287)*(1+Controls!M$28*Smooth!$O287)),2))</f>
        <v/>
      </c>
      <c r="I287" s="10" t="str">
        <f t="array" ref="I287">IF(OR($A287="",8&gt;Controls!$B$6),"",ROUND(MAX(0,Smooth!I287*Controls!I$17*INDEX(Controls!$B$21:$H$21,1,WEEKDAY($A287,2))*(1+Controls!$B$11)^285*(1+Controls!N$25*Smooth!$L287)*(1+Controls!N$26*Smooth!$M287)*(1+Controls!N$27*Smooth!$N287)*(1+Controls!N$28*Smooth!$O287)),2))</f>
        <v/>
      </c>
      <c r="J287" s="10" t="str">
        <f t="array" ref="J287">IF(OR($A287="",9&gt;Controls!$B$6),"",ROUND(MAX(0,Smooth!J287*Controls!J$17*INDEX(Controls!$B$21:$H$21,1,WEEKDAY($A287,2))*(1+Controls!$B$11)^285*(1+Controls!O$25*Smooth!$L287)*(1+Controls!O$26*Smooth!$M287)*(1+Controls!O$27*Smooth!$N287)*(1+Controls!O$28*Smooth!$O287)),2))</f>
        <v/>
      </c>
      <c r="K287" s="10" t="str">
        <f t="array" ref="K287">IF(OR($A287="",10&gt;Controls!$B$6),"",ROUND(MAX(0,Smooth!K287*Controls!K$17*INDEX(Controls!$B$21:$H$21,1,WEEKDAY($A287,2))*(1+Controls!$B$11)^285*(1+Controls!P$25*Smooth!$L287)*(1+Controls!P$26*Smooth!$M287)*(1+Controls!P$27*Smooth!$N287)*(1+Controls!P$28*Smooth!$O287)),2))</f>
        <v/>
      </c>
      <c r="L287" s="18" t="str">
        <f t="shared" si="1"/>
        <v/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21.0" customHeight="1">
      <c r="A288" s="7" t="str">
        <f>IF(287&lt;=Controls!$B$5,Controls!$B$4+286,"")</f>
        <v/>
      </c>
      <c r="B288" s="10" t="str">
        <f t="array" ref="B288">IF(OR($A288="",1&gt;Controls!$B$6),"",ROUND(MAX(0,Smooth!B288*Controls!B$17*INDEX(Controls!$B$21:$H$21,1,WEEKDAY($A288,2))*(1+Controls!$B$11)^286*(1+Controls!G$25*Smooth!$L288)*(1+Controls!G$26*Smooth!$M288)*(1+Controls!G$27*Smooth!$N288)*(1+Controls!G$28*Smooth!$O288)),2))</f>
        <v/>
      </c>
      <c r="C288" s="10" t="str">
        <f t="array" ref="C288">IF(OR($A288="",2&gt;Controls!$B$6),"",ROUND(MAX(0,Smooth!C288*Controls!C$17*INDEX(Controls!$B$21:$H$21,1,WEEKDAY($A288,2))*(1+Controls!$B$11)^286*(1+Controls!H$25*Smooth!$L288)*(1+Controls!H$26*Smooth!$M288)*(1+Controls!H$27*Smooth!$N288)*(1+Controls!H$28*Smooth!$O288)),2))</f>
        <v/>
      </c>
      <c r="D288" s="10" t="str">
        <f t="array" ref="D288">IF(OR($A288="",3&gt;Controls!$B$6),"",ROUND(MAX(0,Smooth!D288*Controls!D$17*INDEX(Controls!$B$21:$H$21,1,WEEKDAY($A288,2))*(1+Controls!$B$11)^286*(1+Controls!I$25*Smooth!$L288)*(1+Controls!I$26*Smooth!$M288)*(1+Controls!I$27*Smooth!$N288)*(1+Controls!I$28*Smooth!$O288)),2))</f>
        <v/>
      </c>
      <c r="E288" s="10" t="str">
        <f t="array" ref="E288">IF(OR($A288="",4&gt;Controls!$B$6),"",ROUND(MAX(0,Smooth!E288*Controls!E$17*INDEX(Controls!$B$21:$H$21,1,WEEKDAY($A288,2))*(1+Controls!$B$11)^286*(1+Controls!J$25*Smooth!$L288)*(1+Controls!J$26*Smooth!$M288)*(1+Controls!J$27*Smooth!$N288)*(1+Controls!J$28*Smooth!$O288)),2))</f>
        <v/>
      </c>
      <c r="F288" s="10" t="str">
        <f t="array" ref="F288">IF(OR($A288="",5&gt;Controls!$B$6),"",ROUND(MAX(0,Smooth!F288*Controls!F$17*INDEX(Controls!$B$21:$H$21,1,WEEKDAY($A288,2))*(1+Controls!$B$11)^286*(1+Controls!K$25*Smooth!$L288)*(1+Controls!K$26*Smooth!$M288)*(1+Controls!K$27*Smooth!$N288)*(1+Controls!K$28*Smooth!$O288)),2))</f>
        <v/>
      </c>
      <c r="G288" s="10" t="str">
        <f t="array" ref="G288">IF(OR($A288="",6&gt;Controls!$B$6),"",ROUND(MAX(0,Smooth!G288*Controls!G$17*INDEX(Controls!$B$21:$H$21,1,WEEKDAY($A288,2))*(1+Controls!$B$11)^286*(1+Controls!L$25*Smooth!$L288)*(1+Controls!L$26*Smooth!$M288)*(1+Controls!L$27*Smooth!$N288)*(1+Controls!L$28*Smooth!$O288)),2))</f>
        <v/>
      </c>
      <c r="H288" s="10" t="str">
        <f t="array" ref="H288">IF(OR($A288="",7&gt;Controls!$B$6),"",ROUND(MAX(0,Smooth!H288*Controls!H$17*INDEX(Controls!$B$21:$H$21,1,WEEKDAY($A288,2))*(1+Controls!$B$11)^286*(1+Controls!M$25*Smooth!$L288)*(1+Controls!M$26*Smooth!$M288)*(1+Controls!M$27*Smooth!$N288)*(1+Controls!M$28*Smooth!$O288)),2))</f>
        <v/>
      </c>
      <c r="I288" s="10" t="str">
        <f t="array" ref="I288">IF(OR($A288="",8&gt;Controls!$B$6),"",ROUND(MAX(0,Smooth!I288*Controls!I$17*INDEX(Controls!$B$21:$H$21,1,WEEKDAY($A288,2))*(1+Controls!$B$11)^286*(1+Controls!N$25*Smooth!$L288)*(1+Controls!N$26*Smooth!$M288)*(1+Controls!N$27*Smooth!$N288)*(1+Controls!N$28*Smooth!$O288)),2))</f>
        <v/>
      </c>
      <c r="J288" s="10" t="str">
        <f t="array" ref="J288">IF(OR($A288="",9&gt;Controls!$B$6),"",ROUND(MAX(0,Smooth!J288*Controls!J$17*INDEX(Controls!$B$21:$H$21,1,WEEKDAY($A288,2))*(1+Controls!$B$11)^286*(1+Controls!O$25*Smooth!$L288)*(1+Controls!O$26*Smooth!$M288)*(1+Controls!O$27*Smooth!$N288)*(1+Controls!O$28*Smooth!$O288)),2))</f>
        <v/>
      </c>
      <c r="K288" s="10" t="str">
        <f t="array" ref="K288">IF(OR($A288="",10&gt;Controls!$B$6),"",ROUND(MAX(0,Smooth!K288*Controls!K$17*INDEX(Controls!$B$21:$H$21,1,WEEKDAY($A288,2))*(1+Controls!$B$11)^286*(1+Controls!P$25*Smooth!$L288)*(1+Controls!P$26*Smooth!$M288)*(1+Controls!P$27*Smooth!$N288)*(1+Controls!P$28*Smooth!$O288)),2))</f>
        <v/>
      </c>
      <c r="L288" s="18" t="str">
        <f t="shared" si="1"/>
        <v/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21.0" customHeight="1">
      <c r="A289" s="7" t="str">
        <f>IF(288&lt;=Controls!$B$5,Controls!$B$4+287,"")</f>
        <v/>
      </c>
      <c r="B289" s="10" t="str">
        <f t="array" ref="B289">IF(OR($A289="",1&gt;Controls!$B$6),"",ROUND(MAX(0,Smooth!B289*Controls!B$17*INDEX(Controls!$B$21:$H$21,1,WEEKDAY($A289,2))*(1+Controls!$B$11)^287*(1+Controls!G$25*Smooth!$L289)*(1+Controls!G$26*Smooth!$M289)*(1+Controls!G$27*Smooth!$N289)*(1+Controls!G$28*Smooth!$O289)),2))</f>
        <v/>
      </c>
      <c r="C289" s="10" t="str">
        <f t="array" ref="C289">IF(OR($A289="",2&gt;Controls!$B$6),"",ROUND(MAX(0,Smooth!C289*Controls!C$17*INDEX(Controls!$B$21:$H$21,1,WEEKDAY($A289,2))*(1+Controls!$B$11)^287*(1+Controls!H$25*Smooth!$L289)*(1+Controls!H$26*Smooth!$M289)*(1+Controls!H$27*Smooth!$N289)*(1+Controls!H$28*Smooth!$O289)),2))</f>
        <v/>
      </c>
      <c r="D289" s="10" t="str">
        <f t="array" ref="D289">IF(OR($A289="",3&gt;Controls!$B$6),"",ROUND(MAX(0,Smooth!D289*Controls!D$17*INDEX(Controls!$B$21:$H$21,1,WEEKDAY($A289,2))*(1+Controls!$B$11)^287*(1+Controls!I$25*Smooth!$L289)*(1+Controls!I$26*Smooth!$M289)*(1+Controls!I$27*Smooth!$N289)*(1+Controls!I$28*Smooth!$O289)),2))</f>
        <v/>
      </c>
      <c r="E289" s="10" t="str">
        <f t="array" ref="E289">IF(OR($A289="",4&gt;Controls!$B$6),"",ROUND(MAX(0,Smooth!E289*Controls!E$17*INDEX(Controls!$B$21:$H$21,1,WEEKDAY($A289,2))*(1+Controls!$B$11)^287*(1+Controls!J$25*Smooth!$L289)*(1+Controls!J$26*Smooth!$M289)*(1+Controls!J$27*Smooth!$N289)*(1+Controls!J$28*Smooth!$O289)),2))</f>
        <v/>
      </c>
      <c r="F289" s="10" t="str">
        <f t="array" ref="F289">IF(OR($A289="",5&gt;Controls!$B$6),"",ROUND(MAX(0,Smooth!F289*Controls!F$17*INDEX(Controls!$B$21:$H$21,1,WEEKDAY($A289,2))*(1+Controls!$B$11)^287*(1+Controls!K$25*Smooth!$L289)*(1+Controls!K$26*Smooth!$M289)*(1+Controls!K$27*Smooth!$N289)*(1+Controls!K$28*Smooth!$O289)),2))</f>
        <v/>
      </c>
      <c r="G289" s="10" t="str">
        <f t="array" ref="G289">IF(OR($A289="",6&gt;Controls!$B$6),"",ROUND(MAX(0,Smooth!G289*Controls!G$17*INDEX(Controls!$B$21:$H$21,1,WEEKDAY($A289,2))*(1+Controls!$B$11)^287*(1+Controls!L$25*Smooth!$L289)*(1+Controls!L$26*Smooth!$M289)*(1+Controls!L$27*Smooth!$N289)*(1+Controls!L$28*Smooth!$O289)),2))</f>
        <v/>
      </c>
      <c r="H289" s="10" t="str">
        <f t="array" ref="H289">IF(OR($A289="",7&gt;Controls!$B$6),"",ROUND(MAX(0,Smooth!H289*Controls!H$17*INDEX(Controls!$B$21:$H$21,1,WEEKDAY($A289,2))*(1+Controls!$B$11)^287*(1+Controls!M$25*Smooth!$L289)*(1+Controls!M$26*Smooth!$M289)*(1+Controls!M$27*Smooth!$N289)*(1+Controls!M$28*Smooth!$O289)),2))</f>
        <v/>
      </c>
      <c r="I289" s="10" t="str">
        <f t="array" ref="I289">IF(OR($A289="",8&gt;Controls!$B$6),"",ROUND(MAX(0,Smooth!I289*Controls!I$17*INDEX(Controls!$B$21:$H$21,1,WEEKDAY($A289,2))*(1+Controls!$B$11)^287*(1+Controls!N$25*Smooth!$L289)*(1+Controls!N$26*Smooth!$M289)*(1+Controls!N$27*Smooth!$N289)*(1+Controls!N$28*Smooth!$O289)),2))</f>
        <v/>
      </c>
      <c r="J289" s="10" t="str">
        <f t="array" ref="J289">IF(OR($A289="",9&gt;Controls!$B$6),"",ROUND(MAX(0,Smooth!J289*Controls!J$17*INDEX(Controls!$B$21:$H$21,1,WEEKDAY($A289,2))*(1+Controls!$B$11)^287*(1+Controls!O$25*Smooth!$L289)*(1+Controls!O$26*Smooth!$M289)*(1+Controls!O$27*Smooth!$N289)*(1+Controls!O$28*Smooth!$O289)),2))</f>
        <v/>
      </c>
      <c r="K289" s="10" t="str">
        <f t="array" ref="K289">IF(OR($A289="",10&gt;Controls!$B$6),"",ROUND(MAX(0,Smooth!K289*Controls!K$17*INDEX(Controls!$B$21:$H$21,1,WEEKDAY($A289,2))*(1+Controls!$B$11)^287*(1+Controls!P$25*Smooth!$L289)*(1+Controls!P$26*Smooth!$M289)*(1+Controls!P$27*Smooth!$N289)*(1+Controls!P$28*Smooth!$O289)),2))</f>
        <v/>
      </c>
      <c r="L289" s="18" t="str">
        <f t="shared" si="1"/>
        <v/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21.0" customHeight="1">
      <c r="A290" s="7" t="str">
        <f>IF(289&lt;=Controls!$B$5,Controls!$B$4+288,"")</f>
        <v/>
      </c>
      <c r="B290" s="10" t="str">
        <f t="array" ref="B290">IF(OR($A290="",1&gt;Controls!$B$6),"",ROUND(MAX(0,Smooth!B290*Controls!B$17*INDEX(Controls!$B$21:$H$21,1,WEEKDAY($A290,2))*(1+Controls!$B$11)^288*(1+Controls!G$25*Smooth!$L290)*(1+Controls!G$26*Smooth!$M290)*(1+Controls!G$27*Smooth!$N290)*(1+Controls!G$28*Smooth!$O290)),2))</f>
        <v/>
      </c>
      <c r="C290" s="10" t="str">
        <f t="array" ref="C290">IF(OR($A290="",2&gt;Controls!$B$6),"",ROUND(MAX(0,Smooth!C290*Controls!C$17*INDEX(Controls!$B$21:$H$21,1,WEEKDAY($A290,2))*(1+Controls!$B$11)^288*(1+Controls!H$25*Smooth!$L290)*(1+Controls!H$26*Smooth!$M290)*(1+Controls!H$27*Smooth!$N290)*(1+Controls!H$28*Smooth!$O290)),2))</f>
        <v/>
      </c>
      <c r="D290" s="10" t="str">
        <f t="array" ref="D290">IF(OR($A290="",3&gt;Controls!$B$6),"",ROUND(MAX(0,Smooth!D290*Controls!D$17*INDEX(Controls!$B$21:$H$21,1,WEEKDAY($A290,2))*(1+Controls!$B$11)^288*(1+Controls!I$25*Smooth!$L290)*(1+Controls!I$26*Smooth!$M290)*(1+Controls!I$27*Smooth!$N290)*(1+Controls!I$28*Smooth!$O290)),2))</f>
        <v/>
      </c>
      <c r="E290" s="10" t="str">
        <f t="array" ref="E290">IF(OR($A290="",4&gt;Controls!$B$6),"",ROUND(MAX(0,Smooth!E290*Controls!E$17*INDEX(Controls!$B$21:$H$21,1,WEEKDAY($A290,2))*(1+Controls!$B$11)^288*(1+Controls!J$25*Smooth!$L290)*(1+Controls!J$26*Smooth!$M290)*(1+Controls!J$27*Smooth!$N290)*(1+Controls!J$28*Smooth!$O290)),2))</f>
        <v/>
      </c>
      <c r="F290" s="10" t="str">
        <f t="array" ref="F290">IF(OR($A290="",5&gt;Controls!$B$6),"",ROUND(MAX(0,Smooth!F290*Controls!F$17*INDEX(Controls!$B$21:$H$21,1,WEEKDAY($A290,2))*(1+Controls!$B$11)^288*(1+Controls!K$25*Smooth!$L290)*(1+Controls!K$26*Smooth!$M290)*(1+Controls!K$27*Smooth!$N290)*(1+Controls!K$28*Smooth!$O290)),2))</f>
        <v/>
      </c>
      <c r="G290" s="10" t="str">
        <f t="array" ref="G290">IF(OR($A290="",6&gt;Controls!$B$6),"",ROUND(MAX(0,Smooth!G290*Controls!G$17*INDEX(Controls!$B$21:$H$21,1,WEEKDAY($A290,2))*(1+Controls!$B$11)^288*(1+Controls!L$25*Smooth!$L290)*(1+Controls!L$26*Smooth!$M290)*(1+Controls!L$27*Smooth!$N290)*(1+Controls!L$28*Smooth!$O290)),2))</f>
        <v/>
      </c>
      <c r="H290" s="10" t="str">
        <f t="array" ref="H290">IF(OR($A290="",7&gt;Controls!$B$6),"",ROUND(MAX(0,Smooth!H290*Controls!H$17*INDEX(Controls!$B$21:$H$21,1,WEEKDAY($A290,2))*(1+Controls!$B$11)^288*(1+Controls!M$25*Smooth!$L290)*(1+Controls!M$26*Smooth!$M290)*(1+Controls!M$27*Smooth!$N290)*(1+Controls!M$28*Smooth!$O290)),2))</f>
        <v/>
      </c>
      <c r="I290" s="10" t="str">
        <f t="array" ref="I290">IF(OR($A290="",8&gt;Controls!$B$6),"",ROUND(MAX(0,Smooth!I290*Controls!I$17*INDEX(Controls!$B$21:$H$21,1,WEEKDAY($A290,2))*(1+Controls!$B$11)^288*(1+Controls!N$25*Smooth!$L290)*(1+Controls!N$26*Smooth!$M290)*(1+Controls!N$27*Smooth!$N290)*(1+Controls!N$28*Smooth!$O290)),2))</f>
        <v/>
      </c>
      <c r="J290" s="10" t="str">
        <f t="array" ref="J290">IF(OR($A290="",9&gt;Controls!$B$6),"",ROUND(MAX(0,Smooth!J290*Controls!J$17*INDEX(Controls!$B$21:$H$21,1,WEEKDAY($A290,2))*(1+Controls!$B$11)^288*(1+Controls!O$25*Smooth!$L290)*(1+Controls!O$26*Smooth!$M290)*(1+Controls!O$27*Smooth!$N290)*(1+Controls!O$28*Smooth!$O290)),2))</f>
        <v/>
      </c>
      <c r="K290" s="10" t="str">
        <f t="array" ref="K290">IF(OR($A290="",10&gt;Controls!$B$6),"",ROUND(MAX(0,Smooth!K290*Controls!K$17*INDEX(Controls!$B$21:$H$21,1,WEEKDAY($A290,2))*(1+Controls!$B$11)^288*(1+Controls!P$25*Smooth!$L290)*(1+Controls!P$26*Smooth!$M290)*(1+Controls!P$27*Smooth!$N290)*(1+Controls!P$28*Smooth!$O290)),2))</f>
        <v/>
      </c>
      <c r="L290" s="18" t="str">
        <f t="shared" si="1"/>
        <v/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21.0" customHeight="1">
      <c r="A291" s="7" t="str">
        <f>IF(290&lt;=Controls!$B$5,Controls!$B$4+289,"")</f>
        <v/>
      </c>
      <c r="B291" s="10" t="str">
        <f t="array" ref="B291">IF(OR($A291="",1&gt;Controls!$B$6),"",ROUND(MAX(0,Smooth!B291*Controls!B$17*INDEX(Controls!$B$21:$H$21,1,WEEKDAY($A291,2))*(1+Controls!$B$11)^289*(1+Controls!G$25*Smooth!$L291)*(1+Controls!G$26*Smooth!$M291)*(1+Controls!G$27*Smooth!$N291)*(1+Controls!G$28*Smooth!$O291)),2))</f>
        <v/>
      </c>
      <c r="C291" s="10" t="str">
        <f t="array" ref="C291">IF(OR($A291="",2&gt;Controls!$B$6),"",ROUND(MAX(0,Smooth!C291*Controls!C$17*INDEX(Controls!$B$21:$H$21,1,WEEKDAY($A291,2))*(1+Controls!$B$11)^289*(1+Controls!H$25*Smooth!$L291)*(1+Controls!H$26*Smooth!$M291)*(1+Controls!H$27*Smooth!$N291)*(1+Controls!H$28*Smooth!$O291)),2))</f>
        <v/>
      </c>
      <c r="D291" s="10" t="str">
        <f t="array" ref="D291">IF(OR($A291="",3&gt;Controls!$B$6),"",ROUND(MAX(0,Smooth!D291*Controls!D$17*INDEX(Controls!$B$21:$H$21,1,WEEKDAY($A291,2))*(1+Controls!$B$11)^289*(1+Controls!I$25*Smooth!$L291)*(1+Controls!I$26*Smooth!$M291)*(1+Controls!I$27*Smooth!$N291)*(1+Controls!I$28*Smooth!$O291)),2))</f>
        <v/>
      </c>
      <c r="E291" s="10" t="str">
        <f t="array" ref="E291">IF(OR($A291="",4&gt;Controls!$B$6),"",ROUND(MAX(0,Smooth!E291*Controls!E$17*INDEX(Controls!$B$21:$H$21,1,WEEKDAY($A291,2))*(1+Controls!$B$11)^289*(1+Controls!J$25*Smooth!$L291)*(1+Controls!J$26*Smooth!$M291)*(1+Controls!J$27*Smooth!$N291)*(1+Controls!J$28*Smooth!$O291)),2))</f>
        <v/>
      </c>
      <c r="F291" s="10" t="str">
        <f t="array" ref="F291">IF(OR($A291="",5&gt;Controls!$B$6),"",ROUND(MAX(0,Smooth!F291*Controls!F$17*INDEX(Controls!$B$21:$H$21,1,WEEKDAY($A291,2))*(1+Controls!$B$11)^289*(1+Controls!K$25*Smooth!$L291)*(1+Controls!K$26*Smooth!$M291)*(1+Controls!K$27*Smooth!$N291)*(1+Controls!K$28*Smooth!$O291)),2))</f>
        <v/>
      </c>
      <c r="G291" s="10" t="str">
        <f t="array" ref="G291">IF(OR($A291="",6&gt;Controls!$B$6),"",ROUND(MAX(0,Smooth!G291*Controls!G$17*INDEX(Controls!$B$21:$H$21,1,WEEKDAY($A291,2))*(1+Controls!$B$11)^289*(1+Controls!L$25*Smooth!$L291)*(1+Controls!L$26*Smooth!$M291)*(1+Controls!L$27*Smooth!$N291)*(1+Controls!L$28*Smooth!$O291)),2))</f>
        <v/>
      </c>
      <c r="H291" s="10" t="str">
        <f t="array" ref="H291">IF(OR($A291="",7&gt;Controls!$B$6),"",ROUND(MAX(0,Smooth!H291*Controls!H$17*INDEX(Controls!$B$21:$H$21,1,WEEKDAY($A291,2))*(1+Controls!$B$11)^289*(1+Controls!M$25*Smooth!$L291)*(1+Controls!M$26*Smooth!$M291)*(1+Controls!M$27*Smooth!$N291)*(1+Controls!M$28*Smooth!$O291)),2))</f>
        <v/>
      </c>
      <c r="I291" s="10" t="str">
        <f t="array" ref="I291">IF(OR($A291="",8&gt;Controls!$B$6),"",ROUND(MAX(0,Smooth!I291*Controls!I$17*INDEX(Controls!$B$21:$H$21,1,WEEKDAY($A291,2))*(1+Controls!$B$11)^289*(1+Controls!N$25*Smooth!$L291)*(1+Controls!N$26*Smooth!$M291)*(1+Controls!N$27*Smooth!$N291)*(1+Controls!N$28*Smooth!$O291)),2))</f>
        <v/>
      </c>
      <c r="J291" s="10" t="str">
        <f t="array" ref="J291">IF(OR($A291="",9&gt;Controls!$B$6),"",ROUND(MAX(0,Smooth!J291*Controls!J$17*INDEX(Controls!$B$21:$H$21,1,WEEKDAY($A291,2))*(1+Controls!$B$11)^289*(1+Controls!O$25*Smooth!$L291)*(1+Controls!O$26*Smooth!$M291)*(1+Controls!O$27*Smooth!$N291)*(1+Controls!O$28*Smooth!$O291)),2))</f>
        <v/>
      </c>
      <c r="K291" s="10" t="str">
        <f t="array" ref="K291">IF(OR($A291="",10&gt;Controls!$B$6),"",ROUND(MAX(0,Smooth!K291*Controls!K$17*INDEX(Controls!$B$21:$H$21,1,WEEKDAY($A291,2))*(1+Controls!$B$11)^289*(1+Controls!P$25*Smooth!$L291)*(1+Controls!P$26*Smooth!$M291)*(1+Controls!P$27*Smooth!$N291)*(1+Controls!P$28*Smooth!$O291)),2))</f>
        <v/>
      </c>
      <c r="L291" s="18" t="str">
        <f t="shared" si="1"/>
        <v/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21.0" customHeight="1">
      <c r="A292" s="7" t="str">
        <f>IF(291&lt;=Controls!$B$5,Controls!$B$4+290,"")</f>
        <v/>
      </c>
      <c r="B292" s="10" t="str">
        <f t="array" ref="B292">IF(OR($A292="",1&gt;Controls!$B$6),"",ROUND(MAX(0,Smooth!B292*Controls!B$17*INDEX(Controls!$B$21:$H$21,1,WEEKDAY($A292,2))*(1+Controls!$B$11)^290*(1+Controls!G$25*Smooth!$L292)*(1+Controls!G$26*Smooth!$M292)*(1+Controls!G$27*Smooth!$N292)*(1+Controls!G$28*Smooth!$O292)),2))</f>
        <v/>
      </c>
      <c r="C292" s="10" t="str">
        <f t="array" ref="C292">IF(OR($A292="",2&gt;Controls!$B$6),"",ROUND(MAX(0,Smooth!C292*Controls!C$17*INDEX(Controls!$B$21:$H$21,1,WEEKDAY($A292,2))*(1+Controls!$B$11)^290*(1+Controls!H$25*Smooth!$L292)*(1+Controls!H$26*Smooth!$M292)*(1+Controls!H$27*Smooth!$N292)*(1+Controls!H$28*Smooth!$O292)),2))</f>
        <v/>
      </c>
      <c r="D292" s="10" t="str">
        <f t="array" ref="D292">IF(OR($A292="",3&gt;Controls!$B$6),"",ROUND(MAX(0,Smooth!D292*Controls!D$17*INDEX(Controls!$B$21:$H$21,1,WEEKDAY($A292,2))*(1+Controls!$B$11)^290*(1+Controls!I$25*Smooth!$L292)*(1+Controls!I$26*Smooth!$M292)*(1+Controls!I$27*Smooth!$N292)*(1+Controls!I$28*Smooth!$O292)),2))</f>
        <v/>
      </c>
      <c r="E292" s="10" t="str">
        <f t="array" ref="E292">IF(OR($A292="",4&gt;Controls!$B$6),"",ROUND(MAX(0,Smooth!E292*Controls!E$17*INDEX(Controls!$B$21:$H$21,1,WEEKDAY($A292,2))*(1+Controls!$B$11)^290*(1+Controls!J$25*Smooth!$L292)*(1+Controls!J$26*Smooth!$M292)*(1+Controls!J$27*Smooth!$N292)*(1+Controls!J$28*Smooth!$O292)),2))</f>
        <v/>
      </c>
      <c r="F292" s="10" t="str">
        <f t="array" ref="F292">IF(OR($A292="",5&gt;Controls!$B$6),"",ROUND(MAX(0,Smooth!F292*Controls!F$17*INDEX(Controls!$B$21:$H$21,1,WEEKDAY($A292,2))*(1+Controls!$B$11)^290*(1+Controls!K$25*Smooth!$L292)*(1+Controls!K$26*Smooth!$M292)*(1+Controls!K$27*Smooth!$N292)*(1+Controls!K$28*Smooth!$O292)),2))</f>
        <v/>
      </c>
      <c r="G292" s="10" t="str">
        <f t="array" ref="G292">IF(OR($A292="",6&gt;Controls!$B$6),"",ROUND(MAX(0,Smooth!G292*Controls!G$17*INDEX(Controls!$B$21:$H$21,1,WEEKDAY($A292,2))*(1+Controls!$B$11)^290*(1+Controls!L$25*Smooth!$L292)*(1+Controls!L$26*Smooth!$M292)*(1+Controls!L$27*Smooth!$N292)*(1+Controls!L$28*Smooth!$O292)),2))</f>
        <v/>
      </c>
      <c r="H292" s="10" t="str">
        <f t="array" ref="H292">IF(OR($A292="",7&gt;Controls!$B$6),"",ROUND(MAX(0,Smooth!H292*Controls!H$17*INDEX(Controls!$B$21:$H$21,1,WEEKDAY($A292,2))*(1+Controls!$B$11)^290*(1+Controls!M$25*Smooth!$L292)*(1+Controls!M$26*Smooth!$M292)*(1+Controls!M$27*Smooth!$N292)*(1+Controls!M$28*Smooth!$O292)),2))</f>
        <v/>
      </c>
      <c r="I292" s="10" t="str">
        <f t="array" ref="I292">IF(OR($A292="",8&gt;Controls!$B$6),"",ROUND(MAX(0,Smooth!I292*Controls!I$17*INDEX(Controls!$B$21:$H$21,1,WEEKDAY($A292,2))*(1+Controls!$B$11)^290*(1+Controls!N$25*Smooth!$L292)*(1+Controls!N$26*Smooth!$M292)*(1+Controls!N$27*Smooth!$N292)*(1+Controls!N$28*Smooth!$O292)),2))</f>
        <v/>
      </c>
      <c r="J292" s="10" t="str">
        <f t="array" ref="J292">IF(OR($A292="",9&gt;Controls!$B$6),"",ROUND(MAX(0,Smooth!J292*Controls!J$17*INDEX(Controls!$B$21:$H$21,1,WEEKDAY($A292,2))*(1+Controls!$B$11)^290*(1+Controls!O$25*Smooth!$L292)*(1+Controls!O$26*Smooth!$M292)*(1+Controls!O$27*Smooth!$N292)*(1+Controls!O$28*Smooth!$O292)),2))</f>
        <v/>
      </c>
      <c r="K292" s="10" t="str">
        <f t="array" ref="K292">IF(OR($A292="",10&gt;Controls!$B$6),"",ROUND(MAX(0,Smooth!K292*Controls!K$17*INDEX(Controls!$B$21:$H$21,1,WEEKDAY($A292,2))*(1+Controls!$B$11)^290*(1+Controls!P$25*Smooth!$L292)*(1+Controls!P$26*Smooth!$M292)*(1+Controls!P$27*Smooth!$N292)*(1+Controls!P$28*Smooth!$O292)),2))</f>
        <v/>
      </c>
      <c r="L292" s="18" t="str">
        <f t="shared" si="1"/>
        <v/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21.0" customHeight="1">
      <c r="A293" s="7" t="str">
        <f>IF(292&lt;=Controls!$B$5,Controls!$B$4+291,"")</f>
        <v/>
      </c>
      <c r="B293" s="10" t="str">
        <f t="array" ref="B293">IF(OR($A293="",1&gt;Controls!$B$6),"",ROUND(MAX(0,Smooth!B293*Controls!B$17*INDEX(Controls!$B$21:$H$21,1,WEEKDAY($A293,2))*(1+Controls!$B$11)^291*(1+Controls!G$25*Smooth!$L293)*(1+Controls!G$26*Smooth!$M293)*(1+Controls!G$27*Smooth!$N293)*(1+Controls!G$28*Smooth!$O293)),2))</f>
        <v/>
      </c>
      <c r="C293" s="10" t="str">
        <f t="array" ref="C293">IF(OR($A293="",2&gt;Controls!$B$6),"",ROUND(MAX(0,Smooth!C293*Controls!C$17*INDEX(Controls!$B$21:$H$21,1,WEEKDAY($A293,2))*(1+Controls!$B$11)^291*(1+Controls!H$25*Smooth!$L293)*(1+Controls!H$26*Smooth!$M293)*(1+Controls!H$27*Smooth!$N293)*(1+Controls!H$28*Smooth!$O293)),2))</f>
        <v/>
      </c>
      <c r="D293" s="10" t="str">
        <f t="array" ref="D293">IF(OR($A293="",3&gt;Controls!$B$6),"",ROUND(MAX(0,Smooth!D293*Controls!D$17*INDEX(Controls!$B$21:$H$21,1,WEEKDAY($A293,2))*(1+Controls!$B$11)^291*(1+Controls!I$25*Smooth!$L293)*(1+Controls!I$26*Smooth!$M293)*(1+Controls!I$27*Smooth!$N293)*(1+Controls!I$28*Smooth!$O293)),2))</f>
        <v/>
      </c>
      <c r="E293" s="10" t="str">
        <f t="array" ref="E293">IF(OR($A293="",4&gt;Controls!$B$6),"",ROUND(MAX(0,Smooth!E293*Controls!E$17*INDEX(Controls!$B$21:$H$21,1,WEEKDAY($A293,2))*(1+Controls!$B$11)^291*(1+Controls!J$25*Smooth!$L293)*(1+Controls!J$26*Smooth!$M293)*(1+Controls!J$27*Smooth!$N293)*(1+Controls!J$28*Smooth!$O293)),2))</f>
        <v/>
      </c>
      <c r="F293" s="10" t="str">
        <f t="array" ref="F293">IF(OR($A293="",5&gt;Controls!$B$6),"",ROUND(MAX(0,Smooth!F293*Controls!F$17*INDEX(Controls!$B$21:$H$21,1,WEEKDAY($A293,2))*(1+Controls!$B$11)^291*(1+Controls!K$25*Smooth!$L293)*(1+Controls!K$26*Smooth!$M293)*(1+Controls!K$27*Smooth!$N293)*(1+Controls!K$28*Smooth!$O293)),2))</f>
        <v/>
      </c>
      <c r="G293" s="10" t="str">
        <f t="array" ref="G293">IF(OR($A293="",6&gt;Controls!$B$6),"",ROUND(MAX(0,Smooth!G293*Controls!G$17*INDEX(Controls!$B$21:$H$21,1,WEEKDAY($A293,2))*(1+Controls!$B$11)^291*(1+Controls!L$25*Smooth!$L293)*(1+Controls!L$26*Smooth!$M293)*(1+Controls!L$27*Smooth!$N293)*(1+Controls!L$28*Smooth!$O293)),2))</f>
        <v/>
      </c>
      <c r="H293" s="10" t="str">
        <f t="array" ref="H293">IF(OR($A293="",7&gt;Controls!$B$6),"",ROUND(MAX(0,Smooth!H293*Controls!H$17*INDEX(Controls!$B$21:$H$21,1,WEEKDAY($A293,2))*(1+Controls!$B$11)^291*(1+Controls!M$25*Smooth!$L293)*(1+Controls!M$26*Smooth!$M293)*(1+Controls!M$27*Smooth!$N293)*(1+Controls!M$28*Smooth!$O293)),2))</f>
        <v/>
      </c>
      <c r="I293" s="10" t="str">
        <f t="array" ref="I293">IF(OR($A293="",8&gt;Controls!$B$6),"",ROUND(MAX(0,Smooth!I293*Controls!I$17*INDEX(Controls!$B$21:$H$21,1,WEEKDAY($A293,2))*(1+Controls!$B$11)^291*(1+Controls!N$25*Smooth!$L293)*(1+Controls!N$26*Smooth!$M293)*(1+Controls!N$27*Smooth!$N293)*(1+Controls!N$28*Smooth!$O293)),2))</f>
        <v/>
      </c>
      <c r="J293" s="10" t="str">
        <f t="array" ref="J293">IF(OR($A293="",9&gt;Controls!$B$6),"",ROUND(MAX(0,Smooth!J293*Controls!J$17*INDEX(Controls!$B$21:$H$21,1,WEEKDAY($A293,2))*(1+Controls!$B$11)^291*(1+Controls!O$25*Smooth!$L293)*(1+Controls!O$26*Smooth!$M293)*(1+Controls!O$27*Smooth!$N293)*(1+Controls!O$28*Smooth!$O293)),2))</f>
        <v/>
      </c>
      <c r="K293" s="10" t="str">
        <f t="array" ref="K293">IF(OR($A293="",10&gt;Controls!$B$6),"",ROUND(MAX(0,Smooth!K293*Controls!K$17*INDEX(Controls!$B$21:$H$21,1,WEEKDAY($A293,2))*(1+Controls!$B$11)^291*(1+Controls!P$25*Smooth!$L293)*(1+Controls!P$26*Smooth!$M293)*(1+Controls!P$27*Smooth!$N293)*(1+Controls!P$28*Smooth!$O293)),2))</f>
        <v/>
      </c>
      <c r="L293" s="18" t="str">
        <f t="shared" si="1"/>
        <v/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21.0" customHeight="1">
      <c r="A294" s="7" t="str">
        <f>IF(293&lt;=Controls!$B$5,Controls!$B$4+292,"")</f>
        <v/>
      </c>
      <c r="B294" s="10" t="str">
        <f t="array" ref="B294">IF(OR($A294="",1&gt;Controls!$B$6),"",ROUND(MAX(0,Smooth!B294*Controls!B$17*INDEX(Controls!$B$21:$H$21,1,WEEKDAY($A294,2))*(1+Controls!$B$11)^292*(1+Controls!G$25*Smooth!$L294)*(1+Controls!G$26*Smooth!$M294)*(1+Controls!G$27*Smooth!$N294)*(1+Controls!G$28*Smooth!$O294)),2))</f>
        <v/>
      </c>
      <c r="C294" s="10" t="str">
        <f t="array" ref="C294">IF(OR($A294="",2&gt;Controls!$B$6),"",ROUND(MAX(0,Smooth!C294*Controls!C$17*INDEX(Controls!$B$21:$H$21,1,WEEKDAY($A294,2))*(1+Controls!$B$11)^292*(1+Controls!H$25*Smooth!$L294)*(1+Controls!H$26*Smooth!$M294)*(1+Controls!H$27*Smooth!$N294)*(1+Controls!H$28*Smooth!$O294)),2))</f>
        <v/>
      </c>
      <c r="D294" s="10" t="str">
        <f t="array" ref="D294">IF(OR($A294="",3&gt;Controls!$B$6),"",ROUND(MAX(0,Smooth!D294*Controls!D$17*INDEX(Controls!$B$21:$H$21,1,WEEKDAY($A294,2))*(1+Controls!$B$11)^292*(1+Controls!I$25*Smooth!$L294)*(1+Controls!I$26*Smooth!$M294)*(1+Controls!I$27*Smooth!$N294)*(1+Controls!I$28*Smooth!$O294)),2))</f>
        <v/>
      </c>
      <c r="E294" s="10" t="str">
        <f t="array" ref="E294">IF(OR($A294="",4&gt;Controls!$B$6),"",ROUND(MAX(0,Smooth!E294*Controls!E$17*INDEX(Controls!$B$21:$H$21,1,WEEKDAY($A294,2))*(1+Controls!$B$11)^292*(1+Controls!J$25*Smooth!$L294)*(1+Controls!J$26*Smooth!$M294)*(1+Controls!J$27*Smooth!$N294)*(1+Controls!J$28*Smooth!$O294)),2))</f>
        <v/>
      </c>
      <c r="F294" s="10" t="str">
        <f t="array" ref="F294">IF(OR($A294="",5&gt;Controls!$B$6),"",ROUND(MAX(0,Smooth!F294*Controls!F$17*INDEX(Controls!$B$21:$H$21,1,WEEKDAY($A294,2))*(1+Controls!$B$11)^292*(1+Controls!K$25*Smooth!$L294)*(1+Controls!K$26*Smooth!$M294)*(1+Controls!K$27*Smooth!$N294)*(1+Controls!K$28*Smooth!$O294)),2))</f>
        <v/>
      </c>
      <c r="G294" s="10" t="str">
        <f t="array" ref="G294">IF(OR($A294="",6&gt;Controls!$B$6),"",ROUND(MAX(0,Smooth!G294*Controls!G$17*INDEX(Controls!$B$21:$H$21,1,WEEKDAY($A294,2))*(1+Controls!$B$11)^292*(1+Controls!L$25*Smooth!$L294)*(1+Controls!L$26*Smooth!$M294)*(1+Controls!L$27*Smooth!$N294)*(1+Controls!L$28*Smooth!$O294)),2))</f>
        <v/>
      </c>
      <c r="H294" s="10" t="str">
        <f t="array" ref="H294">IF(OR($A294="",7&gt;Controls!$B$6),"",ROUND(MAX(0,Smooth!H294*Controls!H$17*INDEX(Controls!$B$21:$H$21,1,WEEKDAY($A294,2))*(1+Controls!$B$11)^292*(1+Controls!M$25*Smooth!$L294)*(1+Controls!M$26*Smooth!$M294)*(1+Controls!M$27*Smooth!$N294)*(1+Controls!M$28*Smooth!$O294)),2))</f>
        <v/>
      </c>
      <c r="I294" s="10" t="str">
        <f t="array" ref="I294">IF(OR($A294="",8&gt;Controls!$B$6),"",ROUND(MAX(0,Smooth!I294*Controls!I$17*INDEX(Controls!$B$21:$H$21,1,WEEKDAY($A294,2))*(1+Controls!$B$11)^292*(1+Controls!N$25*Smooth!$L294)*(1+Controls!N$26*Smooth!$M294)*(1+Controls!N$27*Smooth!$N294)*(1+Controls!N$28*Smooth!$O294)),2))</f>
        <v/>
      </c>
      <c r="J294" s="10" t="str">
        <f t="array" ref="J294">IF(OR($A294="",9&gt;Controls!$B$6),"",ROUND(MAX(0,Smooth!J294*Controls!J$17*INDEX(Controls!$B$21:$H$21,1,WEEKDAY($A294,2))*(1+Controls!$B$11)^292*(1+Controls!O$25*Smooth!$L294)*(1+Controls!O$26*Smooth!$M294)*(1+Controls!O$27*Smooth!$N294)*(1+Controls!O$28*Smooth!$O294)),2))</f>
        <v/>
      </c>
      <c r="K294" s="10" t="str">
        <f t="array" ref="K294">IF(OR($A294="",10&gt;Controls!$B$6),"",ROUND(MAX(0,Smooth!K294*Controls!K$17*INDEX(Controls!$B$21:$H$21,1,WEEKDAY($A294,2))*(1+Controls!$B$11)^292*(1+Controls!P$25*Smooth!$L294)*(1+Controls!P$26*Smooth!$M294)*(1+Controls!P$27*Smooth!$N294)*(1+Controls!P$28*Smooth!$O294)),2))</f>
        <v/>
      </c>
      <c r="L294" s="18" t="str">
        <f t="shared" si="1"/>
        <v/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21.0" customHeight="1">
      <c r="A295" s="7" t="str">
        <f>IF(294&lt;=Controls!$B$5,Controls!$B$4+293,"")</f>
        <v/>
      </c>
      <c r="B295" s="10" t="str">
        <f t="array" ref="B295">IF(OR($A295="",1&gt;Controls!$B$6),"",ROUND(MAX(0,Smooth!B295*Controls!B$17*INDEX(Controls!$B$21:$H$21,1,WEEKDAY($A295,2))*(1+Controls!$B$11)^293*(1+Controls!G$25*Smooth!$L295)*(1+Controls!G$26*Smooth!$M295)*(1+Controls!G$27*Smooth!$N295)*(1+Controls!G$28*Smooth!$O295)),2))</f>
        <v/>
      </c>
      <c r="C295" s="10" t="str">
        <f t="array" ref="C295">IF(OR($A295="",2&gt;Controls!$B$6),"",ROUND(MAX(0,Smooth!C295*Controls!C$17*INDEX(Controls!$B$21:$H$21,1,WEEKDAY($A295,2))*(1+Controls!$B$11)^293*(1+Controls!H$25*Smooth!$L295)*(1+Controls!H$26*Smooth!$M295)*(1+Controls!H$27*Smooth!$N295)*(1+Controls!H$28*Smooth!$O295)),2))</f>
        <v/>
      </c>
      <c r="D295" s="10" t="str">
        <f t="array" ref="D295">IF(OR($A295="",3&gt;Controls!$B$6),"",ROUND(MAX(0,Smooth!D295*Controls!D$17*INDEX(Controls!$B$21:$H$21,1,WEEKDAY($A295,2))*(1+Controls!$B$11)^293*(1+Controls!I$25*Smooth!$L295)*(1+Controls!I$26*Smooth!$M295)*(1+Controls!I$27*Smooth!$N295)*(1+Controls!I$28*Smooth!$O295)),2))</f>
        <v/>
      </c>
      <c r="E295" s="10" t="str">
        <f t="array" ref="E295">IF(OR($A295="",4&gt;Controls!$B$6),"",ROUND(MAX(0,Smooth!E295*Controls!E$17*INDEX(Controls!$B$21:$H$21,1,WEEKDAY($A295,2))*(1+Controls!$B$11)^293*(1+Controls!J$25*Smooth!$L295)*(1+Controls!J$26*Smooth!$M295)*(1+Controls!J$27*Smooth!$N295)*(1+Controls!J$28*Smooth!$O295)),2))</f>
        <v/>
      </c>
      <c r="F295" s="10" t="str">
        <f t="array" ref="F295">IF(OR($A295="",5&gt;Controls!$B$6),"",ROUND(MAX(0,Smooth!F295*Controls!F$17*INDEX(Controls!$B$21:$H$21,1,WEEKDAY($A295,2))*(1+Controls!$B$11)^293*(1+Controls!K$25*Smooth!$L295)*(1+Controls!K$26*Smooth!$M295)*(1+Controls!K$27*Smooth!$N295)*(1+Controls!K$28*Smooth!$O295)),2))</f>
        <v/>
      </c>
      <c r="G295" s="10" t="str">
        <f t="array" ref="G295">IF(OR($A295="",6&gt;Controls!$B$6),"",ROUND(MAX(0,Smooth!G295*Controls!G$17*INDEX(Controls!$B$21:$H$21,1,WEEKDAY($A295,2))*(1+Controls!$B$11)^293*(1+Controls!L$25*Smooth!$L295)*(1+Controls!L$26*Smooth!$M295)*(1+Controls!L$27*Smooth!$N295)*(1+Controls!L$28*Smooth!$O295)),2))</f>
        <v/>
      </c>
      <c r="H295" s="10" t="str">
        <f t="array" ref="H295">IF(OR($A295="",7&gt;Controls!$B$6),"",ROUND(MAX(0,Smooth!H295*Controls!H$17*INDEX(Controls!$B$21:$H$21,1,WEEKDAY($A295,2))*(1+Controls!$B$11)^293*(1+Controls!M$25*Smooth!$L295)*(1+Controls!M$26*Smooth!$M295)*(1+Controls!M$27*Smooth!$N295)*(1+Controls!M$28*Smooth!$O295)),2))</f>
        <v/>
      </c>
      <c r="I295" s="10" t="str">
        <f t="array" ref="I295">IF(OR($A295="",8&gt;Controls!$B$6),"",ROUND(MAX(0,Smooth!I295*Controls!I$17*INDEX(Controls!$B$21:$H$21,1,WEEKDAY($A295,2))*(1+Controls!$B$11)^293*(1+Controls!N$25*Smooth!$L295)*(1+Controls!N$26*Smooth!$M295)*(1+Controls!N$27*Smooth!$N295)*(1+Controls!N$28*Smooth!$O295)),2))</f>
        <v/>
      </c>
      <c r="J295" s="10" t="str">
        <f t="array" ref="J295">IF(OR($A295="",9&gt;Controls!$B$6),"",ROUND(MAX(0,Smooth!J295*Controls!J$17*INDEX(Controls!$B$21:$H$21,1,WEEKDAY($A295,2))*(1+Controls!$B$11)^293*(1+Controls!O$25*Smooth!$L295)*(1+Controls!O$26*Smooth!$M295)*(1+Controls!O$27*Smooth!$N295)*(1+Controls!O$28*Smooth!$O295)),2))</f>
        <v/>
      </c>
      <c r="K295" s="10" t="str">
        <f t="array" ref="K295">IF(OR($A295="",10&gt;Controls!$B$6),"",ROUND(MAX(0,Smooth!K295*Controls!K$17*INDEX(Controls!$B$21:$H$21,1,WEEKDAY($A295,2))*(1+Controls!$B$11)^293*(1+Controls!P$25*Smooth!$L295)*(1+Controls!P$26*Smooth!$M295)*(1+Controls!P$27*Smooth!$N295)*(1+Controls!P$28*Smooth!$O295)),2))</f>
        <v/>
      </c>
      <c r="L295" s="18" t="str">
        <f t="shared" si="1"/>
        <v/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21.0" customHeight="1">
      <c r="A296" s="7" t="str">
        <f>IF(295&lt;=Controls!$B$5,Controls!$B$4+294,"")</f>
        <v/>
      </c>
      <c r="B296" s="10" t="str">
        <f t="array" ref="B296">IF(OR($A296="",1&gt;Controls!$B$6),"",ROUND(MAX(0,Smooth!B296*Controls!B$17*INDEX(Controls!$B$21:$H$21,1,WEEKDAY($A296,2))*(1+Controls!$B$11)^294*(1+Controls!G$25*Smooth!$L296)*(1+Controls!G$26*Smooth!$M296)*(1+Controls!G$27*Smooth!$N296)*(1+Controls!G$28*Smooth!$O296)),2))</f>
        <v/>
      </c>
      <c r="C296" s="10" t="str">
        <f t="array" ref="C296">IF(OR($A296="",2&gt;Controls!$B$6),"",ROUND(MAX(0,Smooth!C296*Controls!C$17*INDEX(Controls!$B$21:$H$21,1,WEEKDAY($A296,2))*(1+Controls!$B$11)^294*(1+Controls!H$25*Smooth!$L296)*(1+Controls!H$26*Smooth!$M296)*(1+Controls!H$27*Smooth!$N296)*(1+Controls!H$28*Smooth!$O296)),2))</f>
        <v/>
      </c>
      <c r="D296" s="10" t="str">
        <f t="array" ref="D296">IF(OR($A296="",3&gt;Controls!$B$6),"",ROUND(MAX(0,Smooth!D296*Controls!D$17*INDEX(Controls!$B$21:$H$21,1,WEEKDAY($A296,2))*(1+Controls!$B$11)^294*(1+Controls!I$25*Smooth!$L296)*(1+Controls!I$26*Smooth!$M296)*(1+Controls!I$27*Smooth!$N296)*(1+Controls!I$28*Smooth!$O296)),2))</f>
        <v/>
      </c>
      <c r="E296" s="10" t="str">
        <f t="array" ref="E296">IF(OR($A296="",4&gt;Controls!$B$6),"",ROUND(MAX(0,Smooth!E296*Controls!E$17*INDEX(Controls!$B$21:$H$21,1,WEEKDAY($A296,2))*(1+Controls!$B$11)^294*(1+Controls!J$25*Smooth!$L296)*(1+Controls!J$26*Smooth!$M296)*(1+Controls!J$27*Smooth!$N296)*(1+Controls!J$28*Smooth!$O296)),2))</f>
        <v/>
      </c>
      <c r="F296" s="10" t="str">
        <f t="array" ref="F296">IF(OR($A296="",5&gt;Controls!$B$6),"",ROUND(MAX(0,Smooth!F296*Controls!F$17*INDEX(Controls!$B$21:$H$21,1,WEEKDAY($A296,2))*(1+Controls!$B$11)^294*(1+Controls!K$25*Smooth!$L296)*(1+Controls!K$26*Smooth!$M296)*(1+Controls!K$27*Smooth!$N296)*(1+Controls!K$28*Smooth!$O296)),2))</f>
        <v/>
      </c>
      <c r="G296" s="10" t="str">
        <f t="array" ref="G296">IF(OR($A296="",6&gt;Controls!$B$6),"",ROUND(MAX(0,Smooth!G296*Controls!G$17*INDEX(Controls!$B$21:$H$21,1,WEEKDAY($A296,2))*(1+Controls!$B$11)^294*(1+Controls!L$25*Smooth!$L296)*(1+Controls!L$26*Smooth!$M296)*(1+Controls!L$27*Smooth!$N296)*(1+Controls!L$28*Smooth!$O296)),2))</f>
        <v/>
      </c>
      <c r="H296" s="10" t="str">
        <f t="array" ref="H296">IF(OR($A296="",7&gt;Controls!$B$6),"",ROUND(MAX(0,Smooth!H296*Controls!H$17*INDEX(Controls!$B$21:$H$21,1,WEEKDAY($A296,2))*(1+Controls!$B$11)^294*(1+Controls!M$25*Smooth!$L296)*(1+Controls!M$26*Smooth!$M296)*(1+Controls!M$27*Smooth!$N296)*(1+Controls!M$28*Smooth!$O296)),2))</f>
        <v/>
      </c>
      <c r="I296" s="10" t="str">
        <f t="array" ref="I296">IF(OR($A296="",8&gt;Controls!$B$6),"",ROUND(MAX(0,Smooth!I296*Controls!I$17*INDEX(Controls!$B$21:$H$21,1,WEEKDAY($A296,2))*(1+Controls!$B$11)^294*(1+Controls!N$25*Smooth!$L296)*(1+Controls!N$26*Smooth!$M296)*(1+Controls!N$27*Smooth!$N296)*(1+Controls!N$28*Smooth!$O296)),2))</f>
        <v/>
      </c>
      <c r="J296" s="10" t="str">
        <f t="array" ref="J296">IF(OR($A296="",9&gt;Controls!$B$6),"",ROUND(MAX(0,Smooth!J296*Controls!J$17*INDEX(Controls!$B$21:$H$21,1,WEEKDAY($A296,2))*(1+Controls!$B$11)^294*(1+Controls!O$25*Smooth!$L296)*(1+Controls!O$26*Smooth!$M296)*(1+Controls!O$27*Smooth!$N296)*(1+Controls!O$28*Smooth!$O296)),2))</f>
        <v/>
      </c>
      <c r="K296" s="10" t="str">
        <f t="array" ref="K296">IF(OR($A296="",10&gt;Controls!$B$6),"",ROUND(MAX(0,Smooth!K296*Controls!K$17*INDEX(Controls!$B$21:$H$21,1,WEEKDAY($A296,2))*(1+Controls!$B$11)^294*(1+Controls!P$25*Smooth!$L296)*(1+Controls!P$26*Smooth!$M296)*(1+Controls!P$27*Smooth!$N296)*(1+Controls!P$28*Smooth!$O296)),2))</f>
        <v/>
      </c>
      <c r="L296" s="18" t="str">
        <f t="shared" si="1"/>
        <v/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21.0" customHeight="1">
      <c r="A297" s="7" t="str">
        <f>IF(296&lt;=Controls!$B$5,Controls!$B$4+295,"")</f>
        <v/>
      </c>
      <c r="B297" s="10" t="str">
        <f t="array" ref="B297">IF(OR($A297="",1&gt;Controls!$B$6),"",ROUND(MAX(0,Smooth!B297*Controls!B$17*INDEX(Controls!$B$21:$H$21,1,WEEKDAY($A297,2))*(1+Controls!$B$11)^295*(1+Controls!G$25*Smooth!$L297)*(1+Controls!G$26*Smooth!$M297)*(1+Controls!G$27*Smooth!$N297)*(1+Controls!G$28*Smooth!$O297)),2))</f>
        <v/>
      </c>
      <c r="C297" s="10" t="str">
        <f t="array" ref="C297">IF(OR($A297="",2&gt;Controls!$B$6),"",ROUND(MAX(0,Smooth!C297*Controls!C$17*INDEX(Controls!$B$21:$H$21,1,WEEKDAY($A297,2))*(1+Controls!$B$11)^295*(1+Controls!H$25*Smooth!$L297)*(1+Controls!H$26*Smooth!$M297)*(1+Controls!H$27*Smooth!$N297)*(1+Controls!H$28*Smooth!$O297)),2))</f>
        <v/>
      </c>
      <c r="D297" s="10" t="str">
        <f t="array" ref="D297">IF(OR($A297="",3&gt;Controls!$B$6),"",ROUND(MAX(0,Smooth!D297*Controls!D$17*INDEX(Controls!$B$21:$H$21,1,WEEKDAY($A297,2))*(1+Controls!$B$11)^295*(1+Controls!I$25*Smooth!$L297)*(1+Controls!I$26*Smooth!$M297)*(1+Controls!I$27*Smooth!$N297)*(1+Controls!I$28*Smooth!$O297)),2))</f>
        <v/>
      </c>
      <c r="E297" s="10" t="str">
        <f t="array" ref="E297">IF(OR($A297="",4&gt;Controls!$B$6),"",ROUND(MAX(0,Smooth!E297*Controls!E$17*INDEX(Controls!$B$21:$H$21,1,WEEKDAY($A297,2))*(1+Controls!$B$11)^295*(1+Controls!J$25*Smooth!$L297)*(1+Controls!J$26*Smooth!$M297)*(1+Controls!J$27*Smooth!$N297)*(1+Controls!J$28*Smooth!$O297)),2))</f>
        <v/>
      </c>
      <c r="F297" s="10" t="str">
        <f t="array" ref="F297">IF(OR($A297="",5&gt;Controls!$B$6),"",ROUND(MAX(0,Smooth!F297*Controls!F$17*INDEX(Controls!$B$21:$H$21,1,WEEKDAY($A297,2))*(1+Controls!$B$11)^295*(1+Controls!K$25*Smooth!$L297)*(1+Controls!K$26*Smooth!$M297)*(1+Controls!K$27*Smooth!$N297)*(1+Controls!K$28*Smooth!$O297)),2))</f>
        <v/>
      </c>
      <c r="G297" s="10" t="str">
        <f t="array" ref="G297">IF(OR($A297="",6&gt;Controls!$B$6),"",ROUND(MAX(0,Smooth!G297*Controls!G$17*INDEX(Controls!$B$21:$H$21,1,WEEKDAY($A297,2))*(1+Controls!$B$11)^295*(1+Controls!L$25*Smooth!$L297)*(1+Controls!L$26*Smooth!$M297)*(1+Controls!L$27*Smooth!$N297)*(1+Controls!L$28*Smooth!$O297)),2))</f>
        <v/>
      </c>
      <c r="H297" s="10" t="str">
        <f t="array" ref="H297">IF(OR($A297="",7&gt;Controls!$B$6),"",ROUND(MAX(0,Smooth!H297*Controls!H$17*INDEX(Controls!$B$21:$H$21,1,WEEKDAY($A297,2))*(1+Controls!$B$11)^295*(1+Controls!M$25*Smooth!$L297)*(1+Controls!M$26*Smooth!$M297)*(1+Controls!M$27*Smooth!$N297)*(1+Controls!M$28*Smooth!$O297)),2))</f>
        <v/>
      </c>
      <c r="I297" s="10" t="str">
        <f t="array" ref="I297">IF(OR($A297="",8&gt;Controls!$B$6),"",ROUND(MAX(0,Smooth!I297*Controls!I$17*INDEX(Controls!$B$21:$H$21,1,WEEKDAY($A297,2))*(1+Controls!$B$11)^295*(1+Controls!N$25*Smooth!$L297)*(1+Controls!N$26*Smooth!$M297)*(1+Controls!N$27*Smooth!$N297)*(1+Controls!N$28*Smooth!$O297)),2))</f>
        <v/>
      </c>
      <c r="J297" s="10" t="str">
        <f t="array" ref="J297">IF(OR($A297="",9&gt;Controls!$B$6),"",ROUND(MAX(0,Smooth!J297*Controls!J$17*INDEX(Controls!$B$21:$H$21,1,WEEKDAY($A297,2))*(1+Controls!$B$11)^295*(1+Controls!O$25*Smooth!$L297)*(1+Controls!O$26*Smooth!$M297)*(1+Controls!O$27*Smooth!$N297)*(1+Controls!O$28*Smooth!$O297)),2))</f>
        <v/>
      </c>
      <c r="K297" s="10" t="str">
        <f t="array" ref="K297">IF(OR($A297="",10&gt;Controls!$B$6),"",ROUND(MAX(0,Smooth!K297*Controls!K$17*INDEX(Controls!$B$21:$H$21,1,WEEKDAY($A297,2))*(1+Controls!$B$11)^295*(1+Controls!P$25*Smooth!$L297)*(1+Controls!P$26*Smooth!$M297)*(1+Controls!P$27*Smooth!$N297)*(1+Controls!P$28*Smooth!$O297)),2))</f>
        <v/>
      </c>
      <c r="L297" s="18" t="str">
        <f t="shared" si="1"/>
        <v/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21.0" customHeight="1">
      <c r="A298" s="7" t="str">
        <f>IF(297&lt;=Controls!$B$5,Controls!$B$4+296,"")</f>
        <v/>
      </c>
      <c r="B298" s="10" t="str">
        <f t="array" ref="B298">IF(OR($A298="",1&gt;Controls!$B$6),"",ROUND(MAX(0,Smooth!B298*Controls!B$17*INDEX(Controls!$B$21:$H$21,1,WEEKDAY($A298,2))*(1+Controls!$B$11)^296*(1+Controls!G$25*Smooth!$L298)*(1+Controls!G$26*Smooth!$M298)*(1+Controls!G$27*Smooth!$N298)*(1+Controls!G$28*Smooth!$O298)),2))</f>
        <v/>
      </c>
      <c r="C298" s="10" t="str">
        <f t="array" ref="C298">IF(OR($A298="",2&gt;Controls!$B$6),"",ROUND(MAX(0,Smooth!C298*Controls!C$17*INDEX(Controls!$B$21:$H$21,1,WEEKDAY($A298,2))*(1+Controls!$B$11)^296*(1+Controls!H$25*Smooth!$L298)*(1+Controls!H$26*Smooth!$M298)*(1+Controls!H$27*Smooth!$N298)*(1+Controls!H$28*Smooth!$O298)),2))</f>
        <v/>
      </c>
      <c r="D298" s="10" t="str">
        <f t="array" ref="D298">IF(OR($A298="",3&gt;Controls!$B$6),"",ROUND(MAX(0,Smooth!D298*Controls!D$17*INDEX(Controls!$B$21:$H$21,1,WEEKDAY($A298,2))*(1+Controls!$B$11)^296*(1+Controls!I$25*Smooth!$L298)*(1+Controls!I$26*Smooth!$M298)*(1+Controls!I$27*Smooth!$N298)*(1+Controls!I$28*Smooth!$O298)),2))</f>
        <v/>
      </c>
      <c r="E298" s="10" t="str">
        <f t="array" ref="E298">IF(OR($A298="",4&gt;Controls!$B$6),"",ROUND(MAX(0,Smooth!E298*Controls!E$17*INDEX(Controls!$B$21:$H$21,1,WEEKDAY($A298,2))*(1+Controls!$B$11)^296*(1+Controls!J$25*Smooth!$L298)*(1+Controls!J$26*Smooth!$M298)*(1+Controls!J$27*Smooth!$N298)*(1+Controls!J$28*Smooth!$O298)),2))</f>
        <v/>
      </c>
      <c r="F298" s="10" t="str">
        <f t="array" ref="F298">IF(OR($A298="",5&gt;Controls!$B$6),"",ROUND(MAX(0,Smooth!F298*Controls!F$17*INDEX(Controls!$B$21:$H$21,1,WEEKDAY($A298,2))*(1+Controls!$B$11)^296*(1+Controls!K$25*Smooth!$L298)*(1+Controls!K$26*Smooth!$M298)*(1+Controls!K$27*Smooth!$N298)*(1+Controls!K$28*Smooth!$O298)),2))</f>
        <v/>
      </c>
      <c r="G298" s="10" t="str">
        <f t="array" ref="G298">IF(OR($A298="",6&gt;Controls!$B$6),"",ROUND(MAX(0,Smooth!G298*Controls!G$17*INDEX(Controls!$B$21:$H$21,1,WEEKDAY($A298,2))*(1+Controls!$B$11)^296*(1+Controls!L$25*Smooth!$L298)*(1+Controls!L$26*Smooth!$M298)*(1+Controls!L$27*Smooth!$N298)*(1+Controls!L$28*Smooth!$O298)),2))</f>
        <v/>
      </c>
      <c r="H298" s="10" t="str">
        <f t="array" ref="H298">IF(OR($A298="",7&gt;Controls!$B$6),"",ROUND(MAX(0,Smooth!H298*Controls!H$17*INDEX(Controls!$B$21:$H$21,1,WEEKDAY($A298,2))*(1+Controls!$B$11)^296*(1+Controls!M$25*Smooth!$L298)*(1+Controls!M$26*Smooth!$M298)*(1+Controls!M$27*Smooth!$N298)*(1+Controls!M$28*Smooth!$O298)),2))</f>
        <v/>
      </c>
      <c r="I298" s="10" t="str">
        <f t="array" ref="I298">IF(OR($A298="",8&gt;Controls!$B$6),"",ROUND(MAX(0,Smooth!I298*Controls!I$17*INDEX(Controls!$B$21:$H$21,1,WEEKDAY($A298,2))*(1+Controls!$B$11)^296*(1+Controls!N$25*Smooth!$L298)*(1+Controls!N$26*Smooth!$M298)*(1+Controls!N$27*Smooth!$N298)*(1+Controls!N$28*Smooth!$O298)),2))</f>
        <v/>
      </c>
      <c r="J298" s="10" t="str">
        <f t="array" ref="J298">IF(OR($A298="",9&gt;Controls!$B$6),"",ROUND(MAX(0,Smooth!J298*Controls!J$17*INDEX(Controls!$B$21:$H$21,1,WEEKDAY($A298,2))*(1+Controls!$B$11)^296*(1+Controls!O$25*Smooth!$L298)*(1+Controls!O$26*Smooth!$M298)*(1+Controls!O$27*Smooth!$N298)*(1+Controls!O$28*Smooth!$O298)),2))</f>
        <v/>
      </c>
      <c r="K298" s="10" t="str">
        <f t="array" ref="K298">IF(OR($A298="",10&gt;Controls!$B$6),"",ROUND(MAX(0,Smooth!K298*Controls!K$17*INDEX(Controls!$B$21:$H$21,1,WEEKDAY($A298,2))*(1+Controls!$B$11)^296*(1+Controls!P$25*Smooth!$L298)*(1+Controls!P$26*Smooth!$M298)*(1+Controls!P$27*Smooth!$N298)*(1+Controls!P$28*Smooth!$O298)),2))</f>
        <v/>
      </c>
      <c r="L298" s="18" t="str">
        <f t="shared" si="1"/>
        <v/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21.0" customHeight="1">
      <c r="A299" s="7" t="str">
        <f>IF(298&lt;=Controls!$B$5,Controls!$B$4+297,"")</f>
        <v/>
      </c>
      <c r="B299" s="10" t="str">
        <f t="array" ref="B299">IF(OR($A299="",1&gt;Controls!$B$6),"",ROUND(MAX(0,Smooth!B299*Controls!B$17*INDEX(Controls!$B$21:$H$21,1,WEEKDAY($A299,2))*(1+Controls!$B$11)^297*(1+Controls!G$25*Smooth!$L299)*(1+Controls!G$26*Smooth!$M299)*(1+Controls!G$27*Smooth!$N299)*(1+Controls!G$28*Smooth!$O299)),2))</f>
        <v/>
      </c>
      <c r="C299" s="10" t="str">
        <f t="array" ref="C299">IF(OR($A299="",2&gt;Controls!$B$6),"",ROUND(MAX(0,Smooth!C299*Controls!C$17*INDEX(Controls!$B$21:$H$21,1,WEEKDAY($A299,2))*(1+Controls!$B$11)^297*(1+Controls!H$25*Smooth!$L299)*(1+Controls!H$26*Smooth!$M299)*(1+Controls!H$27*Smooth!$N299)*(1+Controls!H$28*Smooth!$O299)),2))</f>
        <v/>
      </c>
      <c r="D299" s="10" t="str">
        <f t="array" ref="D299">IF(OR($A299="",3&gt;Controls!$B$6),"",ROUND(MAX(0,Smooth!D299*Controls!D$17*INDEX(Controls!$B$21:$H$21,1,WEEKDAY($A299,2))*(1+Controls!$B$11)^297*(1+Controls!I$25*Smooth!$L299)*(1+Controls!I$26*Smooth!$M299)*(1+Controls!I$27*Smooth!$N299)*(1+Controls!I$28*Smooth!$O299)),2))</f>
        <v/>
      </c>
      <c r="E299" s="10" t="str">
        <f t="array" ref="E299">IF(OR($A299="",4&gt;Controls!$B$6),"",ROUND(MAX(0,Smooth!E299*Controls!E$17*INDEX(Controls!$B$21:$H$21,1,WEEKDAY($A299,2))*(1+Controls!$B$11)^297*(1+Controls!J$25*Smooth!$L299)*(1+Controls!J$26*Smooth!$M299)*(1+Controls!J$27*Smooth!$N299)*(1+Controls!J$28*Smooth!$O299)),2))</f>
        <v/>
      </c>
      <c r="F299" s="10" t="str">
        <f t="array" ref="F299">IF(OR($A299="",5&gt;Controls!$B$6),"",ROUND(MAX(0,Smooth!F299*Controls!F$17*INDEX(Controls!$B$21:$H$21,1,WEEKDAY($A299,2))*(1+Controls!$B$11)^297*(1+Controls!K$25*Smooth!$L299)*(1+Controls!K$26*Smooth!$M299)*(1+Controls!K$27*Smooth!$N299)*(1+Controls!K$28*Smooth!$O299)),2))</f>
        <v/>
      </c>
      <c r="G299" s="10" t="str">
        <f t="array" ref="G299">IF(OR($A299="",6&gt;Controls!$B$6),"",ROUND(MAX(0,Smooth!G299*Controls!G$17*INDEX(Controls!$B$21:$H$21,1,WEEKDAY($A299,2))*(1+Controls!$B$11)^297*(1+Controls!L$25*Smooth!$L299)*(1+Controls!L$26*Smooth!$M299)*(1+Controls!L$27*Smooth!$N299)*(1+Controls!L$28*Smooth!$O299)),2))</f>
        <v/>
      </c>
      <c r="H299" s="10" t="str">
        <f t="array" ref="H299">IF(OR($A299="",7&gt;Controls!$B$6),"",ROUND(MAX(0,Smooth!H299*Controls!H$17*INDEX(Controls!$B$21:$H$21,1,WEEKDAY($A299,2))*(1+Controls!$B$11)^297*(1+Controls!M$25*Smooth!$L299)*(1+Controls!M$26*Smooth!$M299)*(1+Controls!M$27*Smooth!$N299)*(1+Controls!M$28*Smooth!$O299)),2))</f>
        <v/>
      </c>
      <c r="I299" s="10" t="str">
        <f t="array" ref="I299">IF(OR($A299="",8&gt;Controls!$B$6),"",ROUND(MAX(0,Smooth!I299*Controls!I$17*INDEX(Controls!$B$21:$H$21,1,WEEKDAY($A299,2))*(1+Controls!$B$11)^297*(1+Controls!N$25*Smooth!$L299)*(1+Controls!N$26*Smooth!$M299)*(1+Controls!N$27*Smooth!$N299)*(1+Controls!N$28*Smooth!$O299)),2))</f>
        <v/>
      </c>
      <c r="J299" s="10" t="str">
        <f t="array" ref="J299">IF(OR($A299="",9&gt;Controls!$B$6),"",ROUND(MAX(0,Smooth!J299*Controls!J$17*INDEX(Controls!$B$21:$H$21,1,WEEKDAY($A299,2))*(1+Controls!$B$11)^297*(1+Controls!O$25*Smooth!$L299)*(1+Controls!O$26*Smooth!$M299)*(1+Controls!O$27*Smooth!$N299)*(1+Controls!O$28*Smooth!$O299)),2))</f>
        <v/>
      </c>
      <c r="K299" s="10" t="str">
        <f t="array" ref="K299">IF(OR($A299="",10&gt;Controls!$B$6),"",ROUND(MAX(0,Smooth!K299*Controls!K$17*INDEX(Controls!$B$21:$H$21,1,WEEKDAY($A299,2))*(1+Controls!$B$11)^297*(1+Controls!P$25*Smooth!$L299)*(1+Controls!P$26*Smooth!$M299)*(1+Controls!P$27*Smooth!$N299)*(1+Controls!P$28*Smooth!$O299)),2))</f>
        <v/>
      </c>
      <c r="L299" s="18" t="str">
        <f t="shared" si="1"/>
        <v/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21.0" customHeight="1">
      <c r="A300" s="7" t="str">
        <f>IF(299&lt;=Controls!$B$5,Controls!$B$4+298,"")</f>
        <v/>
      </c>
      <c r="B300" s="10" t="str">
        <f t="array" ref="B300">IF(OR($A300="",1&gt;Controls!$B$6),"",ROUND(MAX(0,Smooth!B300*Controls!B$17*INDEX(Controls!$B$21:$H$21,1,WEEKDAY($A300,2))*(1+Controls!$B$11)^298*(1+Controls!G$25*Smooth!$L300)*(1+Controls!G$26*Smooth!$M300)*(1+Controls!G$27*Smooth!$N300)*(1+Controls!G$28*Smooth!$O300)),2))</f>
        <v/>
      </c>
      <c r="C300" s="10" t="str">
        <f t="array" ref="C300">IF(OR($A300="",2&gt;Controls!$B$6),"",ROUND(MAX(0,Smooth!C300*Controls!C$17*INDEX(Controls!$B$21:$H$21,1,WEEKDAY($A300,2))*(1+Controls!$B$11)^298*(1+Controls!H$25*Smooth!$L300)*(1+Controls!H$26*Smooth!$M300)*(1+Controls!H$27*Smooth!$N300)*(1+Controls!H$28*Smooth!$O300)),2))</f>
        <v/>
      </c>
      <c r="D300" s="10" t="str">
        <f t="array" ref="D300">IF(OR($A300="",3&gt;Controls!$B$6),"",ROUND(MAX(0,Smooth!D300*Controls!D$17*INDEX(Controls!$B$21:$H$21,1,WEEKDAY($A300,2))*(1+Controls!$B$11)^298*(1+Controls!I$25*Smooth!$L300)*(1+Controls!I$26*Smooth!$M300)*(1+Controls!I$27*Smooth!$N300)*(1+Controls!I$28*Smooth!$O300)),2))</f>
        <v/>
      </c>
      <c r="E300" s="10" t="str">
        <f t="array" ref="E300">IF(OR($A300="",4&gt;Controls!$B$6),"",ROUND(MAX(0,Smooth!E300*Controls!E$17*INDEX(Controls!$B$21:$H$21,1,WEEKDAY($A300,2))*(1+Controls!$B$11)^298*(1+Controls!J$25*Smooth!$L300)*(1+Controls!J$26*Smooth!$M300)*(1+Controls!J$27*Smooth!$N300)*(1+Controls!J$28*Smooth!$O300)),2))</f>
        <v/>
      </c>
      <c r="F300" s="10" t="str">
        <f t="array" ref="F300">IF(OR($A300="",5&gt;Controls!$B$6),"",ROUND(MAX(0,Smooth!F300*Controls!F$17*INDEX(Controls!$B$21:$H$21,1,WEEKDAY($A300,2))*(1+Controls!$B$11)^298*(1+Controls!K$25*Smooth!$L300)*(1+Controls!K$26*Smooth!$M300)*(1+Controls!K$27*Smooth!$N300)*(1+Controls!K$28*Smooth!$O300)),2))</f>
        <v/>
      </c>
      <c r="G300" s="10" t="str">
        <f t="array" ref="G300">IF(OR($A300="",6&gt;Controls!$B$6),"",ROUND(MAX(0,Smooth!G300*Controls!G$17*INDEX(Controls!$B$21:$H$21,1,WEEKDAY($A300,2))*(1+Controls!$B$11)^298*(1+Controls!L$25*Smooth!$L300)*(1+Controls!L$26*Smooth!$M300)*(1+Controls!L$27*Smooth!$N300)*(1+Controls!L$28*Smooth!$O300)),2))</f>
        <v/>
      </c>
      <c r="H300" s="10" t="str">
        <f t="array" ref="H300">IF(OR($A300="",7&gt;Controls!$B$6),"",ROUND(MAX(0,Smooth!H300*Controls!H$17*INDEX(Controls!$B$21:$H$21,1,WEEKDAY($A300,2))*(1+Controls!$B$11)^298*(1+Controls!M$25*Smooth!$L300)*(1+Controls!M$26*Smooth!$M300)*(1+Controls!M$27*Smooth!$N300)*(1+Controls!M$28*Smooth!$O300)),2))</f>
        <v/>
      </c>
      <c r="I300" s="10" t="str">
        <f t="array" ref="I300">IF(OR($A300="",8&gt;Controls!$B$6),"",ROUND(MAX(0,Smooth!I300*Controls!I$17*INDEX(Controls!$B$21:$H$21,1,WEEKDAY($A300,2))*(1+Controls!$B$11)^298*(1+Controls!N$25*Smooth!$L300)*(1+Controls!N$26*Smooth!$M300)*(1+Controls!N$27*Smooth!$N300)*(1+Controls!N$28*Smooth!$O300)),2))</f>
        <v/>
      </c>
      <c r="J300" s="10" t="str">
        <f t="array" ref="J300">IF(OR($A300="",9&gt;Controls!$B$6),"",ROUND(MAX(0,Smooth!J300*Controls!J$17*INDEX(Controls!$B$21:$H$21,1,WEEKDAY($A300,2))*(1+Controls!$B$11)^298*(1+Controls!O$25*Smooth!$L300)*(1+Controls!O$26*Smooth!$M300)*(1+Controls!O$27*Smooth!$N300)*(1+Controls!O$28*Smooth!$O300)),2))</f>
        <v/>
      </c>
      <c r="K300" s="10" t="str">
        <f t="array" ref="K300">IF(OR($A300="",10&gt;Controls!$B$6),"",ROUND(MAX(0,Smooth!K300*Controls!K$17*INDEX(Controls!$B$21:$H$21,1,WEEKDAY($A300,2))*(1+Controls!$B$11)^298*(1+Controls!P$25*Smooth!$L300)*(1+Controls!P$26*Smooth!$M300)*(1+Controls!P$27*Smooth!$N300)*(1+Controls!P$28*Smooth!$O300)),2))</f>
        <v/>
      </c>
      <c r="L300" s="18" t="str">
        <f t="shared" si="1"/>
        <v/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21.0" customHeight="1">
      <c r="A301" s="7" t="str">
        <f>IF(300&lt;=Controls!$B$5,Controls!$B$4+299,"")</f>
        <v/>
      </c>
      <c r="B301" s="10" t="str">
        <f t="array" ref="B301">IF(OR($A301="",1&gt;Controls!$B$6),"",ROUND(MAX(0,Smooth!B301*Controls!B$17*INDEX(Controls!$B$21:$H$21,1,WEEKDAY($A301,2))*(1+Controls!$B$11)^299*(1+Controls!G$25*Smooth!$L301)*(1+Controls!G$26*Smooth!$M301)*(1+Controls!G$27*Smooth!$N301)*(1+Controls!G$28*Smooth!$O301)),2))</f>
        <v/>
      </c>
      <c r="C301" s="10" t="str">
        <f t="array" ref="C301">IF(OR($A301="",2&gt;Controls!$B$6),"",ROUND(MAX(0,Smooth!C301*Controls!C$17*INDEX(Controls!$B$21:$H$21,1,WEEKDAY($A301,2))*(1+Controls!$B$11)^299*(1+Controls!H$25*Smooth!$L301)*(1+Controls!H$26*Smooth!$M301)*(1+Controls!H$27*Smooth!$N301)*(1+Controls!H$28*Smooth!$O301)),2))</f>
        <v/>
      </c>
      <c r="D301" s="10" t="str">
        <f t="array" ref="D301">IF(OR($A301="",3&gt;Controls!$B$6),"",ROUND(MAX(0,Smooth!D301*Controls!D$17*INDEX(Controls!$B$21:$H$21,1,WEEKDAY($A301,2))*(1+Controls!$B$11)^299*(1+Controls!I$25*Smooth!$L301)*(1+Controls!I$26*Smooth!$M301)*(1+Controls!I$27*Smooth!$N301)*(1+Controls!I$28*Smooth!$O301)),2))</f>
        <v/>
      </c>
      <c r="E301" s="10" t="str">
        <f t="array" ref="E301">IF(OR($A301="",4&gt;Controls!$B$6),"",ROUND(MAX(0,Smooth!E301*Controls!E$17*INDEX(Controls!$B$21:$H$21,1,WEEKDAY($A301,2))*(1+Controls!$B$11)^299*(1+Controls!J$25*Smooth!$L301)*(1+Controls!J$26*Smooth!$M301)*(1+Controls!J$27*Smooth!$N301)*(1+Controls!J$28*Smooth!$O301)),2))</f>
        <v/>
      </c>
      <c r="F301" s="10" t="str">
        <f t="array" ref="F301">IF(OR($A301="",5&gt;Controls!$B$6),"",ROUND(MAX(0,Smooth!F301*Controls!F$17*INDEX(Controls!$B$21:$H$21,1,WEEKDAY($A301,2))*(1+Controls!$B$11)^299*(1+Controls!K$25*Smooth!$L301)*(1+Controls!K$26*Smooth!$M301)*(1+Controls!K$27*Smooth!$N301)*(1+Controls!K$28*Smooth!$O301)),2))</f>
        <v/>
      </c>
      <c r="G301" s="10" t="str">
        <f t="array" ref="G301">IF(OR($A301="",6&gt;Controls!$B$6),"",ROUND(MAX(0,Smooth!G301*Controls!G$17*INDEX(Controls!$B$21:$H$21,1,WEEKDAY($A301,2))*(1+Controls!$B$11)^299*(1+Controls!L$25*Smooth!$L301)*(1+Controls!L$26*Smooth!$M301)*(1+Controls!L$27*Smooth!$N301)*(1+Controls!L$28*Smooth!$O301)),2))</f>
        <v/>
      </c>
      <c r="H301" s="10" t="str">
        <f t="array" ref="H301">IF(OR($A301="",7&gt;Controls!$B$6),"",ROUND(MAX(0,Smooth!H301*Controls!H$17*INDEX(Controls!$B$21:$H$21,1,WEEKDAY($A301,2))*(1+Controls!$B$11)^299*(1+Controls!M$25*Smooth!$L301)*(1+Controls!M$26*Smooth!$M301)*(1+Controls!M$27*Smooth!$N301)*(1+Controls!M$28*Smooth!$O301)),2))</f>
        <v/>
      </c>
      <c r="I301" s="10" t="str">
        <f t="array" ref="I301">IF(OR($A301="",8&gt;Controls!$B$6),"",ROUND(MAX(0,Smooth!I301*Controls!I$17*INDEX(Controls!$B$21:$H$21,1,WEEKDAY($A301,2))*(1+Controls!$B$11)^299*(1+Controls!N$25*Smooth!$L301)*(1+Controls!N$26*Smooth!$M301)*(1+Controls!N$27*Smooth!$N301)*(1+Controls!N$28*Smooth!$O301)),2))</f>
        <v/>
      </c>
      <c r="J301" s="10" t="str">
        <f t="array" ref="J301">IF(OR($A301="",9&gt;Controls!$B$6),"",ROUND(MAX(0,Smooth!J301*Controls!J$17*INDEX(Controls!$B$21:$H$21,1,WEEKDAY($A301,2))*(1+Controls!$B$11)^299*(1+Controls!O$25*Smooth!$L301)*(1+Controls!O$26*Smooth!$M301)*(1+Controls!O$27*Smooth!$N301)*(1+Controls!O$28*Smooth!$O301)),2))</f>
        <v/>
      </c>
      <c r="K301" s="10" t="str">
        <f t="array" ref="K301">IF(OR($A301="",10&gt;Controls!$B$6),"",ROUND(MAX(0,Smooth!K301*Controls!K$17*INDEX(Controls!$B$21:$H$21,1,WEEKDAY($A301,2))*(1+Controls!$B$11)^299*(1+Controls!P$25*Smooth!$L301)*(1+Controls!P$26*Smooth!$M301)*(1+Controls!P$27*Smooth!$N301)*(1+Controls!P$28*Smooth!$O301)),2))</f>
        <v/>
      </c>
      <c r="L301" s="18" t="str">
        <f t="shared" si="1"/>
        <v/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21.0" customHeight="1">
      <c r="A302" s="7" t="str">
        <f>IF(301&lt;=Controls!$B$5,Controls!$B$4+300,"")</f>
        <v/>
      </c>
      <c r="B302" s="10" t="str">
        <f t="array" ref="B302">IF(OR($A302="",1&gt;Controls!$B$6),"",ROUND(MAX(0,Smooth!B302*Controls!B$17*INDEX(Controls!$B$21:$H$21,1,WEEKDAY($A302,2))*(1+Controls!$B$11)^300*(1+Controls!G$25*Smooth!$L302)*(1+Controls!G$26*Smooth!$M302)*(1+Controls!G$27*Smooth!$N302)*(1+Controls!G$28*Smooth!$O302)),2))</f>
        <v/>
      </c>
      <c r="C302" s="10" t="str">
        <f t="array" ref="C302">IF(OR($A302="",2&gt;Controls!$B$6),"",ROUND(MAX(0,Smooth!C302*Controls!C$17*INDEX(Controls!$B$21:$H$21,1,WEEKDAY($A302,2))*(1+Controls!$B$11)^300*(1+Controls!H$25*Smooth!$L302)*(1+Controls!H$26*Smooth!$M302)*(1+Controls!H$27*Smooth!$N302)*(1+Controls!H$28*Smooth!$O302)),2))</f>
        <v/>
      </c>
      <c r="D302" s="10" t="str">
        <f t="array" ref="D302">IF(OR($A302="",3&gt;Controls!$B$6),"",ROUND(MAX(0,Smooth!D302*Controls!D$17*INDEX(Controls!$B$21:$H$21,1,WEEKDAY($A302,2))*(1+Controls!$B$11)^300*(1+Controls!I$25*Smooth!$L302)*(1+Controls!I$26*Smooth!$M302)*(1+Controls!I$27*Smooth!$N302)*(1+Controls!I$28*Smooth!$O302)),2))</f>
        <v/>
      </c>
      <c r="E302" s="10" t="str">
        <f t="array" ref="E302">IF(OR($A302="",4&gt;Controls!$B$6),"",ROUND(MAX(0,Smooth!E302*Controls!E$17*INDEX(Controls!$B$21:$H$21,1,WEEKDAY($A302,2))*(1+Controls!$B$11)^300*(1+Controls!J$25*Smooth!$L302)*(1+Controls!J$26*Smooth!$M302)*(1+Controls!J$27*Smooth!$N302)*(1+Controls!J$28*Smooth!$O302)),2))</f>
        <v/>
      </c>
      <c r="F302" s="10" t="str">
        <f t="array" ref="F302">IF(OR($A302="",5&gt;Controls!$B$6),"",ROUND(MAX(0,Smooth!F302*Controls!F$17*INDEX(Controls!$B$21:$H$21,1,WEEKDAY($A302,2))*(1+Controls!$B$11)^300*(1+Controls!K$25*Smooth!$L302)*(1+Controls!K$26*Smooth!$M302)*(1+Controls!K$27*Smooth!$N302)*(1+Controls!K$28*Smooth!$O302)),2))</f>
        <v/>
      </c>
      <c r="G302" s="10" t="str">
        <f t="array" ref="G302">IF(OR($A302="",6&gt;Controls!$B$6),"",ROUND(MAX(0,Smooth!G302*Controls!G$17*INDEX(Controls!$B$21:$H$21,1,WEEKDAY($A302,2))*(1+Controls!$B$11)^300*(1+Controls!L$25*Smooth!$L302)*(1+Controls!L$26*Smooth!$M302)*(1+Controls!L$27*Smooth!$N302)*(1+Controls!L$28*Smooth!$O302)),2))</f>
        <v/>
      </c>
      <c r="H302" s="10" t="str">
        <f t="array" ref="H302">IF(OR($A302="",7&gt;Controls!$B$6),"",ROUND(MAX(0,Smooth!H302*Controls!H$17*INDEX(Controls!$B$21:$H$21,1,WEEKDAY($A302,2))*(1+Controls!$B$11)^300*(1+Controls!M$25*Smooth!$L302)*(1+Controls!M$26*Smooth!$M302)*(1+Controls!M$27*Smooth!$N302)*(1+Controls!M$28*Smooth!$O302)),2))</f>
        <v/>
      </c>
      <c r="I302" s="10" t="str">
        <f t="array" ref="I302">IF(OR($A302="",8&gt;Controls!$B$6),"",ROUND(MAX(0,Smooth!I302*Controls!I$17*INDEX(Controls!$B$21:$H$21,1,WEEKDAY($A302,2))*(1+Controls!$B$11)^300*(1+Controls!N$25*Smooth!$L302)*(1+Controls!N$26*Smooth!$M302)*(1+Controls!N$27*Smooth!$N302)*(1+Controls!N$28*Smooth!$O302)),2))</f>
        <v/>
      </c>
      <c r="J302" s="10" t="str">
        <f t="array" ref="J302">IF(OR($A302="",9&gt;Controls!$B$6),"",ROUND(MAX(0,Smooth!J302*Controls!J$17*INDEX(Controls!$B$21:$H$21,1,WEEKDAY($A302,2))*(1+Controls!$B$11)^300*(1+Controls!O$25*Smooth!$L302)*(1+Controls!O$26*Smooth!$M302)*(1+Controls!O$27*Smooth!$N302)*(1+Controls!O$28*Smooth!$O302)),2))</f>
        <v/>
      </c>
      <c r="K302" s="10" t="str">
        <f t="array" ref="K302">IF(OR($A302="",10&gt;Controls!$B$6),"",ROUND(MAX(0,Smooth!K302*Controls!K$17*INDEX(Controls!$B$21:$H$21,1,WEEKDAY($A302,2))*(1+Controls!$B$11)^300*(1+Controls!P$25*Smooth!$L302)*(1+Controls!P$26*Smooth!$M302)*(1+Controls!P$27*Smooth!$N302)*(1+Controls!P$28*Smooth!$O302)),2))</f>
        <v/>
      </c>
      <c r="L302" s="18" t="str">
        <f t="shared" si="1"/>
        <v/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21.0" customHeight="1">
      <c r="A303" s="7" t="str">
        <f>IF(302&lt;=Controls!$B$5,Controls!$B$4+301,"")</f>
        <v/>
      </c>
      <c r="B303" s="10" t="str">
        <f t="array" ref="B303">IF(OR($A303="",1&gt;Controls!$B$6),"",ROUND(MAX(0,Smooth!B303*Controls!B$17*INDEX(Controls!$B$21:$H$21,1,WEEKDAY($A303,2))*(1+Controls!$B$11)^301*(1+Controls!G$25*Smooth!$L303)*(1+Controls!G$26*Smooth!$M303)*(1+Controls!G$27*Smooth!$N303)*(1+Controls!G$28*Smooth!$O303)),2))</f>
        <v/>
      </c>
      <c r="C303" s="10" t="str">
        <f t="array" ref="C303">IF(OR($A303="",2&gt;Controls!$B$6),"",ROUND(MAX(0,Smooth!C303*Controls!C$17*INDEX(Controls!$B$21:$H$21,1,WEEKDAY($A303,2))*(1+Controls!$B$11)^301*(1+Controls!H$25*Smooth!$L303)*(1+Controls!H$26*Smooth!$M303)*(1+Controls!H$27*Smooth!$N303)*(1+Controls!H$28*Smooth!$O303)),2))</f>
        <v/>
      </c>
      <c r="D303" s="10" t="str">
        <f t="array" ref="D303">IF(OR($A303="",3&gt;Controls!$B$6),"",ROUND(MAX(0,Smooth!D303*Controls!D$17*INDEX(Controls!$B$21:$H$21,1,WEEKDAY($A303,2))*(1+Controls!$B$11)^301*(1+Controls!I$25*Smooth!$L303)*(1+Controls!I$26*Smooth!$M303)*(1+Controls!I$27*Smooth!$N303)*(1+Controls!I$28*Smooth!$O303)),2))</f>
        <v/>
      </c>
      <c r="E303" s="10" t="str">
        <f t="array" ref="E303">IF(OR($A303="",4&gt;Controls!$B$6),"",ROUND(MAX(0,Smooth!E303*Controls!E$17*INDEX(Controls!$B$21:$H$21,1,WEEKDAY($A303,2))*(1+Controls!$B$11)^301*(1+Controls!J$25*Smooth!$L303)*(1+Controls!J$26*Smooth!$M303)*(1+Controls!J$27*Smooth!$N303)*(1+Controls!J$28*Smooth!$O303)),2))</f>
        <v/>
      </c>
      <c r="F303" s="10" t="str">
        <f t="array" ref="F303">IF(OR($A303="",5&gt;Controls!$B$6),"",ROUND(MAX(0,Smooth!F303*Controls!F$17*INDEX(Controls!$B$21:$H$21,1,WEEKDAY($A303,2))*(1+Controls!$B$11)^301*(1+Controls!K$25*Smooth!$L303)*(1+Controls!K$26*Smooth!$M303)*(1+Controls!K$27*Smooth!$N303)*(1+Controls!K$28*Smooth!$O303)),2))</f>
        <v/>
      </c>
      <c r="G303" s="10" t="str">
        <f t="array" ref="G303">IF(OR($A303="",6&gt;Controls!$B$6),"",ROUND(MAX(0,Smooth!G303*Controls!G$17*INDEX(Controls!$B$21:$H$21,1,WEEKDAY($A303,2))*(1+Controls!$B$11)^301*(1+Controls!L$25*Smooth!$L303)*(1+Controls!L$26*Smooth!$M303)*(1+Controls!L$27*Smooth!$N303)*(1+Controls!L$28*Smooth!$O303)),2))</f>
        <v/>
      </c>
      <c r="H303" s="10" t="str">
        <f t="array" ref="H303">IF(OR($A303="",7&gt;Controls!$B$6),"",ROUND(MAX(0,Smooth!H303*Controls!H$17*INDEX(Controls!$B$21:$H$21,1,WEEKDAY($A303,2))*(1+Controls!$B$11)^301*(1+Controls!M$25*Smooth!$L303)*(1+Controls!M$26*Smooth!$M303)*(1+Controls!M$27*Smooth!$N303)*(1+Controls!M$28*Smooth!$O303)),2))</f>
        <v/>
      </c>
      <c r="I303" s="10" t="str">
        <f t="array" ref="I303">IF(OR($A303="",8&gt;Controls!$B$6),"",ROUND(MAX(0,Smooth!I303*Controls!I$17*INDEX(Controls!$B$21:$H$21,1,WEEKDAY($A303,2))*(1+Controls!$B$11)^301*(1+Controls!N$25*Smooth!$L303)*(1+Controls!N$26*Smooth!$M303)*(1+Controls!N$27*Smooth!$N303)*(1+Controls!N$28*Smooth!$O303)),2))</f>
        <v/>
      </c>
      <c r="J303" s="10" t="str">
        <f t="array" ref="J303">IF(OR($A303="",9&gt;Controls!$B$6),"",ROUND(MAX(0,Smooth!J303*Controls!J$17*INDEX(Controls!$B$21:$H$21,1,WEEKDAY($A303,2))*(1+Controls!$B$11)^301*(1+Controls!O$25*Smooth!$L303)*(1+Controls!O$26*Smooth!$M303)*(1+Controls!O$27*Smooth!$N303)*(1+Controls!O$28*Smooth!$O303)),2))</f>
        <v/>
      </c>
      <c r="K303" s="10" t="str">
        <f t="array" ref="K303">IF(OR($A303="",10&gt;Controls!$B$6),"",ROUND(MAX(0,Smooth!K303*Controls!K$17*INDEX(Controls!$B$21:$H$21,1,WEEKDAY($A303,2))*(1+Controls!$B$11)^301*(1+Controls!P$25*Smooth!$L303)*(1+Controls!P$26*Smooth!$M303)*(1+Controls!P$27*Smooth!$N303)*(1+Controls!P$28*Smooth!$O303)),2))</f>
        <v/>
      </c>
      <c r="L303" s="18" t="str">
        <f t="shared" si="1"/>
        <v/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21.0" customHeight="1">
      <c r="A304" s="7" t="str">
        <f>IF(303&lt;=Controls!$B$5,Controls!$B$4+302,"")</f>
        <v/>
      </c>
      <c r="B304" s="10" t="str">
        <f t="array" ref="B304">IF(OR($A304="",1&gt;Controls!$B$6),"",ROUND(MAX(0,Smooth!B304*Controls!B$17*INDEX(Controls!$B$21:$H$21,1,WEEKDAY($A304,2))*(1+Controls!$B$11)^302*(1+Controls!G$25*Smooth!$L304)*(1+Controls!G$26*Smooth!$M304)*(1+Controls!G$27*Smooth!$N304)*(1+Controls!G$28*Smooth!$O304)),2))</f>
        <v/>
      </c>
      <c r="C304" s="10" t="str">
        <f t="array" ref="C304">IF(OR($A304="",2&gt;Controls!$B$6),"",ROUND(MAX(0,Smooth!C304*Controls!C$17*INDEX(Controls!$B$21:$H$21,1,WEEKDAY($A304,2))*(1+Controls!$B$11)^302*(1+Controls!H$25*Smooth!$L304)*(1+Controls!H$26*Smooth!$M304)*(1+Controls!H$27*Smooth!$N304)*(1+Controls!H$28*Smooth!$O304)),2))</f>
        <v/>
      </c>
      <c r="D304" s="10" t="str">
        <f t="array" ref="D304">IF(OR($A304="",3&gt;Controls!$B$6),"",ROUND(MAX(0,Smooth!D304*Controls!D$17*INDEX(Controls!$B$21:$H$21,1,WEEKDAY($A304,2))*(1+Controls!$B$11)^302*(1+Controls!I$25*Smooth!$L304)*(1+Controls!I$26*Smooth!$M304)*(1+Controls!I$27*Smooth!$N304)*(1+Controls!I$28*Smooth!$O304)),2))</f>
        <v/>
      </c>
      <c r="E304" s="10" t="str">
        <f t="array" ref="E304">IF(OR($A304="",4&gt;Controls!$B$6),"",ROUND(MAX(0,Smooth!E304*Controls!E$17*INDEX(Controls!$B$21:$H$21,1,WEEKDAY($A304,2))*(1+Controls!$B$11)^302*(1+Controls!J$25*Smooth!$L304)*(1+Controls!J$26*Smooth!$M304)*(1+Controls!J$27*Smooth!$N304)*(1+Controls!J$28*Smooth!$O304)),2))</f>
        <v/>
      </c>
      <c r="F304" s="10" t="str">
        <f t="array" ref="F304">IF(OR($A304="",5&gt;Controls!$B$6),"",ROUND(MAX(0,Smooth!F304*Controls!F$17*INDEX(Controls!$B$21:$H$21,1,WEEKDAY($A304,2))*(1+Controls!$B$11)^302*(1+Controls!K$25*Smooth!$L304)*(1+Controls!K$26*Smooth!$M304)*(1+Controls!K$27*Smooth!$N304)*(1+Controls!K$28*Smooth!$O304)),2))</f>
        <v/>
      </c>
      <c r="G304" s="10" t="str">
        <f t="array" ref="G304">IF(OR($A304="",6&gt;Controls!$B$6),"",ROUND(MAX(0,Smooth!G304*Controls!G$17*INDEX(Controls!$B$21:$H$21,1,WEEKDAY($A304,2))*(1+Controls!$B$11)^302*(1+Controls!L$25*Smooth!$L304)*(1+Controls!L$26*Smooth!$M304)*(1+Controls!L$27*Smooth!$N304)*(1+Controls!L$28*Smooth!$O304)),2))</f>
        <v/>
      </c>
      <c r="H304" s="10" t="str">
        <f t="array" ref="H304">IF(OR($A304="",7&gt;Controls!$B$6),"",ROUND(MAX(0,Smooth!H304*Controls!H$17*INDEX(Controls!$B$21:$H$21,1,WEEKDAY($A304,2))*(1+Controls!$B$11)^302*(1+Controls!M$25*Smooth!$L304)*(1+Controls!M$26*Smooth!$M304)*(1+Controls!M$27*Smooth!$N304)*(1+Controls!M$28*Smooth!$O304)),2))</f>
        <v/>
      </c>
      <c r="I304" s="10" t="str">
        <f t="array" ref="I304">IF(OR($A304="",8&gt;Controls!$B$6),"",ROUND(MAX(0,Smooth!I304*Controls!I$17*INDEX(Controls!$B$21:$H$21,1,WEEKDAY($A304,2))*(1+Controls!$B$11)^302*(1+Controls!N$25*Smooth!$L304)*(1+Controls!N$26*Smooth!$M304)*(1+Controls!N$27*Smooth!$N304)*(1+Controls!N$28*Smooth!$O304)),2))</f>
        <v/>
      </c>
      <c r="J304" s="10" t="str">
        <f t="array" ref="J304">IF(OR($A304="",9&gt;Controls!$B$6),"",ROUND(MAX(0,Smooth!J304*Controls!J$17*INDEX(Controls!$B$21:$H$21,1,WEEKDAY($A304,2))*(1+Controls!$B$11)^302*(1+Controls!O$25*Smooth!$L304)*(1+Controls!O$26*Smooth!$M304)*(1+Controls!O$27*Smooth!$N304)*(1+Controls!O$28*Smooth!$O304)),2))</f>
        <v/>
      </c>
      <c r="K304" s="10" t="str">
        <f t="array" ref="K304">IF(OR($A304="",10&gt;Controls!$B$6),"",ROUND(MAX(0,Smooth!K304*Controls!K$17*INDEX(Controls!$B$21:$H$21,1,WEEKDAY($A304,2))*(1+Controls!$B$11)^302*(1+Controls!P$25*Smooth!$L304)*(1+Controls!P$26*Smooth!$M304)*(1+Controls!P$27*Smooth!$N304)*(1+Controls!P$28*Smooth!$O304)),2))</f>
        <v/>
      </c>
      <c r="L304" s="18" t="str">
        <f t="shared" si="1"/>
        <v/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21.0" customHeight="1">
      <c r="A305" s="7" t="str">
        <f>IF(304&lt;=Controls!$B$5,Controls!$B$4+303,"")</f>
        <v/>
      </c>
      <c r="B305" s="10" t="str">
        <f t="array" ref="B305">IF(OR($A305="",1&gt;Controls!$B$6),"",ROUND(MAX(0,Smooth!B305*Controls!B$17*INDEX(Controls!$B$21:$H$21,1,WEEKDAY($A305,2))*(1+Controls!$B$11)^303*(1+Controls!G$25*Smooth!$L305)*(1+Controls!G$26*Smooth!$M305)*(1+Controls!G$27*Smooth!$N305)*(1+Controls!G$28*Smooth!$O305)),2))</f>
        <v/>
      </c>
      <c r="C305" s="10" t="str">
        <f t="array" ref="C305">IF(OR($A305="",2&gt;Controls!$B$6),"",ROUND(MAX(0,Smooth!C305*Controls!C$17*INDEX(Controls!$B$21:$H$21,1,WEEKDAY($A305,2))*(1+Controls!$B$11)^303*(1+Controls!H$25*Smooth!$L305)*(1+Controls!H$26*Smooth!$M305)*(1+Controls!H$27*Smooth!$N305)*(1+Controls!H$28*Smooth!$O305)),2))</f>
        <v/>
      </c>
      <c r="D305" s="10" t="str">
        <f t="array" ref="D305">IF(OR($A305="",3&gt;Controls!$B$6),"",ROUND(MAX(0,Smooth!D305*Controls!D$17*INDEX(Controls!$B$21:$H$21,1,WEEKDAY($A305,2))*(1+Controls!$B$11)^303*(1+Controls!I$25*Smooth!$L305)*(1+Controls!I$26*Smooth!$M305)*(1+Controls!I$27*Smooth!$N305)*(1+Controls!I$28*Smooth!$O305)),2))</f>
        <v/>
      </c>
      <c r="E305" s="10" t="str">
        <f t="array" ref="E305">IF(OR($A305="",4&gt;Controls!$B$6),"",ROUND(MAX(0,Smooth!E305*Controls!E$17*INDEX(Controls!$B$21:$H$21,1,WEEKDAY($A305,2))*(1+Controls!$B$11)^303*(1+Controls!J$25*Smooth!$L305)*(1+Controls!J$26*Smooth!$M305)*(1+Controls!J$27*Smooth!$N305)*(1+Controls!J$28*Smooth!$O305)),2))</f>
        <v/>
      </c>
      <c r="F305" s="10" t="str">
        <f t="array" ref="F305">IF(OR($A305="",5&gt;Controls!$B$6),"",ROUND(MAX(0,Smooth!F305*Controls!F$17*INDEX(Controls!$B$21:$H$21,1,WEEKDAY($A305,2))*(1+Controls!$B$11)^303*(1+Controls!K$25*Smooth!$L305)*(1+Controls!K$26*Smooth!$M305)*(1+Controls!K$27*Smooth!$N305)*(1+Controls!K$28*Smooth!$O305)),2))</f>
        <v/>
      </c>
      <c r="G305" s="10" t="str">
        <f t="array" ref="G305">IF(OR($A305="",6&gt;Controls!$B$6),"",ROUND(MAX(0,Smooth!G305*Controls!G$17*INDEX(Controls!$B$21:$H$21,1,WEEKDAY($A305,2))*(1+Controls!$B$11)^303*(1+Controls!L$25*Smooth!$L305)*(1+Controls!L$26*Smooth!$M305)*(1+Controls!L$27*Smooth!$N305)*(1+Controls!L$28*Smooth!$O305)),2))</f>
        <v/>
      </c>
      <c r="H305" s="10" t="str">
        <f t="array" ref="H305">IF(OR($A305="",7&gt;Controls!$B$6),"",ROUND(MAX(0,Smooth!H305*Controls!H$17*INDEX(Controls!$B$21:$H$21,1,WEEKDAY($A305,2))*(1+Controls!$B$11)^303*(1+Controls!M$25*Smooth!$L305)*(1+Controls!M$26*Smooth!$M305)*(1+Controls!M$27*Smooth!$N305)*(1+Controls!M$28*Smooth!$O305)),2))</f>
        <v/>
      </c>
      <c r="I305" s="10" t="str">
        <f t="array" ref="I305">IF(OR($A305="",8&gt;Controls!$B$6),"",ROUND(MAX(0,Smooth!I305*Controls!I$17*INDEX(Controls!$B$21:$H$21,1,WEEKDAY($A305,2))*(1+Controls!$B$11)^303*(1+Controls!N$25*Smooth!$L305)*(1+Controls!N$26*Smooth!$M305)*(1+Controls!N$27*Smooth!$N305)*(1+Controls!N$28*Smooth!$O305)),2))</f>
        <v/>
      </c>
      <c r="J305" s="10" t="str">
        <f t="array" ref="J305">IF(OR($A305="",9&gt;Controls!$B$6),"",ROUND(MAX(0,Smooth!J305*Controls!J$17*INDEX(Controls!$B$21:$H$21,1,WEEKDAY($A305,2))*(1+Controls!$B$11)^303*(1+Controls!O$25*Smooth!$L305)*(1+Controls!O$26*Smooth!$M305)*(1+Controls!O$27*Smooth!$N305)*(1+Controls!O$28*Smooth!$O305)),2))</f>
        <v/>
      </c>
      <c r="K305" s="10" t="str">
        <f t="array" ref="K305">IF(OR($A305="",10&gt;Controls!$B$6),"",ROUND(MAX(0,Smooth!K305*Controls!K$17*INDEX(Controls!$B$21:$H$21,1,WEEKDAY($A305,2))*(1+Controls!$B$11)^303*(1+Controls!P$25*Smooth!$L305)*(1+Controls!P$26*Smooth!$M305)*(1+Controls!P$27*Smooth!$N305)*(1+Controls!P$28*Smooth!$O305)),2))</f>
        <v/>
      </c>
      <c r="L305" s="18" t="str">
        <f t="shared" si="1"/>
        <v/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21.0" customHeight="1">
      <c r="A306" s="7" t="str">
        <f>IF(305&lt;=Controls!$B$5,Controls!$B$4+304,"")</f>
        <v/>
      </c>
      <c r="B306" s="10" t="str">
        <f t="array" ref="B306">IF(OR($A306="",1&gt;Controls!$B$6),"",ROUND(MAX(0,Smooth!B306*Controls!B$17*INDEX(Controls!$B$21:$H$21,1,WEEKDAY($A306,2))*(1+Controls!$B$11)^304*(1+Controls!G$25*Smooth!$L306)*(1+Controls!G$26*Smooth!$M306)*(1+Controls!G$27*Smooth!$N306)*(1+Controls!G$28*Smooth!$O306)),2))</f>
        <v/>
      </c>
      <c r="C306" s="10" t="str">
        <f t="array" ref="C306">IF(OR($A306="",2&gt;Controls!$B$6),"",ROUND(MAX(0,Smooth!C306*Controls!C$17*INDEX(Controls!$B$21:$H$21,1,WEEKDAY($A306,2))*(1+Controls!$B$11)^304*(1+Controls!H$25*Smooth!$L306)*(1+Controls!H$26*Smooth!$M306)*(1+Controls!H$27*Smooth!$N306)*(1+Controls!H$28*Smooth!$O306)),2))</f>
        <v/>
      </c>
      <c r="D306" s="10" t="str">
        <f t="array" ref="D306">IF(OR($A306="",3&gt;Controls!$B$6),"",ROUND(MAX(0,Smooth!D306*Controls!D$17*INDEX(Controls!$B$21:$H$21,1,WEEKDAY($A306,2))*(1+Controls!$B$11)^304*(1+Controls!I$25*Smooth!$L306)*(1+Controls!I$26*Smooth!$M306)*(1+Controls!I$27*Smooth!$N306)*(1+Controls!I$28*Smooth!$O306)),2))</f>
        <v/>
      </c>
      <c r="E306" s="10" t="str">
        <f t="array" ref="E306">IF(OR($A306="",4&gt;Controls!$B$6),"",ROUND(MAX(0,Smooth!E306*Controls!E$17*INDEX(Controls!$B$21:$H$21,1,WEEKDAY($A306,2))*(1+Controls!$B$11)^304*(1+Controls!J$25*Smooth!$L306)*(1+Controls!J$26*Smooth!$M306)*(1+Controls!J$27*Smooth!$N306)*(1+Controls!J$28*Smooth!$O306)),2))</f>
        <v/>
      </c>
      <c r="F306" s="10" t="str">
        <f t="array" ref="F306">IF(OR($A306="",5&gt;Controls!$B$6),"",ROUND(MAX(0,Smooth!F306*Controls!F$17*INDEX(Controls!$B$21:$H$21,1,WEEKDAY($A306,2))*(1+Controls!$B$11)^304*(1+Controls!K$25*Smooth!$L306)*(1+Controls!K$26*Smooth!$M306)*(1+Controls!K$27*Smooth!$N306)*(1+Controls!K$28*Smooth!$O306)),2))</f>
        <v/>
      </c>
      <c r="G306" s="10" t="str">
        <f t="array" ref="G306">IF(OR($A306="",6&gt;Controls!$B$6),"",ROUND(MAX(0,Smooth!G306*Controls!G$17*INDEX(Controls!$B$21:$H$21,1,WEEKDAY($A306,2))*(1+Controls!$B$11)^304*(1+Controls!L$25*Smooth!$L306)*(1+Controls!L$26*Smooth!$M306)*(1+Controls!L$27*Smooth!$N306)*(1+Controls!L$28*Smooth!$O306)),2))</f>
        <v/>
      </c>
      <c r="H306" s="10" t="str">
        <f t="array" ref="H306">IF(OR($A306="",7&gt;Controls!$B$6),"",ROUND(MAX(0,Smooth!H306*Controls!H$17*INDEX(Controls!$B$21:$H$21,1,WEEKDAY($A306,2))*(1+Controls!$B$11)^304*(1+Controls!M$25*Smooth!$L306)*(1+Controls!M$26*Smooth!$M306)*(1+Controls!M$27*Smooth!$N306)*(1+Controls!M$28*Smooth!$O306)),2))</f>
        <v/>
      </c>
      <c r="I306" s="10" t="str">
        <f t="array" ref="I306">IF(OR($A306="",8&gt;Controls!$B$6),"",ROUND(MAX(0,Smooth!I306*Controls!I$17*INDEX(Controls!$B$21:$H$21,1,WEEKDAY($A306,2))*(1+Controls!$B$11)^304*(1+Controls!N$25*Smooth!$L306)*(1+Controls!N$26*Smooth!$M306)*(1+Controls!N$27*Smooth!$N306)*(1+Controls!N$28*Smooth!$O306)),2))</f>
        <v/>
      </c>
      <c r="J306" s="10" t="str">
        <f t="array" ref="J306">IF(OR($A306="",9&gt;Controls!$B$6),"",ROUND(MAX(0,Smooth!J306*Controls!J$17*INDEX(Controls!$B$21:$H$21,1,WEEKDAY($A306,2))*(1+Controls!$B$11)^304*(1+Controls!O$25*Smooth!$L306)*(1+Controls!O$26*Smooth!$M306)*(1+Controls!O$27*Smooth!$N306)*(1+Controls!O$28*Smooth!$O306)),2))</f>
        <v/>
      </c>
      <c r="K306" s="10" t="str">
        <f t="array" ref="K306">IF(OR($A306="",10&gt;Controls!$B$6),"",ROUND(MAX(0,Smooth!K306*Controls!K$17*INDEX(Controls!$B$21:$H$21,1,WEEKDAY($A306,2))*(1+Controls!$B$11)^304*(1+Controls!P$25*Smooth!$L306)*(1+Controls!P$26*Smooth!$M306)*(1+Controls!P$27*Smooth!$N306)*(1+Controls!P$28*Smooth!$O306)),2))</f>
        <v/>
      </c>
      <c r="L306" s="18" t="str">
        <f t="shared" si="1"/>
        <v/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21.0" customHeight="1">
      <c r="A307" s="7" t="str">
        <f>IF(306&lt;=Controls!$B$5,Controls!$B$4+305,"")</f>
        <v/>
      </c>
      <c r="B307" s="10" t="str">
        <f t="array" ref="B307">IF(OR($A307="",1&gt;Controls!$B$6),"",ROUND(MAX(0,Smooth!B307*Controls!B$17*INDEX(Controls!$B$21:$H$21,1,WEEKDAY($A307,2))*(1+Controls!$B$11)^305*(1+Controls!G$25*Smooth!$L307)*(1+Controls!G$26*Smooth!$M307)*(1+Controls!G$27*Smooth!$N307)*(1+Controls!G$28*Smooth!$O307)),2))</f>
        <v/>
      </c>
      <c r="C307" s="10" t="str">
        <f t="array" ref="C307">IF(OR($A307="",2&gt;Controls!$B$6),"",ROUND(MAX(0,Smooth!C307*Controls!C$17*INDEX(Controls!$B$21:$H$21,1,WEEKDAY($A307,2))*(1+Controls!$B$11)^305*(1+Controls!H$25*Smooth!$L307)*(1+Controls!H$26*Smooth!$M307)*(1+Controls!H$27*Smooth!$N307)*(1+Controls!H$28*Smooth!$O307)),2))</f>
        <v/>
      </c>
      <c r="D307" s="10" t="str">
        <f t="array" ref="D307">IF(OR($A307="",3&gt;Controls!$B$6),"",ROUND(MAX(0,Smooth!D307*Controls!D$17*INDEX(Controls!$B$21:$H$21,1,WEEKDAY($A307,2))*(1+Controls!$B$11)^305*(1+Controls!I$25*Smooth!$L307)*(1+Controls!I$26*Smooth!$M307)*(1+Controls!I$27*Smooth!$N307)*(1+Controls!I$28*Smooth!$O307)),2))</f>
        <v/>
      </c>
      <c r="E307" s="10" t="str">
        <f t="array" ref="E307">IF(OR($A307="",4&gt;Controls!$B$6),"",ROUND(MAX(0,Smooth!E307*Controls!E$17*INDEX(Controls!$B$21:$H$21,1,WEEKDAY($A307,2))*(1+Controls!$B$11)^305*(1+Controls!J$25*Smooth!$L307)*(1+Controls!J$26*Smooth!$M307)*(1+Controls!J$27*Smooth!$N307)*(1+Controls!J$28*Smooth!$O307)),2))</f>
        <v/>
      </c>
      <c r="F307" s="10" t="str">
        <f t="array" ref="F307">IF(OR($A307="",5&gt;Controls!$B$6),"",ROUND(MAX(0,Smooth!F307*Controls!F$17*INDEX(Controls!$B$21:$H$21,1,WEEKDAY($A307,2))*(1+Controls!$B$11)^305*(1+Controls!K$25*Smooth!$L307)*(1+Controls!K$26*Smooth!$M307)*(1+Controls!K$27*Smooth!$N307)*(1+Controls!K$28*Smooth!$O307)),2))</f>
        <v/>
      </c>
      <c r="G307" s="10" t="str">
        <f t="array" ref="G307">IF(OR($A307="",6&gt;Controls!$B$6),"",ROUND(MAX(0,Smooth!G307*Controls!G$17*INDEX(Controls!$B$21:$H$21,1,WEEKDAY($A307,2))*(1+Controls!$B$11)^305*(1+Controls!L$25*Smooth!$L307)*(1+Controls!L$26*Smooth!$M307)*(1+Controls!L$27*Smooth!$N307)*(1+Controls!L$28*Smooth!$O307)),2))</f>
        <v/>
      </c>
      <c r="H307" s="10" t="str">
        <f t="array" ref="H307">IF(OR($A307="",7&gt;Controls!$B$6),"",ROUND(MAX(0,Smooth!H307*Controls!H$17*INDEX(Controls!$B$21:$H$21,1,WEEKDAY($A307,2))*(1+Controls!$B$11)^305*(1+Controls!M$25*Smooth!$L307)*(1+Controls!M$26*Smooth!$M307)*(1+Controls!M$27*Smooth!$N307)*(1+Controls!M$28*Smooth!$O307)),2))</f>
        <v/>
      </c>
      <c r="I307" s="10" t="str">
        <f t="array" ref="I307">IF(OR($A307="",8&gt;Controls!$B$6),"",ROUND(MAX(0,Smooth!I307*Controls!I$17*INDEX(Controls!$B$21:$H$21,1,WEEKDAY($A307,2))*(1+Controls!$B$11)^305*(1+Controls!N$25*Smooth!$L307)*(1+Controls!N$26*Smooth!$M307)*(1+Controls!N$27*Smooth!$N307)*(1+Controls!N$28*Smooth!$O307)),2))</f>
        <v/>
      </c>
      <c r="J307" s="10" t="str">
        <f t="array" ref="J307">IF(OR($A307="",9&gt;Controls!$B$6),"",ROUND(MAX(0,Smooth!J307*Controls!J$17*INDEX(Controls!$B$21:$H$21,1,WEEKDAY($A307,2))*(1+Controls!$B$11)^305*(1+Controls!O$25*Smooth!$L307)*(1+Controls!O$26*Smooth!$M307)*(1+Controls!O$27*Smooth!$N307)*(1+Controls!O$28*Smooth!$O307)),2))</f>
        <v/>
      </c>
      <c r="K307" s="10" t="str">
        <f t="array" ref="K307">IF(OR($A307="",10&gt;Controls!$B$6),"",ROUND(MAX(0,Smooth!K307*Controls!K$17*INDEX(Controls!$B$21:$H$21,1,WEEKDAY($A307,2))*(1+Controls!$B$11)^305*(1+Controls!P$25*Smooth!$L307)*(1+Controls!P$26*Smooth!$M307)*(1+Controls!P$27*Smooth!$N307)*(1+Controls!P$28*Smooth!$O307)),2))</f>
        <v/>
      </c>
      <c r="L307" s="18" t="str">
        <f t="shared" si="1"/>
        <v/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21.0" customHeight="1">
      <c r="A308" s="7" t="str">
        <f>IF(307&lt;=Controls!$B$5,Controls!$B$4+306,"")</f>
        <v/>
      </c>
      <c r="B308" s="10" t="str">
        <f t="array" ref="B308">IF(OR($A308="",1&gt;Controls!$B$6),"",ROUND(MAX(0,Smooth!B308*Controls!B$17*INDEX(Controls!$B$21:$H$21,1,WEEKDAY($A308,2))*(1+Controls!$B$11)^306*(1+Controls!G$25*Smooth!$L308)*(1+Controls!G$26*Smooth!$M308)*(1+Controls!G$27*Smooth!$N308)*(1+Controls!G$28*Smooth!$O308)),2))</f>
        <v/>
      </c>
      <c r="C308" s="10" t="str">
        <f t="array" ref="C308">IF(OR($A308="",2&gt;Controls!$B$6),"",ROUND(MAX(0,Smooth!C308*Controls!C$17*INDEX(Controls!$B$21:$H$21,1,WEEKDAY($A308,2))*(1+Controls!$B$11)^306*(1+Controls!H$25*Smooth!$L308)*(1+Controls!H$26*Smooth!$M308)*(1+Controls!H$27*Smooth!$N308)*(1+Controls!H$28*Smooth!$O308)),2))</f>
        <v/>
      </c>
      <c r="D308" s="10" t="str">
        <f t="array" ref="D308">IF(OR($A308="",3&gt;Controls!$B$6),"",ROUND(MAX(0,Smooth!D308*Controls!D$17*INDEX(Controls!$B$21:$H$21,1,WEEKDAY($A308,2))*(1+Controls!$B$11)^306*(1+Controls!I$25*Smooth!$L308)*(1+Controls!I$26*Smooth!$M308)*(1+Controls!I$27*Smooth!$N308)*(1+Controls!I$28*Smooth!$O308)),2))</f>
        <v/>
      </c>
      <c r="E308" s="10" t="str">
        <f t="array" ref="E308">IF(OR($A308="",4&gt;Controls!$B$6),"",ROUND(MAX(0,Smooth!E308*Controls!E$17*INDEX(Controls!$B$21:$H$21,1,WEEKDAY($A308,2))*(1+Controls!$B$11)^306*(1+Controls!J$25*Smooth!$L308)*(1+Controls!J$26*Smooth!$M308)*(1+Controls!J$27*Smooth!$N308)*(1+Controls!J$28*Smooth!$O308)),2))</f>
        <v/>
      </c>
      <c r="F308" s="10" t="str">
        <f t="array" ref="F308">IF(OR($A308="",5&gt;Controls!$B$6),"",ROUND(MAX(0,Smooth!F308*Controls!F$17*INDEX(Controls!$B$21:$H$21,1,WEEKDAY($A308,2))*(1+Controls!$B$11)^306*(1+Controls!K$25*Smooth!$L308)*(1+Controls!K$26*Smooth!$M308)*(1+Controls!K$27*Smooth!$N308)*(1+Controls!K$28*Smooth!$O308)),2))</f>
        <v/>
      </c>
      <c r="G308" s="10" t="str">
        <f t="array" ref="G308">IF(OR($A308="",6&gt;Controls!$B$6),"",ROUND(MAX(0,Smooth!G308*Controls!G$17*INDEX(Controls!$B$21:$H$21,1,WEEKDAY($A308,2))*(1+Controls!$B$11)^306*(1+Controls!L$25*Smooth!$L308)*(1+Controls!L$26*Smooth!$M308)*(1+Controls!L$27*Smooth!$N308)*(1+Controls!L$28*Smooth!$O308)),2))</f>
        <v/>
      </c>
      <c r="H308" s="10" t="str">
        <f t="array" ref="H308">IF(OR($A308="",7&gt;Controls!$B$6),"",ROUND(MAX(0,Smooth!H308*Controls!H$17*INDEX(Controls!$B$21:$H$21,1,WEEKDAY($A308,2))*(1+Controls!$B$11)^306*(1+Controls!M$25*Smooth!$L308)*(1+Controls!M$26*Smooth!$M308)*(1+Controls!M$27*Smooth!$N308)*(1+Controls!M$28*Smooth!$O308)),2))</f>
        <v/>
      </c>
      <c r="I308" s="10" t="str">
        <f t="array" ref="I308">IF(OR($A308="",8&gt;Controls!$B$6),"",ROUND(MAX(0,Smooth!I308*Controls!I$17*INDEX(Controls!$B$21:$H$21,1,WEEKDAY($A308,2))*(1+Controls!$B$11)^306*(1+Controls!N$25*Smooth!$L308)*(1+Controls!N$26*Smooth!$M308)*(1+Controls!N$27*Smooth!$N308)*(1+Controls!N$28*Smooth!$O308)),2))</f>
        <v/>
      </c>
      <c r="J308" s="10" t="str">
        <f t="array" ref="J308">IF(OR($A308="",9&gt;Controls!$B$6),"",ROUND(MAX(0,Smooth!J308*Controls!J$17*INDEX(Controls!$B$21:$H$21,1,WEEKDAY($A308,2))*(1+Controls!$B$11)^306*(1+Controls!O$25*Smooth!$L308)*(1+Controls!O$26*Smooth!$M308)*(1+Controls!O$27*Smooth!$N308)*(1+Controls!O$28*Smooth!$O308)),2))</f>
        <v/>
      </c>
      <c r="K308" s="10" t="str">
        <f t="array" ref="K308">IF(OR($A308="",10&gt;Controls!$B$6),"",ROUND(MAX(0,Smooth!K308*Controls!K$17*INDEX(Controls!$B$21:$H$21,1,WEEKDAY($A308,2))*(1+Controls!$B$11)^306*(1+Controls!P$25*Smooth!$L308)*(1+Controls!P$26*Smooth!$M308)*(1+Controls!P$27*Smooth!$N308)*(1+Controls!P$28*Smooth!$O308)),2))</f>
        <v/>
      </c>
      <c r="L308" s="18" t="str">
        <f t="shared" si="1"/>
        <v/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21.0" customHeight="1">
      <c r="A309" s="7" t="str">
        <f>IF(308&lt;=Controls!$B$5,Controls!$B$4+307,"")</f>
        <v/>
      </c>
      <c r="B309" s="10" t="str">
        <f t="array" ref="B309">IF(OR($A309="",1&gt;Controls!$B$6),"",ROUND(MAX(0,Smooth!B309*Controls!B$17*INDEX(Controls!$B$21:$H$21,1,WEEKDAY($A309,2))*(1+Controls!$B$11)^307*(1+Controls!G$25*Smooth!$L309)*(1+Controls!G$26*Smooth!$M309)*(1+Controls!G$27*Smooth!$N309)*(1+Controls!G$28*Smooth!$O309)),2))</f>
        <v/>
      </c>
      <c r="C309" s="10" t="str">
        <f t="array" ref="C309">IF(OR($A309="",2&gt;Controls!$B$6),"",ROUND(MAX(0,Smooth!C309*Controls!C$17*INDEX(Controls!$B$21:$H$21,1,WEEKDAY($A309,2))*(1+Controls!$B$11)^307*(1+Controls!H$25*Smooth!$L309)*(1+Controls!H$26*Smooth!$M309)*(1+Controls!H$27*Smooth!$N309)*(1+Controls!H$28*Smooth!$O309)),2))</f>
        <v/>
      </c>
      <c r="D309" s="10" t="str">
        <f t="array" ref="D309">IF(OR($A309="",3&gt;Controls!$B$6),"",ROUND(MAX(0,Smooth!D309*Controls!D$17*INDEX(Controls!$B$21:$H$21,1,WEEKDAY($A309,2))*(1+Controls!$B$11)^307*(1+Controls!I$25*Smooth!$L309)*(1+Controls!I$26*Smooth!$M309)*(1+Controls!I$27*Smooth!$N309)*(1+Controls!I$28*Smooth!$O309)),2))</f>
        <v/>
      </c>
      <c r="E309" s="10" t="str">
        <f t="array" ref="E309">IF(OR($A309="",4&gt;Controls!$B$6),"",ROUND(MAX(0,Smooth!E309*Controls!E$17*INDEX(Controls!$B$21:$H$21,1,WEEKDAY($A309,2))*(1+Controls!$B$11)^307*(1+Controls!J$25*Smooth!$L309)*(1+Controls!J$26*Smooth!$M309)*(1+Controls!J$27*Smooth!$N309)*(1+Controls!J$28*Smooth!$O309)),2))</f>
        <v/>
      </c>
      <c r="F309" s="10" t="str">
        <f t="array" ref="F309">IF(OR($A309="",5&gt;Controls!$B$6),"",ROUND(MAX(0,Smooth!F309*Controls!F$17*INDEX(Controls!$B$21:$H$21,1,WEEKDAY($A309,2))*(1+Controls!$B$11)^307*(1+Controls!K$25*Smooth!$L309)*(1+Controls!K$26*Smooth!$M309)*(1+Controls!K$27*Smooth!$N309)*(1+Controls!K$28*Smooth!$O309)),2))</f>
        <v/>
      </c>
      <c r="G309" s="10" t="str">
        <f t="array" ref="G309">IF(OR($A309="",6&gt;Controls!$B$6),"",ROUND(MAX(0,Smooth!G309*Controls!G$17*INDEX(Controls!$B$21:$H$21,1,WEEKDAY($A309,2))*(1+Controls!$B$11)^307*(1+Controls!L$25*Smooth!$L309)*(1+Controls!L$26*Smooth!$M309)*(1+Controls!L$27*Smooth!$N309)*(1+Controls!L$28*Smooth!$O309)),2))</f>
        <v/>
      </c>
      <c r="H309" s="10" t="str">
        <f t="array" ref="H309">IF(OR($A309="",7&gt;Controls!$B$6),"",ROUND(MAX(0,Smooth!H309*Controls!H$17*INDEX(Controls!$B$21:$H$21,1,WEEKDAY($A309,2))*(1+Controls!$B$11)^307*(1+Controls!M$25*Smooth!$L309)*(1+Controls!M$26*Smooth!$M309)*(1+Controls!M$27*Smooth!$N309)*(1+Controls!M$28*Smooth!$O309)),2))</f>
        <v/>
      </c>
      <c r="I309" s="10" t="str">
        <f t="array" ref="I309">IF(OR($A309="",8&gt;Controls!$B$6),"",ROUND(MAX(0,Smooth!I309*Controls!I$17*INDEX(Controls!$B$21:$H$21,1,WEEKDAY($A309,2))*(1+Controls!$B$11)^307*(1+Controls!N$25*Smooth!$L309)*(1+Controls!N$26*Smooth!$M309)*(1+Controls!N$27*Smooth!$N309)*(1+Controls!N$28*Smooth!$O309)),2))</f>
        <v/>
      </c>
      <c r="J309" s="10" t="str">
        <f t="array" ref="J309">IF(OR($A309="",9&gt;Controls!$B$6),"",ROUND(MAX(0,Smooth!J309*Controls!J$17*INDEX(Controls!$B$21:$H$21,1,WEEKDAY($A309,2))*(1+Controls!$B$11)^307*(1+Controls!O$25*Smooth!$L309)*(1+Controls!O$26*Smooth!$M309)*(1+Controls!O$27*Smooth!$N309)*(1+Controls!O$28*Smooth!$O309)),2))</f>
        <v/>
      </c>
      <c r="K309" s="10" t="str">
        <f t="array" ref="K309">IF(OR($A309="",10&gt;Controls!$B$6),"",ROUND(MAX(0,Smooth!K309*Controls!K$17*INDEX(Controls!$B$21:$H$21,1,WEEKDAY($A309,2))*(1+Controls!$B$11)^307*(1+Controls!P$25*Smooth!$L309)*(1+Controls!P$26*Smooth!$M309)*(1+Controls!P$27*Smooth!$N309)*(1+Controls!P$28*Smooth!$O309)),2))</f>
        <v/>
      </c>
      <c r="L309" s="18" t="str">
        <f t="shared" si="1"/>
        <v/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21.0" customHeight="1">
      <c r="A310" s="7" t="str">
        <f>IF(309&lt;=Controls!$B$5,Controls!$B$4+308,"")</f>
        <v/>
      </c>
      <c r="B310" s="10" t="str">
        <f t="array" ref="B310">IF(OR($A310="",1&gt;Controls!$B$6),"",ROUND(MAX(0,Smooth!B310*Controls!B$17*INDEX(Controls!$B$21:$H$21,1,WEEKDAY($A310,2))*(1+Controls!$B$11)^308*(1+Controls!G$25*Smooth!$L310)*(1+Controls!G$26*Smooth!$M310)*(1+Controls!G$27*Smooth!$N310)*(1+Controls!G$28*Smooth!$O310)),2))</f>
        <v/>
      </c>
      <c r="C310" s="10" t="str">
        <f t="array" ref="C310">IF(OR($A310="",2&gt;Controls!$B$6),"",ROUND(MAX(0,Smooth!C310*Controls!C$17*INDEX(Controls!$B$21:$H$21,1,WEEKDAY($A310,2))*(1+Controls!$B$11)^308*(1+Controls!H$25*Smooth!$L310)*(1+Controls!H$26*Smooth!$M310)*(1+Controls!H$27*Smooth!$N310)*(1+Controls!H$28*Smooth!$O310)),2))</f>
        <v/>
      </c>
      <c r="D310" s="10" t="str">
        <f t="array" ref="D310">IF(OR($A310="",3&gt;Controls!$B$6),"",ROUND(MAX(0,Smooth!D310*Controls!D$17*INDEX(Controls!$B$21:$H$21,1,WEEKDAY($A310,2))*(1+Controls!$B$11)^308*(1+Controls!I$25*Smooth!$L310)*(1+Controls!I$26*Smooth!$M310)*(1+Controls!I$27*Smooth!$N310)*(1+Controls!I$28*Smooth!$O310)),2))</f>
        <v/>
      </c>
      <c r="E310" s="10" t="str">
        <f t="array" ref="E310">IF(OR($A310="",4&gt;Controls!$B$6),"",ROUND(MAX(0,Smooth!E310*Controls!E$17*INDEX(Controls!$B$21:$H$21,1,WEEKDAY($A310,2))*(1+Controls!$B$11)^308*(1+Controls!J$25*Smooth!$L310)*(1+Controls!J$26*Smooth!$M310)*(1+Controls!J$27*Smooth!$N310)*(1+Controls!J$28*Smooth!$O310)),2))</f>
        <v/>
      </c>
      <c r="F310" s="10" t="str">
        <f t="array" ref="F310">IF(OR($A310="",5&gt;Controls!$B$6),"",ROUND(MAX(0,Smooth!F310*Controls!F$17*INDEX(Controls!$B$21:$H$21,1,WEEKDAY($A310,2))*(1+Controls!$B$11)^308*(1+Controls!K$25*Smooth!$L310)*(1+Controls!K$26*Smooth!$M310)*(1+Controls!K$27*Smooth!$N310)*(1+Controls!K$28*Smooth!$O310)),2))</f>
        <v/>
      </c>
      <c r="G310" s="10" t="str">
        <f t="array" ref="G310">IF(OR($A310="",6&gt;Controls!$B$6),"",ROUND(MAX(0,Smooth!G310*Controls!G$17*INDEX(Controls!$B$21:$H$21,1,WEEKDAY($A310,2))*(1+Controls!$B$11)^308*(1+Controls!L$25*Smooth!$L310)*(1+Controls!L$26*Smooth!$M310)*(1+Controls!L$27*Smooth!$N310)*(1+Controls!L$28*Smooth!$O310)),2))</f>
        <v/>
      </c>
      <c r="H310" s="10" t="str">
        <f t="array" ref="H310">IF(OR($A310="",7&gt;Controls!$B$6),"",ROUND(MAX(0,Smooth!H310*Controls!H$17*INDEX(Controls!$B$21:$H$21,1,WEEKDAY($A310,2))*(1+Controls!$B$11)^308*(1+Controls!M$25*Smooth!$L310)*(1+Controls!M$26*Smooth!$M310)*(1+Controls!M$27*Smooth!$N310)*(1+Controls!M$28*Smooth!$O310)),2))</f>
        <v/>
      </c>
      <c r="I310" s="10" t="str">
        <f t="array" ref="I310">IF(OR($A310="",8&gt;Controls!$B$6),"",ROUND(MAX(0,Smooth!I310*Controls!I$17*INDEX(Controls!$B$21:$H$21,1,WEEKDAY($A310,2))*(1+Controls!$B$11)^308*(1+Controls!N$25*Smooth!$L310)*(1+Controls!N$26*Smooth!$M310)*(1+Controls!N$27*Smooth!$N310)*(1+Controls!N$28*Smooth!$O310)),2))</f>
        <v/>
      </c>
      <c r="J310" s="10" t="str">
        <f t="array" ref="J310">IF(OR($A310="",9&gt;Controls!$B$6),"",ROUND(MAX(0,Smooth!J310*Controls!J$17*INDEX(Controls!$B$21:$H$21,1,WEEKDAY($A310,2))*(1+Controls!$B$11)^308*(1+Controls!O$25*Smooth!$L310)*(1+Controls!O$26*Smooth!$M310)*(1+Controls!O$27*Smooth!$N310)*(1+Controls!O$28*Smooth!$O310)),2))</f>
        <v/>
      </c>
      <c r="K310" s="10" t="str">
        <f t="array" ref="K310">IF(OR($A310="",10&gt;Controls!$B$6),"",ROUND(MAX(0,Smooth!K310*Controls!K$17*INDEX(Controls!$B$21:$H$21,1,WEEKDAY($A310,2))*(1+Controls!$B$11)^308*(1+Controls!P$25*Smooth!$L310)*(1+Controls!P$26*Smooth!$M310)*(1+Controls!P$27*Smooth!$N310)*(1+Controls!P$28*Smooth!$O310)),2))</f>
        <v/>
      </c>
      <c r="L310" s="18" t="str">
        <f t="shared" si="1"/>
        <v/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21.0" customHeight="1">
      <c r="A311" s="7" t="str">
        <f>IF(310&lt;=Controls!$B$5,Controls!$B$4+309,"")</f>
        <v/>
      </c>
      <c r="B311" s="10" t="str">
        <f t="array" ref="B311">IF(OR($A311="",1&gt;Controls!$B$6),"",ROUND(MAX(0,Smooth!B311*Controls!B$17*INDEX(Controls!$B$21:$H$21,1,WEEKDAY($A311,2))*(1+Controls!$B$11)^309*(1+Controls!G$25*Smooth!$L311)*(1+Controls!G$26*Smooth!$M311)*(1+Controls!G$27*Smooth!$N311)*(1+Controls!G$28*Smooth!$O311)),2))</f>
        <v/>
      </c>
      <c r="C311" s="10" t="str">
        <f t="array" ref="C311">IF(OR($A311="",2&gt;Controls!$B$6),"",ROUND(MAX(0,Smooth!C311*Controls!C$17*INDEX(Controls!$B$21:$H$21,1,WEEKDAY($A311,2))*(1+Controls!$B$11)^309*(1+Controls!H$25*Smooth!$L311)*(1+Controls!H$26*Smooth!$M311)*(1+Controls!H$27*Smooth!$N311)*(1+Controls!H$28*Smooth!$O311)),2))</f>
        <v/>
      </c>
      <c r="D311" s="10" t="str">
        <f t="array" ref="D311">IF(OR($A311="",3&gt;Controls!$B$6),"",ROUND(MAX(0,Smooth!D311*Controls!D$17*INDEX(Controls!$B$21:$H$21,1,WEEKDAY($A311,2))*(1+Controls!$B$11)^309*(1+Controls!I$25*Smooth!$L311)*(1+Controls!I$26*Smooth!$M311)*(1+Controls!I$27*Smooth!$N311)*(1+Controls!I$28*Smooth!$O311)),2))</f>
        <v/>
      </c>
      <c r="E311" s="10" t="str">
        <f t="array" ref="E311">IF(OR($A311="",4&gt;Controls!$B$6),"",ROUND(MAX(0,Smooth!E311*Controls!E$17*INDEX(Controls!$B$21:$H$21,1,WEEKDAY($A311,2))*(1+Controls!$B$11)^309*(1+Controls!J$25*Smooth!$L311)*(1+Controls!J$26*Smooth!$M311)*(1+Controls!J$27*Smooth!$N311)*(1+Controls!J$28*Smooth!$O311)),2))</f>
        <v/>
      </c>
      <c r="F311" s="10" t="str">
        <f t="array" ref="F311">IF(OR($A311="",5&gt;Controls!$B$6),"",ROUND(MAX(0,Smooth!F311*Controls!F$17*INDEX(Controls!$B$21:$H$21,1,WEEKDAY($A311,2))*(1+Controls!$B$11)^309*(1+Controls!K$25*Smooth!$L311)*(1+Controls!K$26*Smooth!$M311)*(1+Controls!K$27*Smooth!$N311)*(1+Controls!K$28*Smooth!$O311)),2))</f>
        <v/>
      </c>
      <c r="G311" s="10" t="str">
        <f t="array" ref="G311">IF(OR($A311="",6&gt;Controls!$B$6),"",ROUND(MAX(0,Smooth!G311*Controls!G$17*INDEX(Controls!$B$21:$H$21,1,WEEKDAY($A311,2))*(1+Controls!$B$11)^309*(1+Controls!L$25*Smooth!$L311)*(1+Controls!L$26*Smooth!$M311)*(1+Controls!L$27*Smooth!$N311)*(1+Controls!L$28*Smooth!$O311)),2))</f>
        <v/>
      </c>
      <c r="H311" s="10" t="str">
        <f t="array" ref="H311">IF(OR($A311="",7&gt;Controls!$B$6),"",ROUND(MAX(0,Smooth!H311*Controls!H$17*INDEX(Controls!$B$21:$H$21,1,WEEKDAY($A311,2))*(1+Controls!$B$11)^309*(1+Controls!M$25*Smooth!$L311)*(1+Controls!M$26*Smooth!$M311)*(1+Controls!M$27*Smooth!$N311)*(1+Controls!M$28*Smooth!$O311)),2))</f>
        <v/>
      </c>
      <c r="I311" s="10" t="str">
        <f t="array" ref="I311">IF(OR($A311="",8&gt;Controls!$B$6),"",ROUND(MAX(0,Smooth!I311*Controls!I$17*INDEX(Controls!$B$21:$H$21,1,WEEKDAY($A311,2))*(1+Controls!$B$11)^309*(1+Controls!N$25*Smooth!$L311)*(1+Controls!N$26*Smooth!$M311)*(1+Controls!N$27*Smooth!$N311)*(1+Controls!N$28*Smooth!$O311)),2))</f>
        <v/>
      </c>
      <c r="J311" s="10" t="str">
        <f t="array" ref="J311">IF(OR($A311="",9&gt;Controls!$B$6),"",ROUND(MAX(0,Smooth!J311*Controls!J$17*INDEX(Controls!$B$21:$H$21,1,WEEKDAY($A311,2))*(1+Controls!$B$11)^309*(1+Controls!O$25*Smooth!$L311)*(1+Controls!O$26*Smooth!$M311)*(1+Controls!O$27*Smooth!$N311)*(1+Controls!O$28*Smooth!$O311)),2))</f>
        <v/>
      </c>
      <c r="K311" s="10" t="str">
        <f t="array" ref="K311">IF(OR($A311="",10&gt;Controls!$B$6),"",ROUND(MAX(0,Smooth!K311*Controls!K$17*INDEX(Controls!$B$21:$H$21,1,WEEKDAY($A311,2))*(1+Controls!$B$11)^309*(1+Controls!P$25*Smooth!$L311)*(1+Controls!P$26*Smooth!$M311)*(1+Controls!P$27*Smooth!$N311)*(1+Controls!P$28*Smooth!$O311)),2))</f>
        <v/>
      </c>
      <c r="L311" s="18" t="str">
        <f t="shared" si="1"/>
        <v/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21.0" customHeight="1">
      <c r="A312" s="7" t="str">
        <f>IF(311&lt;=Controls!$B$5,Controls!$B$4+310,"")</f>
        <v/>
      </c>
      <c r="B312" s="10" t="str">
        <f t="array" ref="B312">IF(OR($A312="",1&gt;Controls!$B$6),"",ROUND(MAX(0,Smooth!B312*Controls!B$17*INDEX(Controls!$B$21:$H$21,1,WEEKDAY($A312,2))*(1+Controls!$B$11)^310*(1+Controls!G$25*Smooth!$L312)*(1+Controls!G$26*Smooth!$M312)*(1+Controls!G$27*Smooth!$N312)*(1+Controls!G$28*Smooth!$O312)),2))</f>
        <v/>
      </c>
      <c r="C312" s="10" t="str">
        <f t="array" ref="C312">IF(OR($A312="",2&gt;Controls!$B$6),"",ROUND(MAX(0,Smooth!C312*Controls!C$17*INDEX(Controls!$B$21:$H$21,1,WEEKDAY($A312,2))*(1+Controls!$B$11)^310*(1+Controls!H$25*Smooth!$L312)*(1+Controls!H$26*Smooth!$M312)*(1+Controls!H$27*Smooth!$N312)*(1+Controls!H$28*Smooth!$O312)),2))</f>
        <v/>
      </c>
      <c r="D312" s="10" t="str">
        <f t="array" ref="D312">IF(OR($A312="",3&gt;Controls!$B$6),"",ROUND(MAX(0,Smooth!D312*Controls!D$17*INDEX(Controls!$B$21:$H$21,1,WEEKDAY($A312,2))*(1+Controls!$B$11)^310*(1+Controls!I$25*Smooth!$L312)*(1+Controls!I$26*Smooth!$M312)*(1+Controls!I$27*Smooth!$N312)*(1+Controls!I$28*Smooth!$O312)),2))</f>
        <v/>
      </c>
      <c r="E312" s="10" t="str">
        <f t="array" ref="E312">IF(OR($A312="",4&gt;Controls!$B$6),"",ROUND(MAX(0,Smooth!E312*Controls!E$17*INDEX(Controls!$B$21:$H$21,1,WEEKDAY($A312,2))*(1+Controls!$B$11)^310*(1+Controls!J$25*Smooth!$L312)*(1+Controls!J$26*Smooth!$M312)*(1+Controls!J$27*Smooth!$N312)*(1+Controls!J$28*Smooth!$O312)),2))</f>
        <v/>
      </c>
      <c r="F312" s="10" t="str">
        <f t="array" ref="F312">IF(OR($A312="",5&gt;Controls!$B$6),"",ROUND(MAX(0,Smooth!F312*Controls!F$17*INDEX(Controls!$B$21:$H$21,1,WEEKDAY($A312,2))*(1+Controls!$B$11)^310*(1+Controls!K$25*Smooth!$L312)*(1+Controls!K$26*Smooth!$M312)*(1+Controls!K$27*Smooth!$N312)*(1+Controls!K$28*Smooth!$O312)),2))</f>
        <v/>
      </c>
      <c r="G312" s="10" t="str">
        <f t="array" ref="G312">IF(OR($A312="",6&gt;Controls!$B$6),"",ROUND(MAX(0,Smooth!G312*Controls!G$17*INDEX(Controls!$B$21:$H$21,1,WEEKDAY($A312,2))*(1+Controls!$B$11)^310*(1+Controls!L$25*Smooth!$L312)*(1+Controls!L$26*Smooth!$M312)*(1+Controls!L$27*Smooth!$N312)*(1+Controls!L$28*Smooth!$O312)),2))</f>
        <v/>
      </c>
      <c r="H312" s="10" t="str">
        <f t="array" ref="H312">IF(OR($A312="",7&gt;Controls!$B$6),"",ROUND(MAX(0,Smooth!H312*Controls!H$17*INDEX(Controls!$B$21:$H$21,1,WEEKDAY($A312,2))*(1+Controls!$B$11)^310*(1+Controls!M$25*Smooth!$L312)*(1+Controls!M$26*Smooth!$M312)*(1+Controls!M$27*Smooth!$N312)*(1+Controls!M$28*Smooth!$O312)),2))</f>
        <v/>
      </c>
      <c r="I312" s="10" t="str">
        <f t="array" ref="I312">IF(OR($A312="",8&gt;Controls!$B$6),"",ROUND(MAX(0,Smooth!I312*Controls!I$17*INDEX(Controls!$B$21:$H$21,1,WEEKDAY($A312,2))*(1+Controls!$B$11)^310*(1+Controls!N$25*Smooth!$L312)*(1+Controls!N$26*Smooth!$M312)*(1+Controls!N$27*Smooth!$N312)*(1+Controls!N$28*Smooth!$O312)),2))</f>
        <v/>
      </c>
      <c r="J312" s="10" t="str">
        <f t="array" ref="J312">IF(OR($A312="",9&gt;Controls!$B$6),"",ROUND(MAX(0,Smooth!J312*Controls!J$17*INDEX(Controls!$B$21:$H$21,1,WEEKDAY($A312,2))*(1+Controls!$B$11)^310*(1+Controls!O$25*Smooth!$L312)*(1+Controls!O$26*Smooth!$M312)*(1+Controls!O$27*Smooth!$N312)*(1+Controls!O$28*Smooth!$O312)),2))</f>
        <v/>
      </c>
      <c r="K312" s="10" t="str">
        <f t="array" ref="K312">IF(OR($A312="",10&gt;Controls!$B$6),"",ROUND(MAX(0,Smooth!K312*Controls!K$17*INDEX(Controls!$B$21:$H$21,1,WEEKDAY($A312,2))*(1+Controls!$B$11)^310*(1+Controls!P$25*Smooth!$L312)*(1+Controls!P$26*Smooth!$M312)*(1+Controls!P$27*Smooth!$N312)*(1+Controls!P$28*Smooth!$O312)),2))</f>
        <v/>
      </c>
      <c r="L312" s="18" t="str">
        <f t="shared" si="1"/>
        <v/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21.0" customHeight="1">
      <c r="A313" s="7" t="str">
        <f>IF(312&lt;=Controls!$B$5,Controls!$B$4+311,"")</f>
        <v/>
      </c>
      <c r="B313" s="10" t="str">
        <f t="array" ref="B313">IF(OR($A313="",1&gt;Controls!$B$6),"",ROUND(MAX(0,Smooth!B313*Controls!B$17*INDEX(Controls!$B$21:$H$21,1,WEEKDAY($A313,2))*(1+Controls!$B$11)^311*(1+Controls!G$25*Smooth!$L313)*(1+Controls!G$26*Smooth!$M313)*(1+Controls!G$27*Smooth!$N313)*(1+Controls!G$28*Smooth!$O313)),2))</f>
        <v/>
      </c>
      <c r="C313" s="10" t="str">
        <f t="array" ref="C313">IF(OR($A313="",2&gt;Controls!$B$6),"",ROUND(MAX(0,Smooth!C313*Controls!C$17*INDEX(Controls!$B$21:$H$21,1,WEEKDAY($A313,2))*(1+Controls!$B$11)^311*(1+Controls!H$25*Smooth!$L313)*(1+Controls!H$26*Smooth!$M313)*(1+Controls!H$27*Smooth!$N313)*(1+Controls!H$28*Smooth!$O313)),2))</f>
        <v/>
      </c>
      <c r="D313" s="10" t="str">
        <f t="array" ref="D313">IF(OR($A313="",3&gt;Controls!$B$6),"",ROUND(MAX(0,Smooth!D313*Controls!D$17*INDEX(Controls!$B$21:$H$21,1,WEEKDAY($A313,2))*(1+Controls!$B$11)^311*(1+Controls!I$25*Smooth!$L313)*(1+Controls!I$26*Smooth!$M313)*(1+Controls!I$27*Smooth!$N313)*(1+Controls!I$28*Smooth!$O313)),2))</f>
        <v/>
      </c>
      <c r="E313" s="10" t="str">
        <f t="array" ref="E313">IF(OR($A313="",4&gt;Controls!$B$6),"",ROUND(MAX(0,Smooth!E313*Controls!E$17*INDEX(Controls!$B$21:$H$21,1,WEEKDAY($A313,2))*(1+Controls!$B$11)^311*(1+Controls!J$25*Smooth!$L313)*(1+Controls!J$26*Smooth!$M313)*(1+Controls!J$27*Smooth!$N313)*(1+Controls!J$28*Smooth!$O313)),2))</f>
        <v/>
      </c>
      <c r="F313" s="10" t="str">
        <f t="array" ref="F313">IF(OR($A313="",5&gt;Controls!$B$6),"",ROUND(MAX(0,Smooth!F313*Controls!F$17*INDEX(Controls!$B$21:$H$21,1,WEEKDAY($A313,2))*(1+Controls!$B$11)^311*(1+Controls!K$25*Smooth!$L313)*(1+Controls!K$26*Smooth!$M313)*(1+Controls!K$27*Smooth!$N313)*(1+Controls!K$28*Smooth!$O313)),2))</f>
        <v/>
      </c>
      <c r="G313" s="10" t="str">
        <f t="array" ref="G313">IF(OR($A313="",6&gt;Controls!$B$6),"",ROUND(MAX(0,Smooth!G313*Controls!G$17*INDEX(Controls!$B$21:$H$21,1,WEEKDAY($A313,2))*(1+Controls!$B$11)^311*(1+Controls!L$25*Smooth!$L313)*(1+Controls!L$26*Smooth!$M313)*(1+Controls!L$27*Smooth!$N313)*(1+Controls!L$28*Smooth!$O313)),2))</f>
        <v/>
      </c>
      <c r="H313" s="10" t="str">
        <f t="array" ref="H313">IF(OR($A313="",7&gt;Controls!$B$6),"",ROUND(MAX(0,Smooth!H313*Controls!H$17*INDEX(Controls!$B$21:$H$21,1,WEEKDAY($A313,2))*(1+Controls!$B$11)^311*(1+Controls!M$25*Smooth!$L313)*(1+Controls!M$26*Smooth!$M313)*(1+Controls!M$27*Smooth!$N313)*(1+Controls!M$28*Smooth!$O313)),2))</f>
        <v/>
      </c>
      <c r="I313" s="10" t="str">
        <f t="array" ref="I313">IF(OR($A313="",8&gt;Controls!$B$6),"",ROUND(MAX(0,Smooth!I313*Controls!I$17*INDEX(Controls!$B$21:$H$21,1,WEEKDAY($A313,2))*(1+Controls!$B$11)^311*(1+Controls!N$25*Smooth!$L313)*(1+Controls!N$26*Smooth!$M313)*(1+Controls!N$27*Smooth!$N313)*(1+Controls!N$28*Smooth!$O313)),2))</f>
        <v/>
      </c>
      <c r="J313" s="10" t="str">
        <f t="array" ref="J313">IF(OR($A313="",9&gt;Controls!$B$6),"",ROUND(MAX(0,Smooth!J313*Controls!J$17*INDEX(Controls!$B$21:$H$21,1,WEEKDAY($A313,2))*(1+Controls!$B$11)^311*(1+Controls!O$25*Smooth!$L313)*(1+Controls!O$26*Smooth!$M313)*(1+Controls!O$27*Smooth!$N313)*(1+Controls!O$28*Smooth!$O313)),2))</f>
        <v/>
      </c>
      <c r="K313" s="10" t="str">
        <f t="array" ref="K313">IF(OR($A313="",10&gt;Controls!$B$6),"",ROUND(MAX(0,Smooth!K313*Controls!K$17*INDEX(Controls!$B$21:$H$21,1,WEEKDAY($A313,2))*(1+Controls!$B$11)^311*(1+Controls!P$25*Smooth!$L313)*(1+Controls!P$26*Smooth!$M313)*(1+Controls!P$27*Smooth!$N313)*(1+Controls!P$28*Smooth!$O313)),2))</f>
        <v/>
      </c>
      <c r="L313" s="18" t="str">
        <f t="shared" si="1"/>
        <v/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21.0" customHeight="1">
      <c r="A314" s="7" t="str">
        <f>IF(313&lt;=Controls!$B$5,Controls!$B$4+312,"")</f>
        <v/>
      </c>
      <c r="B314" s="10" t="str">
        <f t="array" ref="B314">IF(OR($A314="",1&gt;Controls!$B$6),"",ROUND(MAX(0,Smooth!B314*Controls!B$17*INDEX(Controls!$B$21:$H$21,1,WEEKDAY($A314,2))*(1+Controls!$B$11)^312*(1+Controls!G$25*Smooth!$L314)*(1+Controls!G$26*Smooth!$M314)*(1+Controls!G$27*Smooth!$N314)*(1+Controls!G$28*Smooth!$O314)),2))</f>
        <v/>
      </c>
      <c r="C314" s="10" t="str">
        <f t="array" ref="C314">IF(OR($A314="",2&gt;Controls!$B$6),"",ROUND(MAX(0,Smooth!C314*Controls!C$17*INDEX(Controls!$B$21:$H$21,1,WEEKDAY($A314,2))*(1+Controls!$B$11)^312*(1+Controls!H$25*Smooth!$L314)*(1+Controls!H$26*Smooth!$M314)*(1+Controls!H$27*Smooth!$N314)*(1+Controls!H$28*Smooth!$O314)),2))</f>
        <v/>
      </c>
      <c r="D314" s="10" t="str">
        <f t="array" ref="D314">IF(OR($A314="",3&gt;Controls!$B$6),"",ROUND(MAX(0,Smooth!D314*Controls!D$17*INDEX(Controls!$B$21:$H$21,1,WEEKDAY($A314,2))*(1+Controls!$B$11)^312*(1+Controls!I$25*Smooth!$L314)*(1+Controls!I$26*Smooth!$M314)*(1+Controls!I$27*Smooth!$N314)*(1+Controls!I$28*Smooth!$O314)),2))</f>
        <v/>
      </c>
      <c r="E314" s="10" t="str">
        <f t="array" ref="E314">IF(OR($A314="",4&gt;Controls!$B$6),"",ROUND(MAX(0,Smooth!E314*Controls!E$17*INDEX(Controls!$B$21:$H$21,1,WEEKDAY($A314,2))*(1+Controls!$B$11)^312*(1+Controls!J$25*Smooth!$L314)*(1+Controls!J$26*Smooth!$M314)*(1+Controls!J$27*Smooth!$N314)*(1+Controls!J$28*Smooth!$O314)),2))</f>
        <v/>
      </c>
      <c r="F314" s="10" t="str">
        <f t="array" ref="F314">IF(OR($A314="",5&gt;Controls!$B$6),"",ROUND(MAX(0,Smooth!F314*Controls!F$17*INDEX(Controls!$B$21:$H$21,1,WEEKDAY($A314,2))*(1+Controls!$B$11)^312*(1+Controls!K$25*Smooth!$L314)*(1+Controls!K$26*Smooth!$M314)*(1+Controls!K$27*Smooth!$N314)*(1+Controls!K$28*Smooth!$O314)),2))</f>
        <v/>
      </c>
      <c r="G314" s="10" t="str">
        <f t="array" ref="G314">IF(OR($A314="",6&gt;Controls!$B$6),"",ROUND(MAX(0,Smooth!G314*Controls!G$17*INDEX(Controls!$B$21:$H$21,1,WEEKDAY($A314,2))*(1+Controls!$B$11)^312*(1+Controls!L$25*Smooth!$L314)*(1+Controls!L$26*Smooth!$M314)*(1+Controls!L$27*Smooth!$N314)*(1+Controls!L$28*Smooth!$O314)),2))</f>
        <v/>
      </c>
      <c r="H314" s="10" t="str">
        <f t="array" ref="H314">IF(OR($A314="",7&gt;Controls!$B$6),"",ROUND(MAX(0,Smooth!H314*Controls!H$17*INDEX(Controls!$B$21:$H$21,1,WEEKDAY($A314,2))*(1+Controls!$B$11)^312*(1+Controls!M$25*Smooth!$L314)*(1+Controls!M$26*Smooth!$M314)*(1+Controls!M$27*Smooth!$N314)*(1+Controls!M$28*Smooth!$O314)),2))</f>
        <v/>
      </c>
      <c r="I314" s="10" t="str">
        <f t="array" ref="I314">IF(OR($A314="",8&gt;Controls!$B$6),"",ROUND(MAX(0,Smooth!I314*Controls!I$17*INDEX(Controls!$B$21:$H$21,1,WEEKDAY($A314,2))*(1+Controls!$B$11)^312*(1+Controls!N$25*Smooth!$L314)*(1+Controls!N$26*Smooth!$M314)*(1+Controls!N$27*Smooth!$N314)*(1+Controls!N$28*Smooth!$O314)),2))</f>
        <v/>
      </c>
      <c r="J314" s="10" t="str">
        <f t="array" ref="J314">IF(OR($A314="",9&gt;Controls!$B$6),"",ROUND(MAX(0,Smooth!J314*Controls!J$17*INDEX(Controls!$B$21:$H$21,1,WEEKDAY($A314,2))*(1+Controls!$B$11)^312*(1+Controls!O$25*Smooth!$L314)*(1+Controls!O$26*Smooth!$M314)*(1+Controls!O$27*Smooth!$N314)*(1+Controls!O$28*Smooth!$O314)),2))</f>
        <v/>
      </c>
      <c r="K314" s="10" t="str">
        <f t="array" ref="K314">IF(OR($A314="",10&gt;Controls!$B$6),"",ROUND(MAX(0,Smooth!K314*Controls!K$17*INDEX(Controls!$B$21:$H$21,1,WEEKDAY($A314,2))*(1+Controls!$B$11)^312*(1+Controls!P$25*Smooth!$L314)*(1+Controls!P$26*Smooth!$M314)*(1+Controls!P$27*Smooth!$N314)*(1+Controls!P$28*Smooth!$O314)),2))</f>
        <v/>
      </c>
      <c r="L314" s="18" t="str">
        <f t="shared" si="1"/>
        <v/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21.0" customHeight="1">
      <c r="A315" s="7" t="str">
        <f>IF(314&lt;=Controls!$B$5,Controls!$B$4+313,"")</f>
        <v/>
      </c>
      <c r="B315" s="10" t="str">
        <f t="array" ref="B315">IF(OR($A315="",1&gt;Controls!$B$6),"",ROUND(MAX(0,Smooth!B315*Controls!B$17*INDEX(Controls!$B$21:$H$21,1,WEEKDAY($A315,2))*(1+Controls!$B$11)^313*(1+Controls!G$25*Smooth!$L315)*(1+Controls!G$26*Smooth!$M315)*(1+Controls!G$27*Smooth!$N315)*(1+Controls!G$28*Smooth!$O315)),2))</f>
        <v/>
      </c>
      <c r="C315" s="10" t="str">
        <f t="array" ref="C315">IF(OR($A315="",2&gt;Controls!$B$6),"",ROUND(MAX(0,Smooth!C315*Controls!C$17*INDEX(Controls!$B$21:$H$21,1,WEEKDAY($A315,2))*(1+Controls!$B$11)^313*(1+Controls!H$25*Smooth!$L315)*(1+Controls!H$26*Smooth!$M315)*(1+Controls!H$27*Smooth!$N315)*(1+Controls!H$28*Smooth!$O315)),2))</f>
        <v/>
      </c>
      <c r="D315" s="10" t="str">
        <f t="array" ref="D315">IF(OR($A315="",3&gt;Controls!$B$6),"",ROUND(MAX(0,Smooth!D315*Controls!D$17*INDEX(Controls!$B$21:$H$21,1,WEEKDAY($A315,2))*(1+Controls!$B$11)^313*(1+Controls!I$25*Smooth!$L315)*(1+Controls!I$26*Smooth!$M315)*(1+Controls!I$27*Smooth!$N315)*(1+Controls!I$28*Smooth!$O315)),2))</f>
        <v/>
      </c>
      <c r="E315" s="10" t="str">
        <f t="array" ref="E315">IF(OR($A315="",4&gt;Controls!$B$6),"",ROUND(MAX(0,Smooth!E315*Controls!E$17*INDEX(Controls!$B$21:$H$21,1,WEEKDAY($A315,2))*(1+Controls!$B$11)^313*(1+Controls!J$25*Smooth!$L315)*(1+Controls!J$26*Smooth!$M315)*(1+Controls!J$27*Smooth!$N315)*(1+Controls!J$28*Smooth!$O315)),2))</f>
        <v/>
      </c>
      <c r="F315" s="10" t="str">
        <f t="array" ref="F315">IF(OR($A315="",5&gt;Controls!$B$6),"",ROUND(MAX(0,Smooth!F315*Controls!F$17*INDEX(Controls!$B$21:$H$21,1,WEEKDAY($A315,2))*(1+Controls!$B$11)^313*(1+Controls!K$25*Smooth!$L315)*(1+Controls!K$26*Smooth!$M315)*(1+Controls!K$27*Smooth!$N315)*(1+Controls!K$28*Smooth!$O315)),2))</f>
        <v/>
      </c>
      <c r="G315" s="10" t="str">
        <f t="array" ref="G315">IF(OR($A315="",6&gt;Controls!$B$6),"",ROUND(MAX(0,Smooth!G315*Controls!G$17*INDEX(Controls!$B$21:$H$21,1,WEEKDAY($A315,2))*(1+Controls!$B$11)^313*(1+Controls!L$25*Smooth!$L315)*(1+Controls!L$26*Smooth!$M315)*(1+Controls!L$27*Smooth!$N315)*(1+Controls!L$28*Smooth!$O315)),2))</f>
        <v/>
      </c>
      <c r="H315" s="10" t="str">
        <f t="array" ref="H315">IF(OR($A315="",7&gt;Controls!$B$6),"",ROUND(MAX(0,Smooth!H315*Controls!H$17*INDEX(Controls!$B$21:$H$21,1,WEEKDAY($A315,2))*(1+Controls!$B$11)^313*(1+Controls!M$25*Smooth!$L315)*(1+Controls!M$26*Smooth!$M315)*(1+Controls!M$27*Smooth!$N315)*(1+Controls!M$28*Smooth!$O315)),2))</f>
        <v/>
      </c>
      <c r="I315" s="10" t="str">
        <f t="array" ref="I315">IF(OR($A315="",8&gt;Controls!$B$6),"",ROUND(MAX(0,Smooth!I315*Controls!I$17*INDEX(Controls!$B$21:$H$21,1,WEEKDAY($A315,2))*(1+Controls!$B$11)^313*(1+Controls!N$25*Smooth!$L315)*(1+Controls!N$26*Smooth!$M315)*(1+Controls!N$27*Smooth!$N315)*(1+Controls!N$28*Smooth!$O315)),2))</f>
        <v/>
      </c>
      <c r="J315" s="10" t="str">
        <f t="array" ref="J315">IF(OR($A315="",9&gt;Controls!$B$6),"",ROUND(MAX(0,Smooth!J315*Controls!J$17*INDEX(Controls!$B$21:$H$21,1,WEEKDAY($A315,2))*(1+Controls!$B$11)^313*(1+Controls!O$25*Smooth!$L315)*(1+Controls!O$26*Smooth!$M315)*(1+Controls!O$27*Smooth!$N315)*(1+Controls!O$28*Smooth!$O315)),2))</f>
        <v/>
      </c>
      <c r="K315" s="10" t="str">
        <f t="array" ref="K315">IF(OR($A315="",10&gt;Controls!$B$6),"",ROUND(MAX(0,Smooth!K315*Controls!K$17*INDEX(Controls!$B$21:$H$21,1,WEEKDAY($A315,2))*(1+Controls!$B$11)^313*(1+Controls!P$25*Smooth!$L315)*(1+Controls!P$26*Smooth!$M315)*(1+Controls!P$27*Smooth!$N315)*(1+Controls!P$28*Smooth!$O315)),2))</f>
        <v/>
      </c>
      <c r="L315" s="18" t="str">
        <f t="shared" si="1"/>
        <v/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21.0" customHeight="1">
      <c r="A316" s="7" t="str">
        <f>IF(315&lt;=Controls!$B$5,Controls!$B$4+314,"")</f>
        <v/>
      </c>
      <c r="B316" s="10" t="str">
        <f t="array" ref="B316">IF(OR($A316="",1&gt;Controls!$B$6),"",ROUND(MAX(0,Smooth!B316*Controls!B$17*INDEX(Controls!$B$21:$H$21,1,WEEKDAY($A316,2))*(1+Controls!$B$11)^314*(1+Controls!G$25*Smooth!$L316)*(1+Controls!G$26*Smooth!$M316)*(1+Controls!G$27*Smooth!$N316)*(1+Controls!G$28*Smooth!$O316)),2))</f>
        <v/>
      </c>
      <c r="C316" s="10" t="str">
        <f t="array" ref="C316">IF(OR($A316="",2&gt;Controls!$B$6),"",ROUND(MAX(0,Smooth!C316*Controls!C$17*INDEX(Controls!$B$21:$H$21,1,WEEKDAY($A316,2))*(1+Controls!$B$11)^314*(1+Controls!H$25*Smooth!$L316)*(1+Controls!H$26*Smooth!$M316)*(1+Controls!H$27*Smooth!$N316)*(1+Controls!H$28*Smooth!$O316)),2))</f>
        <v/>
      </c>
      <c r="D316" s="10" t="str">
        <f t="array" ref="D316">IF(OR($A316="",3&gt;Controls!$B$6),"",ROUND(MAX(0,Smooth!D316*Controls!D$17*INDEX(Controls!$B$21:$H$21,1,WEEKDAY($A316,2))*(1+Controls!$B$11)^314*(1+Controls!I$25*Smooth!$L316)*(1+Controls!I$26*Smooth!$M316)*(1+Controls!I$27*Smooth!$N316)*(1+Controls!I$28*Smooth!$O316)),2))</f>
        <v/>
      </c>
      <c r="E316" s="10" t="str">
        <f t="array" ref="E316">IF(OR($A316="",4&gt;Controls!$B$6),"",ROUND(MAX(0,Smooth!E316*Controls!E$17*INDEX(Controls!$B$21:$H$21,1,WEEKDAY($A316,2))*(1+Controls!$B$11)^314*(1+Controls!J$25*Smooth!$L316)*(1+Controls!J$26*Smooth!$M316)*(1+Controls!J$27*Smooth!$N316)*(1+Controls!J$28*Smooth!$O316)),2))</f>
        <v/>
      </c>
      <c r="F316" s="10" t="str">
        <f t="array" ref="F316">IF(OR($A316="",5&gt;Controls!$B$6),"",ROUND(MAX(0,Smooth!F316*Controls!F$17*INDEX(Controls!$B$21:$H$21,1,WEEKDAY($A316,2))*(1+Controls!$B$11)^314*(1+Controls!K$25*Smooth!$L316)*(1+Controls!K$26*Smooth!$M316)*(1+Controls!K$27*Smooth!$N316)*(1+Controls!K$28*Smooth!$O316)),2))</f>
        <v/>
      </c>
      <c r="G316" s="10" t="str">
        <f t="array" ref="G316">IF(OR($A316="",6&gt;Controls!$B$6),"",ROUND(MAX(0,Smooth!G316*Controls!G$17*INDEX(Controls!$B$21:$H$21,1,WEEKDAY($A316,2))*(1+Controls!$B$11)^314*(1+Controls!L$25*Smooth!$L316)*(1+Controls!L$26*Smooth!$M316)*(1+Controls!L$27*Smooth!$N316)*(1+Controls!L$28*Smooth!$O316)),2))</f>
        <v/>
      </c>
      <c r="H316" s="10" t="str">
        <f t="array" ref="H316">IF(OR($A316="",7&gt;Controls!$B$6),"",ROUND(MAX(0,Smooth!H316*Controls!H$17*INDEX(Controls!$B$21:$H$21,1,WEEKDAY($A316,2))*(1+Controls!$B$11)^314*(1+Controls!M$25*Smooth!$L316)*(1+Controls!M$26*Smooth!$M316)*(1+Controls!M$27*Smooth!$N316)*(1+Controls!M$28*Smooth!$O316)),2))</f>
        <v/>
      </c>
      <c r="I316" s="10" t="str">
        <f t="array" ref="I316">IF(OR($A316="",8&gt;Controls!$B$6),"",ROUND(MAX(0,Smooth!I316*Controls!I$17*INDEX(Controls!$B$21:$H$21,1,WEEKDAY($A316,2))*(1+Controls!$B$11)^314*(1+Controls!N$25*Smooth!$L316)*(1+Controls!N$26*Smooth!$M316)*(1+Controls!N$27*Smooth!$N316)*(1+Controls!N$28*Smooth!$O316)),2))</f>
        <v/>
      </c>
      <c r="J316" s="10" t="str">
        <f t="array" ref="J316">IF(OR($A316="",9&gt;Controls!$B$6),"",ROUND(MAX(0,Smooth!J316*Controls!J$17*INDEX(Controls!$B$21:$H$21,1,WEEKDAY($A316,2))*(1+Controls!$B$11)^314*(1+Controls!O$25*Smooth!$L316)*(1+Controls!O$26*Smooth!$M316)*(1+Controls!O$27*Smooth!$N316)*(1+Controls!O$28*Smooth!$O316)),2))</f>
        <v/>
      </c>
      <c r="K316" s="10" t="str">
        <f t="array" ref="K316">IF(OR($A316="",10&gt;Controls!$B$6),"",ROUND(MAX(0,Smooth!K316*Controls!K$17*INDEX(Controls!$B$21:$H$21,1,WEEKDAY($A316,2))*(1+Controls!$B$11)^314*(1+Controls!P$25*Smooth!$L316)*(1+Controls!P$26*Smooth!$M316)*(1+Controls!P$27*Smooth!$N316)*(1+Controls!P$28*Smooth!$O316)),2))</f>
        <v/>
      </c>
      <c r="L316" s="18" t="str">
        <f t="shared" si="1"/>
        <v/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21.0" customHeight="1">
      <c r="A317" s="7" t="str">
        <f>IF(316&lt;=Controls!$B$5,Controls!$B$4+315,"")</f>
        <v/>
      </c>
      <c r="B317" s="10" t="str">
        <f t="array" ref="B317">IF(OR($A317="",1&gt;Controls!$B$6),"",ROUND(MAX(0,Smooth!B317*Controls!B$17*INDEX(Controls!$B$21:$H$21,1,WEEKDAY($A317,2))*(1+Controls!$B$11)^315*(1+Controls!G$25*Smooth!$L317)*(1+Controls!G$26*Smooth!$M317)*(1+Controls!G$27*Smooth!$N317)*(1+Controls!G$28*Smooth!$O317)),2))</f>
        <v/>
      </c>
      <c r="C317" s="10" t="str">
        <f t="array" ref="C317">IF(OR($A317="",2&gt;Controls!$B$6),"",ROUND(MAX(0,Smooth!C317*Controls!C$17*INDEX(Controls!$B$21:$H$21,1,WEEKDAY($A317,2))*(1+Controls!$B$11)^315*(1+Controls!H$25*Smooth!$L317)*(1+Controls!H$26*Smooth!$M317)*(1+Controls!H$27*Smooth!$N317)*(1+Controls!H$28*Smooth!$O317)),2))</f>
        <v/>
      </c>
      <c r="D317" s="10" t="str">
        <f t="array" ref="D317">IF(OR($A317="",3&gt;Controls!$B$6),"",ROUND(MAX(0,Smooth!D317*Controls!D$17*INDEX(Controls!$B$21:$H$21,1,WEEKDAY($A317,2))*(1+Controls!$B$11)^315*(1+Controls!I$25*Smooth!$L317)*(1+Controls!I$26*Smooth!$M317)*(1+Controls!I$27*Smooth!$N317)*(1+Controls!I$28*Smooth!$O317)),2))</f>
        <v/>
      </c>
      <c r="E317" s="10" t="str">
        <f t="array" ref="E317">IF(OR($A317="",4&gt;Controls!$B$6),"",ROUND(MAX(0,Smooth!E317*Controls!E$17*INDEX(Controls!$B$21:$H$21,1,WEEKDAY($A317,2))*(1+Controls!$B$11)^315*(1+Controls!J$25*Smooth!$L317)*(1+Controls!J$26*Smooth!$M317)*(1+Controls!J$27*Smooth!$N317)*(1+Controls!J$28*Smooth!$O317)),2))</f>
        <v/>
      </c>
      <c r="F317" s="10" t="str">
        <f t="array" ref="F317">IF(OR($A317="",5&gt;Controls!$B$6),"",ROUND(MAX(0,Smooth!F317*Controls!F$17*INDEX(Controls!$B$21:$H$21,1,WEEKDAY($A317,2))*(1+Controls!$B$11)^315*(1+Controls!K$25*Smooth!$L317)*(1+Controls!K$26*Smooth!$M317)*(1+Controls!K$27*Smooth!$N317)*(1+Controls!K$28*Smooth!$O317)),2))</f>
        <v/>
      </c>
      <c r="G317" s="10" t="str">
        <f t="array" ref="G317">IF(OR($A317="",6&gt;Controls!$B$6),"",ROUND(MAX(0,Smooth!G317*Controls!G$17*INDEX(Controls!$B$21:$H$21,1,WEEKDAY($A317,2))*(1+Controls!$B$11)^315*(1+Controls!L$25*Smooth!$L317)*(1+Controls!L$26*Smooth!$M317)*(1+Controls!L$27*Smooth!$N317)*(1+Controls!L$28*Smooth!$O317)),2))</f>
        <v/>
      </c>
      <c r="H317" s="10" t="str">
        <f t="array" ref="H317">IF(OR($A317="",7&gt;Controls!$B$6),"",ROUND(MAX(0,Smooth!H317*Controls!H$17*INDEX(Controls!$B$21:$H$21,1,WEEKDAY($A317,2))*(1+Controls!$B$11)^315*(1+Controls!M$25*Smooth!$L317)*(1+Controls!M$26*Smooth!$M317)*(1+Controls!M$27*Smooth!$N317)*(1+Controls!M$28*Smooth!$O317)),2))</f>
        <v/>
      </c>
      <c r="I317" s="10" t="str">
        <f t="array" ref="I317">IF(OR($A317="",8&gt;Controls!$B$6),"",ROUND(MAX(0,Smooth!I317*Controls!I$17*INDEX(Controls!$B$21:$H$21,1,WEEKDAY($A317,2))*(1+Controls!$B$11)^315*(1+Controls!N$25*Smooth!$L317)*(1+Controls!N$26*Smooth!$M317)*(1+Controls!N$27*Smooth!$N317)*(1+Controls!N$28*Smooth!$O317)),2))</f>
        <v/>
      </c>
      <c r="J317" s="10" t="str">
        <f t="array" ref="J317">IF(OR($A317="",9&gt;Controls!$B$6),"",ROUND(MAX(0,Smooth!J317*Controls!J$17*INDEX(Controls!$B$21:$H$21,1,WEEKDAY($A317,2))*(1+Controls!$B$11)^315*(1+Controls!O$25*Smooth!$L317)*(1+Controls!O$26*Smooth!$M317)*(1+Controls!O$27*Smooth!$N317)*(1+Controls!O$28*Smooth!$O317)),2))</f>
        <v/>
      </c>
      <c r="K317" s="10" t="str">
        <f t="array" ref="K317">IF(OR($A317="",10&gt;Controls!$B$6),"",ROUND(MAX(0,Smooth!K317*Controls!K$17*INDEX(Controls!$B$21:$H$21,1,WEEKDAY($A317,2))*(1+Controls!$B$11)^315*(1+Controls!P$25*Smooth!$L317)*(1+Controls!P$26*Smooth!$M317)*(1+Controls!P$27*Smooth!$N317)*(1+Controls!P$28*Smooth!$O317)),2))</f>
        <v/>
      </c>
      <c r="L317" s="18" t="str">
        <f t="shared" si="1"/>
        <v/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21.0" customHeight="1">
      <c r="A318" s="7" t="str">
        <f>IF(317&lt;=Controls!$B$5,Controls!$B$4+316,"")</f>
        <v/>
      </c>
      <c r="B318" s="10" t="str">
        <f t="array" ref="B318">IF(OR($A318="",1&gt;Controls!$B$6),"",ROUND(MAX(0,Smooth!B318*Controls!B$17*INDEX(Controls!$B$21:$H$21,1,WEEKDAY($A318,2))*(1+Controls!$B$11)^316*(1+Controls!G$25*Smooth!$L318)*(1+Controls!G$26*Smooth!$M318)*(1+Controls!G$27*Smooth!$N318)*(1+Controls!G$28*Smooth!$O318)),2))</f>
        <v/>
      </c>
      <c r="C318" s="10" t="str">
        <f t="array" ref="C318">IF(OR($A318="",2&gt;Controls!$B$6),"",ROUND(MAX(0,Smooth!C318*Controls!C$17*INDEX(Controls!$B$21:$H$21,1,WEEKDAY($A318,2))*(1+Controls!$B$11)^316*(1+Controls!H$25*Smooth!$L318)*(1+Controls!H$26*Smooth!$M318)*(1+Controls!H$27*Smooth!$N318)*(1+Controls!H$28*Smooth!$O318)),2))</f>
        <v/>
      </c>
      <c r="D318" s="10" t="str">
        <f t="array" ref="D318">IF(OR($A318="",3&gt;Controls!$B$6),"",ROUND(MAX(0,Smooth!D318*Controls!D$17*INDEX(Controls!$B$21:$H$21,1,WEEKDAY($A318,2))*(1+Controls!$B$11)^316*(1+Controls!I$25*Smooth!$L318)*(1+Controls!I$26*Smooth!$M318)*(1+Controls!I$27*Smooth!$N318)*(1+Controls!I$28*Smooth!$O318)),2))</f>
        <v/>
      </c>
      <c r="E318" s="10" t="str">
        <f t="array" ref="E318">IF(OR($A318="",4&gt;Controls!$B$6),"",ROUND(MAX(0,Smooth!E318*Controls!E$17*INDEX(Controls!$B$21:$H$21,1,WEEKDAY($A318,2))*(1+Controls!$B$11)^316*(1+Controls!J$25*Smooth!$L318)*(1+Controls!J$26*Smooth!$M318)*(1+Controls!J$27*Smooth!$N318)*(1+Controls!J$28*Smooth!$O318)),2))</f>
        <v/>
      </c>
      <c r="F318" s="10" t="str">
        <f t="array" ref="F318">IF(OR($A318="",5&gt;Controls!$B$6),"",ROUND(MAX(0,Smooth!F318*Controls!F$17*INDEX(Controls!$B$21:$H$21,1,WEEKDAY($A318,2))*(1+Controls!$B$11)^316*(1+Controls!K$25*Smooth!$L318)*(1+Controls!K$26*Smooth!$M318)*(1+Controls!K$27*Smooth!$N318)*(1+Controls!K$28*Smooth!$O318)),2))</f>
        <v/>
      </c>
      <c r="G318" s="10" t="str">
        <f t="array" ref="G318">IF(OR($A318="",6&gt;Controls!$B$6),"",ROUND(MAX(0,Smooth!G318*Controls!G$17*INDEX(Controls!$B$21:$H$21,1,WEEKDAY($A318,2))*(1+Controls!$B$11)^316*(1+Controls!L$25*Smooth!$L318)*(1+Controls!L$26*Smooth!$M318)*(1+Controls!L$27*Smooth!$N318)*(1+Controls!L$28*Smooth!$O318)),2))</f>
        <v/>
      </c>
      <c r="H318" s="10" t="str">
        <f t="array" ref="H318">IF(OR($A318="",7&gt;Controls!$B$6),"",ROUND(MAX(0,Smooth!H318*Controls!H$17*INDEX(Controls!$B$21:$H$21,1,WEEKDAY($A318,2))*(1+Controls!$B$11)^316*(1+Controls!M$25*Smooth!$L318)*(1+Controls!M$26*Smooth!$M318)*(1+Controls!M$27*Smooth!$N318)*(1+Controls!M$28*Smooth!$O318)),2))</f>
        <v/>
      </c>
      <c r="I318" s="10" t="str">
        <f t="array" ref="I318">IF(OR($A318="",8&gt;Controls!$B$6),"",ROUND(MAX(0,Smooth!I318*Controls!I$17*INDEX(Controls!$B$21:$H$21,1,WEEKDAY($A318,2))*(1+Controls!$B$11)^316*(1+Controls!N$25*Smooth!$L318)*(1+Controls!N$26*Smooth!$M318)*(1+Controls!N$27*Smooth!$N318)*(1+Controls!N$28*Smooth!$O318)),2))</f>
        <v/>
      </c>
      <c r="J318" s="10" t="str">
        <f t="array" ref="J318">IF(OR($A318="",9&gt;Controls!$B$6),"",ROUND(MAX(0,Smooth!J318*Controls!J$17*INDEX(Controls!$B$21:$H$21,1,WEEKDAY($A318,2))*(1+Controls!$B$11)^316*(1+Controls!O$25*Smooth!$L318)*(1+Controls!O$26*Smooth!$M318)*(1+Controls!O$27*Smooth!$N318)*(1+Controls!O$28*Smooth!$O318)),2))</f>
        <v/>
      </c>
      <c r="K318" s="10" t="str">
        <f t="array" ref="K318">IF(OR($A318="",10&gt;Controls!$B$6),"",ROUND(MAX(0,Smooth!K318*Controls!K$17*INDEX(Controls!$B$21:$H$21,1,WEEKDAY($A318,2))*(1+Controls!$B$11)^316*(1+Controls!P$25*Smooth!$L318)*(1+Controls!P$26*Smooth!$M318)*(1+Controls!P$27*Smooth!$N318)*(1+Controls!P$28*Smooth!$O318)),2))</f>
        <v/>
      </c>
      <c r="L318" s="18" t="str">
        <f t="shared" si="1"/>
        <v/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21.0" customHeight="1">
      <c r="A319" s="7" t="str">
        <f>IF(318&lt;=Controls!$B$5,Controls!$B$4+317,"")</f>
        <v/>
      </c>
      <c r="B319" s="10" t="str">
        <f t="array" ref="B319">IF(OR($A319="",1&gt;Controls!$B$6),"",ROUND(MAX(0,Smooth!B319*Controls!B$17*INDEX(Controls!$B$21:$H$21,1,WEEKDAY($A319,2))*(1+Controls!$B$11)^317*(1+Controls!G$25*Smooth!$L319)*(1+Controls!G$26*Smooth!$M319)*(1+Controls!G$27*Smooth!$N319)*(1+Controls!G$28*Smooth!$O319)),2))</f>
        <v/>
      </c>
      <c r="C319" s="10" t="str">
        <f t="array" ref="C319">IF(OR($A319="",2&gt;Controls!$B$6),"",ROUND(MAX(0,Smooth!C319*Controls!C$17*INDEX(Controls!$B$21:$H$21,1,WEEKDAY($A319,2))*(1+Controls!$B$11)^317*(1+Controls!H$25*Smooth!$L319)*(1+Controls!H$26*Smooth!$M319)*(1+Controls!H$27*Smooth!$N319)*(1+Controls!H$28*Smooth!$O319)),2))</f>
        <v/>
      </c>
      <c r="D319" s="10" t="str">
        <f t="array" ref="D319">IF(OR($A319="",3&gt;Controls!$B$6),"",ROUND(MAX(0,Smooth!D319*Controls!D$17*INDEX(Controls!$B$21:$H$21,1,WEEKDAY($A319,2))*(1+Controls!$B$11)^317*(1+Controls!I$25*Smooth!$L319)*(1+Controls!I$26*Smooth!$M319)*(1+Controls!I$27*Smooth!$N319)*(1+Controls!I$28*Smooth!$O319)),2))</f>
        <v/>
      </c>
      <c r="E319" s="10" t="str">
        <f t="array" ref="E319">IF(OR($A319="",4&gt;Controls!$B$6),"",ROUND(MAX(0,Smooth!E319*Controls!E$17*INDEX(Controls!$B$21:$H$21,1,WEEKDAY($A319,2))*(1+Controls!$B$11)^317*(1+Controls!J$25*Smooth!$L319)*(1+Controls!J$26*Smooth!$M319)*(1+Controls!J$27*Smooth!$N319)*(1+Controls!J$28*Smooth!$O319)),2))</f>
        <v/>
      </c>
      <c r="F319" s="10" t="str">
        <f t="array" ref="F319">IF(OR($A319="",5&gt;Controls!$B$6),"",ROUND(MAX(0,Smooth!F319*Controls!F$17*INDEX(Controls!$B$21:$H$21,1,WEEKDAY($A319,2))*(1+Controls!$B$11)^317*(1+Controls!K$25*Smooth!$L319)*(1+Controls!K$26*Smooth!$M319)*(1+Controls!K$27*Smooth!$N319)*(1+Controls!K$28*Smooth!$O319)),2))</f>
        <v/>
      </c>
      <c r="G319" s="10" t="str">
        <f t="array" ref="G319">IF(OR($A319="",6&gt;Controls!$B$6),"",ROUND(MAX(0,Smooth!G319*Controls!G$17*INDEX(Controls!$B$21:$H$21,1,WEEKDAY($A319,2))*(1+Controls!$B$11)^317*(1+Controls!L$25*Smooth!$L319)*(1+Controls!L$26*Smooth!$M319)*(1+Controls!L$27*Smooth!$N319)*(1+Controls!L$28*Smooth!$O319)),2))</f>
        <v/>
      </c>
      <c r="H319" s="10" t="str">
        <f t="array" ref="H319">IF(OR($A319="",7&gt;Controls!$B$6),"",ROUND(MAX(0,Smooth!H319*Controls!H$17*INDEX(Controls!$B$21:$H$21,1,WEEKDAY($A319,2))*(1+Controls!$B$11)^317*(1+Controls!M$25*Smooth!$L319)*(1+Controls!M$26*Smooth!$M319)*(1+Controls!M$27*Smooth!$N319)*(1+Controls!M$28*Smooth!$O319)),2))</f>
        <v/>
      </c>
      <c r="I319" s="10" t="str">
        <f t="array" ref="I319">IF(OR($A319="",8&gt;Controls!$B$6),"",ROUND(MAX(0,Smooth!I319*Controls!I$17*INDEX(Controls!$B$21:$H$21,1,WEEKDAY($A319,2))*(1+Controls!$B$11)^317*(1+Controls!N$25*Smooth!$L319)*(1+Controls!N$26*Smooth!$M319)*(1+Controls!N$27*Smooth!$N319)*(1+Controls!N$28*Smooth!$O319)),2))</f>
        <v/>
      </c>
      <c r="J319" s="10" t="str">
        <f t="array" ref="J319">IF(OR($A319="",9&gt;Controls!$B$6),"",ROUND(MAX(0,Smooth!J319*Controls!J$17*INDEX(Controls!$B$21:$H$21,1,WEEKDAY($A319,2))*(1+Controls!$B$11)^317*(1+Controls!O$25*Smooth!$L319)*(1+Controls!O$26*Smooth!$M319)*(1+Controls!O$27*Smooth!$N319)*(1+Controls!O$28*Smooth!$O319)),2))</f>
        <v/>
      </c>
      <c r="K319" s="10" t="str">
        <f t="array" ref="K319">IF(OR($A319="",10&gt;Controls!$B$6),"",ROUND(MAX(0,Smooth!K319*Controls!K$17*INDEX(Controls!$B$21:$H$21,1,WEEKDAY($A319,2))*(1+Controls!$B$11)^317*(1+Controls!P$25*Smooth!$L319)*(1+Controls!P$26*Smooth!$M319)*(1+Controls!P$27*Smooth!$N319)*(1+Controls!P$28*Smooth!$O319)),2))</f>
        <v/>
      </c>
      <c r="L319" s="18" t="str">
        <f t="shared" si="1"/>
        <v/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21.0" customHeight="1">
      <c r="A320" s="7" t="str">
        <f>IF(319&lt;=Controls!$B$5,Controls!$B$4+318,"")</f>
        <v/>
      </c>
      <c r="B320" s="10" t="str">
        <f t="array" ref="B320">IF(OR($A320="",1&gt;Controls!$B$6),"",ROUND(MAX(0,Smooth!B320*Controls!B$17*INDEX(Controls!$B$21:$H$21,1,WEEKDAY($A320,2))*(1+Controls!$B$11)^318*(1+Controls!G$25*Smooth!$L320)*(1+Controls!G$26*Smooth!$M320)*(1+Controls!G$27*Smooth!$N320)*(1+Controls!G$28*Smooth!$O320)),2))</f>
        <v/>
      </c>
      <c r="C320" s="10" t="str">
        <f t="array" ref="C320">IF(OR($A320="",2&gt;Controls!$B$6),"",ROUND(MAX(0,Smooth!C320*Controls!C$17*INDEX(Controls!$B$21:$H$21,1,WEEKDAY($A320,2))*(1+Controls!$B$11)^318*(1+Controls!H$25*Smooth!$L320)*(1+Controls!H$26*Smooth!$M320)*(1+Controls!H$27*Smooth!$N320)*(1+Controls!H$28*Smooth!$O320)),2))</f>
        <v/>
      </c>
      <c r="D320" s="10" t="str">
        <f t="array" ref="D320">IF(OR($A320="",3&gt;Controls!$B$6),"",ROUND(MAX(0,Smooth!D320*Controls!D$17*INDEX(Controls!$B$21:$H$21,1,WEEKDAY($A320,2))*(1+Controls!$B$11)^318*(1+Controls!I$25*Smooth!$L320)*(1+Controls!I$26*Smooth!$M320)*(1+Controls!I$27*Smooth!$N320)*(1+Controls!I$28*Smooth!$O320)),2))</f>
        <v/>
      </c>
      <c r="E320" s="10" t="str">
        <f t="array" ref="E320">IF(OR($A320="",4&gt;Controls!$B$6),"",ROUND(MAX(0,Smooth!E320*Controls!E$17*INDEX(Controls!$B$21:$H$21,1,WEEKDAY($A320,2))*(1+Controls!$B$11)^318*(1+Controls!J$25*Smooth!$L320)*(1+Controls!J$26*Smooth!$M320)*(1+Controls!J$27*Smooth!$N320)*(1+Controls!J$28*Smooth!$O320)),2))</f>
        <v/>
      </c>
      <c r="F320" s="10" t="str">
        <f t="array" ref="F320">IF(OR($A320="",5&gt;Controls!$B$6),"",ROUND(MAX(0,Smooth!F320*Controls!F$17*INDEX(Controls!$B$21:$H$21,1,WEEKDAY($A320,2))*(1+Controls!$B$11)^318*(1+Controls!K$25*Smooth!$L320)*(1+Controls!K$26*Smooth!$M320)*(1+Controls!K$27*Smooth!$N320)*(1+Controls!K$28*Smooth!$O320)),2))</f>
        <v/>
      </c>
      <c r="G320" s="10" t="str">
        <f t="array" ref="G320">IF(OR($A320="",6&gt;Controls!$B$6),"",ROUND(MAX(0,Smooth!G320*Controls!G$17*INDEX(Controls!$B$21:$H$21,1,WEEKDAY($A320,2))*(1+Controls!$B$11)^318*(1+Controls!L$25*Smooth!$L320)*(1+Controls!L$26*Smooth!$M320)*(1+Controls!L$27*Smooth!$N320)*(1+Controls!L$28*Smooth!$O320)),2))</f>
        <v/>
      </c>
      <c r="H320" s="10" t="str">
        <f t="array" ref="H320">IF(OR($A320="",7&gt;Controls!$B$6),"",ROUND(MAX(0,Smooth!H320*Controls!H$17*INDEX(Controls!$B$21:$H$21,1,WEEKDAY($A320,2))*(1+Controls!$B$11)^318*(1+Controls!M$25*Smooth!$L320)*(1+Controls!M$26*Smooth!$M320)*(1+Controls!M$27*Smooth!$N320)*(1+Controls!M$28*Smooth!$O320)),2))</f>
        <v/>
      </c>
      <c r="I320" s="10" t="str">
        <f t="array" ref="I320">IF(OR($A320="",8&gt;Controls!$B$6),"",ROUND(MAX(0,Smooth!I320*Controls!I$17*INDEX(Controls!$B$21:$H$21,1,WEEKDAY($A320,2))*(1+Controls!$B$11)^318*(1+Controls!N$25*Smooth!$L320)*(1+Controls!N$26*Smooth!$M320)*(1+Controls!N$27*Smooth!$N320)*(1+Controls!N$28*Smooth!$O320)),2))</f>
        <v/>
      </c>
      <c r="J320" s="10" t="str">
        <f t="array" ref="J320">IF(OR($A320="",9&gt;Controls!$B$6),"",ROUND(MAX(0,Smooth!J320*Controls!J$17*INDEX(Controls!$B$21:$H$21,1,WEEKDAY($A320,2))*(1+Controls!$B$11)^318*(1+Controls!O$25*Smooth!$L320)*(1+Controls!O$26*Smooth!$M320)*(1+Controls!O$27*Smooth!$N320)*(1+Controls!O$28*Smooth!$O320)),2))</f>
        <v/>
      </c>
      <c r="K320" s="10" t="str">
        <f t="array" ref="K320">IF(OR($A320="",10&gt;Controls!$B$6),"",ROUND(MAX(0,Smooth!K320*Controls!K$17*INDEX(Controls!$B$21:$H$21,1,WEEKDAY($A320,2))*(1+Controls!$B$11)^318*(1+Controls!P$25*Smooth!$L320)*(1+Controls!P$26*Smooth!$M320)*(1+Controls!P$27*Smooth!$N320)*(1+Controls!P$28*Smooth!$O320)),2))</f>
        <v/>
      </c>
      <c r="L320" s="18" t="str">
        <f t="shared" si="1"/>
        <v/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21.0" customHeight="1">
      <c r="A321" s="7" t="str">
        <f>IF(320&lt;=Controls!$B$5,Controls!$B$4+319,"")</f>
        <v/>
      </c>
      <c r="B321" s="10" t="str">
        <f t="array" ref="B321">IF(OR($A321="",1&gt;Controls!$B$6),"",ROUND(MAX(0,Smooth!B321*Controls!B$17*INDEX(Controls!$B$21:$H$21,1,WEEKDAY($A321,2))*(1+Controls!$B$11)^319*(1+Controls!G$25*Smooth!$L321)*(1+Controls!G$26*Smooth!$M321)*(1+Controls!G$27*Smooth!$N321)*(1+Controls!G$28*Smooth!$O321)),2))</f>
        <v/>
      </c>
      <c r="C321" s="10" t="str">
        <f t="array" ref="C321">IF(OR($A321="",2&gt;Controls!$B$6),"",ROUND(MAX(0,Smooth!C321*Controls!C$17*INDEX(Controls!$B$21:$H$21,1,WEEKDAY($A321,2))*(1+Controls!$B$11)^319*(1+Controls!H$25*Smooth!$L321)*(1+Controls!H$26*Smooth!$M321)*(1+Controls!H$27*Smooth!$N321)*(1+Controls!H$28*Smooth!$O321)),2))</f>
        <v/>
      </c>
      <c r="D321" s="10" t="str">
        <f t="array" ref="D321">IF(OR($A321="",3&gt;Controls!$B$6),"",ROUND(MAX(0,Smooth!D321*Controls!D$17*INDEX(Controls!$B$21:$H$21,1,WEEKDAY($A321,2))*(1+Controls!$B$11)^319*(1+Controls!I$25*Smooth!$L321)*(1+Controls!I$26*Smooth!$M321)*(1+Controls!I$27*Smooth!$N321)*(1+Controls!I$28*Smooth!$O321)),2))</f>
        <v/>
      </c>
      <c r="E321" s="10" t="str">
        <f t="array" ref="E321">IF(OR($A321="",4&gt;Controls!$B$6),"",ROUND(MAX(0,Smooth!E321*Controls!E$17*INDEX(Controls!$B$21:$H$21,1,WEEKDAY($A321,2))*(1+Controls!$B$11)^319*(1+Controls!J$25*Smooth!$L321)*(1+Controls!J$26*Smooth!$M321)*(1+Controls!J$27*Smooth!$N321)*(1+Controls!J$28*Smooth!$O321)),2))</f>
        <v/>
      </c>
      <c r="F321" s="10" t="str">
        <f t="array" ref="F321">IF(OR($A321="",5&gt;Controls!$B$6),"",ROUND(MAX(0,Smooth!F321*Controls!F$17*INDEX(Controls!$B$21:$H$21,1,WEEKDAY($A321,2))*(1+Controls!$B$11)^319*(1+Controls!K$25*Smooth!$L321)*(1+Controls!K$26*Smooth!$M321)*(1+Controls!K$27*Smooth!$N321)*(1+Controls!K$28*Smooth!$O321)),2))</f>
        <v/>
      </c>
      <c r="G321" s="10" t="str">
        <f t="array" ref="G321">IF(OR($A321="",6&gt;Controls!$B$6),"",ROUND(MAX(0,Smooth!G321*Controls!G$17*INDEX(Controls!$B$21:$H$21,1,WEEKDAY($A321,2))*(1+Controls!$B$11)^319*(1+Controls!L$25*Smooth!$L321)*(1+Controls!L$26*Smooth!$M321)*(1+Controls!L$27*Smooth!$N321)*(1+Controls!L$28*Smooth!$O321)),2))</f>
        <v/>
      </c>
      <c r="H321" s="10" t="str">
        <f t="array" ref="H321">IF(OR($A321="",7&gt;Controls!$B$6),"",ROUND(MAX(0,Smooth!H321*Controls!H$17*INDEX(Controls!$B$21:$H$21,1,WEEKDAY($A321,2))*(1+Controls!$B$11)^319*(1+Controls!M$25*Smooth!$L321)*(1+Controls!M$26*Smooth!$M321)*(1+Controls!M$27*Smooth!$N321)*(1+Controls!M$28*Smooth!$O321)),2))</f>
        <v/>
      </c>
      <c r="I321" s="10" t="str">
        <f t="array" ref="I321">IF(OR($A321="",8&gt;Controls!$B$6),"",ROUND(MAX(0,Smooth!I321*Controls!I$17*INDEX(Controls!$B$21:$H$21,1,WEEKDAY($A321,2))*(1+Controls!$B$11)^319*(1+Controls!N$25*Smooth!$L321)*(1+Controls!N$26*Smooth!$M321)*(1+Controls!N$27*Smooth!$N321)*(1+Controls!N$28*Smooth!$O321)),2))</f>
        <v/>
      </c>
      <c r="J321" s="10" t="str">
        <f t="array" ref="J321">IF(OR($A321="",9&gt;Controls!$B$6),"",ROUND(MAX(0,Smooth!J321*Controls!J$17*INDEX(Controls!$B$21:$H$21,1,WEEKDAY($A321,2))*(1+Controls!$B$11)^319*(1+Controls!O$25*Smooth!$L321)*(1+Controls!O$26*Smooth!$M321)*(1+Controls!O$27*Smooth!$N321)*(1+Controls!O$28*Smooth!$O321)),2))</f>
        <v/>
      </c>
      <c r="K321" s="10" t="str">
        <f t="array" ref="K321">IF(OR($A321="",10&gt;Controls!$B$6),"",ROUND(MAX(0,Smooth!K321*Controls!K$17*INDEX(Controls!$B$21:$H$21,1,WEEKDAY($A321,2))*(1+Controls!$B$11)^319*(1+Controls!P$25*Smooth!$L321)*(1+Controls!P$26*Smooth!$M321)*(1+Controls!P$27*Smooth!$N321)*(1+Controls!P$28*Smooth!$O321)),2))</f>
        <v/>
      </c>
      <c r="L321" s="18" t="str">
        <f t="shared" si="1"/>
        <v/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21.0" customHeight="1">
      <c r="A322" s="7" t="str">
        <f>IF(321&lt;=Controls!$B$5,Controls!$B$4+320,"")</f>
        <v/>
      </c>
      <c r="B322" s="10" t="str">
        <f t="array" ref="B322">IF(OR($A322="",1&gt;Controls!$B$6),"",ROUND(MAX(0,Smooth!B322*Controls!B$17*INDEX(Controls!$B$21:$H$21,1,WEEKDAY($A322,2))*(1+Controls!$B$11)^320*(1+Controls!G$25*Smooth!$L322)*(1+Controls!G$26*Smooth!$M322)*(1+Controls!G$27*Smooth!$N322)*(1+Controls!G$28*Smooth!$O322)),2))</f>
        <v/>
      </c>
      <c r="C322" s="10" t="str">
        <f t="array" ref="C322">IF(OR($A322="",2&gt;Controls!$B$6),"",ROUND(MAX(0,Smooth!C322*Controls!C$17*INDEX(Controls!$B$21:$H$21,1,WEEKDAY($A322,2))*(1+Controls!$B$11)^320*(1+Controls!H$25*Smooth!$L322)*(1+Controls!H$26*Smooth!$M322)*(1+Controls!H$27*Smooth!$N322)*(1+Controls!H$28*Smooth!$O322)),2))</f>
        <v/>
      </c>
      <c r="D322" s="10" t="str">
        <f t="array" ref="D322">IF(OR($A322="",3&gt;Controls!$B$6),"",ROUND(MAX(0,Smooth!D322*Controls!D$17*INDEX(Controls!$B$21:$H$21,1,WEEKDAY($A322,2))*(1+Controls!$B$11)^320*(1+Controls!I$25*Smooth!$L322)*(1+Controls!I$26*Smooth!$M322)*(1+Controls!I$27*Smooth!$N322)*(1+Controls!I$28*Smooth!$O322)),2))</f>
        <v/>
      </c>
      <c r="E322" s="10" t="str">
        <f t="array" ref="E322">IF(OR($A322="",4&gt;Controls!$B$6),"",ROUND(MAX(0,Smooth!E322*Controls!E$17*INDEX(Controls!$B$21:$H$21,1,WEEKDAY($A322,2))*(1+Controls!$B$11)^320*(1+Controls!J$25*Smooth!$L322)*(1+Controls!J$26*Smooth!$M322)*(1+Controls!J$27*Smooth!$N322)*(1+Controls!J$28*Smooth!$O322)),2))</f>
        <v/>
      </c>
      <c r="F322" s="10" t="str">
        <f t="array" ref="F322">IF(OR($A322="",5&gt;Controls!$B$6),"",ROUND(MAX(0,Smooth!F322*Controls!F$17*INDEX(Controls!$B$21:$H$21,1,WEEKDAY($A322,2))*(1+Controls!$B$11)^320*(1+Controls!K$25*Smooth!$L322)*(1+Controls!K$26*Smooth!$M322)*(1+Controls!K$27*Smooth!$N322)*(1+Controls!K$28*Smooth!$O322)),2))</f>
        <v/>
      </c>
      <c r="G322" s="10" t="str">
        <f t="array" ref="G322">IF(OR($A322="",6&gt;Controls!$B$6),"",ROUND(MAX(0,Smooth!G322*Controls!G$17*INDEX(Controls!$B$21:$H$21,1,WEEKDAY($A322,2))*(1+Controls!$B$11)^320*(1+Controls!L$25*Smooth!$L322)*(1+Controls!L$26*Smooth!$M322)*(1+Controls!L$27*Smooth!$N322)*(1+Controls!L$28*Smooth!$O322)),2))</f>
        <v/>
      </c>
      <c r="H322" s="10" t="str">
        <f t="array" ref="H322">IF(OR($A322="",7&gt;Controls!$B$6),"",ROUND(MAX(0,Smooth!H322*Controls!H$17*INDEX(Controls!$B$21:$H$21,1,WEEKDAY($A322,2))*(1+Controls!$B$11)^320*(1+Controls!M$25*Smooth!$L322)*(1+Controls!M$26*Smooth!$M322)*(1+Controls!M$27*Smooth!$N322)*(1+Controls!M$28*Smooth!$O322)),2))</f>
        <v/>
      </c>
      <c r="I322" s="10" t="str">
        <f t="array" ref="I322">IF(OR($A322="",8&gt;Controls!$B$6),"",ROUND(MAX(0,Smooth!I322*Controls!I$17*INDEX(Controls!$B$21:$H$21,1,WEEKDAY($A322,2))*(1+Controls!$B$11)^320*(1+Controls!N$25*Smooth!$L322)*(1+Controls!N$26*Smooth!$M322)*(1+Controls!N$27*Smooth!$N322)*(1+Controls!N$28*Smooth!$O322)),2))</f>
        <v/>
      </c>
      <c r="J322" s="10" t="str">
        <f t="array" ref="J322">IF(OR($A322="",9&gt;Controls!$B$6),"",ROUND(MAX(0,Smooth!J322*Controls!J$17*INDEX(Controls!$B$21:$H$21,1,WEEKDAY($A322,2))*(1+Controls!$B$11)^320*(1+Controls!O$25*Smooth!$L322)*(1+Controls!O$26*Smooth!$M322)*(1+Controls!O$27*Smooth!$N322)*(1+Controls!O$28*Smooth!$O322)),2))</f>
        <v/>
      </c>
      <c r="K322" s="10" t="str">
        <f t="array" ref="K322">IF(OR($A322="",10&gt;Controls!$B$6),"",ROUND(MAX(0,Smooth!K322*Controls!K$17*INDEX(Controls!$B$21:$H$21,1,WEEKDAY($A322,2))*(1+Controls!$B$11)^320*(1+Controls!P$25*Smooth!$L322)*(1+Controls!P$26*Smooth!$M322)*(1+Controls!P$27*Smooth!$N322)*(1+Controls!P$28*Smooth!$O322)),2))</f>
        <v/>
      </c>
      <c r="L322" s="18" t="str">
        <f t="shared" si="1"/>
        <v/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21.0" customHeight="1">
      <c r="A323" s="7" t="str">
        <f>IF(322&lt;=Controls!$B$5,Controls!$B$4+321,"")</f>
        <v/>
      </c>
      <c r="B323" s="10" t="str">
        <f t="array" ref="B323">IF(OR($A323="",1&gt;Controls!$B$6),"",ROUND(MAX(0,Smooth!B323*Controls!B$17*INDEX(Controls!$B$21:$H$21,1,WEEKDAY($A323,2))*(1+Controls!$B$11)^321*(1+Controls!G$25*Smooth!$L323)*(1+Controls!G$26*Smooth!$M323)*(1+Controls!G$27*Smooth!$N323)*(1+Controls!G$28*Smooth!$O323)),2))</f>
        <v/>
      </c>
      <c r="C323" s="10" t="str">
        <f t="array" ref="C323">IF(OR($A323="",2&gt;Controls!$B$6),"",ROUND(MAX(0,Smooth!C323*Controls!C$17*INDEX(Controls!$B$21:$H$21,1,WEEKDAY($A323,2))*(1+Controls!$B$11)^321*(1+Controls!H$25*Smooth!$L323)*(1+Controls!H$26*Smooth!$M323)*(1+Controls!H$27*Smooth!$N323)*(1+Controls!H$28*Smooth!$O323)),2))</f>
        <v/>
      </c>
      <c r="D323" s="10" t="str">
        <f t="array" ref="D323">IF(OR($A323="",3&gt;Controls!$B$6),"",ROUND(MAX(0,Smooth!D323*Controls!D$17*INDEX(Controls!$B$21:$H$21,1,WEEKDAY($A323,2))*(1+Controls!$B$11)^321*(1+Controls!I$25*Smooth!$L323)*(1+Controls!I$26*Smooth!$M323)*(1+Controls!I$27*Smooth!$N323)*(1+Controls!I$28*Smooth!$O323)),2))</f>
        <v/>
      </c>
      <c r="E323" s="10" t="str">
        <f t="array" ref="E323">IF(OR($A323="",4&gt;Controls!$B$6),"",ROUND(MAX(0,Smooth!E323*Controls!E$17*INDEX(Controls!$B$21:$H$21,1,WEEKDAY($A323,2))*(1+Controls!$B$11)^321*(1+Controls!J$25*Smooth!$L323)*(1+Controls!J$26*Smooth!$M323)*(1+Controls!J$27*Smooth!$N323)*(1+Controls!J$28*Smooth!$O323)),2))</f>
        <v/>
      </c>
      <c r="F323" s="10" t="str">
        <f t="array" ref="F323">IF(OR($A323="",5&gt;Controls!$B$6),"",ROUND(MAX(0,Smooth!F323*Controls!F$17*INDEX(Controls!$B$21:$H$21,1,WEEKDAY($A323,2))*(1+Controls!$B$11)^321*(1+Controls!K$25*Smooth!$L323)*(1+Controls!K$26*Smooth!$M323)*(1+Controls!K$27*Smooth!$N323)*(1+Controls!K$28*Smooth!$O323)),2))</f>
        <v/>
      </c>
      <c r="G323" s="10" t="str">
        <f t="array" ref="G323">IF(OR($A323="",6&gt;Controls!$B$6),"",ROUND(MAX(0,Smooth!G323*Controls!G$17*INDEX(Controls!$B$21:$H$21,1,WEEKDAY($A323,2))*(1+Controls!$B$11)^321*(1+Controls!L$25*Smooth!$L323)*(1+Controls!L$26*Smooth!$M323)*(1+Controls!L$27*Smooth!$N323)*(1+Controls!L$28*Smooth!$O323)),2))</f>
        <v/>
      </c>
      <c r="H323" s="10" t="str">
        <f t="array" ref="H323">IF(OR($A323="",7&gt;Controls!$B$6),"",ROUND(MAX(0,Smooth!H323*Controls!H$17*INDEX(Controls!$B$21:$H$21,1,WEEKDAY($A323,2))*(1+Controls!$B$11)^321*(1+Controls!M$25*Smooth!$L323)*(1+Controls!M$26*Smooth!$M323)*(1+Controls!M$27*Smooth!$N323)*(1+Controls!M$28*Smooth!$O323)),2))</f>
        <v/>
      </c>
      <c r="I323" s="10" t="str">
        <f t="array" ref="I323">IF(OR($A323="",8&gt;Controls!$B$6),"",ROUND(MAX(0,Smooth!I323*Controls!I$17*INDEX(Controls!$B$21:$H$21,1,WEEKDAY($A323,2))*(1+Controls!$B$11)^321*(1+Controls!N$25*Smooth!$L323)*(1+Controls!N$26*Smooth!$M323)*(1+Controls!N$27*Smooth!$N323)*(1+Controls!N$28*Smooth!$O323)),2))</f>
        <v/>
      </c>
      <c r="J323" s="10" t="str">
        <f t="array" ref="J323">IF(OR($A323="",9&gt;Controls!$B$6),"",ROUND(MAX(0,Smooth!J323*Controls!J$17*INDEX(Controls!$B$21:$H$21,1,WEEKDAY($A323,2))*(1+Controls!$B$11)^321*(1+Controls!O$25*Smooth!$L323)*(1+Controls!O$26*Smooth!$M323)*(1+Controls!O$27*Smooth!$N323)*(1+Controls!O$28*Smooth!$O323)),2))</f>
        <v/>
      </c>
      <c r="K323" s="10" t="str">
        <f t="array" ref="K323">IF(OR($A323="",10&gt;Controls!$B$6),"",ROUND(MAX(0,Smooth!K323*Controls!K$17*INDEX(Controls!$B$21:$H$21,1,WEEKDAY($A323,2))*(1+Controls!$B$11)^321*(1+Controls!P$25*Smooth!$L323)*(1+Controls!P$26*Smooth!$M323)*(1+Controls!P$27*Smooth!$N323)*(1+Controls!P$28*Smooth!$O323)),2))</f>
        <v/>
      </c>
      <c r="L323" s="18" t="str">
        <f t="shared" si="1"/>
        <v/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21.0" customHeight="1">
      <c r="A324" s="7" t="str">
        <f>IF(323&lt;=Controls!$B$5,Controls!$B$4+322,"")</f>
        <v/>
      </c>
      <c r="B324" s="10" t="str">
        <f t="array" ref="B324">IF(OR($A324="",1&gt;Controls!$B$6),"",ROUND(MAX(0,Smooth!B324*Controls!B$17*INDEX(Controls!$B$21:$H$21,1,WEEKDAY($A324,2))*(1+Controls!$B$11)^322*(1+Controls!G$25*Smooth!$L324)*(1+Controls!G$26*Smooth!$M324)*(1+Controls!G$27*Smooth!$N324)*(1+Controls!G$28*Smooth!$O324)),2))</f>
        <v/>
      </c>
      <c r="C324" s="10" t="str">
        <f t="array" ref="C324">IF(OR($A324="",2&gt;Controls!$B$6),"",ROUND(MAX(0,Smooth!C324*Controls!C$17*INDEX(Controls!$B$21:$H$21,1,WEEKDAY($A324,2))*(1+Controls!$B$11)^322*(1+Controls!H$25*Smooth!$L324)*(1+Controls!H$26*Smooth!$M324)*(1+Controls!H$27*Smooth!$N324)*(1+Controls!H$28*Smooth!$O324)),2))</f>
        <v/>
      </c>
      <c r="D324" s="10" t="str">
        <f t="array" ref="D324">IF(OR($A324="",3&gt;Controls!$B$6),"",ROUND(MAX(0,Smooth!D324*Controls!D$17*INDEX(Controls!$B$21:$H$21,1,WEEKDAY($A324,2))*(1+Controls!$B$11)^322*(1+Controls!I$25*Smooth!$L324)*(1+Controls!I$26*Smooth!$M324)*(1+Controls!I$27*Smooth!$N324)*(1+Controls!I$28*Smooth!$O324)),2))</f>
        <v/>
      </c>
      <c r="E324" s="10" t="str">
        <f t="array" ref="E324">IF(OR($A324="",4&gt;Controls!$B$6),"",ROUND(MAX(0,Smooth!E324*Controls!E$17*INDEX(Controls!$B$21:$H$21,1,WEEKDAY($A324,2))*(1+Controls!$B$11)^322*(1+Controls!J$25*Smooth!$L324)*(1+Controls!J$26*Smooth!$M324)*(1+Controls!J$27*Smooth!$N324)*(1+Controls!J$28*Smooth!$O324)),2))</f>
        <v/>
      </c>
      <c r="F324" s="10" t="str">
        <f t="array" ref="F324">IF(OR($A324="",5&gt;Controls!$B$6),"",ROUND(MAX(0,Smooth!F324*Controls!F$17*INDEX(Controls!$B$21:$H$21,1,WEEKDAY($A324,2))*(1+Controls!$B$11)^322*(1+Controls!K$25*Smooth!$L324)*(1+Controls!K$26*Smooth!$M324)*(1+Controls!K$27*Smooth!$N324)*(1+Controls!K$28*Smooth!$O324)),2))</f>
        <v/>
      </c>
      <c r="G324" s="10" t="str">
        <f t="array" ref="G324">IF(OR($A324="",6&gt;Controls!$B$6),"",ROUND(MAX(0,Smooth!G324*Controls!G$17*INDEX(Controls!$B$21:$H$21,1,WEEKDAY($A324,2))*(1+Controls!$B$11)^322*(1+Controls!L$25*Smooth!$L324)*(1+Controls!L$26*Smooth!$M324)*(1+Controls!L$27*Smooth!$N324)*(1+Controls!L$28*Smooth!$O324)),2))</f>
        <v/>
      </c>
      <c r="H324" s="10" t="str">
        <f t="array" ref="H324">IF(OR($A324="",7&gt;Controls!$B$6),"",ROUND(MAX(0,Smooth!H324*Controls!H$17*INDEX(Controls!$B$21:$H$21,1,WEEKDAY($A324,2))*(1+Controls!$B$11)^322*(1+Controls!M$25*Smooth!$L324)*(1+Controls!M$26*Smooth!$M324)*(1+Controls!M$27*Smooth!$N324)*(1+Controls!M$28*Smooth!$O324)),2))</f>
        <v/>
      </c>
      <c r="I324" s="10" t="str">
        <f t="array" ref="I324">IF(OR($A324="",8&gt;Controls!$B$6),"",ROUND(MAX(0,Smooth!I324*Controls!I$17*INDEX(Controls!$B$21:$H$21,1,WEEKDAY($A324,2))*(1+Controls!$B$11)^322*(1+Controls!N$25*Smooth!$L324)*(1+Controls!N$26*Smooth!$M324)*(1+Controls!N$27*Smooth!$N324)*(1+Controls!N$28*Smooth!$O324)),2))</f>
        <v/>
      </c>
      <c r="J324" s="10" t="str">
        <f t="array" ref="J324">IF(OR($A324="",9&gt;Controls!$B$6),"",ROUND(MAX(0,Smooth!J324*Controls!J$17*INDEX(Controls!$B$21:$H$21,1,WEEKDAY($A324,2))*(1+Controls!$B$11)^322*(1+Controls!O$25*Smooth!$L324)*(1+Controls!O$26*Smooth!$M324)*(1+Controls!O$27*Smooth!$N324)*(1+Controls!O$28*Smooth!$O324)),2))</f>
        <v/>
      </c>
      <c r="K324" s="10" t="str">
        <f t="array" ref="K324">IF(OR($A324="",10&gt;Controls!$B$6),"",ROUND(MAX(0,Smooth!K324*Controls!K$17*INDEX(Controls!$B$21:$H$21,1,WEEKDAY($A324,2))*(1+Controls!$B$11)^322*(1+Controls!P$25*Smooth!$L324)*(1+Controls!P$26*Smooth!$M324)*(1+Controls!P$27*Smooth!$N324)*(1+Controls!P$28*Smooth!$O324)),2))</f>
        <v/>
      </c>
      <c r="L324" s="18" t="str">
        <f t="shared" si="1"/>
        <v/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21.0" customHeight="1">
      <c r="A325" s="7" t="str">
        <f>IF(324&lt;=Controls!$B$5,Controls!$B$4+323,"")</f>
        <v/>
      </c>
      <c r="B325" s="10" t="str">
        <f t="array" ref="B325">IF(OR($A325="",1&gt;Controls!$B$6),"",ROUND(MAX(0,Smooth!B325*Controls!B$17*INDEX(Controls!$B$21:$H$21,1,WEEKDAY($A325,2))*(1+Controls!$B$11)^323*(1+Controls!G$25*Smooth!$L325)*(1+Controls!G$26*Smooth!$M325)*(1+Controls!G$27*Smooth!$N325)*(1+Controls!G$28*Smooth!$O325)),2))</f>
        <v/>
      </c>
      <c r="C325" s="10" t="str">
        <f t="array" ref="C325">IF(OR($A325="",2&gt;Controls!$B$6),"",ROUND(MAX(0,Smooth!C325*Controls!C$17*INDEX(Controls!$B$21:$H$21,1,WEEKDAY($A325,2))*(1+Controls!$B$11)^323*(1+Controls!H$25*Smooth!$L325)*(1+Controls!H$26*Smooth!$M325)*(1+Controls!H$27*Smooth!$N325)*(1+Controls!H$28*Smooth!$O325)),2))</f>
        <v/>
      </c>
      <c r="D325" s="10" t="str">
        <f t="array" ref="D325">IF(OR($A325="",3&gt;Controls!$B$6),"",ROUND(MAX(0,Smooth!D325*Controls!D$17*INDEX(Controls!$B$21:$H$21,1,WEEKDAY($A325,2))*(1+Controls!$B$11)^323*(1+Controls!I$25*Smooth!$L325)*(1+Controls!I$26*Smooth!$M325)*(1+Controls!I$27*Smooth!$N325)*(1+Controls!I$28*Smooth!$O325)),2))</f>
        <v/>
      </c>
      <c r="E325" s="10" t="str">
        <f t="array" ref="E325">IF(OR($A325="",4&gt;Controls!$B$6),"",ROUND(MAX(0,Smooth!E325*Controls!E$17*INDEX(Controls!$B$21:$H$21,1,WEEKDAY($A325,2))*(1+Controls!$B$11)^323*(1+Controls!J$25*Smooth!$L325)*(1+Controls!J$26*Smooth!$M325)*(1+Controls!J$27*Smooth!$N325)*(1+Controls!J$28*Smooth!$O325)),2))</f>
        <v/>
      </c>
      <c r="F325" s="10" t="str">
        <f t="array" ref="F325">IF(OR($A325="",5&gt;Controls!$B$6),"",ROUND(MAX(0,Smooth!F325*Controls!F$17*INDEX(Controls!$B$21:$H$21,1,WEEKDAY($A325,2))*(1+Controls!$B$11)^323*(1+Controls!K$25*Smooth!$L325)*(1+Controls!K$26*Smooth!$M325)*(1+Controls!K$27*Smooth!$N325)*(1+Controls!K$28*Smooth!$O325)),2))</f>
        <v/>
      </c>
      <c r="G325" s="10" t="str">
        <f t="array" ref="G325">IF(OR($A325="",6&gt;Controls!$B$6),"",ROUND(MAX(0,Smooth!G325*Controls!G$17*INDEX(Controls!$B$21:$H$21,1,WEEKDAY($A325,2))*(1+Controls!$B$11)^323*(1+Controls!L$25*Smooth!$L325)*(1+Controls!L$26*Smooth!$M325)*(1+Controls!L$27*Smooth!$N325)*(1+Controls!L$28*Smooth!$O325)),2))</f>
        <v/>
      </c>
      <c r="H325" s="10" t="str">
        <f t="array" ref="H325">IF(OR($A325="",7&gt;Controls!$B$6),"",ROUND(MAX(0,Smooth!H325*Controls!H$17*INDEX(Controls!$B$21:$H$21,1,WEEKDAY($A325,2))*(1+Controls!$B$11)^323*(1+Controls!M$25*Smooth!$L325)*(1+Controls!M$26*Smooth!$M325)*(1+Controls!M$27*Smooth!$N325)*(1+Controls!M$28*Smooth!$O325)),2))</f>
        <v/>
      </c>
      <c r="I325" s="10" t="str">
        <f t="array" ref="I325">IF(OR($A325="",8&gt;Controls!$B$6),"",ROUND(MAX(0,Smooth!I325*Controls!I$17*INDEX(Controls!$B$21:$H$21,1,WEEKDAY($A325,2))*(1+Controls!$B$11)^323*(1+Controls!N$25*Smooth!$L325)*(1+Controls!N$26*Smooth!$M325)*(1+Controls!N$27*Smooth!$N325)*(1+Controls!N$28*Smooth!$O325)),2))</f>
        <v/>
      </c>
      <c r="J325" s="10" t="str">
        <f t="array" ref="J325">IF(OR($A325="",9&gt;Controls!$B$6),"",ROUND(MAX(0,Smooth!J325*Controls!J$17*INDEX(Controls!$B$21:$H$21,1,WEEKDAY($A325,2))*(1+Controls!$B$11)^323*(1+Controls!O$25*Smooth!$L325)*(1+Controls!O$26*Smooth!$M325)*(1+Controls!O$27*Smooth!$N325)*(1+Controls!O$28*Smooth!$O325)),2))</f>
        <v/>
      </c>
      <c r="K325" s="10" t="str">
        <f t="array" ref="K325">IF(OR($A325="",10&gt;Controls!$B$6),"",ROUND(MAX(0,Smooth!K325*Controls!K$17*INDEX(Controls!$B$21:$H$21,1,WEEKDAY($A325,2))*(1+Controls!$B$11)^323*(1+Controls!P$25*Smooth!$L325)*(1+Controls!P$26*Smooth!$M325)*(1+Controls!P$27*Smooth!$N325)*(1+Controls!P$28*Smooth!$O325)),2))</f>
        <v/>
      </c>
      <c r="L325" s="18" t="str">
        <f t="shared" si="1"/>
        <v/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21.0" customHeight="1">
      <c r="A326" s="7" t="str">
        <f>IF(325&lt;=Controls!$B$5,Controls!$B$4+324,"")</f>
        <v/>
      </c>
      <c r="B326" s="10" t="str">
        <f t="array" ref="B326">IF(OR($A326="",1&gt;Controls!$B$6),"",ROUND(MAX(0,Smooth!B326*Controls!B$17*INDEX(Controls!$B$21:$H$21,1,WEEKDAY($A326,2))*(1+Controls!$B$11)^324*(1+Controls!G$25*Smooth!$L326)*(1+Controls!G$26*Smooth!$M326)*(1+Controls!G$27*Smooth!$N326)*(1+Controls!G$28*Smooth!$O326)),2))</f>
        <v/>
      </c>
      <c r="C326" s="10" t="str">
        <f t="array" ref="C326">IF(OR($A326="",2&gt;Controls!$B$6),"",ROUND(MAX(0,Smooth!C326*Controls!C$17*INDEX(Controls!$B$21:$H$21,1,WEEKDAY($A326,2))*(1+Controls!$B$11)^324*(1+Controls!H$25*Smooth!$L326)*(1+Controls!H$26*Smooth!$M326)*(1+Controls!H$27*Smooth!$N326)*(1+Controls!H$28*Smooth!$O326)),2))</f>
        <v/>
      </c>
      <c r="D326" s="10" t="str">
        <f t="array" ref="D326">IF(OR($A326="",3&gt;Controls!$B$6),"",ROUND(MAX(0,Smooth!D326*Controls!D$17*INDEX(Controls!$B$21:$H$21,1,WEEKDAY($A326,2))*(1+Controls!$B$11)^324*(1+Controls!I$25*Smooth!$L326)*(1+Controls!I$26*Smooth!$M326)*(1+Controls!I$27*Smooth!$N326)*(1+Controls!I$28*Smooth!$O326)),2))</f>
        <v/>
      </c>
      <c r="E326" s="10" t="str">
        <f t="array" ref="E326">IF(OR($A326="",4&gt;Controls!$B$6),"",ROUND(MAX(0,Smooth!E326*Controls!E$17*INDEX(Controls!$B$21:$H$21,1,WEEKDAY($A326,2))*(1+Controls!$B$11)^324*(1+Controls!J$25*Smooth!$L326)*(1+Controls!J$26*Smooth!$M326)*(1+Controls!J$27*Smooth!$N326)*(1+Controls!J$28*Smooth!$O326)),2))</f>
        <v/>
      </c>
      <c r="F326" s="10" t="str">
        <f t="array" ref="F326">IF(OR($A326="",5&gt;Controls!$B$6),"",ROUND(MAX(0,Smooth!F326*Controls!F$17*INDEX(Controls!$B$21:$H$21,1,WEEKDAY($A326,2))*(1+Controls!$B$11)^324*(1+Controls!K$25*Smooth!$L326)*(1+Controls!K$26*Smooth!$M326)*(1+Controls!K$27*Smooth!$N326)*(1+Controls!K$28*Smooth!$O326)),2))</f>
        <v/>
      </c>
      <c r="G326" s="10" t="str">
        <f t="array" ref="G326">IF(OR($A326="",6&gt;Controls!$B$6),"",ROUND(MAX(0,Smooth!G326*Controls!G$17*INDEX(Controls!$B$21:$H$21,1,WEEKDAY($A326,2))*(1+Controls!$B$11)^324*(1+Controls!L$25*Smooth!$L326)*(1+Controls!L$26*Smooth!$M326)*(1+Controls!L$27*Smooth!$N326)*(1+Controls!L$28*Smooth!$O326)),2))</f>
        <v/>
      </c>
      <c r="H326" s="10" t="str">
        <f t="array" ref="H326">IF(OR($A326="",7&gt;Controls!$B$6),"",ROUND(MAX(0,Smooth!H326*Controls!H$17*INDEX(Controls!$B$21:$H$21,1,WEEKDAY($A326,2))*(1+Controls!$B$11)^324*(1+Controls!M$25*Smooth!$L326)*(1+Controls!M$26*Smooth!$M326)*(1+Controls!M$27*Smooth!$N326)*(1+Controls!M$28*Smooth!$O326)),2))</f>
        <v/>
      </c>
      <c r="I326" s="10" t="str">
        <f t="array" ref="I326">IF(OR($A326="",8&gt;Controls!$B$6),"",ROUND(MAX(0,Smooth!I326*Controls!I$17*INDEX(Controls!$B$21:$H$21,1,WEEKDAY($A326,2))*(1+Controls!$B$11)^324*(1+Controls!N$25*Smooth!$L326)*(1+Controls!N$26*Smooth!$M326)*(1+Controls!N$27*Smooth!$N326)*(1+Controls!N$28*Smooth!$O326)),2))</f>
        <v/>
      </c>
      <c r="J326" s="10" t="str">
        <f t="array" ref="J326">IF(OR($A326="",9&gt;Controls!$B$6),"",ROUND(MAX(0,Smooth!J326*Controls!J$17*INDEX(Controls!$B$21:$H$21,1,WEEKDAY($A326,2))*(1+Controls!$B$11)^324*(1+Controls!O$25*Smooth!$L326)*(1+Controls!O$26*Smooth!$M326)*(1+Controls!O$27*Smooth!$N326)*(1+Controls!O$28*Smooth!$O326)),2))</f>
        <v/>
      </c>
      <c r="K326" s="10" t="str">
        <f t="array" ref="K326">IF(OR($A326="",10&gt;Controls!$B$6),"",ROUND(MAX(0,Smooth!K326*Controls!K$17*INDEX(Controls!$B$21:$H$21,1,WEEKDAY($A326,2))*(1+Controls!$B$11)^324*(1+Controls!P$25*Smooth!$L326)*(1+Controls!P$26*Smooth!$M326)*(1+Controls!P$27*Smooth!$N326)*(1+Controls!P$28*Smooth!$O326)),2))</f>
        <v/>
      </c>
      <c r="L326" s="18" t="str">
        <f t="shared" si="1"/>
        <v/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21.0" customHeight="1">
      <c r="A327" s="7" t="str">
        <f>IF(326&lt;=Controls!$B$5,Controls!$B$4+325,"")</f>
        <v/>
      </c>
      <c r="B327" s="10" t="str">
        <f t="array" ref="B327">IF(OR($A327="",1&gt;Controls!$B$6),"",ROUND(MAX(0,Smooth!B327*Controls!B$17*INDEX(Controls!$B$21:$H$21,1,WEEKDAY($A327,2))*(1+Controls!$B$11)^325*(1+Controls!G$25*Smooth!$L327)*(1+Controls!G$26*Smooth!$M327)*(1+Controls!G$27*Smooth!$N327)*(1+Controls!G$28*Smooth!$O327)),2))</f>
        <v/>
      </c>
      <c r="C327" s="10" t="str">
        <f t="array" ref="C327">IF(OR($A327="",2&gt;Controls!$B$6),"",ROUND(MAX(0,Smooth!C327*Controls!C$17*INDEX(Controls!$B$21:$H$21,1,WEEKDAY($A327,2))*(1+Controls!$B$11)^325*(1+Controls!H$25*Smooth!$L327)*(1+Controls!H$26*Smooth!$M327)*(1+Controls!H$27*Smooth!$N327)*(1+Controls!H$28*Smooth!$O327)),2))</f>
        <v/>
      </c>
      <c r="D327" s="10" t="str">
        <f t="array" ref="D327">IF(OR($A327="",3&gt;Controls!$B$6),"",ROUND(MAX(0,Smooth!D327*Controls!D$17*INDEX(Controls!$B$21:$H$21,1,WEEKDAY($A327,2))*(1+Controls!$B$11)^325*(1+Controls!I$25*Smooth!$L327)*(1+Controls!I$26*Smooth!$M327)*(1+Controls!I$27*Smooth!$N327)*(1+Controls!I$28*Smooth!$O327)),2))</f>
        <v/>
      </c>
      <c r="E327" s="10" t="str">
        <f t="array" ref="E327">IF(OR($A327="",4&gt;Controls!$B$6),"",ROUND(MAX(0,Smooth!E327*Controls!E$17*INDEX(Controls!$B$21:$H$21,1,WEEKDAY($A327,2))*(1+Controls!$B$11)^325*(1+Controls!J$25*Smooth!$L327)*(1+Controls!J$26*Smooth!$M327)*(1+Controls!J$27*Smooth!$N327)*(1+Controls!J$28*Smooth!$O327)),2))</f>
        <v/>
      </c>
      <c r="F327" s="10" t="str">
        <f t="array" ref="F327">IF(OR($A327="",5&gt;Controls!$B$6),"",ROUND(MAX(0,Smooth!F327*Controls!F$17*INDEX(Controls!$B$21:$H$21,1,WEEKDAY($A327,2))*(1+Controls!$B$11)^325*(1+Controls!K$25*Smooth!$L327)*(1+Controls!K$26*Smooth!$M327)*(1+Controls!K$27*Smooth!$N327)*(1+Controls!K$28*Smooth!$O327)),2))</f>
        <v/>
      </c>
      <c r="G327" s="10" t="str">
        <f t="array" ref="G327">IF(OR($A327="",6&gt;Controls!$B$6),"",ROUND(MAX(0,Smooth!G327*Controls!G$17*INDEX(Controls!$B$21:$H$21,1,WEEKDAY($A327,2))*(1+Controls!$B$11)^325*(1+Controls!L$25*Smooth!$L327)*(1+Controls!L$26*Smooth!$M327)*(1+Controls!L$27*Smooth!$N327)*(1+Controls!L$28*Smooth!$O327)),2))</f>
        <v/>
      </c>
      <c r="H327" s="10" t="str">
        <f t="array" ref="H327">IF(OR($A327="",7&gt;Controls!$B$6),"",ROUND(MAX(0,Smooth!H327*Controls!H$17*INDEX(Controls!$B$21:$H$21,1,WEEKDAY($A327,2))*(1+Controls!$B$11)^325*(1+Controls!M$25*Smooth!$L327)*(1+Controls!M$26*Smooth!$M327)*(1+Controls!M$27*Smooth!$N327)*(1+Controls!M$28*Smooth!$O327)),2))</f>
        <v/>
      </c>
      <c r="I327" s="10" t="str">
        <f t="array" ref="I327">IF(OR($A327="",8&gt;Controls!$B$6),"",ROUND(MAX(0,Smooth!I327*Controls!I$17*INDEX(Controls!$B$21:$H$21,1,WEEKDAY($A327,2))*(1+Controls!$B$11)^325*(1+Controls!N$25*Smooth!$L327)*(1+Controls!N$26*Smooth!$M327)*(1+Controls!N$27*Smooth!$N327)*(1+Controls!N$28*Smooth!$O327)),2))</f>
        <v/>
      </c>
      <c r="J327" s="10" t="str">
        <f t="array" ref="J327">IF(OR($A327="",9&gt;Controls!$B$6),"",ROUND(MAX(0,Smooth!J327*Controls!J$17*INDEX(Controls!$B$21:$H$21,1,WEEKDAY($A327,2))*(1+Controls!$B$11)^325*(1+Controls!O$25*Smooth!$L327)*(1+Controls!O$26*Smooth!$M327)*(1+Controls!O$27*Smooth!$N327)*(1+Controls!O$28*Smooth!$O327)),2))</f>
        <v/>
      </c>
      <c r="K327" s="10" t="str">
        <f t="array" ref="K327">IF(OR($A327="",10&gt;Controls!$B$6),"",ROUND(MAX(0,Smooth!K327*Controls!K$17*INDEX(Controls!$B$21:$H$21,1,WEEKDAY($A327,2))*(1+Controls!$B$11)^325*(1+Controls!P$25*Smooth!$L327)*(1+Controls!P$26*Smooth!$M327)*(1+Controls!P$27*Smooth!$N327)*(1+Controls!P$28*Smooth!$O327)),2))</f>
        <v/>
      </c>
      <c r="L327" s="18" t="str">
        <f t="shared" si="1"/>
        <v/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21.0" customHeight="1">
      <c r="A328" s="7" t="str">
        <f>IF(327&lt;=Controls!$B$5,Controls!$B$4+326,"")</f>
        <v/>
      </c>
      <c r="B328" s="10" t="str">
        <f t="array" ref="B328">IF(OR($A328="",1&gt;Controls!$B$6),"",ROUND(MAX(0,Smooth!B328*Controls!B$17*INDEX(Controls!$B$21:$H$21,1,WEEKDAY($A328,2))*(1+Controls!$B$11)^326*(1+Controls!G$25*Smooth!$L328)*(1+Controls!G$26*Smooth!$M328)*(1+Controls!G$27*Smooth!$N328)*(1+Controls!G$28*Smooth!$O328)),2))</f>
        <v/>
      </c>
      <c r="C328" s="10" t="str">
        <f t="array" ref="C328">IF(OR($A328="",2&gt;Controls!$B$6),"",ROUND(MAX(0,Smooth!C328*Controls!C$17*INDEX(Controls!$B$21:$H$21,1,WEEKDAY($A328,2))*(1+Controls!$B$11)^326*(1+Controls!H$25*Smooth!$L328)*(1+Controls!H$26*Smooth!$M328)*(1+Controls!H$27*Smooth!$N328)*(1+Controls!H$28*Smooth!$O328)),2))</f>
        <v/>
      </c>
      <c r="D328" s="10" t="str">
        <f t="array" ref="D328">IF(OR($A328="",3&gt;Controls!$B$6),"",ROUND(MAX(0,Smooth!D328*Controls!D$17*INDEX(Controls!$B$21:$H$21,1,WEEKDAY($A328,2))*(1+Controls!$B$11)^326*(1+Controls!I$25*Smooth!$L328)*(1+Controls!I$26*Smooth!$M328)*(1+Controls!I$27*Smooth!$N328)*(1+Controls!I$28*Smooth!$O328)),2))</f>
        <v/>
      </c>
      <c r="E328" s="10" t="str">
        <f t="array" ref="E328">IF(OR($A328="",4&gt;Controls!$B$6),"",ROUND(MAX(0,Smooth!E328*Controls!E$17*INDEX(Controls!$B$21:$H$21,1,WEEKDAY($A328,2))*(1+Controls!$B$11)^326*(1+Controls!J$25*Smooth!$L328)*(1+Controls!J$26*Smooth!$M328)*(1+Controls!J$27*Smooth!$N328)*(1+Controls!J$28*Smooth!$O328)),2))</f>
        <v/>
      </c>
      <c r="F328" s="10" t="str">
        <f t="array" ref="F328">IF(OR($A328="",5&gt;Controls!$B$6),"",ROUND(MAX(0,Smooth!F328*Controls!F$17*INDEX(Controls!$B$21:$H$21,1,WEEKDAY($A328,2))*(1+Controls!$B$11)^326*(1+Controls!K$25*Smooth!$L328)*(1+Controls!K$26*Smooth!$M328)*(1+Controls!K$27*Smooth!$N328)*(1+Controls!K$28*Smooth!$O328)),2))</f>
        <v/>
      </c>
      <c r="G328" s="10" t="str">
        <f t="array" ref="G328">IF(OR($A328="",6&gt;Controls!$B$6),"",ROUND(MAX(0,Smooth!G328*Controls!G$17*INDEX(Controls!$B$21:$H$21,1,WEEKDAY($A328,2))*(1+Controls!$B$11)^326*(1+Controls!L$25*Smooth!$L328)*(1+Controls!L$26*Smooth!$M328)*(1+Controls!L$27*Smooth!$N328)*(1+Controls!L$28*Smooth!$O328)),2))</f>
        <v/>
      </c>
      <c r="H328" s="10" t="str">
        <f t="array" ref="H328">IF(OR($A328="",7&gt;Controls!$B$6),"",ROUND(MAX(0,Smooth!H328*Controls!H$17*INDEX(Controls!$B$21:$H$21,1,WEEKDAY($A328,2))*(1+Controls!$B$11)^326*(1+Controls!M$25*Smooth!$L328)*(1+Controls!M$26*Smooth!$M328)*(1+Controls!M$27*Smooth!$N328)*(1+Controls!M$28*Smooth!$O328)),2))</f>
        <v/>
      </c>
      <c r="I328" s="10" t="str">
        <f t="array" ref="I328">IF(OR($A328="",8&gt;Controls!$B$6),"",ROUND(MAX(0,Smooth!I328*Controls!I$17*INDEX(Controls!$B$21:$H$21,1,WEEKDAY($A328,2))*(1+Controls!$B$11)^326*(1+Controls!N$25*Smooth!$L328)*(1+Controls!N$26*Smooth!$M328)*(1+Controls!N$27*Smooth!$N328)*(1+Controls!N$28*Smooth!$O328)),2))</f>
        <v/>
      </c>
      <c r="J328" s="10" t="str">
        <f t="array" ref="J328">IF(OR($A328="",9&gt;Controls!$B$6),"",ROUND(MAX(0,Smooth!J328*Controls!J$17*INDEX(Controls!$B$21:$H$21,1,WEEKDAY($A328,2))*(1+Controls!$B$11)^326*(1+Controls!O$25*Smooth!$L328)*(1+Controls!O$26*Smooth!$M328)*(1+Controls!O$27*Smooth!$N328)*(1+Controls!O$28*Smooth!$O328)),2))</f>
        <v/>
      </c>
      <c r="K328" s="10" t="str">
        <f t="array" ref="K328">IF(OR($A328="",10&gt;Controls!$B$6),"",ROUND(MAX(0,Smooth!K328*Controls!K$17*INDEX(Controls!$B$21:$H$21,1,WEEKDAY($A328,2))*(1+Controls!$B$11)^326*(1+Controls!P$25*Smooth!$L328)*(1+Controls!P$26*Smooth!$M328)*(1+Controls!P$27*Smooth!$N328)*(1+Controls!P$28*Smooth!$O328)),2))</f>
        <v/>
      </c>
      <c r="L328" s="18" t="str">
        <f t="shared" si="1"/>
        <v/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21.0" customHeight="1">
      <c r="A329" s="7" t="str">
        <f>IF(328&lt;=Controls!$B$5,Controls!$B$4+327,"")</f>
        <v/>
      </c>
      <c r="B329" s="10" t="str">
        <f t="array" ref="B329">IF(OR($A329="",1&gt;Controls!$B$6),"",ROUND(MAX(0,Smooth!B329*Controls!B$17*INDEX(Controls!$B$21:$H$21,1,WEEKDAY($A329,2))*(1+Controls!$B$11)^327*(1+Controls!G$25*Smooth!$L329)*(1+Controls!G$26*Smooth!$M329)*(1+Controls!G$27*Smooth!$N329)*(1+Controls!G$28*Smooth!$O329)),2))</f>
        <v/>
      </c>
      <c r="C329" s="10" t="str">
        <f t="array" ref="C329">IF(OR($A329="",2&gt;Controls!$B$6),"",ROUND(MAX(0,Smooth!C329*Controls!C$17*INDEX(Controls!$B$21:$H$21,1,WEEKDAY($A329,2))*(1+Controls!$B$11)^327*(1+Controls!H$25*Smooth!$L329)*(1+Controls!H$26*Smooth!$M329)*(1+Controls!H$27*Smooth!$N329)*(1+Controls!H$28*Smooth!$O329)),2))</f>
        <v/>
      </c>
      <c r="D329" s="10" t="str">
        <f t="array" ref="D329">IF(OR($A329="",3&gt;Controls!$B$6),"",ROUND(MAX(0,Smooth!D329*Controls!D$17*INDEX(Controls!$B$21:$H$21,1,WEEKDAY($A329,2))*(1+Controls!$B$11)^327*(1+Controls!I$25*Smooth!$L329)*(1+Controls!I$26*Smooth!$M329)*(1+Controls!I$27*Smooth!$N329)*(1+Controls!I$28*Smooth!$O329)),2))</f>
        <v/>
      </c>
      <c r="E329" s="10" t="str">
        <f t="array" ref="E329">IF(OR($A329="",4&gt;Controls!$B$6),"",ROUND(MAX(0,Smooth!E329*Controls!E$17*INDEX(Controls!$B$21:$H$21,1,WEEKDAY($A329,2))*(1+Controls!$B$11)^327*(1+Controls!J$25*Smooth!$L329)*(1+Controls!J$26*Smooth!$M329)*(1+Controls!J$27*Smooth!$N329)*(1+Controls!J$28*Smooth!$O329)),2))</f>
        <v/>
      </c>
      <c r="F329" s="10" t="str">
        <f t="array" ref="F329">IF(OR($A329="",5&gt;Controls!$B$6),"",ROUND(MAX(0,Smooth!F329*Controls!F$17*INDEX(Controls!$B$21:$H$21,1,WEEKDAY($A329,2))*(1+Controls!$B$11)^327*(1+Controls!K$25*Smooth!$L329)*(1+Controls!K$26*Smooth!$M329)*(1+Controls!K$27*Smooth!$N329)*(1+Controls!K$28*Smooth!$O329)),2))</f>
        <v/>
      </c>
      <c r="G329" s="10" t="str">
        <f t="array" ref="G329">IF(OR($A329="",6&gt;Controls!$B$6),"",ROUND(MAX(0,Smooth!G329*Controls!G$17*INDEX(Controls!$B$21:$H$21,1,WEEKDAY($A329,2))*(1+Controls!$B$11)^327*(1+Controls!L$25*Smooth!$L329)*(1+Controls!L$26*Smooth!$M329)*(1+Controls!L$27*Smooth!$N329)*(1+Controls!L$28*Smooth!$O329)),2))</f>
        <v/>
      </c>
      <c r="H329" s="10" t="str">
        <f t="array" ref="H329">IF(OR($A329="",7&gt;Controls!$B$6),"",ROUND(MAX(0,Smooth!H329*Controls!H$17*INDEX(Controls!$B$21:$H$21,1,WEEKDAY($A329,2))*(1+Controls!$B$11)^327*(1+Controls!M$25*Smooth!$L329)*(1+Controls!M$26*Smooth!$M329)*(1+Controls!M$27*Smooth!$N329)*(1+Controls!M$28*Smooth!$O329)),2))</f>
        <v/>
      </c>
      <c r="I329" s="10" t="str">
        <f t="array" ref="I329">IF(OR($A329="",8&gt;Controls!$B$6),"",ROUND(MAX(0,Smooth!I329*Controls!I$17*INDEX(Controls!$B$21:$H$21,1,WEEKDAY($A329,2))*(1+Controls!$B$11)^327*(1+Controls!N$25*Smooth!$L329)*(1+Controls!N$26*Smooth!$M329)*(1+Controls!N$27*Smooth!$N329)*(1+Controls!N$28*Smooth!$O329)),2))</f>
        <v/>
      </c>
      <c r="J329" s="10" t="str">
        <f t="array" ref="J329">IF(OR($A329="",9&gt;Controls!$B$6),"",ROUND(MAX(0,Smooth!J329*Controls!J$17*INDEX(Controls!$B$21:$H$21,1,WEEKDAY($A329,2))*(1+Controls!$B$11)^327*(1+Controls!O$25*Smooth!$L329)*(1+Controls!O$26*Smooth!$M329)*(1+Controls!O$27*Smooth!$N329)*(1+Controls!O$28*Smooth!$O329)),2))</f>
        <v/>
      </c>
      <c r="K329" s="10" t="str">
        <f t="array" ref="K329">IF(OR($A329="",10&gt;Controls!$B$6),"",ROUND(MAX(0,Smooth!K329*Controls!K$17*INDEX(Controls!$B$21:$H$21,1,WEEKDAY($A329,2))*(1+Controls!$B$11)^327*(1+Controls!P$25*Smooth!$L329)*(1+Controls!P$26*Smooth!$M329)*(1+Controls!P$27*Smooth!$N329)*(1+Controls!P$28*Smooth!$O329)),2))</f>
        <v/>
      </c>
      <c r="L329" s="18" t="str">
        <f t="shared" si="1"/>
        <v/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21.0" customHeight="1">
      <c r="A330" s="7" t="str">
        <f>IF(329&lt;=Controls!$B$5,Controls!$B$4+328,"")</f>
        <v/>
      </c>
      <c r="B330" s="10" t="str">
        <f t="array" ref="B330">IF(OR($A330="",1&gt;Controls!$B$6),"",ROUND(MAX(0,Smooth!B330*Controls!B$17*INDEX(Controls!$B$21:$H$21,1,WEEKDAY($A330,2))*(1+Controls!$B$11)^328*(1+Controls!G$25*Smooth!$L330)*(1+Controls!G$26*Smooth!$M330)*(1+Controls!G$27*Smooth!$N330)*(1+Controls!G$28*Smooth!$O330)),2))</f>
        <v/>
      </c>
      <c r="C330" s="10" t="str">
        <f t="array" ref="C330">IF(OR($A330="",2&gt;Controls!$B$6),"",ROUND(MAX(0,Smooth!C330*Controls!C$17*INDEX(Controls!$B$21:$H$21,1,WEEKDAY($A330,2))*(1+Controls!$B$11)^328*(1+Controls!H$25*Smooth!$L330)*(1+Controls!H$26*Smooth!$M330)*(1+Controls!H$27*Smooth!$N330)*(1+Controls!H$28*Smooth!$O330)),2))</f>
        <v/>
      </c>
      <c r="D330" s="10" t="str">
        <f t="array" ref="D330">IF(OR($A330="",3&gt;Controls!$B$6),"",ROUND(MAX(0,Smooth!D330*Controls!D$17*INDEX(Controls!$B$21:$H$21,1,WEEKDAY($A330,2))*(1+Controls!$B$11)^328*(1+Controls!I$25*Smooth!$L330)*(1+Controls!I$26*Smooth!$M330)*(1+Controls!I$27*Smooth!$N330)*(1+Controls!I$28*Smooth!$O330)),2))</f>
        <v/>
      </c>
      <c r="E330" s="10" t="str">
        <f t="array" ref="E330">IF(OR($A330="",4&gt;Controls!$B$6),"",ROUND(MAX(0,Smooth!E330*Controls!E$17*INDEX(Controls!$B$21:$H$21,1,WEEKDAY($A330,2))*(1+Controls!$B$11)^328*(1+Controls!J$25*Smooth!$L330)*(1+Controls!J$26*Smooth!$M330)*(1+Controls!J$27*Smooth!$N330)*(1+Controls!J$28*Smooth!$O330)),2))</f>
        <v/>
      </c>
      <c r="F330" s="10" t="str">
        <f t="array" ref="F330">IF(OR($A330="",5&gt;Controls!$B$6),"",ROUND(MAX(0,Smooth!F330*Controls!F$17*INDEX(Controls!$B$21:$H$21,1,WEEKDAY($A330,2))*(1+Controls!$B$11)^328*(1+Controls!K$25*Smooth!$L330)*(1+Controls!K$26*Smooth!$M330)*(1+Controls!K$27*Smooth!$N330)*(1+Controls!K$28*Smooth!$O330)),2))</f>
        <v/>
      </c>
      <c r="G330" s="10" t="str">
        <f t="array" ref="G330">IF(OR($A330="",6&gt;Controls!$B$6),"",ROUND(MAX(0,Smooth!G330*Controls!G$17*INDEX(Controls!$B$21:$H$21,1,WEEKDAY($A330,2))*(1+Controls!$B$11)^328*(1+Controls!L$25*Smooth!$L330)*(1+Controls!L$26*Smooth!$M330)*(1+Controls!L$27*Smooth!$N330)*(1+Controls!L$28*Smooth!$O330)),2))</f>
        <v/>
      </c>
      <c r="H330" s="10" t="str">
        <f t="array" ref="H330">IF(OR($A330="",7&gt;Controls!$B$6),"",ROUND(MAX(0,Smooth!H330*Controls!H$17*INDEX(Controls!$B$21:$H$21,1,WEEKDAY($A330,2))*(1+Controls!$B$11)^328*(1+Controls!M$25*Smooth!$L330)*(1+Controls!M$26*Smooth!$M330)*(1+Controls!M$27*Smooth!$N330)*(1+Controls!M$28*Smooth!$O330)),2))</f>
        <v/>
      </c>
      <c r="I330" s="10" t="str">
        <f t="array" ref="I330">IF(OR($A330="",8&gt;Controls!$B$6),"",ROUND(MAX(0,Smooth!I330*Controls!I$17*INDEX(Controls!$B$21:$H$21,1,WEEKDAY($A330,2))*(1+Controls!$B$11)^328*(1+Controls!N$25*Smooth!$L330)*(1+Controls!N$26*Smooth!$M330)*(1+Controls!N$27*Smooth!$N330)*(1+Controls!N$28*Smooth!$O330)),2))</f>
        <v/>
      </c>
      <c r="J330" s="10" t="str">
        <f t="array" ref="J330">IF(OR($A330="",9&gt;Controls!$B$6),"",ROUND(MAX(0,Smooth!J330*Controls!J$17*INDEX(Controls!$B$21:$H$21,1,WEEKDAY($A330,2))*(1+Controls!$B$11)^328*(1+Controls!O$25*Smooth!$L330)*(1+Controls!O$26*Smooth!$M330)*(1+Controls!O$27*Smooth!$N330)*(1+Controls!O$28*Smooth!$O330)),2))</f>
        <v/>
      </c>
      <c r="K330" s="10" t="str">
        <f t="array" ref="K330">IF(OR($A330="",10&gt;Controls!$B$6),"",ROUND(MAX(0,Smooth!K330*Controls!K$17*INDEX(Controls!$B$21:$H$21,1,WEEKDAY($A330,2))*(1+Controls!$B$11)^328*(1+Controls!P$25*Smooth!$L330)*(1+Controls!P$26*Smooth!$M330)*(1+Controls!P$27*Smooth!$N330)*(1+Controls!P$28*Smooth!$O330)),2))</f>
        <v/>
      </c>
      <c r="L330" s="18" t="str">
        <f t="shared" si="1"/>
        <v/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21.0" customHeight="1">
      <c r="A331" s="7" t="str">
        <f>IF(330&lt;=Controls!$B$5,Controls!$B$4+329,"")</f>
        <v/>
      </c>
      <c r="B331" s="10" t="str">
        <f t="array" ref="B331">IF(OR($A331="",1&gt;Controls!$B$6),"",ROUND(MAX(0,Smooth!B331*Controls!B$17*INDEX(Controls!$B$21:$H$21,1,WEEKDAY($A331,2))*(1+Controls!$B$11)^329*(1+Controls!G$25*Smooth!$L331)*(1+Controls!G$26*Smooth!$M331)*(1+Controls!G$27*Smooth!$N331)*(1+Controls!G$28*Smooth!$O331)),2))</f>
        <v/>
      </c>
      <c r="C331" s="10" t="str">
        <f t="array" ref="C331">IF(OR($A331="",2&gt;Controls!$B$6),"",ROUND(MAX(0,Smooth!C331*Controls!C$17*INDEX(Controls!$B$21:$H$21,1,WEEKDAY($A331,2))*(1+Controls!$B$11)^329*(1+Controls!H$25*Smooth!$L331)*(1+Controls!H$26*Smooth!$M331)*(1+Controls!H$27*Smooth!$N331)*(1+Controls!H$28*Smooth!$O331)),2))</f>
        <v/>
      </c>
      <c r="D331" s="10" t="str">
        <f t="array" ref="D331">IF(OR($A331="",3&gt;Controls!$B$6),"",ROUND(MAX(0,Smooth!D331*Controls!D$17*INDEX(Controls!$B$21:$H$21,1,WEEKDAY($A331,2))*(1+Controls!$B$11)^329*(1+Controls!I$25*Smooth!$L331)*(1+Controls!I$26*Smooth!$M331)*(1+Controls!I$27*Smooth!$N331)*(1+Controls!I$28*Smooth!$O331)),2))</f>
        <v/>
      </c>
      <c r="E331" s="10" t="str">
        <f t="array" ref="E331">IF(OR($A331="",4&gt;Controls!$B$6),"",ROUND(MAX(0,Smooth!E331*Controls!E$17*INDEX(Controls!$B$21:$H$21,1,WEEKDAY($A331,2))*(1+Controls!$B$11)^329*(1+Controls!J$25*Smooth!$L331)*(1+Controls!J$26*Smooth!$M331)*(1+Controls!J$27*Smooth!$N331)*(1+Controls!J$28*Smooth!$O331)),2))</f>
        <v/>
      </c>
      <c r="F331" s="10" t="str">
        <f t="array" ref="F331">IF(OR($A331="",5&gt;Controls!$B$6),"",ROUND(MAX(0,Smooth!F331*Controls!F$17*INDEX(Controls!$B$21:$H$21,1,WEEKDAY($A331,2))*(1+Controls!$B$11)^329*(1+Controls!K$25*Smooth!$L331)*(1+Controls!K$26*Smooth!$M331)*(1+Controls!K$27*Smooth!$N331)*(1+Controls!K$28*Smooth!$O331)),2))</f>
        <v/>
      </c>
      <c r="G331" s="10" t="str">
        <f t="array" ref="G331">IF(OR($A331="",6&gt;Controls!$B$6),"",ROUND(MAX(0,Smooth!G331*Controls!G$17*INDEX(Controls!$B$21:$H$21,1,WEEKDAY($A331,2))*(1+Controls!$B$11)^329*(1+Controls!L$25*Smooth!$L331)*(1+Controls!L$26*Smooth!$M331)*(1+Controls!L$27*Smooth!$N331)*(1+Controls!L$28*Smooth!$O331)),2))</f>
        <v/>
      </c>
      <c r="H331" s="10" t="str">
        <f t="array" ref="H331">IF(OR($A331="",7&gt;Controls!$B$6),"",ROUND(MAX(0,Smooth!H331*Controls!H$17*INDEX(Controls!$B$21:$H$21,1,WEEKDAY($A331,2))*(1+Controls!$B$11)^329*(1+Controls!M$25*Smooth!$L331)*(1+Controls!M$26*Smooth!$M331)*(1+Controls!M$27*Smooth!$N331)*(1+Controls!M$28*Smooth!$O331)),2))</f>
        <v/>
      </c>
      <c r="I331" s="10" t="str">
        <f t="array" ref="I331">IF(OR($A331="",8&gt;Controls!$B$6),"",ROUND(MAX(0,Smooth!I331*Controls!I$17*INDEX(Controls!$B$21:$H$21,1,WEEKDAY($A331,2))*(1+Controls!$B$11)^329*(1+Controls!N$25*Smooth!$L331)*(1+Controls!N$26*Smooth!$M331)*(1+Controls!N$27*Smooth!$N331)*(1+Controls!N$28*Smooth!$O331)),2))</f>
        <v/>
      </c>
      <c r="J331" s="10" t="str">
        <f t="array" ref="J331">IF(OR($A331="",9&gt;Controls!$B$6),"",ROUND(MAX(0,Smooth!J331*Controls!J$17*INDEX(Controls!$B$21:$H$21,1,WEEKDAY($A331,2))*(1+Controls!$B$11)^329*(1+Controls!O$25*Smooth!$L331)*(1+Controls!O$26*Smooth!$M331)*(1+Controls!O$27*Smooth!$N331)*(1+Controls!O$28*Smooth!$O331)),2))</f>
        <v/>
      </c>
      <c r="K331" s="10" t="str">
        <f t="array" ref="K331">IF(OR($A331="",10&gt;Controls!$B$6),"",ROUND(MAX(0,Smooth!K331*Controls!K$17*INDEX(Controls!$B$21:$H$21,1,WEEKDAY($A331,2))*(1+Controls!$B$11)^329*(1+Controls!P$25*Smooth!$L331)*(1+Controls!P$26*Smooth!$M331)*(1+Controls!P$27*Smooth!$N331)*(1+Controls!P$28*Smooth!$O331)),2))</f>
        <v/>
      </c>
      <c r="L331" s="18" t="str">
        <f t="shared" si="1"/>
        <v/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21.0" customHeight="1">
      <c r="A332" s="7" t="str">
        <f>IF(331&lt;=Controls!$B$5,Controls!$B$4+330,"")</f>
        <v/>
      </c>
      <c r="B332" s="10" t="str">
        <f t="array" ref="B332">IF(OR($A332="",1&gt;Controls!$B$6),"",ROUND(MAX(0,Smooth!B332*Controls!B$17*INDEX(Controls!$B$21:$H$21,1,WEEKDAY($A332,2))*(1+Controls!$B$11)^330*(1+Controls!G$25*Smooth!$L332)*(1+Controls!G$26*Smooth!$M332)*(1+Controls!G$27*Smooth!$N332)*(1+Controls!G$28*Smooth!$O332)),2))</f>
        <v/>
      </c>
      <c r="C332" s="10" t="str">
        <f t="array" ref="C332">IF(OR($A332="",2&gt;Controls!$B$6),"",ROUND(MAX(0,Smooth!C332*Controls!C$17*INDEX(Controls!$B$21:$H$21,1,WEEKDAY($A332,2))*(1+Controls!$B$11)^330*(1+Controls!H$25*Smooth!$L332)*(1+Controls!H$26*Smooth!$M332)*(1+Controls!H$27*Smooth!$N332)*(1+Controls!H$28*Smooth!$O332)),2))</f>
        <v/>
      </c>
      <c r="D332" s="10" t="str">
        <f t="array" ref="D332">IF(OR($A332="",3&gt;Controls!$B$6),"",ROUND(MAX(0,Smooth!D332*Controls!D$17*INDEX(Controls!$B$21:$H$21,1,WEEKDAY($A332,2))*(1+Controls!$B$11)^330*(1+Controls!I$25*Smooth!$L332)*(1+Controls!I$26*Smooth!$M332)*(1+Controls!I$27*Smooth!$N332)*(1+Controls!I$28*Smooth!$O332)),2))</f>
        <v/>
      </c>
      <c r="E332" s="10" t="str">
        <f t="array" ref="E332">IF(OR($A332="",4&gt;Controls!$B$6),"",ROUND(MAX(0,Smooth!E332*Controls!E$17*INDEX(Controls!$B$21:$H$21,1,WEEKDAY($A332,2))*(1+Controls!$B$11)^330*(1+Controls!J$25*Smooth!$L332)*(1+Controls!J$26*Smooth!$M332)*(1+Controls!J$27*Smooth!$N332)*(1+Controls!J$28*Smooth!$O332)),2))</f>
        <v/>
      </c>
      <c r="F332" s="10" t="str">
        <f t="array" ref="F332">IF(OR($A332="",5&gt;Controls!$B$6),"",ROUND(MAX(0,Smooth!F332*Controls!F$17*INDEX(Controls!$B$21:$H$21,1,WEEKDAY($A332,2))*(1+Controls!$B$11)^330*(1+Controls!K$25*Smooth!$L332)*(1+Controls!K$26*Smooth!$M332)*(1+Controls!K$27*Smooth!$N332)*(1+Controls!K$28*Smooth!$O332)),2))</f>
        <v/>
      </c>
      <c r="G332" s="10" t="str">
        <f t="array" ref="G332">IF(OR($A332="",6&gt;Controls!$B$6),"",ROUND(MAX(0,Smooth!G332*Controls!G$17*INDEX(Controls!$B$21:$H$21,1,WEEKDAY($A332,2))*(1+Controls!$B$11)^330*(1+Controls!L$25*Smooth!$L332)*(1+Controls!L$26*Smooth!$M332)*(1+Controls!L$27*Smooth!$N332)*(1+Controls!L$28*Smooth!$O332)),2))</f>
        <v/>
      </c>
      <c r="H332" s="10" t="str">
        <f t="array" ref="H332">IF(OR($A332="",7&gt;Controls!$B$6),"",ROUND(MAX(0,Smooth!H332*Controls!H$17*INDEX(Controls!$B$21:$H$21,1,WEEKDAY($A332,2))*(1+Controls!$B$11)^330*(1+Controls!M$25*Smooth!$L332)*(1+Controls!M$26*Smooth!$M332)*(1+Controls!M$27*Smooth!$N332)*(1+Controls!M$28*Smooth!$O332)),2))</f>
        <v/>
      </c>
      <c r="I332" s="10" t="str">
        <f t="array" ref="I332">IF(OR($A332="",8&gt;Controls!$B$6),"",ROUND(MAX(0,Smooth!I332*Controls!I$17*INDEX(Controls!$B$21:$H$21,1,WEEKDAY($A332,2))*(1+Controls!$B$11)^330*(1+Controls!N$25*Smooth!$L332)*(1+Controls!N$26*Smooth!$M332)*(1+Controls!N$27*Smooth!$N332)*(1+Controls!N$28*Smooth!$O332)),2))</f>
        <v/>
      </c>
      <c r="J332" s="10" t="str">
        <f t="array" ref="J332">IF(OR($A332="",9&gt;Controls!$B$6),"",ROUND(MAX(0,Smooth!J332*Controls!J$17*INDEX(Controls!$B$21:$H$21,1,WEEKDAY($A332,2))*(1+Controls!$B$11)^330*(1+Controls!O$25*Smooth!$L332)*(1+Controls!O$26*Smooth!$M332)*(1+Controls!O$27*Smooth!$N332)*(1+Controls!O$28*Smooth!$O332)),2))</f>
        <v/>
      </c>
      <c r="K332" s="10" t="str">
        <f t="array" ref="K332">IF(OR($A332="",10&gt;Controls!$B$6),"",ROUND(MAX(0,Smooth!K332*Controls!K$17*INDEX(Controls!$B$21:$H$21,1,WEEKDAY($A332,2))*(1+Controls!$B$11)^330*(1+Controls!P$25*Smooth!$L332)*(1+Controls!P$26*Smooth!$M332)*(1+Controls!P$27*Smooth!$N332)*(1+Controls!P$28*Smooth!$O332)),2))</f>
        <v/>
      </c>
      <c r="L332" s="18" t="str">
        <f t="shared" si="1"/>
        <v/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21.0" customHeight="1">
      <c r="A333" s="7" t="str">
        <f>IF(332&lt;=Controls!$B$5,Controls!$B$4+331,"")</f>
        <v/>
      </c>
      <c r="B333" s="10" t="str">
        <f t="array" ref="B333">IF(OR($A333="",1&gt;Controls!$B$6),"",ROUND(MAX(0,Smooth!B333*Controls!B$17*INDEX(Controls!$B$21:$H$21,1,WEEKDAY($A333,2))*(1+Controls!$B$11)^331*(1+Controls!G$25*Smooth!$L333)*(1+Controls!G$26*Smooth!$M333)*(1+Controls!G$27*Smooth!$N333)*(1+Controls!G$28*Smooth!$O333)),2))</f>
        <v/>
      </c>
      <c r="C333" s="10" t="str">
        <f t="array" ref="C333">IF(OR($A333="",2&gt;Controls!$B$6),"",ROUND(MAX(0,Smooth!C333*Controls!C$17*INDEX(Controls!$B$21:$H$21,1,WEEKDAY($A333,2))*(1+Controls!$B$11)^331*(1+Controls!H$25*Smooth!$L333)*(1+Controls!H$26*Smooth!$M333)*(1+Controls!H$27*Smooth!$N333)*(1+Controls!H$28*Smooth!$O333)),2))</f>
        <v/>
      </c>
      <c r="D333" s="10" t="str">
        <f t="array" ref="D333">IF(OR($A333="",3&gt;Controls!$B$6),"",ROUND(MAX(0,Smooth!D333*Controls!D$17*INDEX(Controls!$B$21:$H$21,1,WEEKDAY($A333,2))*(1+Controls!$B$11)^331*(1+Controls!I$25*Smooth!$L333)*(1+Controls!I$26*Smooth!$M333)*(1+Controls!I$27*Smooth!$N333)*(1+Controls!I$28*Smooth!$O333)),2))</f>
        <v/>
      </c>
      <c r="E333" s="10" t="str">
        <f t="array" ref="E333">IF(OR($A333="",4&gt;Controls!$B$6),"",ROUND(MAX(0,Smooth!E333*Controls!E$17*INDEX(Controls!$B$21:$H$21,1,WEEKDAY($A333,2))*(1+Controls!$B$11)^331*(1+Controls!J$25*Smooth!$L333)*(1+Controls!J$26*Smooth!$M333)*(1+Controls!J$27*Smooth!$N333)*(1+Controls!J$28*Smooth!$O333)),2))</f>
        <v/>
      </c>
      <c r="F333" s="10" t="str">
        <f t="array" ref="F333">IF(OR($A333="",5&gt;Controls!$B$6),"",ROUND(MAX(0,Smooth!F333*Controls!F$17*INDEX(Controls!$B$21:$H$21,1,WEEKDAY($A333,2))*(1+Controls!$B$11)^331*(1+Controls!K$25*Smooth!$L333)*(1+Controls!K$26*Smooth!$M333)*(1+Controls!K$27*Smooth!$N333)*(1+Controls!K$28*Smooth!$O333)),2))</f>
        <v/>
      </c>
      <c r="G333" s="10" t="str">
        <f t="array" ref="G333">IF(OR($A333="",6&gt;Controls!$B$6),"",ROUND(MAX(0,Smooth!G333*Controls!G$17*INDEX(Controls!$B$21:$H$21,1,WEEKDAY($A333,2))*(1+Controls!$B$11)^331*(1+Controls!L$25*Smooth!$L333)*(1+Controls!L$26*Smooth!$M333)*(1+Controls!L$27*Smooth!$N333)*(1+Controls!L$28*Smooth!$O333)),2))</f>
        <v/>
      </c>
      <c r="H333" s="10" t="str">
        <f t="array" ref="H333">IF(OR($A333="",7&gt;Controls!$B$6),"",ROUND(MAX(0,Smooth!H333*Controls!H$17*INDEX(Controls!$B$21:$H$21,1,WEEKDAY($A333,2))*(1+Controls!$B$11)^331*(1+Controls!M$25*Smooth!$L333)*(1+Controls!M$26*Smooth!$M333)*(1+Controls!M$27*Smooth!$N333)*(1+Controls!M$28*Smooth!$O333)),2))</f>
        <v/>
      </c>
      <c r="I333" s="10" t="str">
        <f t="array" ref="I333">IF(OR($A333="",8&gt;Controls!$B$6),"",ROUND(MAX(0,Smooth!I333*Controls!I$17*INDEX(Controls!$B$21:$H$21,1,WEEKDAY($A333,2))*(1+Controls!$B$11)^331*(1+Controls!N$25*Smooth!$L333)*(1+Controls!N$26*Smooth!$M333)*(1+Controls!N$27*Smooth!$N333)*(1+Controls!N$28*Smooth!$O333)),2))</f>
        <v/>
      </c>
      <c r="J333" s="10" t="str">
        <f t="array" ref="J333">IF(OR($A333="",9&gt;Controls!$B$6),"",ROUND(MAX(0,Smooth!J333*Controls!J$17*INDEX(Controls!$B$21:$H$21,1,WEEKDAY($A333,2))*(1+Controls!$B$11)^331*(1+Controls!O$25*Smooth!$L333)*(1+Controls!O$26*Smooth!$M333)*(1+Controls!O$27*Smooth!$N333)*(1+Controls!O$28*Smooth!$O333)),2))</f>
        <v/>
      </c>
      <c r="K333" s="10" t="str">
        <f t="array" ref="K333">IF(OR($A333="",10&gt;Controls!$B$6),"",ROUND(MAX(0,Smooth!K333*Controls!K$17*INDEX(Controls!$B$21:$H$21,1,WEEKDAY($A333,2))*(1+Controls!$B$11)^331*(1+Controls!P$25*Smooth!$L333)*(1+Controls!P$26*Smooth!$M333)*(1+Controls!P$27*Smooth!$N333)*(1+Controls!P$28*Smooth!$O333)),2))</f>
        <v/>
      </c>
      <c r="L333" s="18" t="str">
        <f t="shared" si="1"/>
        <v/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21.0" customHeight="1">
      <c r="A334" s="7" t="str">
        <f>IF(333&lt;=Controls!$B$5,Controls!$B$4+332,"")</f>
        <v/>
      </c>
      <c r="B334" s="10" t="str">
        <f t="array" ref="B334">IF(OR($A334="",1&gt;Controls!$B$6),"",ROUND(MAX(0,Smooth!B334*Controls!B$17*INDEX(Controls!$B$21:$H$21,1,WEEKDAY($A334,2))*(1+Controls!$B$11)^332*(1+Controls!G$25*Smooth!$L334)*(1+Controls!G$26*Smooth!$M334)*(1+Controls!G$27*Smooth!$N334)*(1+Controls!G$28*Smooth!$O334)),2))</f>
        <v/>
      </c>
      <c r="C334" s="10" t="str">
        <f t="array" ref="C334">IF(OR($A334="",2&gt;Controls!$B$6),"",ROUND(MAX(0,Smooth!C334*Controls!C$17*INDEX(Controls!$B$21:$H$21,1,WEEKDAY($A334,2))*(1+Controls!$B$11)^332*(1+Controls!H$25*Smooth!$L334)*(1+Controls!H$26*Smooth!$M334)*(1+Controls!H$27*Smooth!$N334)*(1+Controls!H$28*Smooth!$O334)),2))</f>
        <v/>
      </c>
      <c r="D334" s="10" t="str">
        <f t="array" ref="D334">IF(OR($A334="",3&gt;Controls!$B$6),"",ROUND(MAX(0,Smooth!D334*Controls!D$17*INDEX(Controls!$B$21:$H$21,1,WEEKDAY($A334,2))*(1+Controls!$B$11)^332*(1+Controls!I$25*Smooth!$L334)*(1+Controls!I$26*Smooth!$M334)*(1+Controls!I$27*Smooth!$N334)*(1+Controls!I$28*Smooth!$O334)),2))</f>
        <v/>
      </c>
      <c r="E334" s="10" t="str">
        <f t="array" ref="E334">IF(OR($A334="",4&gt;Controls!$B$6),"",ROUND(MAX(0,Smooth!E334*Controls!E$17*INDEX(Controls!$B$21:$H$21,1,WEEKDAY($A334,2))*(1+Controls!$B$11)^332*(1+Controls!J$25*Smooth!$L334)*(1+Controls!J$26*Smooth!$M334)*(1+Controls!J$27*Smooth!$N334)*(1+Controls!J$28*Smooth!$O334)),2))</f>
        <v/>
      </c>
      <c r="F334" s="10" t="str">
        <f t="array" ref="F334">IF(OR($A334="",5&gt;Controls!$B$6),"",ROUND(MAX(0,Smooth!F334*Controls!F$17*INDEX(Controls!$B$21:$H$21,1,WEEKDAY($A334,2))*(1+Controls!$B$11)^332*(1+Controls!K$25*Smooth!$L334)*(1+Controls!K$26*Smooth!$M334)*(1+Controls!K$27*Smooth!$N334)*(1+Controls!K$28*Smooth!$O334)),2))</f>
        <v/>
      </c>
      <c r="G334" s="10" t="str">
        <f t="array" ref="G334">IF(OR($A334="",6&gt;Controls!$B$6),"",ROUND(MAX(0,Smooth!G334*Controls!G$17*INDEX(Controls!$B$21:$H$21,1,WEEKDAY($A334,2))*(1+Controls!$B$11)^332*(1+Controls!L$25*Smooth!$L334)*(1+Controls!L$26*Smooth!$M334)*(1+Controls!L$27*Smooth!$N334)*(1+Controls!L$28*Smooth!$O334)),2))</f>
        <v/>
      </c>
      <c r="H334" s="10" t="str">
        <f t="array" ref="H334">IF(OR($A334="",7&gt;Controls!$B$6),"",ROUND(MAX(0,Smooth!H334*Controls!H$17*INDEX(Controls!$B$21:$H$21,1,WEEKDAY($A334,2))*(1+Controls!$B$11)^332*(1+Controls!M$25*Smooth!$L334)*(1+Controls!M$26*Smooth!$M334)*(1+Controls!M$27*Smooth!$N334)*(1+Controls!M$28*Smooth!$O334)),2))</f>
        <v/>
      </c>
      <c r="I334" s="10" t="str">
        <f t="array" ref="I334">IF(OR($A334="",8&gt;Controls!$B$6),"",ROUND(MAX(0,Smooth!I334*Controls!I$17*INDEX(Controls!$B$21:$H$21,1,WEEKDAY($A334,2))*(1+Controls!$B$11)^332*(1+Controls!N$25*Smooth!$L334)*(1+Controls!N$26*Smooth!$M334)*(1+Controls!N$27*Smooth!$N334)*(1+Controls!N$28*Smooth!$O334)),2))</f>
        <v/>
      </c>
      <c r="J334" s="10" t="str">
        <f t="array" ref="J334">IF(OR($A334="",9&gt;Controls!$B$6),"",ROUND(MAX(0,Smooth!J334*Controls!J$17*INDEX(Controls!$B$21:$H$21,1,WEEKDAY($A334,2))*(1+Controls!$B$11)^332*(1+Controls!O$25*Smooth!$L334)*(1+Controls!O$26*Smooth!$M334)*(1+Controls!O$27*Smooth!$N334)*(1+Controls!O$28*Smooth!$O334)),2))</f>
        <v/>
      </c>
      <c r="K334" s="10" t="str">
        <f t="array" ref="K334">IF(OR($A334="",10&gt;Controls!$B$6),"",ROUND(MAX(0,Smooth!K334*Controls!K$17*INDEX(Controls!$B$21:$H$21,1,WEEKDAY($A334,2))*(1+Controls!$B$11)^332*(1+Controls!P$25*Smooth!$L334)*(1+Controls!P$26*Smooth!$M334)*(1+Controls!P$27*Smooth!$N334)*(1+Controls!P$28*Smooth!$O334)),2))</f>
        <v/>
      </c>
      <c r="L334" s="18" t="str">
        <f t="shared" si="1"/>
        <v/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21.0" customHeight="1">
      <c r="A335" s="7" t="str">
        <f>IF(334&lt;=Controls!$B$5,Controls!$B$4+333,"")</f>
        <v/>
      </c>
      <c r="B335" s="10" t="str">
        <f t="array" ref="B335">IF(OR($A335="",1&gt;Controls!$B$6),"",ROUND(MAX(0,Smooth!B335*Controls!B$17*INDEX(Controls!$B$21:$H$21,1,WEEKDAY($A335,2))*(1+Controls!$B$11)^333*(1+Controls!G$25*Smooth!$L335)*(1+Controls!G$26*Smooth!$M335)*(1+Controls!G$27*Smooth!$N335)*(1+Controls!G$28*Smooth!$O335)),2))</f>
        <v/>
      </c>
      <c r="C335" s="10" t="str">
        <f t="array" ref="C335">IF(OR($A335="",2&gt;Controls!$B$6),"",ROUND(MAX(0,Smooth!C335*Controls!C$17*INDEX(Controls!$B$21:$H$21,1,WEEKDAY($A335,2))*(1+Controls!$B$11)^333*(1+Controls!H$25*Smooth!$L335)*(1+Controls!H$26*Smooth!$M335)*(1+Controls!H$27*Smooth!$N335)*(1+Controls!H$28*Smooth!$O335)),2))</f>
        <v/>
      </c>
      <c r="D335" s="10" t="str">
        <f t="array" ref="D335">IF(OR($A335="",3&gt;Controls!$B$6),"",ROUND(MAX(0,Smooth!D335*Controls!D$17*INDEX(Controls!$B$21:$H$21,1,WEEKDAY($A335,2))*(1+Controls!$B$11)^333*(1+Controls!I$25*Smooth!$L335)*(1+Controls!I$26*Smooth!$M335)*(1+Controls!I$27*Smooth!$N335)*(1+Controls!I$28*Smooth!$O335)),2))</f>
        <v/>
      </c>
      <c r="E335" s="10" t="str">
        <f t="array" ref="E335">IF(OR($A335="",4&gt;Controls!$B$6),"",ROUND(MAX(0,Smooth!E335*Controls!E$17*INDEX(Controls!$B$21:$H$21,1,WEEKDAY($A335,2))*(1+Controls!$B$11)^333*(1+Controls!J$25*Smooth!$L335)*(1+Controls!J$26*Smooth!$M335)*(1+Controls!J$27*Smooth!$N335)*(1+Controls!J$28*Smooth!$O335)),2))</f>
        <v/>
      </c>
      <c r="F335" s="10" t="str">
        <f t="array" ref="F335">IF(OR($A335="",5&gt;Controls!$B$6),"",ROUND(MAX(0,Smooth!F335*Controls!F$17*INDEX(Controls!$B$21:$H$21,1,WEEKDAY($A335,2))*(1+Controls!$B$11)^333*(1+Controls!K$25*Smooth!$L335)*(1+Controls!K$26*Smooth!$M335)*(1+Controls!K$27*Smooth!$N335)*(1+Controls!K$28*Smooth!$O335)),2))</f>
        <v/>
      </c>
      <c r="G335" s="10" t="str">
        <f t="array" ref="G335">IF(OR($A335="",6&gt;Controls!$B$6),"",ROUND(MAX(0,Smooth!G335*Controls!G$17*INDEX(Controls!$B$21:$H$21,1,WEEKDAY($A335,2))*(1+Controls!$B$11)^333*(1+Controls!L$25*Smooth!$L335)*(1+Controls!L$26*Smooth!$M335)*(1+Controls!L$27*Smooth!$N335)*(1+Controls!L$28*Smooth!$O335)),2))</f>
        <v/>
      </c>
      <c r="H335" s="10" t="str">
        <f t="array" ref="H335">IF(OR($A335="",7&gt;Controls!$B$6),"",ROUND(MAX(0,Smooth!H335*Controls!H$17*INDEX(Controls!$B$21:$H$21,1,WEEKDAY($A335,2))*(1+Controls!$B$11)^333*(1+Controls!M$25*Smooth!$L335)*(1+Controls!M$26*Smooth!$M335)*(1+Controls!M$27*Smooth!$N335)*(1+Controls!M$28*Smooth!$O335)),2))</f>
        <v/>
      </c>
      <c r="I335" s="10" t="str">
        <f t="array" ref="I335">IF(OR($A335="",8&gt;Controls!$B$6),"",ROUND(MAX(0,Smooth!I335*Controls!I$17*INDEX(Controls!$B$21:$H$21,1,WEEKDAY($A335,2))*(1+Controls!$B$11)^333*(1+Controls!N$25*Smooth!$L335)*(1+Controls!N$26*Smooth!$M335)*(1+Controls!N$27*Smooth!$N335)*(1+Controls!N$28*Smooth!$O335)),2))</f>
        <v/>
      </c>
      <c r="J335" s="10" t="str">
        <f t="array" ref="J335">IF(OR($A335="",9&gt;Controls!$B$6),"",ROUND(MAX(0,Smooth!J335*Controls!J$17*INDEX(Controls!$B$21:$H$21,1,WEEKDAY($A335,2))*(1+Controls!$B$11)^333*(1+Controls!O$25*Smooth!$L335)*(1+Controls!O$26*Smooth!$M335)*(1+Controls!O$27*Smooth!$N335)*(1+Controls!O$28*Smooth!$O335)),2))</f>
        <v/>
      </c>
      <c r="K335" s="10" t="str">
        <f t="array" ref="K335">IF(OR($A335="",10&gt;Controls!$B$6),"",ROUND(MAX(0,Smooth!K335*Controls!K$17*INDEX(Controls!$B$21:$H$21,1,WEEKDAY($A335,2))*(1+Controls!$B$11)^333*(1+Controls!P$25*Smooth!$L335)*(1+Controls!P$26*Smooth!$M335)*(1+Controls!P$27*Smooth!$N335)*(1+Controls!P$28*Smooth!$O335)),2))</f>
        <v/>
      </c>
      <c r="L335" s="18" t="str">
        <f t="shared" si="1"/>
        <v/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21.0" customHeight="1">
      <c r="A336" s="7" t="str">
        <f>IF(335&lt;=Controls!$B$5,Controls!$B$4+334,"")</f>
        <v/>
      </c>
      <c r="B336" s="10" t="str">
        <f t="array" ref="B336">IF(OR($A336="",1&gt;Controls!$B$6),"",ROUND(MAX(0,Smooth!B336*Controls!B$17*INDEX(Controls!$B$21:$H$21,1,WEEKDAY($A336,2))*(1+Controls!$B$11)^334*(1+Controls!G$25*Smooth!$L336)*(1+Controls!G$26*Smooth!$M336)*(1+Controls!G$27*Smooth!$N336)*(1+Controls!G$28*Smooth!$O336)),2))</f>
        <v/>
      </c>
      <c r="C336" s="10" t="str">
        <f t="array" ref="C336">IF(OR($A336="",2&gt;Controls!$B$6),"",ROUND(MAX(0,Smooth!C336*Controls!C$17*INDEX(Controls!$B$21:$H$21,1,WEEKDAY($A336,2))*(1+Controls!$B$11)^334*(1+Controls!H$25*Smooth!$L336)*(1+Controls!H$26*Smooth!$M336)*(1+Controls!H$27*Smooth!$N336)*(1+Controls!H$28*Smooth!$O336)),2))</f>
        <v/>
      </c>
      <c r="D336" s="10" t="str">
        <f t="array" ref="D336">IF(OR($A336="",3&gt;Controls!$B$6),"",ROUND(MAX(0,Smooth!D336*Controls!D$17*INDEX(Controls!$B$21:$H$21,1,WEEKDAY($A336,2))*(1+Controls!$B$11)^334*(1+Controls!I$25*Smooth!$L336)*(1+Controls!I$26*Smooth!$M336)*(1+Controls!I$27*Smooth!$N336)*(1+Controls!I$28*Smooth!$O336)),2))</f>
        <v/>
      </c>
      <c r="E336" s="10" t="str">
        <f t="array" ref="E336">IF(OR($A336="",4&gt;Controls!$B$6),"",ROUND(MAX(0,Smooth!E336*Controls!E$17*INDEX(Controls!$B$21:$H$21,1,WEEKDAY($A336,2))*(1+Controls!$B$11)^334*(1+Controls!J$25*Smooth!$L336)*(1+Controls!J$26*Smooth!$M336)*(1+Controls!J$27*Smooth!$N336)*(1+Controls!J$28*Smooth!$O336)),2))</f>
        <v/>
      </c>
      <c r="F336" s="10" t="str">
        <f t="array" ref="F336">IF(OR($A336="",5&gt;Controls!$B$6),"",ROUND(MAX(0,Smooth!F336*Controls!F$17*INDEX(Controls!$B$21:$H$21,1,WEEKDAY($A336,2))*(1+Controls!$B$11)^334*(1+Controls!K$25*Smooth!$L336)*(1+Controls!K$26*Smooth!$M336)*(1+Controls!K$27*Smooth!$N336)*(1+Controls!K$28*Smooth!$O336)),2))</f>
        <v/>
      </c>
      <c r="G336" s="10" t="str">
        <f t="array" ref="G336">IF(OR($A336="",6&gt;Controls!$B$6),"",ROUND(MAX(0,Smooth!G336*Controls!G$17*INDEX(Controls!$B$21:$H$21,1,WEEKDAY($A336,2))*(1+Controls!$B$11)^334*(1+Controls!L$25*Smooth!$L336)*(1+Controls!L$26*Smooth!$M336)*(1+Controls!L$27*Smooth!$N336)*(1+Controls!L$28*Smooth!$O336)),2))</f>
        <v/>
      </c>
      <c r="H336" s="10" t="str">
        <f t="array" ref="H336">IF(OR($A336="",7&gt;Controls!$B$6),"",ROUND(MAX(0,Smooth!H336*Controls!H$17*INDEX(Controls!$B$21:$H$21,1,WEEKDAY($A336,2))*(1+Controls!$B$11)^334*(1+Controls!M$25*Smooth!$L336)*(1+Controls!M$26*Smooth!$M336)*(1+Controls!M$27*Smooth!$N336)*(1+Controls!M$28*Smooth!$O336)),2))</f>
        <v/>
      </c>
      <c r="I336" s="10" t="str">
        <f t="array" ref="I336">IF(OR($A336="",8&gt;Controls!$B$6),"",ROUND(MAX(0,Smooth!I336*Controls!I$17*INDEX(Controls!$B$21:$H$21,1,WEEKDAY($A336,2))*(1+Controls!$B$11)^334*(1+Controls!N$25*Smooth!$L336)*(1+Controls!N$26*Smooth!$M336)*(1+Controls!N$27*Smooth!$N336)*(1+Controls!N$28*Smooth!$O336)),2))</f>
        <v/>
      </c>
      <c r="J336" s="10" t="str">
        <f t="array" ref="J336">IF(OR($A336="",9&gt;Controls!$B$6),"",ROUND(MAX(0,Smooth!J336*Controls!J$17*INDEX(Controls!$B$21:$H$21,1,WEEKDAY($A336,2))*(1+Controls!$B$11)^334*(1+Controls!O$25*Smooth!$L336)*(1+Controls!O$26*Smooth!$M336)*(1+Controls!O$27*Smooth!$N336)*(1+Controls!O$28*Smooth!$O336)),2))</f>
        <v/>
      </c>
      <c r="K336" s="10" t="str">
        <f t="array" ref="K336">IF(OR($A336="",10&gt;Controls!$B$6),"",ROUND(MAX(0,Smooth!K336*Controls!K$17*INDEX(Controls!$B$21:$H$21,1,WEEKDAY($A336,2))*(1+Controls!$B$11)^334*(1+Controls!P$25*Smooth!$L336)*(1+Controls!P$26*Smooth!$M336)*(1+Controls!P$27*Smooth!$N336)*(1+Controls!P$28*Smooth!$O336)),2))</f>
        <v/>
      </c>
      <c r="L336" s="18" t="str">
        <f t="shared" si="1"/>
        <v/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21.0" customHeight="1">
      <c r="A337" s="7" t="str">
        <f>IF(336&lt;=Controls!$B$5,Controls!$B$4+335,"")</f>
        <v/>
      </c>
      <c r="B337" s="10" t="str">
        <f t="array" ref="B337">IF(OR($A337="",1&gt;Controls!$B$6),"",ROUND(MAX(0,Smooth!B337*Controls!B$17*INDEX(Controls!$B$21:$H$21,1,WEEKDAY($A337,2))*(1+Controls!$B$11)^335*(1+Controls!G$25*Smooth!$L337)*(1+Controls!G$26*Smooth!$M337)*(1+Controls!G$27*Smooth!$N337)*(1+Controls!G$28*Smooth!$O337)),2))</f>
        <v/>
      </c>
      <c r="C337" s="10" t="str">
        <f t="array" ref="C337">IF(OR($A337="",2&gt;Controls!$B$6),"",ROUND(MAX(0,Smooth!C337*Controls!C$17*INDEX(Controls!$B$21:$H$21,1,WEEKDAY($A337,2))*(1+Controls!$B$11)^335*(1+Controls!H$25*Smooth!$L337)*(1+Controls!H$26*Smooth!$M337)*(1+Controls!H$27*Smooth!$N337)*(1+Controls!H$28*Smooth!$O337)),2))</f>
        <v/>
      </c>
      <c r="D337" s="10" t="str">
        <f t="array" ref="D337">IF(OR($A337="",3&gt;Controls!$B$6),"",ROUND(MAX(0,Smooth!D337*Controls!D$17*INDEX(Controls!$B$21:$H$21,1,WEEKDAY($A337,2))*(1+Controls!$B$11)^335*(1+Controls!I$25*Smooth!$L337)*(1+Controls!I$26*Smooth!$M337)*(1+Controls!I$27*Smooth!$N337)*(1+Controls!I$28*Smooth!$O337)),2))</f>
        <v/>
      </c>
      <c r="E337" s="10" t="str">
        <f t="array" ref="E337">IF(OR($A337="",4&gt;Controls!$B$6),"",ROUND(MAX(0,Smooth!E337*Controls!E$17*INDEX(Controls!$B$21:$H$21,1,WEEKDAY($A337,2))*(1+Controls!$B$11)^335*(1+Controls!J$25*Smooth!$L337)*(1+Controls!J$26*Smooth!$M337)*(1+Controls!J$27*Smooth!$N337)*(1+Controls!J$28*Smooth!$O337)),2))</f>
        <v/>
      </c>
      <c r="F337" s="10" t="str">
        <f t="array" ref="F337">IF(OR($A337="",5&gt;Controls!$B$6),"",ROUND(MAX(0,Smooth!F337*Controls!F$17*INDEX(Controls!$B$21:$H$21,1,WEEKDAY($A337,2))*(1+Controls!$B$11)^335*(1+Controls!K$25*Smooth!$L337)*(1+Controls!K$26*Smooth!$M337)*(1+Controls!K$27*Smooth!$N337)*(1+Controls!K$28*Smooth!$O337)),2))</f>
        <v/>
      </c>
      <c r="G337" s="10" t="str">
        <f t="array" ref="G337">IF(OR($A337="",6&gt;Controls!$B$6),"",ROUND(MAX(0,Smooth!G337*Controls!G$17*INDEX(Controls!$B$21:$H$21,1,WEEKDAY($A337,2))*(1+Controls!$B$11)^335*(1+Controls!L$25*Smooth!$L337)*(1+Controls!L$26*Smooth!$M337)*(1+Controls!L$27*Smooth!$N337)*(1+Controls!L$28*Smooth!$O337)),2))</f>
        <v/>
      </c>
      <c r="H337" s="10" t="str">
        <f t="array" ref="H337">IF(OR($A337="",7&gt;Controls!$B$6),"",ROUND(MAX(0,Smooth!H337*Controls!H$17*INDEX(Controls!$B$21:$H$21,1,WEEKDAY($A337,2))*(1+Controls!$B$11)^335*(1+Controls!M$25*Smooth!$L337)*(1+Controls!M$26*Smooth!$M337)*(1+Controls!M$27*Smooth!$N337)*(1+Controls!M$28*Smooth!$O337)),2))</f>
        <v/>
      </c>
      <c r="I337" s="10" t="str">
        <f t="array" ref="I337">IF(OR($A337="",8&gt;Controls!$B$6),"",ROUND(MAX(0,Smooth!I337*Controls!I$17*INDEX(Controls!$B$21:$H$21,1,WEEKDAY($A337,2))*(1+Controls!$B$11)^335*(1+Controls!N$25*Smooth!$L337)*(1+Controls!N$26*Smooth!$M337)*(1+Controls!N$27*Smooth!$N337)*(1+Controls!N$28*Smooth!$O337)),2))</f>
        <v/>
      </c>
      <c r="J337" s="10" t="str">
        <f t="array" ref="J337">IF(OR($A337="",9&gt;Controls!$B$6),"",ROUND(MAX(0,Smooth!J337*Controls!J$17*INDEX(Controls!$B$21:$H$21,1,WEEKDAY($A337,2))*(1+Controls!$B$11)^335*(1+Controls!O$25*Smooth!$L337)*(1+Controls!O$26*Smooth!$M337)*(1+Controls!O$27*Smooth!$N337)*(1+Controls!O$28*Smooth!$O337)),2))</f>
        <v/>
      </c>
      <c r="K337" s="10" t="str">
        <f t="array" ref="K337">IF(OR($A337="",10&gt;Controls!$B$6),"",ROUND(MAX(0,Smooth!K337*Controls!K$17*INDEX(Controls!$B$21:$H$21,1,WEEKDAY($A337,2))*(1+Controls!$B$11)^335*(1+Controls!P$25*Smooth!$L337)*(1+Controls!P$26*Smooth!$M337)*(1+Controls!P$27*Smooth!$N337)*(1+Controls!P$28*Smooth!$O337)),2))</f>
        <v/>
      </c>
      <c r="L337" s="18" t="str">
        <f t="shared" si="1"/>
        <v/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21.0" customHeight="1">
      <c r="A338" s="7" t="str">
        <f>IF(337&lt;=Controls!$B$5,Controls!$B$4+336,"")</f>
        <v/>
      </c>
      <c r="B338" s="10" t="str">
        <f t="array" ref="B338">IF(OR($A338="",1&gt;Controls!$B$6),"",ROUND(MAX(0,Smooth!B338*Controls!B$17*INDEX(Controls!$B$21:$H$21,1,WEEKDAY($A338,2))*(1+Controls!$B$11)^336*(1+Controls!G$25*Smooth!$L338)*(1+Controls!G$26*Smooth!$M338)*(1+Controls!G$27*Smooth!$N338)*(1+Controls!G$28*Smooth!$O338)),2))</f>
        <v/>
      </c>
      <c r="C338" s="10" t="str">
        <f t="array" ref="C338">IF(OR($A338="",2&gt;Controls!$B$6),"",ROUND(MAX(0,Smooth!C338*Controls!C$17*INDEX(Controls!$B$21:$H$21,1,WEEKDAY($A338,2))*(1+Controls!$B$11)^336*(1+Controls!H$25*Smooth!$L338)*(1+Controls!H$26*Smooth!$M338)*(1+Controls!H$27*Smooth!$N338)*(1+Controls!H$28*Smooth!$O338)),2))</f>
        <v/>
      </c>
      <c r="D338" s="10" t="str">
        <f t="array" ref="D338">IF(OR($A338="",3&gt;Controls!$B$6),"",ROUND(MAX(0,Smooth!D338*Controls!D$17*INDEX(Controls!$B$21:$H$21,1,WEEKDAY($A338,2))*(1+Controls!$B$11)^336*(1+Controls!I$25*Smooth!$L338)*(1+Controls!I$26*Smooth!$M338)*(1+Controls!I$27*Smooth!$N338)*(1+Controls!I$28*Smooth!$O338)),2))</f>
        <v/>
      </c>
      <c r="E338" s="10" t="str">
        <f t="array" ref="E338">IF(OR($A338="",4&gt;Controls!$B$6),"",ROUND(MAX(0,Smooth!E338*Controls!E$17*INDEX(Controls!$B$21:$H$21,1,WEEKDAY($A338,2))*(1+Controls!$B$11)^336*(1+Controls!J$25*Smooth!$L338)*(1+Controls!J$26*Smooth!$M338)*(1+Controls!J$27*Smooth!$N338)*(1+Controls!J$28*Smooth!$O338)),2))</f>
        <v/>
      </c>
      <c r="F338" s="10" t="str">
        <f t="array" ref="F338">IF(OR($A338="",5&gt;Controls!$B$6),"",ROUND(MAX(0,Smooth!F338*Controls!F$17*INDEX(Controls!$B$21:$H$21,1,WEEKDAY($A338,2))*(1+Controls!$B$11)^336*(1+Controls!K$25*Smooth!$L338)*(1+Controls!K$26*Smooth!$M338)*(1+Controls!K$27*Smooth!$N338)*(1+Controls!K$28*Smooth!$O338)),2))</f>
        <v/>
      </c>
      <c r="G338" s="10" t="str">
        <f t="array" ref="G338">IF(OR($A338="",6&gt;Controls!$B$6),"",ROUND(MAX(0,Smooth!G338*Controls!G$17*INDEX(Controls!$B$21:$H$21,1,WEEKDAY($A338,2))*(1+Controls!$B$11)^336*(1+Controls!L$25*Smooth!$L338)*(1+Controls!L$26*Smooth!$M338)*(1+Controls!L$27*Smooth!$N338)*(1+Controls!L$28*Smooth!$O338)),2))</f>
        <v/>
      </c>
      <c r="H338" s="10" t="str">
        <f t="array" ref="H338">IF(OR($A338="",7&gt;Controls!$B$6),"",ROUND(MAX(0,Smooth!H338*Controls!H$17*INDEX(Controls!$B$21:$H$21,1,WEEKDAY($A338,2))*(1+Controls!$B$11)^336*(1+Controls!M$25*Smooth!$L338)*(1+Controls!M$26*Smooth!$M338)*(1+Controls!M$27*Smooth!$N338)*(1+Controls!M$28*Smooth!$O338)),2))</f>
        <v/>
      </c>
      <c r="I338" s="10" t="str">
        <f t="array" ref="I338">IF(OR($A338="",8&gt;Controls!$B$6),"",ROUND(MAX(0,Smooth!I338*Controls!I$17*INDEX(Controls!$B$21:$H$21,1,WEEKDAY($A338,2))*(1+Controls!$B$11)^336*(1+Controls!N$25*Smooth!$L338)*(1+Controls!N$26*Smooth!$M338)*(1+Controls!N$27*Smooth!$N338)*(1+Controls!N$28*Smooth!$O338)),2))</f>
        <v/>
      </c>
      <c r="J338" s="10" t="str">
        <f t="array" ref="J338">IF(OR($A338="",9&gt;Controls!$B$6),"",ROUND(MAX(0,Smooth!J338*Controls!J$17*INDEX(Controls!$B$21:$H$21,1,WEEKDAY($A338,2))*(1+Controls!$B$11)^336*(1+Controls!O$25*Smooth!$L338)*(1+Controls!O$26*Smooth!$M338)*(1+Controls!O$27*Smooth!$N338)*(1+Controls!O$28*Smooth!$O338)),2))</f>
        <v/>
      </c>
      <c r="K338" s="10" t="str">
        <f t="array" ref="K338">IF(OR($A338="",10&gt;Controls!$B$6),"",ROUND(MAX(0,Smooth!K338*Controls!K$17*INDEX(Controls!$B$21:$H$21,1,WEEKDAY($A338,2))*(1+Controls!$B$11)^336*(1+Controls!P$25*Smooth!$L338)*(1+Controls!P$26*Smooth!$M338)*(1+Controls!P$27*Smooth!$N338)*(1+Controls!P$28*Smooth!$O338)),2))</f>
        <v/>
      </c>
      <c r="L338" s="18" t="str">
        <f t="shared" si="1"/>
        <v/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21.0" customHeight="1">
      <c r="A339" s="7" t="str">
        <f>IF(338&lt;=Controls!$B$5,Controls!$B$4+337,"")</f>
        <v/>
      </c>
      <c r="B339" s="10" t="str">
        <f t="array" ref="B339">IF(OR($A339="",1&gt;Controls!$B$6),"",ROUND(MAX(0,Smooth!B339*Controls!B$17*INDEX(Controls!$B$21:$H$21,1,WEEKDAY($A339,2))*(1+Controls!$B$11)^337*(1+Controls!G$25*Smooth!$L339)*(1+Controls!G$26*Smooth!$M339)*(1+Controls!G$27*Smooth!$N339)*(1+Controls!G$28*Smooth!$O339)),2))</f>
        <v/>
      </c>
      <c r="C339" s="10" t="str">
        <f t="array" ref="C339">IF(OR($A339="",2&gt;Controls!$B$6),"",ROUND(MAX(0,Smooth!C339*Controls!C$17*INDEX(Controls!$B$21:$H$21,1,WEEKDAY($A339,2))*(1+Controls!$B$11)^337*(1+Controls!H$25*Smooth!$L339)*(1+Controls!H$26*Smooth!$M339)*(1+Controls!H$27*Smooth!$N339)*(1+Controls!H$28*Smooth!$O339)),2))</f>
        <v/>
      </c>
      <c r="D339" s="10" t="str">
        <f t="array" ref="D339">IF(OR($A339="",3&gt;Controls!$B$6),"",ROUND(MAX(0,Smooth!D339*Controls!D$17*INDEX(Controls!$B$21:$H$21,1,WEEKDAY($A339,2))*(1+Controls!$B$11)^337*(1+Controls!I$25*Smooth!$L339)*(1+Controls!I$26*Smooth!$M339)*(1+Controls!I$27*Smooth!$N339)*(1+Controls!I$28*Smooth!$O339)),2))</f>
        <v/>
      </c>
      <c r="E339" s="10" t="str">
        <f t="array" ref="E339">IF(OR($A339="",4&gt;Controls!$B$6),"",ROUND(MAX(0,Smooth!E339*Controls!E$17*INDEX(Controls!$B$21:$H$21,1,WEEKDAY($A339,2))*(1+Controls!$B$11)^337*(1+Controls!J$25*Smooth!$L339)*(1+Controls!J$26*Smooth!$M339)*(1+Controls!J$27*Smooth!$N339)*(1+Controls!J$28*Smooth!$O339)),2))</f>
        <v/>
      </c>
      <c r="F339" s="10" t="str">
        <f t="array" ref="F339">IF(OR($A339="",5&gt;Controls!$B$6),"",ROUND(MAX(0,Smooth!F339*Controls!F$17*INDEX(Controls!$B$21:$H$21,1,WEEKDAY($A339,2))*(1+Controls!$B$11)^337*(1+Controls!K$25*Smooth!$L339)*(1+Controls!K$26*Smooth!$M339)*(1+Controls!K$27*Smooth!$N339)*(1+Controls!K$28*Smooth!$O339)),2))</f>
        <v/>
      </c>
      <c r="G339" s="10" t="str">
        <f t="array" ref="G339">IF(OR($A339="",6&gt;Controls!$B$6),"",ROUND(MAX(0,Smooth!G339*Controls!G$17*INDEX(Controls!$B$21:$H$21,1,WEEKDAY($A339,2))*(1+Controls!$B$11)^337*(1+Controls!L$25*Smooth!$L339)*(1+Controls!L$26*Smooth!$M339)*(1+Controls!L$27*Smooth!$N339)*(1+Controls!L$28*Smooth!$O339)),2))</f>
        <v/>
      </c>
      <c r="H339" s="10" t="str">
        <f t="array" ref="H339">IF(OR($A339="",7&gt;Controls!$B$6),"",ROUND(MAX(0,Smooth!H339*Controls!H$17*INDEX(Controls!$B$21:$H$21,1,WEEKDAY($A339,2))*(1+Controls!$B$11)^337*(1+Controls!M$25*Smooth!$L339)*(1+Controls!M$26*Smooth!$M339)*(1+Controls!M$27*Smooth!$N339)*(1+Controls!M$28*Smooth!$O339)),2))</f>
        <v/>
      </c>
      <c r="I339" s="10" t="str">
        <f t="array" ref="I339">IF(OR($A339="",8&gt;Controls!$B$6),"",ROUND(MAX(0,Smooth!I339*Controls!I$17*INDEX(Controls!$B$21:$H$21,1,WEEKDAY($A339,2))*(1+Controls!$B$11)^337*(1+Controls!N$25*Smooth!$L339)*(1+Controls!N$26*Smooth!$M339)*(1+Controls!N$27*Smooth!$N339)*(1+Controls!N$28*Smooth!$O339)),2))</f>
        <v/>
      </c>
      <c r="J339" s="10" t="str">
        <f t="array" ref="J339">IF(OR($A339="",9&gt;Controls!$B$6),"",ROUND(MAX(0,Smooth!J339*Controls!J$17*INDEX(Controls!$B$21:$H$21,1,WEEKDAY($A339,2))*(1+Controls!$B$11)^337*(1+Controls!O$25*Smooth!$L339)*(1+Controls!O$26*Smooth!$M339)*(1+Controls!O$27*Smooth!$N339)*(1+Controls!O$28*Smooth!$O339)),2))</f>
        <v/>
      </c>
      <c r="K339" s="10" t="str">
        <f t="array" ref="K339">IF(OR($A339="",10&gt;Controls!$B$6),"",ROUND(MAX(0,Smooth!K339*Controls!K$17*INDEX(Controls!$B$21:$H$21,1,WEEKDAY($A339,2))*(1+Controls!$B$11)^337*(1+Controls!P$25*Smooth!$L339)*(1+Controls!P$26*Smooth!$M339)*(1+Controls!P$27*Smooth!$N339)*(1+Controls!P$28*Smooth!$O339)),2))</f>
        <v/>
      </c>
      <c r="L339" s="18" t="str">
        <f t="shared" si="1"/>
        <v/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21.0" customHeight="1">
      <c r="A340" s="7" t="str">
        <f>IF(339&lt;=Controls!$B$5,Controls!$B$4+338,"")</f>
        <v/>
      </c>
      <c r="B340" s="10" t="str">
        <f t="array" ref="B340">IF(OR($A340="",1&gt;Controls!$B$6),"",ROUND(MAX(0,Smooth!B340*Controls!B$17*INDEX(Controls!$B$21:$H$21,1,WEEKDAY($A340,2))*(1+Controls!$B$11)^338*(1+Controls!G$25*Smooth!$L340)*(1+Controls!G$26*Smooth!$M340)*(1+Controls!G$27*Smooth!$N340)*(1+Controls!G$28*Smooth!$O340)),2))</f>
        <v/>
      </c>
      <c r="C340" s="10" t="str">
        <f t="array" ref="C340">IF(OR($A340="",2&gt;Controls!$B$6),"",ROUND(MAX(0,Smooth!C340*Controls!C$17*INDEX(Controls!$B$21:$H$21,1,WEEKDAY($A340,2))*(1+Controls!$B$11)^338*(1+Controls!H$25*Smooth!$L340)*(1+Controls!H$26*Smooth!$M340)*(1+Controls!H$27*Smooth!$N340)*(1+Controls!H$28*Smooth!$O340)),2))</f>
        <v/>
      </c>
      <c r="D340" s="10" t="str">
        <f t="array" ref="D340">IF(OR($A340="",3&gt;Controls!$B$6),"",ROUND(MAX(0,Smooth!D340*Controls!D$17*INDEX(Controls!$B$21:$H$21,1,WEEKDAY($A340,2))*(1+Controls!$B$11)^338*(1+Controls!I$25*Smooth!$L340)*(1+Controls!I$26*Smooth!$M340)*(1+Controls!I$27*Smooth!$N340)*(1+Controls!I$28*Smooth!$O340)),2))</f>
        <v/>
      </c>
      <c r="E340" s="10" t="str">
        <f t="array" ref="E340">IF(OR($A340="",4&gt;Controls!$B$6),"",ROUND(MAX(0,Smooth!E340*Controls!E$17*INDEX(Controls!$B$21:$H$21,1,WEEKDAY($A340,2))*(1+Controls!$B$11)^338*(1+Controls!J$25*Smooth!$L340)*(1+Controls!J$26*Smooth!$M340)*(1+Controls!J$27*Smooth!$N340)*(1+Controls!J$28*Smooth!$O340)),2))</f>
        <v/>
      </c>
      <c r="F340" s="10" t="str">
        <f t="array" ref="F340">IF(OR($A340="",5&gt;Controls!$B$6),"",ROUND(MAX(0,Smooth!F340*Controls!F$17*INDEX(Controls!$B$21:$H$21,1,WEEKDAY($A340,2))*(1+Controls!$B$11)^338*(1+Controls!K$25*Smooth!$L340)*(1+Controls!K$26*Smooth!$M340)*(1+Controls!K$27*Smooth!$N340)*(1+Controls!K$28*Smooth!$O340)),2))</f>
        <v/>
      </c>
      <c r="G340" s="10" t="str">
        <f t="array" ref="G340">IF(OR($A340="",6&gt;Controls!$B$6),"",ROUND(MAX(0,Smooth!G340*Controls!G$17*INDEX(Controls!$B$21:$H$21,1,WEEKDAY($A340,2))*(1+Controls!$B$11)^338*(1+Controls!L$25*Smooth!$L340)*(1+Controls!L$26*Smooth!$M340)*(1+Controls!L$27*Smooth!$N340)*(1+Controls!L$28*Smooth!$O340)),2))</f>
        <v/>
      </c>
      <c r="H340" s="10" t="str">
        <f t="array" ref="H340">IF(OR($A340="",7&gt;Controls!$B$6),"",ROUND(MAX(0,Smooth!H340*Controls!H$17*INDEX(Controls!$B$21:$H$21,1,WEEKDAY($A340,2))*(1+Controls!$B$11)^338*(1+Controls!M$25*Smooth!$L340)*(1+Controls!M$26*Smooth!$M340)*(1+Controls!M$27*Smooth!$N340)*(1+Controls!M$28*Smooth!$O340)),2))</f>
        <v/>
      </c>
      <c r="I340" s="10" t="str">
        <f t="array" ref="I340">IF(OR($A340="",8&gt;Controls!$B$6),"",ROUND(MAX(0,Smooth!I340*Controls!I$17*INDEX(Controls!$B$21:$H$21,1,WEEKDAY($A340,2))*(1+Controls!$B$11)^338*(1+Controls!N$25*Smooth!$L340)*(1+Controls!N$26*Smooth!$M340)*(1+Controls!N$27*Smooth!$N340)*(1+Controls!N$28*Smooth!$O340)),2))</f>
        <v/>
      </c>
      <c r="J340" s="10" t="str">
        <f t="array" ref="J340">IF(OR($A340="",9&gt;Controls!$B$6),"",ROUND(MAX(0,Smooth!J340*Controls!J$17*INDEX(Controls!$B$21:$H$21,1,WEEKDAY($A340,2))*(1+Controls!$B$11)^338*(1+Controls!O$25*Smooth!$L340)*(1+Controls!O$26*Smooth!$M340)*(1+Controls!O$27*Smooth!$N340)*(1+Controls!O$28*Smooth!$O340)),2))</f>
        <v/>
      </c>
      <c r="K340" s="10" t="str">
        <f t="array" ref="K340">IF(OR($A340="",10&gt;Controls!$B$6),"",ROUND(MAX(0,Smooth!K340*Controls!K$17*INDEX(Controls!$B$21:$H$21,1,WEEKDAY($A340,2))*(1+Controls!$B$11)^338*(1+Controls!P$25*Smooth!$L340)*(1+Controls!P$26*Smooth!$M340)*(1+Controls!P$27*Smooth!$N340)*(1+Controls!P$28*Smooth!$O340)),2))</f>
        <v/>
      </c>
      <c r="L340" s="18" t="str">
        <f t="shared" si="1"/>
        <v/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21.0" customHeight="1">
      <c r="A341" s="7" t="str">
        <f>IF(340&lt;=Controls!$B$5,Controls!$B$4+339,"")</f>
        <v/>
      </c>
      <c r="B341" s="10" t="str">
        <f t="array" ref="B341">IF(OR($A341="",1&gt;Controls!$B$6),"",ROUND(MAX(0,Smooth!B341*Controls!B$17*INDEX(Controls!$B$21:$H$21,1,WEEKDAY($A341,2))*(1+Controls!$B$11)^339*(1+Controls!G$25*Smooth!$L341)*(1+Controls!G$26*Smooth!$M341)*(1+Controls!G$27*Smooth!$N341)*(1+Controls!G$28*Smooth!$O341)),2))</f>
        <v/>
      </c>
      <c r="C341" s="10" t="str">
        <f t="array" ref="C341">IF(OR($A341="",2&gt;Controls!$B$6),"",ROUND(MAX(0,Smooth!C341*Controls!C$17*INDEX(Controls!$B$21:$H$21,1,WEEKDAY($A341,2))*(1+Controls!$B$11)^339*(1+Controls!H$25*Smooth!$L341)*(1+Controls!H$26*Smooth!$M341)*(1+Controls!H$27*Smooth!$N341)*(1+Controls!H$28*Smooth!$O341)),2))</f>
        <v/>
      </c>
      <c r="D341" s="10" t="str">
        <f t="array" ref="D341">IF(OR($A341="",3&gt;Controls!$B$6),"",ROUND(MAX(0,Smooth!D341*Controls!D$17*INDEX(Controls!$B$21:$H$21,1,WEEKDAY($A341,2))*(1+Controls!$B$11)^339*(1+Controls!I$25*Smooth!$L341)*(1+Controls!I$26*Smooth!$M341)*(1+Controls!I$27*Smooth!$N341)*(1+Controls!I$28*Smooth!$O341)),2))</f>
        <v/>
      </c>
      <c r="E341" s="10" t="str">
        <f t="array" ref="E341">IF(OR($A341="",4&gt;Controls!$B$6),"",ROUND(MAX(0,Smooth!E341*Controls!E$17*INDEX(Controls!$B$21:$H$21,1,WEEKDAY($A341,2))*(1+Controls!$B$11)^339*(1+Controls!J$25*Smooth!$L341)*(1+Controls!J$26*Smooth!$M341)*(1+Controls!J$27*Smooth!$N341)*(1+Controls!J$28*Smooth!$O341)),2))</f>
        <v/>
      </c>
      <c r="F341" s="10" t="str">
        <f t="array" ref="F341">IF(OR($A341="",5&gt;Controls!$B$6),"",ROUND(MAX(0,Smooth!F341*Controls!F$17*INDEX(Controls!$B$21:$H$21,1,WEEKDAY($A341,2))*(1+Controls!$B$11)^339*(1+Controls!K$25*Smooth!$L341)*(1+Controls!K$26*Smooth!$M341)*(1+Controls!K$27*Smooth!$N341)*(1+Controls!K$28*Smooth!$O341)),2))</f>
        <v/>
      </c>
      <c r="G341" s="10" t="str">
        <f t="array" ref="G341">IF(OR($A341="",6&gt;Controls!$B$6),"",ROUND(MAX(0,Smooth!G341*Controls!G$17*INDEX(Controls!$B$21:$H$21,1,WEEKDAY($A341,2))*(1+Controls!$B$11)^339*(1+Controls!L$25*Smooth!$L341)*(1+Controls!L$26*Smooth!$M341)*(1+Controls!L$27*Smooth!$N341)*(1+Controls!L$28*Smooth!$O341)),2))</f>
        <v/>
      </c>
      <c r="H341" s="10" t="str">
        <f t="array" ref="H341">IF(OR($A341="",7&gt;Controls!$B$6),"",ROUND(MAX(0,Smooth!H341*Controls!H$17*INDEX(Controls!$B$21:$H$21,1,WEEKDAY($A341,2))*(1+Controls!$B$11)^339*(1+Controls!M$25*Smooth!$L341)*(1+Controls!M$26*Smooth!$M341)*(1+Controls!M$27*Smooth!$N341)*(1+Controls!M$28*Smooth!$O341)),2))</f>
        <v/>
      </c>
      <c r="I341" s="10" t="str">
        <f t="array" ref="I341">IF(OR($A341="",8&gt;Controls!$B$6),"",ROUND(MAX(0,Smooth!I341*Controls!I$17*INDEX(Controls!$B$21:$H$21,1,WEEKDAY($A341,2))*(1+Controls!$B$11)^339*(1+Controls!N$25*Smooth!$L341)*(1+Controls!N$26*Smooth!$M341)*(1+Controls!N$27*Smooth!$N341)*(1+Controls!N$28*Smooth!$O341)),2))</f>
        <v/>
      </c>
      <c r="J341" s="10" t="str">
        <f t="array" ref="J341">IF(OR($A341="",9&gt;Controls!$B$6),"",ROUND(MAX(0,Smooth!J341*Controls!J$17*INDEX(Controls!$B$21:$H$21,1,WEEKDAY($A341,2))*(1+Controls!$B$11)^339*(1+Controls!O$25*Smooth!$L341)*(1+Controls!O$26*Smooth!$M341)*(1+Controls!O$27*Smooth!$N341)*(1+Controls!O$28*Smooth!$O341)),2))</f>
        <v/>
      </c>
      <c r="K341" s="10" t="str">
        <f t="array" ref="K341">IF(OR($A341="",10&gt;Controls!$B$6),"",ROUND(MAX(0,Smooth!K341*Controls!K$17*INDEX(Controls!$B$21:$H$21,1,WEEKDAY($A341,2))*(1+Controls!$B$11)^339*(1+Controls!P$25*Smooth!$L341)*(1+Controls!P$26*Smooth!$M341)*(1+Controls!P$27*Smooth!$N341)*(1+Controls!P$28*Smooth!$O341)),2))</f>
        <v/>
      </c>
      <c r="L341" s="18" t="str">
        <f t="shared" si="1"/>
        <v/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21.0" customHeight="1">
      <c r="A342" s="7" t="str">
        <f>IF(341&lt;=Controls!$B$5,Controls!$B$4+340,"")</f>
        <v/>
      </c>
      <c r="B342" s="10" t="str">
        <f t="array" ref="B342">IF(OR($A342="",1&gt;Controls!$B$6),"",ROUND(MAX(0,Smooth!B342*Controls!B$17*INDEX(Controls!$B$21:$H$21,1,WEEKDAY($A342,2))*(1+Controls!$B$11)^340*(1+Controls!G$25*Smooth!$L342)*(1+Controls!G$26*Smooth!$M342)*(1+Controls!G$27*Smooth!$N342)*(1+Controls!G$28*Smooth!$O342)),2))</f>
        <v/>
      </c>
      <c r="C342" s="10" t="str">
        <f t="array" ref="C342">IF(OR($A342="",2&gt;Controls!$B$6),"",ROUND(MAX(0,Smooth!C342*Controls!C$17*INDEX(Controls!$B$21:$H$21,1,WEEKDAY($A342,2))*(1+Controls!$B$11)^340*(1+Controls!H$25*Smooth!$L342)*(1+Controls!H$26*Smooth!$M342)*(1+Controls!H$27*Smooth!$N342)*(1+Controls!H$28*Smooth!$O342)),2))</f>
        <v/>
      </c>
      <c r="D342" s="10" t="str">
        <f t="array" ref="D342">IF(OR($A342="",3&gt;Controls!$B$6),"",ROUND(MAX(0,Smooth!D342*Controls!D$17*INDEX(Controls!$B$21:$H$21,1,WEEKDAY($A342,2))*(1+Controls!$B$11)^340*(1+Controls!I$25*Smooth!$L342)*(1+Controls!I$26*Smooth!$M342)*(1+Controls!I$27*Smooth!$N342)*(1+Controls!I$28*Smooth!$O342)),2))</f>
        <v/>
      </c>
      <c r="E342" s="10" t="str">
        <f t="array" ref="E342">IF(OR($A342="",4&gt;Controls!$B$6),"",ROUND(MAX(0,Smooth!E342*Controls!E$17*INDEX(Controls!$B$21:$H$21,1,WEEKDAY($A342,2))*(1+Controls!$B$11)^340*(1+Controls!J$25*Smooth!$L342)*(1+Controls!J$26*Smooth!$M342)*(1+Controls!J$27*Smooth!$N342)*(1+Controls!J$28*Smooth!$O342)),2))</f>
        <v/>
      </c>
      <c r="F342" s="10" t="str">
        <f t="array" ref="F342">IF(OR($A342="",5&gt;Controls!$B$6),"",ROUND(MAX(0,Smooth!F342*Controls!F$17*INDEX(Controls!$B$21:$H$21,1,WEEKDAY($A342,2))*(1+Controls!$B$11)^340*(1+Controls!K$25*Smooth!$L342)*(1+Controls!K$26*Smooth!$M342)*(1+Controls!K$27*Smooth!$N342)*(1+Controls!K$28*Smooth!$O342)),2))</f>
        <v/>
      </c>
      <c r="G342" s="10" t="str">
        <f t="array" ref="G342">IF(OR($A342="",6&gt;Controls!$B$6),"",ROUND(MAX(0,Smooth!G342*Controls!G$17*INDEX(Controls!$B$21:$H$21,1,WEEKDAY($A342,2))*(1+Controls!$B$11)^340*(1+Controls!L$25*Smooth!$L342)*(1+Controls!L$26*Smooth!$M342)*(1+Controls!L$27*Smooth!$N342)*(1+Controls!L$28*Smooth!$O342)),2))</f>
        <v/>
      </c>
      <c r="H342" s="10" t="str">
        <f t="array" ref="H342">IF(OR($A342="",7&gt;Controls!$B$6),"",ROUND(MAX(0,Smooth!H342*Controls!H$17*INDEX(Controls!$B$21:$H$21,1,WEEKDAY($A342,2))*(1+Controls!$B$11)^340*(1+Controls!M$25*Smooth!$L342)*(1+Controls!M$26*Smooth!$M342)*(1+Controls!M$27*Smooth!$N342)*(1+Controls!M$28*Smooth!$O342)),2))</f>
        <v/>
      </c>
      <c r="I342" s="10" t="str">
        <f t="array" ref="I342">IF(OR($A342="",8&gt;Controls!$B$6),"",ROUND(MAX(0,Smooth!I342*Controls!I$17*INDEX(Controls!$B$21:$H$21,1,WEEKDAY($A342,2))*(1+Controls!$B$11)^340*(1+Controls!N$25*Smooth!$L342)*(1+Controls!N$26*Smooth!$M342)*(1+Controls!N$27*Smooth!$N342)*(1+Controls!N$28*Smooth!$O342)),2))</f>
        <v/>
      </c>
      <c r="J342" s="10" t="str">
        <f t="array" ref="J342">IF(OR($A342="",9&gt;Controls!$B$6),"",ROUND(MAX(0,Smooth!J342*Controls!J$17*INDEX(Controls!$B$21:$H$21,1,WEEKDAY($A342,2))*(1+Controls!$B$11)^340*(1+Controls!O$25*Smooth!$L342)*(1+Controls!O$26*Smooth!$M342)*(1+Controls!O$27*Smooth!$N342)*(1+Controls!O$28*Smooth!$O342)),2))</f>
        <v/>
      </c>
      <c r="K342" s="10" t="str">
        <f t="array" ref="K342">IF(OR($A342="",10&gt;Controls!$B$6),"",ROUND(MAX(0,Smooth!K342*Controls!K$17*INDEX(Controls!$B$21:$H$21,1,WEEKDAY($A342,2))*(1+Controls!$B$11)^340*(1+Controls!P$25*Smooth!$L342)*(1+Controls!P$26*Smooth!$M342)*(1+Controls!P$27*Smooth!$N342)*(1+Controls!P$28*Smooth!$O342)),2))</f>
        <v/>
      </c>
      <c r="L342" s="18" t="str">
        <f t="shared" si="1"/>
        <v/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21.0" customHeight="1">
      <c r="A343" s="7" t="str">
        <f>IF(342&lt;=Controls!$B$5,Controls!$B$4+341,"")</f>
        <v/>
      </c>
      <c r="B343" s="10" t="str">
        <f t="array" ref="B343">IF(OR($A343="",1&gt;Controls!$B$6),"",ROUND(MAX(0,Smooth!B343*Controls!B$17*INDEX(Controls!$B$21:$H$21,1,WEEKDAY($A343,2))*(1+Controls!$B$11)^341*(1+Controls!G$25*Smooth!$L343)*(1+Controls!G$26*Smooth!$M343)*(1+Controls!G$27*Smooth!$N343)*(1+Controls!G$28*Smooth!$O343)),2))</f>
        <v/>
      </c>
      <c r="C343" s="10" t="str">
        <f t="array" ref="C343">IF(OR($A343="",2&gt;Controls!$B$6),"",ROUND(MAX(0,Smooth!C343*Controls!C$17*INDEX(Controls!$B$21:$H$21,1,WEEKDAY($A343,2))*(1+Controls!$B$11)^341*(1+Controls!H$25*Smooth!$L343)*(1+Controls!H$26*Smooth!$M343)*(1+Controls!H$27*Smooth!$N343)*(1+Controls!H$28*Smooth!$O343)),2))</f>
        <v/>
      </c>
      <c r="D343" s="10" t="str">
        <f t="array" ref="D343">IF(OR($A343="",3&gt;Controls!$B$6),"",ROUND(MAX(0,Smooth!D343*Controls!D$17*INDEX(Controls!$B$21:$H$21,1,WEEKDAY($A343,2))*(1+Controls!$B$11)^341*(1+Controls!I$25*Smooth!$L343)*(1+Controls!I$26*Smooth!$M343)*(1+Controls!I$27*Smooth!$N343)*(1+Controls!I$28*Smooth!$O343)),2))</f>
        <v/>
      </c>
      <c r="E343" s="10" t="str">
        <f t="array" ref="E343">IF(OR($A343="",4&gt;Controls!$B$6),"",ROUND(MAX(0,Smooth!E343*Controls!E$17*INDEX(Controls!$B$21:$H$21,1,WEEKDAY($A343,2))*(1+Controls!$B$11)^341*(1+Controls!J$25*Smooth!$L343)*(1+Controls!J$26*Smooth!$M343)*(1+Controls!J$27*Smooth!$N343)*(1+Controls!J$28*Smooth!$O343)),2))</f>
        <v/>
      </c>
      <c r="F343" s="10" t="str">
        <f t="array" ref="F343">IF(OR($A343="",5&gt;Controls!$B$6),"",ROUND(MAX(0,Smooth!F343*Controls!F$17*INDEX(Controls!$B$21:$H$21,1,WEEKDAY($A343,2))*(1+Controls!$B$11)^341*(1+Controls!K$25*Smooth!$L343)*(1+Controls!K$26*Smooth!$M343)*(1+Controls!K$27*Smooth!$N343)*(1+Controls!K$28*Smooth!$O343)),2))</f>
        <v/>
      </c>
      <c r="G343" s="10" t="str">
        <f t="array" ref="G343">IF(OR($A343="",6&gt;Controls!$B$6),"",ROUND(MAX(0,Smooth!G343*Controls!G$17*INDEX(Controls!$B$21:$H$21,1,WEEKDAY($A343,2))*(1+Controls!$B$11)^341*(1+Controls!L$25*Smooth!$L343)*(1+Controls!L$26*Smooth!$M343)*(1+Controls!L$27*Smooth!$N343)*(1+Controls!L$28*Smooth!$O343)),2))</f>
        <v/>
      </c>
      <c r="H343" s="10" t="str">
        <f t="array" ref="H343">IF(OR($A343="",7&gt;Controls!$B$6),"",ROUND(MAX(0,Smooth!H343*Controls!H$17*INDEX(Controls!$B$21:$H$21,1,WEEKDAY($A343,2))*(1+Controls!$B$11)^341*(1+Controls!M$25*Smooth!$L343)*(1+Controls!M$26*Smooth!$M343)*(1+Controls!M$27*Smooth!$N343)*(1+Controls!M$28*Smooth!$O343)),2))</f>
        <v/>
      </c>
      <c r="I343" s="10" t="str">
        <f t="array" ref="I343">IF(OR($A343="",8&gt;Controls!$B$6),"",ROUND(MAX(0,Smooth!I343*Controls!I$17*INDEX(Controls!$B$21:$H$21,1,WEEKDAY($A343,2))*(1+Controls!$B$11)^341*(1+Controls!N$25*Smooth!$L343)*(1+Controls!N$26*Smooth!$M343)*(1+Controls!N$27*Smooth!$N343)*(1+Controls!N$28*Smooth!$O343)),2))</f>
        <v/>
      </c>
      <c r="J343" s="10" t="str">
        <f t="array" ref="J343">IF(OR($A343="",9&gt;Controls!$B$6),"",ROUND(MAX(0,Smooth!J343*Controls!J$17*INDEX(Controls!$B$21:$H$21,1,WEEKDAY($A343,2))*(1+Controls!$B$11)^341*(1+Controls!O$25*Smooth!$L343)*(1+Controls!O$26*Smooth!$M343)*(1+Controls!O$27*Smooth!$N343)*(1+Controls!O$28*Smooth!$O343)),2))</f>
        <v/>
      </c>
      <c r="K343" s="10" t="str">
        <f t="array" ref="K343">IF(OR($A343="",10&gt;Controls!$B$6),"",ROUND(MAX(0,Smooth!K343*Controls!K$17*INDEX(Controls!$B$21:$H$21,1,WEEKDAY($A343,2))*(1+Controls!$B$11)^341*(1+Controls!P$25*Smooth!$L343)*(1+Controls!P$26*Smooth!$M343)*(1+Controls!P$27*Smooth!$N343)*(1+Controls!P$28*Smooth!$O343)),2))</f>
        <v/>
      </c>
      <c r="L343" s="18" t="str">
        <f t="shared" si="1"/>
        <v/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21.0" customHeight="1">
      <c r="A344" s="7" t="str">
        <f>IF(343&lt;=Controls!$B$5,Controls!$B$4+342,"")</f>
        <v/>
      </c>
      <c r="B344" s="10" t="str">
        <f t="array" ref="B344">IF(OR($A344="",1&gt;Controls!$B$6),"",ROUND(MAX(0,Smooth!B344*Controls!B$17*INDEX(Controls!$B$21:$H$21,1,WEEKDAY($A344,2))*(1+Controls!$B$11)^342*(1+Controls!G$25*Smooth!$L344)*(1+Controls!G$26*Smooth!$M344)*(1+Controls!G$27*Smooth!$N344)*(1+Controls!G$28*Smooth!$O344)),2))</f>
        <v/>
      </c>
      <c r="C344" s="10" t="str">
        <f t="array" ref="C344">IF(OR($A344="",2&gt;Controls!$B$6),"",ROUND(MAX(0,Smooth!C344*Controls!C$17*INDEX(Controls!$B$21:$H$21,1,WEEKDAY($A344,2))*(1+Controls!$B$11)^342*(1+Controls!H$25*Smooth!$L344)*(1+Controls!H$26*Smooth!$M344)*(1+Controls!H$27*Smooth!$N344)*(1+Controls!H$28*Smooth!$O344)),2))</f>
        <v/>
      </c>
      <c r="D344" s="10" t="str">
        <f t="array" ref="D344">IF(OR($A344="",3&gt;Controls!$B$6),"",ROUND(MAX(0,Smooth!D344*Controls!D$17*INDEX(Controls!$B$21:$H$21,1,WEEKDAY($A344,2))*(1+Controls!$B$11)^342*(1+Controls!I$25*Smooth!$L344)*(1+Controls!I$26*Smooth!$M344)*(1+Controls!I$27*Smooth!$N344)*(1+Controls!I$28*Smooth!$O344)),2))</f>
        <v/>
      </c>
      <c r="E344" s="10" t="str">
        <f t="array" ref="E344">IF(OR($A344="",4&gt;Controls!$B$6),"",ROUND(MAX(0,Smooth!E344*Controls!E$17*INDEX(Controls!$B$21:$H$21,1,WEEKDAY($A344,2))*(1+Controls!$B$11)^342*(1+Controls!J$25*Smooth!$L344)*(1+Controls!J$26*Smooth!$M344)*(1+Controls!J$27*Smooth!$N344)*(1+Controls!J$28*Smooth!$O344)),2))</f>
        <v/>
      </c>
      <c r="F344" s="10" t="str">
        <f t="array" ref="F344">IF(OR($A344="",5&gt;Controls!$B$6),"",ROUND(MAX(0,Smooth!F344*Controls!F$17*INDEX(Controls!$B$21:$H$21,1,WEEKDAY($A344,2))*(1+Controls!$B$11)^342*(1+Controls!K$25*Smooth!$L344)*(1+Controls!K$26*Smooth!$M344)*(1+Controls!K$27*Smooth!$N344)*(1+Controls!K$28*Smooth!$O344)),2))</f>
        <v/>
      </c>
      <c r="G344" s="10" t="str">
        <f t="array" ref="G344">IF(OR($A344="",6&gt;Controls!$B$6),"",ROUND(MAX(0,Smooth!G344*Controls!G$17*INDEX(Controls!$B$21:$H$21,1,WEEKDAY($A344,2))*(1+Controls!$B$11)^342*(1+Controls!L$25*Smooth!$L344)*(1+Controls!L$26*Smooth!$M344)*(1+Controls!L$27*Smooth!$N344)*(1+Controls!L$28*Smooth!$O344)),2))</f>
        <v/>
      </c>
      <c r="H344" s="10" t="str">
        <f t="array" ref="H344">IF(OR($A344="",7&gt;Controls!$B$6),"",ROUND(MAX(0,Smooth!H344*Controls!H$17*INDEX(Controls!$B$21:$H$21,1,WEEKDAY($A344,2))*(1+Controls!$B$11)^342*(1+Controls!M$25*Smooth!$L344)*(1+Controls!M$26*Smooth!$M344)*(1+Controls!M$27*Smooth!$N344)*(1+Controls!M$28*Smooth!$O344)),2))</f>
        <v/>
      </c>
      <c r="I344" s="10" t="str">
        <f t="array" ref="I344">IF(OR($A344="",8&gt;Controls!$B$6),"",ROUND(MAX(0,Smooth!I344*Controls!I$17*INDEX(Controls!$B$21:$H$21,1,WEEKDAY($A344,2))*(1+Controls!$B$11)^342*(1+Controls!N$25*Smooth!$L344)*(1+Controls!N$26*Smooth!$M344)*(1+Controls!N$27*Smooth!$N344)*(1+Controls!N$28*Smooth!$O344)),2))</f>
        <v/>
      </c>
      <c r="J344" s="10" t="str">
        <f t="array" ref="J344">IF(OR($A344="",9&gt;Controls!$B$6),"",ROUND(MAX(0,Smooth!J344*Controls!J$17*INDEX(Controls!$B$21:$H$21,1,WEEKDAY($A344,2))*(1+Controls!$B$11)^342*(1+Controls!O$25*Smooth!$L344)*(1+Controls!O$26*Smooth!$M344)*(1+Controls!O$27*Smooth!$N344)*(1+Controls!O$28*Smooth!$O344)),2))</f>
        <v/>
      </c>
      <c r="K344" s="10" t="str">
        <f t="array" ref="K344">IF(OR($A344="",10&gt;Controls!$B$6),"",ROUND(MAX(0,Smooth!K344*Controls!K$17*INDEX(Controls!$B$21:$H$21,1,WEEKDAY($A344,2))*(1+Controls!$B$11)^342*(1+Controls!P$25*Smooth!$L344)*(1+Controls!P$26*Smooth!$M344)*(1+Controls!P$27*Smooth!$N344)*(1+Controls!P$28*Smooth!$O344)),2))</f>
        <v/>
      </c>
      <c r="L344" s="18" t="str">
        <f t="shared" si="1"/>
        <v/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21.0" customHeight="1">
      <c r="A345" s="7" t="str">
        <f>IF(344&lt;=Controls!$B$5,Controls!$B$4+343,"")</f>
        <v/>
      </c>
      <c r="B345" s="10" t="str">
        <f t="array" ref="B345">IF(OR($A345="",1&gt;Controls!$B$6),"",ROUND(MAX(0,Smooth!B345*Controls!B$17*INDEX(Controls!$B$21:$H$21,1,WEEKDAY($A345,2))*(1+Controls!$B$11)^343*(1+Controls!G$25*Smooth!$L345)*(1+Controls!G$26*Smooth!$M345)*(1+Controls!G$27*Smooth!$N345)*(1+Controls!G$28*Smooth!$O345)),2))</f>
        <v/>
      </c>
      <c r="C345" s="10" t="str">
        <f t="array" ref="C345">IF(OR($A345="",2&gt;Controls!$B$6),"",ROUND(MAX(0,Smooth!C345*Controls!C$17*INDEX(Controls!$B$21:$H$21,1,WEEKDAY($A345,2))*(1+Controls!$B$11)^343*(1+Controls!H$25*Smooth!$L345)*(1+Controls!H$26*Smooth!$M345)*(1+Controls!H$27*Smooth!$N345)*(1+Controls!H$28*Smooth!$O345)),2))</f>
        <v/>
      </c>
      <c r="D345" s="10" t="str">
        <f t="array" ref="D345">IF(OR($A345="",3&gt;Controls!$B$6),"",ROUND(MAX(0,Smooth!D345*Controls!D$17*INDEX(Controls!$B$21:$H$21,1,WEEKDAY($A345,2))*(1+Controls!$B$11)^343*(1+Controls!I$25*Smooth!$L345)*(1+Controls!I$26*Smooth!$M345)*(1+Controls!I$27*Smooth!$N345)*(1+Controls!I$28*Smooth!$O345)),2))</f>
        <v/>
      </c>
      <c r="E345" s="10" t="str">
        <f t="array" ref="E345">IF(OR($A345="",4&gt;Controls!$B$6),"",ROUND(MAX(0,Smooth!E345*Controls!E$17*INDEX(Controls!$B$21:$H$21,1,WEEKDAY($A345,2))*(1+Controls!$B$11)^343*(1+Controls!J$25*Smooth!$L345)*(1+Controls!J$26*Smooth!$M345)*(1+Controls!J$27*Smooth!$N345)*(1+Controls!J$28*Smooth!$O345)),2))</f>
        <v/>
      </c>
      <c r="F345" s="10" t="str">
        <f t="array" ref="F345">IF(OR($A345="",5&gt;Controls!$B$6),"",ROUND(MAX(0,Smooth!F345*Controls!F$17*INDEX(Controls!$B$21:$H$21,1,WEEKDAY($A345,2))*(1+Controls!$B$11)^343*(1+Controls!K$25*Smooth!$L345)*(1+Controls!K$26*Smooth!$M345)*(1+Controls!K$27*Smooth!$N345)*(1+Controls!K$28*Smooth!$O345)),2))</f>
        <v/>
      </c>
      <c r="G345" s="10" t="str">
        <f t="array" ref="G345">IF(OR($A345="",6&gt;Controls!$B$6),"",ROUND(MAX(0,Smooth!G345*Controls!G$17*INDEX(Controls!$B$21:$H$21,1,WEEKDAY($A345,2))*(1+Controls!$B$11)^343*(1+Controls!L$25*Smooth!$L345)*(1+Controls!L$26*Smooth!$M345)*(1+Controls!L$27*Smooth!$N345)*(1+Controls!L$28*Smooth!$O345)),2))</f>
        <v/>
      </c>
      <c r="H345" s="10" t="str">
        <f t="array" ref="H345">IF(OR($A345="",7&gt;Controls!$B$6),"",ROUND(MAX(0,Smooth!H345*Controls!H$17*INDEX(Controls!$B$21:$H$21,1,WEEKDAY($A345,2))*(1+Controls!$B$11)^343*(1+Controls!M$25*Smooth!$L345)*(1+Controls!M$26*Smooth!$M345)*(1+Controls!M$27*Smooth!$N345)*(1+Controls!M$28*Smooth!$O345)),2))</f>
        <v/>
      </c>
      <c r="I345" s="10" t="str">
        <f t="array" ref="I345">IF(OR($A345="",8&gt;Controls!$B$6),"",ROUND(MAX(0,Smooth!I345*Controls!I$17*INDEX(Controls!$B$21:$H$21,1,WEEKDAY($A345,2))*(1+Controls!$B$11)^343*(1+Controls!N$25*Smooth!$L345)*(1+Controls!N$26*Smooth!$M345)*(1+Controls!N$27*Smooth!$N345)*(1+Controls!N$28*Smooth!$O345)),2))</f>
        <v/>
      </c>
      <c r="J345" s="10" t="str">
        <f t="array" ref="J345">IF(OR($A345="",9&gt;Controls!$B$6),"",ROUND(MAX(0,Smooth!J345*Controls!J$17*INDEX(Controls!$B$21:$H$21,1,WEEKDAY($A345,2))*(1+Controls!$B$11)^343*(1+Controls!O$25*Smooth!$L345)*(1+Controls!O$26*Smooth!$M345)*(1+Controls!O$27*Smooth!$N345)*(1+Controls!O$28*Smooth!$O345)),2))</f>
        <v/>
      </c>
      <c r="K345" s="10" t="str">
        <f t="array" ref="K345">IF(OR($A345="",10&gt;Controls!$B$6),"",ROUND(MAX(0,Smooth!K345*Controls!K$17*INDEX(Controls!$B$21:$H$21,1,WEEKDAY($A345,2))*(1+Controls!$B$11)^343*(1+Controls!P$25*Smooth!$L345)*(1+Controls!P$26*Smooth!$M345)*(1+Controls!P$27*Smooth!$N345)*(1+Controls!P$28*Smooth!$O345)),2))</f>
        <v/>
      </c>
      <c r="L345" s="18" t="str">
        <f t="shared" si="1"/>
        <v/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21.0" customHeight="1">
      <c r="A346" s="7" t="str">
        <f>IF(345&lt;=Controls!$B$5,Controls!$B$4+344,"")</f>
        <v/>
      </c>
      <c r="B346" s="10" t="str">
        <f t="array" ref="B346">IF(OR($A346="",1&gt;Controls!$B$6),"",ROUND(MAX(0,Smooth!B346*Controls!B$17*INDEX(Controls!$B$21:$H$21,1,WEEKDAY($A346,2))*(1+Controls!$B$11)^344*(1+Controls!G$25*Smooth!$L346)*(1+Controls!G$26*Smooth!$M346)*(1+Controls!G$27*Smooth!$N346)*(1+Controls!G$28*Smooth!$O346)),2))</f>
        <v/>
      </c>
      <c r="C346" s="10" t="str">
        <f t="array" ref="C346">IF(OR($A346="",2&gt;Controls!$B$6),"",ROUND(MAX(0,Smooth!C346*Controls!C$17*INDEX(Controls!$B$21:$H$21,1,WEEKDAY($A346,2))*(1+Controls!$B$11)^344*(1+Controls!H$25*Smooth!$L346)*(1+Controls!H$26*Smooth!$M346)*(1+Controls!H$27*Smooth!$N346)*(1+Controls!H$28*Smooth!$O346)),2))</f>
        <v/>
      </c>
      <c r="D346" s="10" t="str">
        <f t="array" ref="D346">IF(OR($A346="",3&gt;Controls!$B$6),"",ROUND(MAX(0,Smooth!D346*Controls!D$17*INDEX(Controls!$B$21:$H$21,1,WEEKDAY($A346,2))*(1+Controls!$B$11)^344*(1+Controls!I$25*Smooth!$L346)*(1+Controls!I$26*Smooth!$M346)*(1+Controls!I$27*Smooth!$N346)*(1+Controls!I$28*Smooth!$O346)),2))</f>
        <v/>
      </c>
      <c r="E346" s="10" t="str">
        <f t="array" ref="E346">IF(OR($A346="",4&gt;Controls!$B$6),"",ROUND(MAX(0,Smooth!E346*Controls!E$17*INDEX(Controls!$B$21:$H$21,1,WEEKDAY($A346,2))*(1+Controls!$B$11)^344*(1+Controls!J$25*Smooth!$L346)*(1+Controls!J$26*Smooth!$M346)*(1+Controls!J$27*Smooth!$N346)*(1+Controls!J$28*Smooth!$O346)),2))</f>
        <v/>
      </c>
      <c r="F346" s="10" t="str">
        <f t="array" ref="F346">IF(OR($A346="",5&gt;Controls!$B$6),"",ROUND(MAX(0,Smooth!F346*Controls!F$17*INDEX(Controls!$B$21:$H$21,1,WEEKDAY($A346,2))*(1+Controls!$B$11)^344*(1+Controls!K$25*Smooth!$L346)*(1+Controls!K$26*Smooth!$M346)*(1+Controls!K$27*Smooth!$N346)*(1+Controls!K$28*Smooth!$O346)),2))</f>
        <v/>
      </c>
      <c r="G346" s="10" t="str">
        <f t="array" ref="G346">IF(OR($A346="",6&gt;Controls!$B$6),"",ROUND(MAX(0,Smooth!G346*Controls!G$17*INDEX(Controls!$B$21:$H$21,1,WEEKDAY($A346,2))*(1+Controls!$B$11)^344*(1+Controls!L$25*Smooth!$L346)*(1+Controls!L$26*Smooth!$M346)*(1+Controls!L$27*Smooth!$N346)*(1+Controls!L$28*Smooth!$O346)),2))</f>
        <v/>
      </c>
      <c r="H346" s="10" t="str">
        <f t="array" ref="H346">IF(OR($A346="",7&gt;Controls!$B$6),"",ROUND(MAX(0,Smooth!H346*Controls!H$17*INDEX(Controls!$B$21:$H$21,1,WEEKDAY($A346,2))*(1+Controls!$B$11)^344*(1+Controls!M$25*Smooth!$L346)*(1+Controls!M$26*Smooth!$M346)*(1+Controls!M$27*Smooth!$N346)*(1+Controls!M$28*Smooth!$O346)),2))</f>
        <v/>
      </c>
      <c r="I346" s="10" t="str">
        <f t="array" ref="I346">IF(OR($A346="",8&gt;Controls!$B$6),"",ROUND(MAX(0,Smooth!I346*Controls!I$17*INDEX(Controls!$B$21:$H$21,1,WEEKDAY($A346,2))*(1+Controls!$B$11)^344*(1+Controls!N$25*Smooth!$L346)*(1+Controls!N$26*Smooth!$M346)*(1+Controls!N$27*Smooth!$N346)*(1+Controls!N$28*Smooth!$O346)),2))</f>
        <v/>
      </c>
      <c r="J346" s="10" t="str">
        <f t="array" ref="J346">IF(OR($A346="",9&gt;Controls!$B$6),"",ROUND(MAX(0,Smooth!J346*Controls!J$17*INDEX(Controls!$B$21:$H$21,1,WEEKDAY($A346,2))*(1+Controls!$B$11)^344*(1+Controls!O$25*Smooth!$L346)*(1+Controls!O$26*Smooth!$M346)*(1+Controls!O$27*Smooth!$N346)*(1+Controls!O$28*Smooth!$O346)),2))</f>
        <v/>
      </c>
      <c r="K346" s="10" t="str">
        <f t="array" ref="K346">IF(OR($A346="",10&gt;Controls!$B$6),"",ROUND(MAX(0,Smooth!K346*Controls!K$17*INDEX(Controls!$B$21:$H$21,1,WEEKDAY($A346,2))*(1+Controls!$B$11)^344*(1+Controls!P$25*Smooth!$L346)*(1+Controls!P$26*Smooth!$M346)*(1+Controls!P$27*Smooth!$N346)*(1+Controls!P$28*Smooth!$O346)),2))</f>
        <v/>
      </c>
      <c r="L346" s="18" t="str">
        <f t="shared" si="1"/>
        <v/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21.0" customHeight="1">
      <c r="A347" s="7" t="str">
        <f>IF(346&lt;=Controls!$B$5,Controls!$B$4+345,"")</f>
        <v/>
      </c>
      <c r="B347" s="10" t="str">
        <f t="array" ref="B347">IF(OR($A347="",1&gt;Controls!$B$6),"",ROUND(MAX(0,Smooth!B347*Controls!B$17*INDEX(Controls!$B$21:$H$21,1,WEEKDAY($A347,2))*(1+Controls!$B$11)^345*(1+Controls!G$25*Smooth!$L347)*(1+Controls!G$26*Smooth!$M347)*(1+Controls!G$27*Smooth!$N347)*(1+Controls!G$28*Smooth!$O347)),2))</f>
        <v/>
      </c>
      <c r="C347" s="10" t="str">
        <f t="array" ref="C347">IF(OR($A347="",2&gt;Controls!$B$6),"",ROUND(MAX(0,Smooth!C347*Controls!C$17*INDEX(Controls!$B$21:$H$21,1,WEEKDAY($A347,2))*(1+Controls!$B$11)^345*(1+Controls!H$25*Smooth!$L347)*(1+Controls!H$26*Smooth!$M347)*(1+Controls!H$27*Smooth!$N347)*(1+Controls!H$28*Smooth!$O347)),2))</f>
        <v/>
      </c>
      <c r="D347" s="10" t="str">
        <f t="array" ref="D347">IF(OR($A347="",3&gt;Controls!$B$6),"",ROUND(MAX(0,Smooth!D347*Controls!D$17*INDEX(Controls!$B$21:$H$21,1,WEEKDAY($A347,2))*(1+Controls!$B$11)^345*(1+Controls!I$25*Smooth!$L347)*(1+Controls!I$26*Smooth!$M347)*(1+Controls!I$27*Smooth!$N347)*(1+Controls!I$28*Smooth!$O347)),2))</f>
        <v/>
      </c>
      <c r="E347" s="10" t="str">
        <f t="array" ref="E347">IF(OR($A347="",4&gt;Controls!$B$6),"",ROUND(MAX(0,Smooth!E347*Controls!E$17*INDEX(Controls!$B$21:$H$21,1,WEEKDAY($A347,2))*(1+Controls!$B$11)^345*(1+Controls!J$25*Smooth!$L347)*(1+Controls!J$26*Smooth!$M347)*(1+Controls!J$27*Smooth!$N347)*(1+Controls!J$28*Smooth!$O347)),2))</f>
        <v/>
      </c>
      <c r="F347" s="10" t="str">
        <f t="array" ref="F347">IF(OR($A347="",5&gt;Controls!$B$6),"",ROUND(MAX(0,Smooth!F347*Controls!F$17*INDEX(Controls!$B$21:$H$21,1,WEEKDAY($A347,2))*(1+Controls!$B$11)^345*(1+Controls!K$25*Smooth!$L347)*(1+Controls!K$26*Smooth!$M347)*(1+Controls!K$27*Smooth!$N347)*(1+Controls!K$28*Smooth!$O347)),2))</f>
        <v/>
      </c>
      <c r="G347" s="10" t="str">
        <f t="array" ref="G347">IF(OR($A347="",6&gt;Controls!$B$6),"",ROUND(MAX(0,Smooth!G347*Controls!G$17*INDEX(Controls!$B$21:$H$21,1,WEEKDAY($A347,2))*(1+Controls!$B$11)^345*(1+Controls!L$25*Smooth!$L347)*(1+Controls!L$26*Smooth!$M347)*(1+Controls!L$27*Smooth!$N347)*(1+Controls!L$28*Smooth!$O347)),2))</f>
        <v/>
      </c>
      <c r="H347" s="10" t="str">
        <f t="array" ref="H347">IF(OR($A347="",7&gt;Controls!$B$6),"",ROUND(MAX(0,Smooth!H347*Controls!H$17*INDEX(Controls!$B$21:$H$21,1,WEEKDAY($A347,2))*(1+Controls!$B$11)^345*(1+Controls!M$25*Smooth!$L347)*(1+Controls!M$26*Smooth!$M347)*(1+Controls!M$27*Smooth!$N347)*(1+Controls!M$28*Smooth!$O347)),2))</f>
        <v/>
      </c>
      <c r="I347" s="10" t="str">
        <f t="array" ref="I347">IF(OR($A347="",8&gt;Controls!$B$6),"",ROUND(MAX(0,Smooth!I347*Controls!I$17*INDEX(Controls!$B$21:$H$21,1,WEEKDAY($A347,2))*(1+Controls!$B$11)^345*(1+Controls!N$25*Smooth!$L347)*(1+Controls!N$26*Smooth!$M347)*(1+Controls!N$27*Smooth!$N347)*(1+Controls!N$28*Smooth!$O347)),2))</f>
        <v/>
      </c>
      <c r="J347" s="10" t="str">
        <f t="array" ref="J347">IF(OR($A347="",9&gt;Controls!$B$6),"",ROUND(MAX(0,Smooth!J347*Controls!J$17*INDEX(Controls!$B$21:$H$21,1,WEEKDAY($A347,2))*(1+Controls!$B$11)^345*(1+Controls!O$25*Smooth!$L347)*(1+Controls!O$26*Smooth!$M347)*(1+Controls!O$27*Smooth!$N347)*(1+Controls!O$28*Smooth!$O347)),2))</f>
        <v/>
      </c>
      <c r="K347" s="10" t="str">
        <f t="array" ref="K347">IF(OR($A347="",10&gt;Controls!$B$6),"",ROUND(MAX(0,Smooth!K347*Controls!K$17*INDEX(Controls!$B$21:$H$21,1,WEEKDAY($A347,2))*(1+Controls!$B$11)^345*(1+Controls!P$25*Smooth!$L347)*(1+Controls!P$26*Smooth!$M347)*(1+Controls!P$27*Smooth!$N347)*(1+Controls!P$28*Smooth!$O347)),2))</f>
        <v/>
      </c>
      <c r="L347" s="18" t="str">
        <f t="shared" si="1"/>
        <v/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21.0" customHeight="1">
      <c r="A348" s="7" t="str">
        <f>IF(347&lt;=Controls!$B$5,Controls!$B$4+346,"")</f>
        <v/>
      </c>
      <c r="B348" s="10" t="str">
        <f t="array" ref="B348">IF(OR($A348="",1&gt;Controls!$B$6),"",ROUND(MAX(0,Smooth!B348*Controls!B$17*INDEX(Controls!$B$21:$H$21,1,WEEKDAY($A348,2))*(1+Controls!$B$11)^346*(1+Controls!G$25*Smooth!$L348)*(1+Controls!G$26*Smooth!$M348)*(1+Controls!G$27*Smooth!$N348)*(1+Controls!G$28*Smooth!$O348)),2))</f>
        <v/>
      </c>
      <c r="C348" s="10" t="str">
        <f t="array" ref="C348">IF(OR($A348="",2&gt;Controls!$B$6),"",ROUND(MAX(0,Smooth!C348*Controls!C$17*INDEX(Controls!$B$21:$H$21,1,WEEKDAY($A348,2))*(1+Controls!$B$11)^346*(1+Controls!H$25*Smooth!$L348)*(1+Controls!H$26*Smooth!$M348)*(1+Controls!H$27*Smooth!$N348)*(1+Controls!H$28*Smooth!$O348)),2))</f>
        <v/>
      </c>
      <c r="D348" s="10" t="str">
        <f t="array" ref="D348">IF(OR($A348="",3&gt;Controls!$B$6),"",ROUND(MAX(0,Smooth!D348*Controls!D$17*INDEX(Controls!$B$21:$H$21,1,WEEKDAY($A348,2))*(1+Controls!$B$11)^346*(1+Controls!I$25*Smooth!$L348)*(1+Controls!I$26*Smooth!$M348)*(1+Controls!I$27*Smooth!$N348)*(1+Controls!I$28*Smooth!$O348)),2))</f>
        <v/>
      </c>
      <c r="E348" s="10" t="str">
        <f t="array" ref="E348">IF(OR($A348="",4&gt;Controls!$B$6),"",ROUND(MAX(0,Smooth!E348*Controls!E$17*INDEX(Controls!$B$21:$H$21,1,WEEKDAY($A348,2))*(1+Controls!$B$11)^346*(1+Controls!J$25*Smooth!$L348)*(1+Controls!J$26*Smooth!$M348)*(1+Controls!J$27*Smooth!$N348)*(1+Controls!J$28*Smooth!$O348)),2))</f>
        <v/>
      </c>
      <c r="F348" s="10" t="str">
        <f t="array" ref="F348">IF(OR($A348="",5&gt;Controls!$B$6),"",ROUND(MAX(0,Smooth!F348*Controls!F$17*INDEX(Controls!$B$21:$H$21,1,WEEKDAY($A348,2))*(1+Controls!$B$11)^346*(1+Controls!K$25*Smooth!$L348)*(1+Controls!K$26*Smooth!$M348)*(1+Controls!K$27*Smooth!$N348)*(1+Controls!K$28*Smooth!$O348)),2))</f>
        <v/>
      </c>
      <c r="G348" s="10" t="str">
        <f t="array" ref="G348">IF(OR($A348="",6&gt;Controls!$B$6),"",ROUND(MAX(0,Smooth!G348*Controls!G$17*INDEX(Controls!$B$21:$H$21,1,WEEKDAY($A348,2))*(1+Controls!$B$11)^346*(1+Controls!L$25*Smooth!$L348)*(1+Controls!L$26*Smooth!$M348)*(1+Controls!L$27*Smooth!$N348)*(1+Controls!L$28*Smooth!$O348)),2))</f>
        <v/>
      </c>
      <c r="H348" s="10" t="str">
        <f t="array" ref="H348">IF(OR($A348="",7&gt;Controls!$B$6),"",ROUND(MAX(0,Smooth!H348*Controls!H$17*INDEX(Controls!$B$21:$H$21,1,WEEKDAY($A348,2))*(1+Controls!$B$11)^346*(1+Controls!M$25*Smooth!$L348)*(1+Controls!M$26*Smooth!$M348)*(1+Controls!M$27*Smooth!$N348)*(1+Controls!M$28*Smooth!$O348)),2))</f>
        <v/>
      </c>
      <c r="I348" s="10" t="str">
        <f t="array" ref="I348">IF(OR($A348="",8&gt;Controls!$B$6),"",ROUND(MAX(0,Smooth!I348*Controls!I$17*INDEX(Controls!$B$21:$H$21,1,WEEKDAY($A348,2))*(1+Controls!$B$11)^346*(1+Controls!N$25*Smooth!$L348)*(1+Controls!N$26*Smooth!$M348)*(1+Controls!N$27*Smooth!$N348)*(1+Controls!N$28*Smooth!$O348)),2))</f>
        <v/>
      </c>
      <c r="J348" s="10" t="str">
        <f t="array" ref="J348">IF(OR($A348="",9&gt;Controls!$B$6),"",ROUND(MAX(0,Smooth!J348*Controls!J$17*INDEX(Controls!$B$21:$H$21,1,WEEKDAY($A348,2))*(1+Controls!$B$11)^346*(1+Controls!O$25*Smooth!$L348)*(1+Controls!O$26*Smooth!$M348)*(1+Controls!O$27*Smooth!$N348)*(1+Controls!O$28*Smooth!$O348)),2))</f>
        <v/>
      </c>
      <c r="K348" s="10" t="str">
        <f t="array" ref="K348">IF(OR($A348="",10&gt;Controls!$B$6),"",ROUND(MAX(0,Smooth!K348*Controls!K$17*INDEX(Controls!$B$21:$H$21,1,WEEKDAY($A348,2))*(1+Controls!$B$11)^346*(1+Controls!P$25*Smooth!$L348)*(1+Controls!P$26*Smooth!$M348)*(1+Controls!P$27*Smooth!$N348)*(1+Controls!P$28*Smooth!$O348)),2))</f>
        <v/>
      </c>
      <c r="L348" s="18" t="str">
        <f t="shared" si="1"/>
        <v/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21.0" customHeight="1">
      <c r="A349" s="7" t="str">
        <f>IF(348&lt;=Controls!$B$5,Controls!$B$4+347,"")</f>
        <v/>
      </c>
      <c r="B349" s="10" t="str">
        <f t="array" ref="B349">IF(OR($A349="",1&gt;Controls!$B$6),"",ROUND(MAX(0,Smooth!B349*Controls!B$17*INDEX(Controls!$B$21:$H$21,1,WEEKDAY($A349,2))*(1+Controls!$B$11)^347*(1+Controls!G$25*Smooth!$L349)*(1+Controls!G$26*Smooth!$M349)*(1+Controls!G$27*Smooth!$N349)*(1+Controls!G$28*Smooth!$O349)),2))</f>
        <v/>
      </c>
      <c r="C349" s="10" t="str">
        <f t="array" ref="C349">IF(OR($A349="",2&gt;Controls!$B$6),"",ROUND(MAX(0,Smooth!C349*Controls!C$17*INDEX(Controls!$B$21:$H$21,1,WEEKDAY($A349,2))*(1+Controls!$B$11)^347*(1+Controls!H$25*Smooth!$L349)*(1+Controls!H$26*Smooth!$M349)*(1+Controls!H$27*Smooth!$N349)*(1+Controls!H$28*Smooth!$O349)),2))</f>
        <v/>
      </c>
      <c r="D349" s="10" t="str">
        <f t="array" ref="D349">IF(OR($A349="",3&gt;Controls!$B$6),"",ROUND(MAX(0,Smooth!D349*Controls!D$17*INDEX(Controls!$B$21:$H$21,1,WEEKDAY($A349,2))*(1+Controls!$B$11)^347*(1+Controls!I$25*Smooth!$L349)*(1+Controls!I$26*Smooth!$M349)*(1+Controls!I$27*Smooth!$N349)*(1+Controls!I$28*Smooth!$O349)),2))</f>
        <v/>
      </c>
      <c r="E349" s="10" t="str">
        <f t="array" ref="E349">IF(OR($A349="",4&gt;Controls!$B$6),"",ROUND(MAX(0,Smooth!E349*Controls!E$17*INDEX(Controls!$B$21:$H$21,1,WEEKDAY($A349,2))*(1+Controls!$B$11)^347*(1+Controls!J$25*Smooth!$L349)*(1+Controls!J$26*Smooth!$M349)*(1+Controls!J$27*Smooth!$N349)*(1+Controls!J$28*Smooth!$O349)),2))</f>
        <v/>
      </c>
      <c r="F349" s="10" t="str">
        <f t="array" ref="F349">IF(OR($A349="",5&gt;Controls!$B$6),"",ROUND(MAX(0,Smooth!F349*Controls!F$17*INDEX(Controls!$B$21:$H$21,1,WEEKDAY($A349,2))*(1+Controls!$B$11)^347*(1+Controls!K$25*Smooth!$L349)*(1+Controls!K$26*Smooth!$M349)*(1+Controls!K$27*Smooth!$N349)*(1+Controls!K$28*Smooth!$O349)),2))</f>
        <v/>
      </c>
      <c r="G349" s="10" t="str">
        <f t="array" ref="G349">IF(OR($A349="",6&gt;Controls!$B$6),"",ROUND(MAX(0,Smooth!G349*Controls!G$17*INDEX(Controls!$B$21:$H$21,1,WEEKDAY($A349,2))*(1+Controls!$B$11)^347*(1+Controls!L$25*Smooth!$L349)*(1+Controls!L$26*Smooth!$M349)*(1+Controls!L$27*Smooth!$N349)*(1+Controls!L$28*Smooth!$O349)),2))</f>
        <v/>
      </c>
      <c r="H349" s="10" t="str">
        <f t="array" ref="H349">IF(OR($A349="",7&gt;Controls!$B$6),"",ROUND(MAX(0,Smooth!H349*Controls!H$17*INDEX(Controls!$B$21:$H$21,1,WEEKDAY($A349,2))*(1+Controls!$B$11)^347*(1+Controls!M$25*Smooth!$L349)*(1+Controls!M$26*Smooth!$M349)*(1+Controls!M$27*Smooth!$N349)*(1+Controls!M$28*Smooth!$O349)),2))</f>
        <v/>
      </c>
      <c r="I349" s="10" t="str">
        <f t="array" ref="I349">IF(OR($A349="",8&gt;Controls!$B$6),"",ROUND(MAX(0,Smooth!I349*Controls!I$17*INDEX(Controls!$B$21:$H$21,1,WEEKDAY($A349,2))*(1+Controls!$B$11)^347*(1+Controls!N$25*Smooth!$L349)*(1+Controls!N$26*Smooth!$M349)*(1+Controls!N$27*Smooth!$N349)*(1+Controls!N$28*Smooth!$O349)),2))</f>
        <v/>
      </c>
      <c r="J349" s="10" t="str">
        <f t="array" ref="J349">IF(OR($A349="",9&gt;Controls!$B$6),"",ROUND(MAX(0,Smooth!J349*Controls!J$17*INDEX(Controls!$B$21:$H$21,1,WEEKDAY($A349,2))*(1+Controls!$B$11)^347*(1+Controls!O$25*Smooth!$L349)*(1+Controls!O$26*Smooth!$M349)*(1+Controls!O$27*Smooth!$N349)*(1+Controls!O$28*Smooth!$O349)),2))</f>
        <v/>
      </c>
      <c r="K349" s="10" t="str">
        <f t="array" ref="K349">IF(OR($A349="",10&gt;Controls!$B$6),"",ROUND(MAX(0,Smooth!K349*Controls!K$17*INDEX(Controls!$B$21:$H$21,1,WEEKDAY($A349,2))*(1+Controls!$B$11)^347*(1+Controls!P$25*Smooth!$L349)*(1+Controls!P$26*Smooth!$M349)*(1+Controls!P$27*Smooth!$N349)*(1+Controls!P$28*Smooth!$O349)),2))</f>
        <v/>
      </c>
      <c r="L349" s="18" t="str">
        <f t="shared" si="1"/>
        <v/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21.0" customHeight="1">
      <c r="A350" s="7" t="str">
        <f>IF(349&lt;=Controls!$B$5,Controls!$B$4+348,"")</f>
        <v/>
      </c>
      <c r="B350" s="10" t="str">
        <f t="array" ref="B350">IF(OR($A350="",1&gt;Controls!$B$6),"",ROUND(MAX(0,Smooth!B350*Controls!B$17*INDEX(Controls!$B$21:$H$21,1,WEEKDAY($A350,2))*(1+Controls!$B$11)^348*(1+Controls!G$25*Smooth!$L350)*(1+Controls!G$26*Smooth!$M350)*(1+Controls!G$27*Smooth!$N350)*(1+Controls!G$28*Smooth!$O350)),2))</f>
        <v/>
      </c>
      <c r="C350" s="10" t="str">
        <f t="array" ref="C350">IF(OR($A350="",2&gt;Controls!$B$6),"",ROUND(MAX(0,Smooth!C350*Controls!C$17*INDEX(Controls!$B$21:$H$21,1,WEEKDAY($A350,2))*(1+Controls!$B$11)^348*(1+Controls!H$25*Smooth!$L350)*(1+Controls!H$26*Smooth!$M350)*(1+Controls!H$27*Smooth!$N350)*(1+Controls!H$28*Smooth!$O350)),2))</f>
        <v/>
      </c>
      <c r="D350" s="10" t="str">
        <f t="array" ref="D350">IF(OR($A350="",3&gt;Controls!$B$6),"",ROUND(MAX(0,Smooth!D350*Controls!D$17*INDEX(Controls!$B$21:$H$21,1,WEEKDAY($A350,2))*(1+Controls!$B$11)^348*(1+Controls!I$25*Smooth!$L350)*(1+Controls!I$26*Smooth!$M350)*(1+Controls!I$27*Smooth!$N350)*(1+Controls!I$28*Smooth!$O350)),2))</f>
        <v/>
      </c>
      <c r="E350" s="10" t="str">
        <f t="array" ref="E350">IF(OR($A350="",4&gt;Controls!$B$6),"",ROUND(MAX(0,Smooth!E350*Controls!E$17*INDEX(Controls!$B$21:$H$21,1,WEEKDAY($A350,2))*(1+Controls!$B$11)^348*(1+Controls!J$25*Smooth!$L350)*(1+Controls!J$26*Smooth!$M350)*(1+Controls!J$27*Smooth!$N350)*(1+Controls!J$28*Smooth!$O350)),2))</f>
        <v/>
      </c>
      <c r="F350" s="10" t="str">
        <f t="array" ref="F350">IF(OR($A350="",5&gt;Controls!$B$6),"",ROUND(MAX(0,Smooth!F350*Controls!F$17*INDEX(Controls!$B$21:$H$21,1,WEEKDAY($A350,2))*(1+Controls!$B$11)^348*(1+Controls!K$25*Smooth!$L350)*(1+Controls!K$26*Smooth!$M350)*(1+Controls!K$27*Smooth!$N350)*(1+Controls!K$28*Smooth!$O350)),2))</f>
        <v/>
      </c>
      <c r="G350" s="10" t="str">
        <f t="array" ref="G350">IF(OR($A350="",6&gt;Controls!$B$6),"",ROUND(MAX(0,Smooth!G350*Controls!G$17*INDEX(Controls!$B$21:$H$21,1,WEEKDAY($A350,2))*(1+Controls!$B$11)^348*(1+Controls!L$25*Smooth!$L350)*(1+Controls!L$26*Smooth!$M350)*(1+Controls!L$27*Smooth!$N350)*(1+Controls!L$28*Smooth!$O350)),2))</f>
        <v/>
      </c>
      <c r="H350" s="10" t="str">
        <f t="array" ref="H350">IF(OR($A350="",7&gt;Controls!$B$6),"",ROUND(MAX(0,Smooth!H350*Controls!H$17*INDEX(Controls!$B$21:$H$21,1,WEEKDAY($A350,2))*(1+Controls!$B$11)^348*(1+Controls!M$25*Smooth!$L350)*(1+Controls!M$26*Smooth!$M350)*(1+Controls!M$27*Smooth!$N350)*(1+Controls!M$28*Smooth!$O350)),2))</f>
        <v/>
      </c>
      <c r="I350" s="10" t="str">
        <f t="array" ref="I350">IF(OR($A350="",8&gt;Controls!$B$6),"",ROUND(MAX(0,Smooth!I350*Controls!I$17*INDEX(Controls!$B$21:$H$21,1,WEEKDAY($A350,2))*(1+Controls!$B$11)^348*(1+Controls!N$25*Smooth!$L350)*(1+Controls!N$26*Smooth!$M350)*(1+Controls!N$27*Smooth!$N350)*(1+Controls!N$28*Smooth!$O350)),2))</f>
        <v/>
      </c>
      <c r="J350" s="10" t="str">
        <f t="array" ref="J350">IF(OR($A350="",9&gt;Controls!$B$6),"",ROUND(MAX(0,Smooth!J350*Controls!J$17*INDEX(Controls!$B$21:$H$21,1,WEEKDAY($A350,2))*(1+Controls!$B$11)^348*(1+Controls!O$25*Smooth!$L350)*(1+Controls!O$26*Smooth!$M350)*(1+Controls!O$27*Smooth!$N350)*(1+Controls!O$28*Smooth!$O350)),2))</f>
        <v/>
      </c>
      <c r="K350" s="10" t="str">
        <f t="array" ref="K350">IF(OR($A350="",10&gt;Controls!$B$6),"",ROUND(MAX(0,Smooth!K350*Controls!K$17*INDEX(Controls!$B$21:$H$21,1,WEEKDAY($A350,2))*(1+Controls!$B$11)^348*(1+Controls!P$25*Smooth!$L350)*(1+Controls!P$26*Smooth!$M350)*(1+Controls!P$27*Smooth!$N350)*(1+Controls!P$28*Smooth!$O350)),2))</f>
        <v/>
      </c>
      <c r="L350" s="18" t="str">
        <f t="shared" si="1"/>
        <v/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21.0" customHeight="1">
      <c r="A351" s="7" t="str">
        <f>IF(350&lt;=Controls!$B$5,Controls!$B$4+349,"")</f>
        <v/>
      </c>
      <c r="B351" s="10" t="str">
        <f t="array" ref="B351">IF(OR($A351="",1&gt;Controls!$B$6),"",ROUND(MAX(0,Smooth!B351*Controls!B$17*INDEX(Controls!$B$21:$H$21,1,WEEKDAY($A351,2))*(1+Controls!$B$11)^349*(1+Controls!G$25*Smooth!$L351)*(1+Controls!G$26*Smooth!$M351)*(1+Controls!G$27*Smooth!$N351)*(1+Controls!G$28*Smooth!$O351)),2))</f>
        <v/>
      </c>
      <c r="C351" s="10" t="str">
        <f t="array" ref="C351">IF(OR($A351="",2&gt;Controls!$B$6),"",ROUND(MAX(0,Smooth!C351*Controls!C$17*INDEX(Controls!$B$21:$H$21,1,WEEKDAY($A351,2))*(1+Controls!$B$11)^349*(1+Controls!H$25*Smooth!$L351)*(1+Controls!H$26*Smooth!$M351)*(1+Controls!H$27*Smooth!$N351)*(1+Controls!H$28*Smooth!$O351)),2))</f>
        <v/>
      </c>
      <c r="D351" s="10" t="str">
        <f t="array" ref="D351">IF(OR($A351="",3&gt;Controls!$B$6),"",ROUND(MAX(0,Smooth!D351*Controls!D$17*INDEX(Controls!$B$21:$H$21,1,WEEKDAY($A351,2))*(1+Controls!$B$11)^349*(1+Controls!I$25*Smooth!$L351)*(1+Controls!I$26*Smooth!$M351)*(1+Controls!I$27*Smooth!$N351)*(1+Controls!I$28*Smooth!$O351)),2))</f>
        <v/>
      </c>
      <c r="E351" s="10" t="str">
        <f t="array" ref="E351">IF(OR($A351="",4&gt;Controls!$B$6),"",ROUND(MAX(0,Smooth!E351*Controls!E$17*INDEX(Controls!$B$21:$H$21,1,WEEKDAY($A351,2))*(1+Controls!$B$11)^349*(1+Controls!J$25*Smooth!$L351)*(1+Controls!J$26*Smooth!$M351)*(1+Controls!J$27*Smooth!$N351)*(1+Controls!J$28*Smooth!$O351)),2))</f>
        <v/>
      </c>
      <c r="F351" s="10" t="str">
        <f t="array" ref="F351">IF(OR($A351="",5&gt;Controls!$B$6),"",ROUND(MAX(0,Smooth!F351*Controls!F$17*INDEX(Controls!$B$21:$H$21,1,WEEKDAY($A351,2))*(1+Controls!$B$11)^349*(1+Controls!K$25*Smooth!$L351)*(1+Controls!K$26*Smooth!$M351)*(1+Controls!K$27*Smooth!$N351)*(1+Controls!K$28*Smooth!$O351)),2))</f>
        <v/>
      </c>
      <c r="G351" s="10" t="str">
        <f t="array" ref="G351">IF(OR($A351="",6&gt;Controls!$B$6),"",ROUND(MAX(0,Smooth!G351*Controls!G$17*INDEX(Controls!$B$21:$H$21,1,WEEKDAY($A351,2))*(1+Controls!$B$11)^349*(1+Controls!L$25*Smooth!$L351)*(1+Controls!L$26*Smooth!$M351)*(1+Controls!L$27*Smooth!$N351)*(1+Controls!L$28*Smooth!$O351)),2))</f>
        <v/>
      </c>
      <c r="H351" s="10" t="str">
        <f t="array" ref="H351">IF(OR($A351="",7&gt;Controls!$B$6),"",ROUND(MAX(0,Smooth!H351*Controls!H$17*INDEX(Controls!$B$21:$H$21,1,WEEKDAY($A351,2))*(1+Controls!$B$11)^349*(1+Controls!M$25*Smooth!$L351)*(1+Controls!M$26*Smooth!$M351)*(1+Controls!M$27*Smooth!$N351)*(1+Controls!M$28*Smooth!$O351)),2))</f>
        <v/>
      </c>
      <c r="I351" s="10" t="str">
        <f t="array" ref="I351">IF(OR($A351="",8&gt;Controls!$B$6),"",ROUND(MAX(0,Smooth!I351*Controls!I$17*INDEX(Controls!$B$21:$H$21,1,WEEKDAY($A351,2))*(1+Controls!$B$11)^349*(1+Controls!N$25*Smooth!$L351)*(1+Controls!N$26*Smooth!$M351)*(1+Controls!N$27*Smooth!$N351)*(1+Controls!N$28*Smooth!$O351)),2))</f>
        <v/>
      </c>
      <c r="J351" s="10" t="str">
        <f t="array" ref="J351">IF(OR($A351="",9&gt;Controls!$B$6),"",ROUND(MAX(0,Smooth!J351*Controls!J$17*INDEX(Controls!$B$21:$H$21,1,WEEKDAY($A351,2))*(1+Controls!$B$11)^349*(1+Controls!O$25*Smooth!$L351)*(1+Controls!O$26*Smooth!$M351)*(1+Controls!O$27*Smooth!$N351)*(1+Controls!O$28*Smooth!$O351)),2))</f>
        <v/>
      </c>
      <c r="K351" s="10" t="str">
        <f t="array" ref="K351">IF(OR($A351="",10&gt;Controls!$B$6),"",ROUND(MAX(0,Smooth!K351*Controls!K$17*INDEX(Controls!$B$21:$H$21,1,WEEKDAY($A351,2))*(1+Controls!$B$11)^349*(1+Controls!P$25*Smooth!$L351)*(1+Controls!P$26*Smooth!$M351)*(1+Controls!P$27*Smooth!$N351)*(1+Controls!P$28*Smooth!$O351)),2))</f>
        <v/>
      </c>
      <c r="L351" s="18" t="str">
        <f t="shared" si="1"/>
        <v/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21.0" customHeight="1">
      <c r="A352" s="7" t="str">
        <f>IF(351&lt;=Controls!$B$5,Controls!$B$4+350,"")</f>
        <v/>
      </c>
      <c r="B352" s="10" t="str">
        <f t="array" ref="B352">IF(OR($A352="",1&gt;Controls!$B$6),"",ROUND(MAX(0,Smooth!B352*Controls!B$17*INDEX(Controls!$B$21:$H$21,1,WEEKDAY($A352,2))*(1+Controls!$B$11)^350*(1+Controls!G$25*Smooth!$L352)*(1+Controls!G$26*Smooth!$M352)*(1+Controls!G$27*Smooth!$N352)*(1+Controls!G$28*Smooth!$O352)),2))</f>
        <v/>
      </c>
      <c r="C352" s="10" t="str">
        <f t="array" ref="C352">IF(OR($A352="",2&gt;Controls!$B$6),"",ROUND(MAX(0,Smooth!C352*Controls!C$17*INDEX(Controls!$B$21:$H$21,1,WEEKDAY($A352,2))*(1+Controls!$B$11)^350*(1+Controls!H$25*Smooth!$L352)*(1+Controls!H$26*Smooth!$M352)*(1+Controls!H$27*Smooth!$N352)*(1+Controls!H$28*Smooth!$O352)),2))</f>
        <v/>
      </c>
      <c r="D352" s="10" t="str">
        <f t="array" ref="D352">IF(OR($A352="",3&gt;Controls!$B$6),"",ROUND(MAX(0,Smooth!D352*Controls!D$17*INDEX(Controls!$B$21:$H$21,1,WEEKDAY($A352,2))*(1+Controls!$B$11)^350*(1+Controls!I$25*Smooth!$L352)*(1+Controls!I$26*Smooth!$M352)*(1+Controls!I$27*Smooth!$N352)*(1+Controls!I$28*Smooth!$O352)),2))</f>
        <v/>
      </c>
      <c r="E352" s="10" t="str">
        <f t="array" ref="E352">IF(OR($A352="",4&gt;Controls!$B$6),"",ROUND(MAX(0,Smooth!E352*Controls!E$17*INDEX(Controls!$B$21:$H$21,1,WEEKDAY($A352,2))*(1+Controls!$B$11)^350*(1+Controls!J$25*Smooth!$L352)*(1+Controls!J$26*Smooth!$M352)*(1+Controls!J$27*Smooth!$N352)*(1+Controls!J$28*Smooth!$O352)),2))</f>
        <v/>
      </c>
      <c r="F352" s="10" t="str">
        <f t="array" ref="F352">IF(OR($A352="",5&gt;Controls!$B$6),"",ROUND(MAX(0,Smooth!F352*Controls!F$17*INDEX(Controls!$B$21:$H$21,1,WEEKDAY($A352,2))*(1+Controls!$B$11)^350*(1+Controls!K$25*Smooth!$L352)*(1+Controls!K$26*Smooth!$M352)*(1+Controls!K$27*Smooth!$N352)*(1+Controls!K$28*Smooth!$O352)),2))</f>
        <v/>
      </c>
      <c r="G352" s="10" t="str">
        <f t="array" ref="G352">IF(OR($A352="",6&gt;Controls!$B$6),"",ROUND(MAX(0,Smooth!G352*Controls!G$17*INDEX(Controls!$B$21:$H$21,1,WEEKDAY($A352,2))*(1+Controls!$B$11)^350*(1+Controls!L$25*Smooth!$L352)*(1+Controls!L$26*Smooth!$M352)*(1+Controls!L$27*Smooth!$N352)*(1+Controls!L$28*Smooth!$O352)),2))</f>
        <v/>
      </c>
      <c r="H352" s="10" t="str">
        <f t="array" ref="H352">IF(OR($A352="",7&gt;Controls!$B$6),"",ROUND(MAX(0,Smooth!H352*Controls!H$17*INDEX(Controls!$B$21:$H$21,1,WEEKDAY($A352,2))*(1+Controls!$B$11)^350*(1+Controls!M$25*Smooth!$L352)*(1+Controls!M$26*Smooth!$M352)*(1+Controls!M$27*Smooth!$N352)*(1+Controls!M$28*Smooth!$O352)),2))</f>
        <v/>
      </c>
      <c r="I352" s="10" t="str">
        <f t="array" ref="I352">IF(OR($A352="",8&gt;Controls!$B$6),"",ROUND(MAX(0,Smooth!I352*Controls!I$17*INDEX(Controls!$B$21:$H$21,1,WEEKDAY($A352,2))*(1+Controls!$B$11)^350*(1+Controls!N$25*Smooth!$L352)*(1+Controls!N$26*Smooth!$M352)*(1+Controls!N$27*Smooth!$N352)*(1+Controls!N$28*Smooth!$O352)),2))</f>
        <v/>
      </c>
      <c r="J352" s="10" t="str">
        <f t="array" ref="J352">IF(OR($A352="",9&gt;Controls!$B$6),"",ROUND(MAX(0,Smooth!J352*Controls!J$17*INDEX(Controls!$B$21:$H$21,1,WEEKDAY($A352,2))*(1+Controls!$B$11)^350*(1+Controls!O$25*Smooth!$L352)*(1+Controls!O$26*Smooth!$M352)*(1+Controls!O$27*Smooth!$N352)*(1+Controls!O$28*Smooth!$O352)),2))</f>
        <v/>
      </c>
      <c r="K352" s="10" t="str">
        <f t="array" ref="K352">IF(OR($A352="",10&gt;Controls!$B$6),"",ROUND(MAX(0,Smooth!K352*Controls!K$17*INDEX(Controls!$B$21:$H$21,1,WEEKDAY($A352,2))*(1+Controls!$B$11)^350*(1+Controls!P$25*Smooth!$L352)*(1+Controls!P$26*Smooth!$M352)*(1+Controls!P$27*Smooth!$N352)*(1+Controls!P$28*Smooth!$O352)),2))</f>
        <v/>
      </c>
      <c r="L352" s="18" t="str">
        <f t="shared" si="1"/>
        <v/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21.0" customHeight="1">
      <c r="A353" s="7" t="str">
        <f>IF(352&lt;=Controls!$B$5,Controls!$B$4+351,"")</f>
        <v/>
      </c>
      <c r="B353" s="10" t="str">
        <f t="array" ref="B353">IF(OR($A353="",1&gt;Controls!$B$6),"",ROUND(MAX(0,Smooth!B353*Controls!B$17*INDEX(Controls!$B$21:$H$21,1,WEEKDAY($A353,2))*(1+Controls!$B$11)^351*(1+Controls!G$25*Smooth!$L353)*(1+Controls!G$26*Smooth!$M353)*(1+Controls!G$27*Smooth!$N353)*(1+Controls!G$28*Smooth!$O353)),2))</f>
        <v/>
      </c>
      <c r="C353" s="10" t="str">
        <f t="array" ref="C353">IF(OR($A353="",2&gt;Controls!$B$6),"",ROUND(MAX(0,Smooth!C353*Controls!C$17*INDEX(Controls!$B$21:$H$21,1,WEEKDAY($A353,2))*(1+Controls!$B$11)^351*(1+Controls!H$25*Smooth!$L353)*(1+Controls!H$26*Smooth!$M353)*(1+Controls!H$27*Smooth!$N353)*(1+Controls!H$28*Smooth!$O353)),2))</f>
        <v/>
      </c>
      <c r="D353" s="10" t="str">
        <f t="array" ref="D353">IF(OR($A353="",3&gt;Controls!$B$6),"",ROUND(MAX(0,Smooth!D353*Controls!D$17*INDEX(Controls!$B$21:$H$21,1,WEEKDAY($A353,2))*(1+Controls!$B$11)^351*(1+Controls!I$25*Smooth!$L353)*(1+Controls!I$26*Smooth!$M353)*(1+Controls!I$27*Smooth!$N353)*(1+Controls!I$28*Smooth!$O353)),2))</f>
        <v/>
      </c>
      <c r="E353" s="10" t="str">
        <f t="array" ref="E353">IF(OR($A353="",4&gt;Controls!$B$6),"",ROUND(MAX(0,Smooth!E353*Controls!E$17*INDEX(Controls!$B$21:$H$21,1,WEEKDAY($A353,2))*(1+Controls!$B$11)^351*(1+Controls!J$25*Smooth!$L353)*(1+Controls!J$26*Smooth!$M353)*(1+Controls!J$27*Smooth!$N353)*(1+Controls!J$28*Smooth!$O353)),2))</f>
        <v/>
      </c>
      <c r="F353" s="10" t="str">
        <f t="array" ref="F353">IF(OR($A353="",5&gt;Controls!$B$6),"",ROUND(MAX(0,Smooth!F353*Controls!F$17*INDEX(Controls!$B$21:$H$21,1,WEEKDAY($A353,2))*(1+Controls!$B$11)^351*(1+Controls!K$25*Smooth!$L353)*(1+Controls!K$26*Smooth!$M353)*(1+Controls!K$27*Smooth!$N353)*(1+Controls!K$28*Smooth!$O353)),2))</f>
        <v/>
      </c>
      <c r="G353" s="10" t="str">
        <f t="array" ref="G353">IF(OR($A353="",6&gt;Controls!$B$6),"",ROUND(MAX(0,Smooth!G353*Controls!G$17*INDEX(Controls!$B$21:$H$21,1,WEEKDAY($A353,2))*(1+Controls!$B$11)^351*(1+Controls!L$25*Smooth!$L353)*(1+Controls!L$26*Smooth!$M353)*(1+Controls!L$27*Smooth!$N353)*(1+Controls!L$28*Smooth!$O353)),2))</f>
        <v/>
      </c>
      <c r="H353" s="10" t="str">
        <f t="array" ref="H353">IF(OR($A353="",7&gt;Controls!$B$6),"",ROUND(MAX(0,Smooth!H353*Controls!H$17*INDEX(Controls!$B$21:$H$21,1,WEEKDAY($A353,2))*(1+Controls!$B$11)^351*(1+Controls!M$25*Smooth!$L353)*(1+Controls!M$26*Smooth!$M353)*(1+Controls!M$27*Smooth!$N353)*(1+Controls!M$28*Smooth!$O353)),2))</f>
        <v/>
      </c>
      <c r="I353" s="10" t="str">
        <f t="array" ref="I353">IF(OR($A353="",8&gt;Controls!$B$6),"",ROUND(MAX(0,Smooth!I353*Controls!I$17*INDEX(Controls!$B$21:$H$21,1,WEEKDAY($A353,2))*(1+Controls!$B$11)^351*(1+Controls!N$25*Smooth!$L353)*(1+Controls!N$26*Smooth!$M353)*(1+Controls!N$27*Smooth!$N353)*(1+Controls!N$28*Smooth!$O353)),2))</f>
        <v/>
      </c>
      <c r="J353" s="10" t="str">
        <f t="array" ref="J353">IF(OR($A353="",9&gt;Controls!$B$6),"",ROUND(MAX(0,Smooth!J353*Controls!J$17*INDEX(Controls!$B$21:$H$21,1,WEEKDAY($A353,2))*(1+Controls!$B$11)^351*(1+Controls!O$25*Smooth!$L353)*(1+Controls!O$26*Smooth!$M353)*(1+Controls!O$27*Smooth!$N353)*(1+Controls!O$28*Smooth!$O353)),2))</f>
        <v/>
      </c>
      <c r="K353" s="10" t="str">
        <f t="array" ref="K353">IF(OR($A353="",10&gt;Controls!$B$6),"",ROUND(MAX(0,Smooth!K353*Controls!K$17*INDEX(Controls!$B$21:$H$21,1,WEEKDAY($A353,2))*(1+Controls!$B$11)^351*(1+Controls!P$25*Smooth!$L353)*(1+Controls!P$26*Smooth!$M353)*(1+Controls!P$27*Smooth!$N353)*(1+Controls!P$28*Smooth!$O353)),2))</f>
        <v/>
      </c>
      <c r="L353" s="18" t="str">
        <f t="shared" si="1"/>
        <v/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21.0" customHeight="1">
      <c r="A354" s="7" t="str">
        <f>IF(353&lt;=Controls!$B$5,Controls!$B$4+352,"")</f>
        <v/>
      </c>
      <c r="B354" s="10" t="str">
        <f t="array" ref="B354">IF(OR($A354="",1&gt;Controls!$B$6),"",ROUND(MAX(0,Smooth!B354*Controls!B$17*INDEX(Controls!$B$21:$H$21,1,WEEKDAY($A354,2))*(1+Controls!$B$11)^352*(1+Controls!G$25*Smooth!$L354)*(1+Controls!G$26*Smooth!$M354)*(1+Controls!G$27*Smooth!$N354)*(1+Controls!G$28*Smooth!$O354)),2))</f>
        <v/>
      </c>
      <c r="C354" s="10" t="str">
        <f t="array" ref="C354">IF(OR($A354="",2&gt;Controls!$B$6),"",ROUND(MAX(0,Smooth!C354*Controls!C$17*INDEX(Controls!$B$21:$H$21,1,WEEKDAY($A354,2))*(1+Controls!$B$11)^352*(1+Controls!H$25*Smooth!$L354)*(1+Controls!H$26*Smooth!$M354)*(1+Controls!H$27*Smooth!$N354)*(1+Controls!H$28*Smooth!$O354)),2))</f>
        <v/>
      </c>
      <c r="D354" s="10" t="str">
        <f t="array" ref="D354">IF(OR($A354="",3&gt;Controls!$B$6),"",ROUND(MAX(0,Smooth!D354*Controls!D$17*INDEX(Controls!$B$21:$H$21,1,WEEKDAY($A354,2))*(1+Controls!$B$11)^352*(1+Controls!I$25*Smooth!$L354)*(1+Controls!I$26*Smooth!$M354)*(1+Controls!I$27*Smooth!$N354)*(1+Controls!I$28*Smooth!$O354)),2))</f>
        <v/>
      </c>
      <c r="E354" s="10" t="str">
        <f t="array" ref="E354">IF(OR($A354="",4&gt;Controls!$B$6),"",ROUND(MAX(0,Smooth!E354*Controls!E$17*INDEX(Controls!$B$21:$H$21,1,WEEKDAY($A354,2))*(1+Controls!$B$11)^352*(1+Controls!J$25*Smooth!$L354)*(1+Controls!J$26*Smooth!$M354)*(1+Controls!J$27*Smooth!$N354)*(1+Controls!J$28*Smooth!$O354)),2))</f>
        <v/>
      </c>
      <c r="F354" s="10" t="str">
        <f t="array" ref="F354">IF(OR($A354="",5&gt;Controls!$B$6),"",ROUND(MAX(0,Smooth!F354*Controls!F$17*INDEX(Controls!$B$21:$H$21,1,WEEKDAY($A354,2))*(1+Controls!$B$11)^352*(1+Controls!K$25*Smooth!$L354)*(1+Controls!K$26*Smooth!$M354)*(1+Controls!K$27*Smooth!$N354)*(1+Controls!K$28*Smooth!$O354)),2))</f>
        <v/>
      </c>
      <c r="G354" s="10" t="str">
        <f t="array" ref="G354">IF(OR($A354="",6&gt;Controls!$B$6),"",ROUND(MAX(0,Smooth!G354*Controls!G$17*INDEX(Controls!$B$21:$H$21,1,WEEKDAY($A354,2))*(1+Controls!$B$11)^352*(1+Controls!L$25*Smooth!$L354)*(1+Controls!L$26*Smooth!$M354)*(1+Controls!L$27*Smooth!$N354)*(1+Controls!L$28*Smooth!$O354)),2))</f>
        <v/>
      </c>
      <c r="H354" s="10" t="str">
        <f t="array" ref="H354">IF(OR($A354="",7&gt;Controls!$B$6),"",ROUND(MAX(0,Smooth!H354*Controls!H$17*INDEX(Controls!$B$21:$H$21,1,WEEKDAY($A354,2))*(1+Controls!$B$11)^352*(1+Controls!M$25*Smooth!$L354)*(1+Controls!M$26*Smooth!$M354)*(1+Controls!M$27*Smooth!$N354)*(1+Controls!M$28*Smooth!$O354)),2))</f>
        <v/>
      </c>
      <c r="I354" s="10" t="str">
        <f t="array" ref="I354">IF(OR($A354="",8&gt;Controls!$B$6),"",ROUND(MAX(0,Smooth!I354*Controls!I$17*INDEX(Controls!$B$21:$H$21,1,WEEKDAY($A354,2))*(1+Controls!$B$11)^352*(1+Controls!N$25*Smooth!$L354)*(1+Controls!N$26*Smooth!$M354)*(1+Controls!N$27*Smooth!$N354)*(1+Controls!N$28*Smooth!$O354)),2))</f>
        <v/>
      </c>
      <c r="J354" s="10" t="str">
        <f t="array" ref="J354">IF(OR($A354="",9&gt;Controls!$B$6),"",ROUND(MAX(0,Smooth!J354*Controls!J$17*INDEX(Controls!$B$21:$H$21,1,WEEKDAY($A354,2))*(1+Controls!$B$11)^352*(1+Controls!O$25*Smooth!$L354)*(1+Controls!O$26*Smooth!$M354)*(1+Controls!O$27*Smooth!$N354)*(1+Controls!O$28*Smooth!$O354)),2))</f>
        <v/>
      </c>
      <c r="K354" s="10" t="str">
        <f t="array" ref="K354">IF(OR($A354="",10&gt;Controls!$B$6),"",ROUND(MAX(0,Smooth!K354*Controls!K$17*INDEX(Controls!$B$21:$H$21,1,WEEKDAY($A354,2))*(1+Controls!$B$11)^352*(1+Controls!P$25*Smooth!$L354)*(1+Controls!P$26*Smooth!$M354)*(1+Controls!P$27*Smooth!$N354)*(1+Controls!P$28*Smooth!$O354)),2))</f>
        <v/>
      </c>
      <c r="L354" s="18" t="str">
        <f t="shared" si="1"/>
        <v/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21.0" customHeight="1">
      <c r="A355" s="7" t="str">
        <f>IF(354&lt;=Controls!$B$5,Controls!$B$4+353,"")</f>
        <v/>
      </c>
      <c r="B355" s="10" t="str">
        <f t="array" ref="B355">IF(OR($A355="",1&gt;Controls!$B$6),"",ROUND(MAX(0,Smooth!B355*Controls!B$17*INDEX(Controls!$B$21:$H$21,1,WEEKDAY($A355,2))*(1+Controls!$B$11)^353*(1+Controls!G$25*Smooth!$L355)*(1+Controls!G$26*Smooth!$M355)*(1+Controls!G$27*Smooth!$N355)*(1+Controls!G$28*Smooth!$O355)),2))</f>
        <v/>
      </c>
      <c r="C355" s="10" t="str">
        <f t="array" ref="C355">IF(OR($A355="",2&gt;Controls!$B$6),"",ROUND(MAX(0,Smooth!C355*Controls!C$17*INDEX(Controls!$B$21:$H$21,1,WEEKDAY($A355,2))*(1+Controls!$B$11)^353*(1+Controls!H$25*Smooth!$L355)*(1+Controls!H$26*Smooth!$M355)*(1+Controls!H$27*Smooth!$N355)*(1+Controls!H$28*Smooth!$O355)),2))</f>
        <v/>
      </c>
      <c r="D355" s="10" t="str">
        <f t="array" ref="D355">IF(OR($A355="",3&gt;Controls!$B$6),"",ROUND(MAX(0,Smooth!D355*Controls!D$17*INDEX(Controls!$B$21:$H$21,1,WEEKDAY($A355,2))*(1+Controls!$B$11)^353*(1+Controls!I$25*Smooth!$L355)*(1+Controls!I$26*Smooth!$M355)*(1+Controls!I$27*Smooth!$N355)*(1+Controls!I$28*Smooth!$O355)),2))</f>
        <v/>
      </c>
      <c r="E355" s="10" t="str">
        <f t="array" ref="E355">IF(OR($A355="",4&gt;Controls!$B$6),"",ROUND(MAX(0,Smooth!E355*Controls!E$17*INDEX(Controls!$B$21:$H$21,1,WEEKDAY($A355,2))*(1+Controls!$B$11)^353*(1+Controls!J$25*Smooth!$L355)*(1+Controls!J$26*Smooth!$M355)*(1+Controls!J$27*Smooth!$N355)*(1+Controls!J$28*Smooth!$O355)),2))</f>
        <v/>
      </c>
      <c r="F355" s="10" t="str">
        <f t="array" ref="F355">IF(OR($A355="",5&gt;Controls!$B$6),"",ROUND(MAX(0,Smooth!F355*Controls!F$17*INDEX(Controls!$B$21:$H$21,1,WEEKDAY($A355,2))*(1+Controls!$B$11)^353*(1+Controls!K$25*Smooth!$L355)*(1+Controls!K$26*Smooth!$M355)*(1+Controls!K$27*Smooth!$N355)*(1+Controls!K$28*Smooth!$O355)),2))</f>
        <v/>
      </c>
      <c r="G355" s="10" t="str">
        <f t="array" ref="G355">IF(OR($A355="",6&gt;Controls!$B$6),"",ROUND(MAX(0,Smooth!G355*Controls!G$17*INDEX(Controls!$B$21:$H$21,1,WEEKDAY($A355,2))*(1+Controls!$B$11)^353*(1+Controls!L$25*Smooth!$L355)*(1+Controls!L$26*Smooth!$M355)*(1+Controls!L$27*Smooth!$N355)*(1+Controls!L$28*Smooth!$O355)),2))</f>
        <v/>
      </c>
      <c r="H355" s="10" t="str">
        <f t="array" ref="H355">IF(OR($A355="",7&gt;Controls!$B$6),"",ROUND(MAX(0,Smooth!H355*Controls!H$17*INDEX(Controls!$B$21:$H$21,1,WEEKDAY($A355,2))*(1+Controls!$B$11)^353*(1+Controls!M$25*Smooth!$L355)*(1+Controls!M$26*Smooth!$M355)*(1+Controls!M$27*Smooth!$N355)*(1+Controls!M$28*Smooth!$O355)),2))</f>
        <v/>
      </c>
      <c r="I355" s="10" t="str">
        <f t="array" ref="I355">IF(OR($A355="",8&gt;Controls!$B$6),"",ROUND(MAX(0,Smooth!I355*Controls!I$17*INDEX(Controls!$B$21:$H$21,1,WEEKDAY($A355,2))*(1+Controls!$B$11)^353*(1+Controls!N$25*Smooth!$L355)*(1+Controls!N$26*Smooth!$M355)*(1+Controls!N$27*Smooth!$N355)*(1+Controls!N$28*Smooth!$O355)),2))</f>
        <v/>
      </c>
      <c r="J355" s="10" t="str">
        <f t="array" ref="J355">IF(OR($A355="",9&gt;Controls!$B$6),"",ROUND(MAX(0,Smooth!J355*Controls!J$17*INDEX(Controls!$B$21:$H$21,1,WEEKDAY($A355,2))*(1+Controls!$B$11)^353*(1+Controls!O$25*Smooth!$L355)*(1+Controls!O$26*Smooth!$M355)*(1+Controls!O$27*Smooth!$N355)*(1+Controls!O$28*Smooth!$O355)),2))</f>
        <v/>
      </c>
      <c r="K355" s="10" t="str">
        <f t="array" ref="K355">IF(OR($A355="",10&gt;Controls!$B$6),"",ROUND(MAX(0,Smooth!K355*Controls!K$17*INDEX(Controls!$B$21:$H$21,1,WEEKDAY($A355,2))*(1+Controls!$B$11)^353*(1+Controls!P$25*Smooth!$L355)*(1+Controls!P$26*Smooth!$M355)*(1+Controls!P$27*Smooth!$N355)*(1+Controls!P$28*Smooth!$O355)),2))</f>
        <v/>
      </c>
      <c r="L355" s="18" t="str">
        <f t="shared" si="1"/>
        <v/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21.0" customHeight="1">
      <c r="A356" s="7" t="str">
        <f>IF(355&lt;=Controls!$B$5,Controls!$B$4+354,"")</f>
        <v/>
      </c>
      <c r="B356" s="10" t="str">
        <f t="array" ref="B356">IF(OR($A356="",1&gt;Controls!$B$6),"",ROUND(MAX(0,Smooth!B356*Controls!B$17*INDEX(Controls!$B$21:$H$21,1,WEEKDAY($A356,2))*(1+Controls!$B$11)^354*(1+Controls!G$25*Smooth!$L356)*(1+Controls!G$26*Smooth!$M356)*(1+Controls!G$27*Smooth!$N356)*(1+Controls!G$28*Smooth!$O356)),2))</f>
        <v/>
      </c>
      <c r="C356" s="10" t="str">
        <f t="array" ref="C356">IF(OR($A356="",2&gt;Controls!$B$6),"",ROUND(MAX(0,Smooth!C356*Controls!C$17*INDEX(Controls!$B$21:$H$21,1,WEEKDAY($A356,2))*(1+Controls!$B$11)^354*(1+Controls!H$25*Smooth!$L356)*(1+Controls!H$26*Smooth!$M356)*(1+Controls!H$27*Smooth!$N356)*(1+Controls!H$28*Smooth!$O356)),2))</f>
        <v/>
      </c>
      <c r="D356" s="10" t="str">
        <f t="array" ref="D356">IF(OR($A356="",3&gt;Controls!$B$6),"",ROUND(MAX(0,Smooth!D356*Controls!D$17*INDEX(Controls!$B$21:$H$21,1,WEEKDAY($A356,2))*(1+Controls!$B$11)^354*(1+Controls!I$25*Smooth!$L356)*(1+Controls!I$26*Smooth!$M356)*(1+Controls!I$27*Smooth!$N356)*(1+Controls!I$28*Smooth!$O356)),2))</f>
        <v/>
      </c>
      <c r="E356" s="10" t="str">
        <f t="array" ref="E356">IF(OR($A356="",4&gt;Controls!$B$6),"",ROUND(MAX(0,Smooth!E356*Controls!E$17*INDEX(Controls!$B$21:$H$21,1,WEEKDAY($A356,2))*(1+Controls!$B$11)^354*(1+Controls!J$25*Smooth!$L356)*(1+Controls!J$26*Smooth!$M356)*(1+Controls!J$27*Smooth!$N356)*(1+Controls!J$28*Smooth!$O356)),2))</f>
        <v/>
      </c>
      <c r="F356" s="10" t="str">
        <f t="array" ref="F356">IF(OR($A356="",5&gt;Controls!$B$6),"",ROUND(MAX(0,Smooth!F356*Controls!F$17*INDEX(Controls!$B$21:$H$21,1,WEEKDAY($A356,2))*(1+Controls!$B$11)^354*(1+Controls!K$25*Smooth!$L356)*(1+Controls!K$26*Smooth!$M356)*(1+Controls!K$27*Smooth!$N356)*(1+Controls!K$28*Smooth!$O356)),2))</f>
        <v/>
      </c>
      <c r="G356" s="10" t="str">
        <f t="array" ref="G356">IF(OR($A356="",6&gt;Controls!$B$6),"",ROUND(MAX(0,Smooth!G356*Controls!G$17*INDEX(Controls!$B$21:$H$21,1,WEEKDAY($A356,2))*(1+Controls!$B$11)^354*(1+Controls!L$25*Smooth!$L356)*(1+Controls!L$26*Smooth!$M356)*(1+Controls!L$27*Smooth!$N356)*(1+Controls!L$28*Smooth!$O356)),2))</f>
        <v/>
      </c>
      <c r="H356" s="10" t="str">
        <f t="array" ref="H356">IF(OR($A356="",7&gt;Controls!$B$6),"",ROUND(MAX(0,Smooth!H356*Controls!H$17*INDEX(Controls!$B$21:$H$21,1,WEEKDAY($A356,2))*(1+Controls!$B$11)^354*(1+Controls!M$25*Smooth!$L356)*(1+Controls!M$26*Smooth!$M356)*(1+Controls!M$27*Smooth!$N356)*(1+Controls!M$28*Smooth!$O356)),2))</f>
        <v/>
      </c>
      <c r="I356" s="10" t="str">
        <f t="array" ref="I356">IF(OR($A356="",8&gt;Controls!$B$6),"",ROUND(MAX(0,Smooth!I356*Controls!I$17*INDEX(Controls!$B$21:$H$21,1,WEEKDAY($A356,2))*(1+Controls!$B$11)^354*(1+Controls!N$25*Smooth!$L356)*(1+Controls!N$26*Smooth!$M356)*(1+Controls!N$27*Smooth!$N356)*(1+Controls!N$28*Smooth!$O356)),2))</f>
        <v/>
      </c>
      <c r="J356" s="10" t="str">
        <f t="array" ref="J356">IF(OR($A356="",9&gt;Controls!$B$6),"",ROUND(MAX(0,Smooth!J356*Controls!J$17*INDEX(Controls!$B$21:$H$21,1,WEEKDAY($A356,2))*(1+Controls!$B$11)^354*(1+Controls!O$25*Smooth!$L356)*(1+Controls!O$26*Smooth!$M356)*(1+Controls!O$27*Smooth!$N356)*(1+Controls!O$28*Smooth!$O356)),2))</f>
        <v/>
      </c>
      <c r="K356" s="10" t="str">
        <f t="array" ref="K356">IF(OR($A356="",10&gt;Controls!$B$6),"",ROUND(MAX(0,Smooth!K356*Controls!K$17*INDEX(Controls!$B$21:$H$21,1,WEEKDAY($A356,2))*(1+Controls!$B$11)^354*(1+Controls!P$25*Smooth!$L356)*(1+Controls!P$26*Smooth!$M356)*(1+Controls!P$27*Smooth!$N356)*(1+Controls!P$28*Smooth!$O356)),2))</f>
        <v/>
      </c>
      <c r="L356" s="18" t="str">
        <f t="shared" si="1"/>
        <v/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21.0" customHeight="1">
      <c r="A357" s="7" t="str">
        <f>IF(356&lt;=Controls!$B$5,Controls!$B$4+355,"")</f>
        <v/>
      </c>
      <c r="B357" s="10" t="str">
        <f t="array" ref="B357">IF(OR($A357="",1&gt;Controls!$B$6),"",ROUND(MAX(0,Smooth!B357*Controls!B$17*INDEX(Controls!$B$21:$H$21,1,WEEKDAY($A357,2))*(1+Controls!$B$11)^355*(1+Controls!G$25*Smooth!$L357)*(1+Controls!G$26*Smooth!$M357)*(1+Controls!G$27*Smooth!$N357)*(1+Controls!G$28*Smooth!$O357)),2))</f>
        <v/>
      </c>
      <c r="C357" s="10" t="str">
        <f t="array" ref="C357">IF(OR($A357="",2&gt;Controls!$B$6),"",ROUND(MAX(0,Smooth!C357*Controls!C$17*INDEX(Controls!$B$21:$H$21,1,WEEKDAY($A357,2))*(1+Controls!$B$11)^355*(1+Controls!H$25*Smooth!$L357)*(1+Controls!H$26*Smooth!$M357)*(1+Controls!H$27*Smooth!$N357)*(1+Controls!H$28*Smooth!$O357)),2))</f>
        <v/>
      </c>
      <c r="D357" s="10" t="str">
        <f t="array" ref="D357">IF(OR($A357="",3&gt;Controls!$B$6),"",ROUND(MAX(0,Smooth!D357*Controls!D$17*INDEX(Controls!$B$21:$H$21,1,WEEKDAY($A357,2))*(1+Controls!$B$11)^355*(1+Controls!I$25*Smooth!$L357)*(1+Controls!I$26*Smooth!$M357)*(1+Controls!I$27*Smooth!$N357)*(1+Controls!I$28*Smooth!$O357)),2))</f>
        <v/>
      </c>
      <c r="E357" s="10" t="str">
        <f t="array" ref="E357">IF(OR($A357="",4&gt;Controls!$B$6),"",ROUND(MAX(0,Smooth!E357*Controls!E$17*INDEX(Controls!$B$21:$H$21,1,WEEKDAY($A357,2))*(1+Controls!$B$11)^355*(1+Controls!J$25*Smooth!$L357)*(1+Controls!J$26*Smooth!$M357)*(1+Controls!J$27*Smooth!$N357)*(1+Controls!J$28*Smooth!$O357)),2))</f>
        <v/>
      </c>
      <c r="F357" s="10" t="str">
        <f t="array" ref="F357">IF(OR($A357="",5&gt;Controls!$B$6),"",ROUND(MAX(0,Smooth!F357*Controls!F$17*INDEX(Controls!$B$21:$H$21,1,WEEKDAY($A357,2))*(1+Controls!$B$11)^355*(1+Controls!K$25*Smooth!$L357)*(1+Controls!K$26*Smooth!$M357)*(1+Controls!K$27*Smooth!$N357)*(1+Controls!K$28*Smooth!$O357)),2))</f>
        <v/>
      </c>
      <c r="G357" s="10" t="str">
        <f t="array" ref="G357">IF(OR($A357="",6&gt;Controls!$B$6),"",ROUND(MAX(0,Smooth!G357*Controls!G$17*INDEX(Controls!$B$21:$H$21,1,WEEKDAY($A357,2))*(1+Controls!$B$11)^355*(1+Controls!L$25*Smooth!$L357)*(1+Controls!L$26*Smooth!$M357)*(1+Controls!L$27*Smooth!$N357)*(1+Controls!L$28*Smooth!$O357)),2))</f>
        <v/>
      </c>
      <c r="H357" s="10" t="str">
        <f t="array" ref="H357">IF(OR($A357="",7&gt;Controls!$B$6),"",ROUND(MAX(0,Smooth!H357*Controls!H$17*INDEX(Controls!$B$21:$H$21,1,WEEKDAY($A357,2))*(1+Controls!$B$11)^355*(1+Controls!M$25*Smooth!$L357)*(1+Controls!M$26*Smooth!$M357)*(1+Controls!M$27*Smooth!$N357)*(1+Controls!M$28*Smooth!$O357)),2))</f>
        <v/>
      </c>
      <c r="I357" s="10" t="str">
        <f t="array" ref="I357">IF(OR($A357="",8&gt;Controls!$B$6),"",ROUND(MAX(0,Smooth!I357*Controls!I$17*INDEX(Controls!$B$21:$H$21,1,WEEKDAY($A357,2))*(1+Controls!$B$11)^355*(1+Controls!N$25*Smooth!$L357)*(1+Controls!N$26*Smooth!$M357)*(1+Controls!N$27*Smooth!$N357)*(1+Controls!N$28*Smooth!$O357)),2))</f>
        <v/>
      </c>
      <c r="J357" s="10" t="str">
        <f t="array" ref="J357">IF(OR($A357="",9&gt;Controls!$B$6),"",ROUND(MAX(0,Smooth!J357*Controls!J$17*INDEX(Controls!$B$21:$H$21,1,WEEKDAY($A357,2))*(1+Controls!$B$11)^355*(1+Controls!O$25*Smooth!$L357)*(1+Controls!O$26*Smooth!$M357)*(1+Controls!O$27*Smooth!$N357)*(1+Controls!O$28*Smooth!$O357)),2))</f>
        <v/>
      </c>
      <c r="K357" s="10" t="str">
        <f t="array" ref="K357">IF(OR($A357="",10&gt;Controls!$B$6),"",ROUND(MAX(0,Smooth!K357*Controls!K$17*INDEX(Controls!$B$21:$H$21,1,WEEKDAY($A357,2))*(1+Controls!$B$11)^355*(1+Controls!P$25*Smooth!$L357)*(1+Controls!P$26*Smooth!$M357)*(1+Controls!P$27*Smooth!$N357)*(1+Controls!P$28*Smooth!$O357)),2))</f>
        <v/>
      </c>
      <c r="L357" s="18" t="str">
        <f t="shared" si="1"/>
        <v/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21.0" customHeight="1">
      <c r="A358" s="7" t="str">
        <f>IF(357&lt;=Controls!$B$5,Controls!$B$4+356,"")</f>
        <v/>
      </c>
      <c r="B358" s="10" t="str">
        <f t="array" ref="B358">IF(OR($A358="",1&gt;Controls!$B$6),"",ROUND(MAX(0,Smooth!B358*Controls!B$17*INDEX(Controls!$B$21:$H$21,1,WEEKDAY($A358,2))*(1+Controls!$B$11)^356*(1+Controls!G$25*Smooth!$L358)*(1+Controls!G$26*Smooth!$M358)*(1+Controls!G$27*Smooth!$N358)*(1+Controls!G$28*Smooth!$O358)),2))</f>
        <v/>
      </c>
      <c r="C358" s="10" t="str">
        <f t="array" ref="C358">IF(OR($A358="",2&gt;Controls!$B$6),"",ROUND(MAX(0,Smooth!C358*Controls!C$17*INDEX(Controls!$B$21:$H$21,1,WEEKDAY($A358,2))*(1+Controls!$B$11)^356*(1+Controls!H$25*Smooth!$L358)*(1+Controls!H$26*Smooth!$M358)*(1+Controls!H$27*Smooth!$N358)*(1+Controls!H$28*Smooth!$O358)),2))</f>
        <v/>
      </c>
      <c r="D358" s="10" t="str">
        <f t="array" ref="D358">IF(OR($A358="",3&gt;Controls!$B$6),"",ROUND(MAX(0,Smooth!D358*Controls!D$17*INDEX(Controls!$B$21:$H$21,1,WEEKDAY($A358,2))*(1+Controls!$B$11)^356*(1+Controls!I$25*Smooth!$L358)*(1+Controls!I$26*Smooth!$M358)*(1+Controls!I$27*Smooth!$N358)*(1+Controls!I$28*Smooth!$O358)),2))</f>
        <v/>
      </c>
      <c r="E358" s="10" t="str">
        <f t="array" ref="E358">IF(OR($A358="",4&gt;Controls!$B$6),"",ROUND(MAX(0,Smooth!E358*Controls!E$17*INDEX(Controls!$B$21:$H$21,1,WEEKDAY($A358,2))*(1+Controls!$B$11)^356*(1+Controls!J$25*Smooth!$L358)*(1+Controls!J$26*Smooth!$M358)*(1+Controls!J$27*Smooth!$N358)*(1+Controls!J$28*Smooth!$O358)),2))</f>
        <v/>
      </c>
      <c r="F358" s="10" t="str">
        <f t="array" ref="F358">IF(OR($A358="",5&gt;Controls!$B$6),"",ROUND(MAX(0,Smooth!F358*Controls!F$17*INDEX(Controls!$B$21:$H$21,1,WEEKDAY($A358,2))*(1+Controls!$B$11)^356*(1+Controls!K$25*Smooth!$L358)*(1+Controls!K$26*Smooth!$M358)*(1+Controls!K$27*Smooth!$N358)*(1+Controls!K$28*Smooth!$O358)),2))</f>
        <v/>
      </c>
      <c r="G358" s="10" t="str">
        <f t="array" ref="G358">IF(OR($A358="",6&gt;Controls!$B$6),"",ROUND(MAX(0,Smooth!G358*Controls!G$17*INDEX(Controls!$B$21:$H$21,1,WEEKDAY($A358,2))*(1+Controls!$B$11)^356*(1+Controls!L$25*Smooth!$L358)*(1+Controls!L$26*Smooth!$M358)*(1+Controls!L$27*Smooth!$N358)*(1+Controls!L$28*Smooth!$O358)),2))</f>
        <v/>
      </c>
      <c r="H358" s="10" t="str">
        <f t="array" ref="H358">IF(OR($A358="",7&gt;Controls!$B$6),"",ROUND(MAX(0,Smooth!H358*Controls!H$17*INDEX(Controls!$B$21:$H$21,1,WEEKDAY($A358,2))*(1+Controls!$B$11)^356*(1+Controls!M$25*Smooth!$L358)*(1+Controls!M$26*Smooth!$M358)*(1+Controls!M$27*Smooth!$N358)*(1+Controls!M$28*Smooth!$O358)),2))</f>
        <v/>
      </c>
      <c r="I358" s="10" t="str">
        <f t="array" ref="I358">IF(OR($A358="",8&gt;Controls!$B$6),"",ROUND(MAX(0,Smooth!I358*Controls!I$17*INDEX(Controls!$B$21:$H$21,1,WEEKDAY($A358,2))*(1+Controls!$B$11)^356*(1+Controls!N$25*Smooth!$L358)*(1+Controls!N$26*Smooth!$M358)*(1+Controls!N$27*Smooth!$N358)*(1+Controls!N$28*Smooth!$O358)),2))</f>
        <v/>
      </c>
      <c r="J358" s="10" t="str">
        <f t="array" ref="J358">IF(OR($A358="",9&gt;Controls!$B$6),"",ROUND(MAX(0,Smooth!J358*Controls!J$17*INDEX(Controls!$B$21:$H$21,1,WEEKDAY($A358,2))*(1+Controls!$B$11)^356*(1+Controls!O$25*Smooth!$L358)*(1+Controls!O$26*Smooth!$M358)*(1+Controls!O$27*Smooth!$N358)*(1+Controls!O$28*Smooth!$O358)),2))</f>
        <v/>
      </c>
      <c r="K358" s="10" t="str">
        <f t="array" ref="K358">IF(OR($A358="",10&gt;Controls!$B$6),"",ROUND(MAX(0,Smooth!K358*Controls!K$17*INDEX(Controls!$B$21:$H$21,1,WEEKDAY($A358,2))*(1+Controls!$B$11)^356*(1+Controls!P$25*Smooth!$L358)*(1+Controls!P$26*Smooth!$M358)*(1+Controls!P$27*Smooth!$N358)*(1+Controls!P$28*Smooth!$O358)),2))</f>
        <v/>
      </c>
      <c r="L358" s="18" t="str">
        <f t="shared" si="1"/>
        <v/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21.0" customHeight="1">
      <c r="A359" s="7" t="str">
        <f>IF(358&lt;=Controls!$B$5,Controls!$B$4+357,"")</f>
        <v/>
      </c>
      <c r="B359" s="10" t="str">
        <f t="array" ref="B359">IF(OR($A359="",1&gt;Controls!$B$6),"",ROUND(MAX(0,Smooth!B359*Controls!B$17*INDEX(Controls!$B$21:$H$21,1,WEEKDAY($A359,2))*(1+Controls!$B$11)^357*(1+Controls!G$25*Smooth!$L359)*(1+Controls!G$26*Smooth!$M359)*(1+Controls!G$27*Smooth!$N359)*(1+Controls!G$28*Smooth!$O359)),2))</f>
        <v/>
      </c>
      <c r="C359" s="10" t="str">
        <f t="array" ref="C359">IF(OR($A359="",2&gt;Controls!$B$6),"",ROUND(MAX(0,Smooth!C359*Controls!C$17*INDEX(Controls!$B$21:$H$21,1,WEEKDAY($A359,2))*(1+Controls!$B$11)^357*(1+Controls!H$25*Smooth!$L359)*(1+Controls!H$26*Smooth!$M359)*(1+Controls!H$27*Smooth!$N359)*(1+Controls!H$28*Smooth!$O359)),2))</f>
        <v/>
      </c>
      <c r="D359" s="10" t="str">
        <f t="array" ref="D359">IF(OR($A359="",3&gt;Controls!$B$6),"",ROUND(MAX(0,Smooth!D359*Controls!D$17*INDEX(Controls!$B$21:$H$21,1,WEEKDAY($A359,2))*(1+Controls!$B$11)^357*(1+Controls!I$25*Smooth!$L359)*(1+Controls!I$26*Smooth!$M359)*(1+Controls!I$27*Smooth!$N359)*(1+Controls!I$28*Smooth!$O359)),2))</f>
        <v/>
      </c>
      <c r="E359" s="10" t="str">
        <f t="array" ref="E359">IF(OR($A359="",4&gt;Controls!$B$6),"",ROUND(MAX(0,Smooth!E359*Controls!E$17*INDEX(Controls!$B$21:$H$21,1,WEEKDAY($A359,2))*(1+Controls!$B$11)^357*(1+Controls!J$25*Smooth!$L359)*(1+Controls!J$26*Smooth!$M359)*(1+Controls!J$27*Smooth!$N359)*(1+Controls!J$28*Smooth!$O359)),2))</f>
        <v/>
      </c>
      <c r="F359" s="10" t="str">
        <f t="array" ref="F359">IF(OR($A359="",5&gt;Controls!$B$6),"",ROUND(MAX(0,Smooth!F359*Controls!F$17*INDEX(Controls!$B$21:$H$21,1,WEEKDAY($A359,2))*(1+Controls!$B$11)^357*(1+Controls!K$25*Smooth!$L359)*(1+Controls!K$26*Smooth!$M359)*(1+Controls!K$27*Smooth!$N359)*(1+Controls!K$28*Smooth!$O359)),2))</f>
        <v/>
      </c>
      <c r="G359" s="10" t="str">
        <f t="array" ref="G359">IF(OR($A359="",6&gt;Controls!$B$6),"",ROUND(MAX(0,Smooth!G359*Controls!G$17*INDEX(Controls!$B$21:$H$21,1,WEEKDAY($A359,2))*(1+Controls!$B$11)^357*(1+Controls!L$25*Smooth!$L359)*(1+Controls!L$26*Smooth!$M359)*(1+Controls!L$27*Smooth!$N359)*(1+Controls!L$28*Smooth!$O359)),2))</f>
        <v/>
      </c>
      <c r="H359" s="10" t="str">
        <f t="array" ref="H359">IF(OR($A359="",7&gt;Controls!$B$6),"",ROUND(MAX(0,Smooth!H359*Controls!H$17*INDEX(Controls!$B$21:$H$21,1,WEEKDAY($A359,2))*(1+Controls!$B$11)^357*(1+Controls!M$25*Smooth!$L359)*(1+Controls!M$26*Smooth!$M359)*(1+Controls!M$27*Smooth!$N359)*(1+Controls!M$28*Smooth!$O359)),2))</f>
        <v/>
      </c>
      <c r="I359" s="10" t="str">
        <f t="array" ref="I359">IF(OR($A359="",8&gt;Controls!$B$6),"",ROUND(MAX(0,Smooth!I359*Controls!I$17*INDEX(Controls!$B$21:$H$21,1,WEEKDAY($A359,2))*(1+Controls!$B$11)^357*(1+Controls!N$25*Smooth!$L359)*(1+Controls!N$26*Smooth!$M359)*(1+Controls!N$27*Smooth!$N359)*(1+Controls!N$28*Smooth!$O359)),2))</f>
        <v/>
      </c>
      <c r="J359" s="10" t="str">
        <f t="array" ref="J359">IF(OR($A359="",9&gt;Controls!$B$6),"",ROUND(MAX(0,Smooth!J359*Controls!J$17*INDEX(Controls!$B$21:$H$21,1,WEEKDAY($A359,2))*(1+Controls!$B$11)^357*(1+Controls!O$25*Smooth!$L359)*(1+Controls!O$26*Smooth!$M359)*(1+Controls!O$27*Smooth!$N359)*(1+Controls!O$28*Smooth!$O359)),2))</f>
        <v/>
      </c>
      <c r="K359" s="10" t="str">
        <f t="array" ref="K359">IF(OR($A359="",10&gt;Controls!$B$6),"",ROUND(MAX(0,Smooth!K359*Controls!K$17*INDEX(Controls!$B$21:$H$21,1,WEEKDAY($A359,2))*(1+Controls!$B$11)^357*(1+Controls!P$25*Smooth!$L359)*(1+Controls!P$26*Smooth!$M359)*(1+Controls!P$27*Smooth!$N359)*(1+Controls!P$28*Smooth!$O359)),2))</f>
        <v/>
      </c>
      <c r="L359" s="18" t="str">
        <f t="shared" si="1"/>
        <v/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21.0" customHeight="1">
      <c r="A360" s="7" t="str">
        <f>IF(359&lt;=Controls!$B$5,Controls!$B$4+358,"")</f>
        <v/>
      </c>
      <c r="B360" s="10" t="str">
        <f t="array" ref="B360">IF(OR($A360="",1&gt;Controls!$B$6),"",ROUND(MAX(0,Smooth!B360*Controls!B$17*INDEX(Controls!$B$21:$H$21,1,WEEKDAY($A360,2))*(1+Controls!$B$11)^358*(1+Controls!G$25*Smooth!$L360)*(1+Controls!G$26*Smooth!$M360)*(1+Controls!G$27*Smooth!$N360)*(1+Controls!G$28*Smooth!$O360)),2))</f>
        <v/>
      </c>
      <c r="C360" s="10" t="str">
        <f t="array" ref="C360">IF(OR($A360="",2&gt;Controls!$B$6),"",ROUND(MAX(0,Smooth!C360*Controls!C$17*INDEX(Controls!$B$21:$H$21,1,WEEKDAY($A360,2))*(1+Controls!$B$11)^358*(1+Controls!H$25*Smooth!$L360)*(1+Controls!H$26*Smooth!$M360)*(1+Controls!H$27*Smooth!$N360)*(1+Controls!H$28*Smooth!$O360)),2))</f>
        <v/>
      </c>
      <c r="D360" s="10" t="str">
        <f t="array" ref="D360">IF(OR($A360="",3&gt;Controls!$B$6),"",ROUND(MAX(0,Smooth!D360*Controls!D$17*INDEX(Controls!$B$21:$H$21,1,WEEKDAY($A360,2))*(1+Controls!$B$11)^358*(1+Controls!I$25*Smooth!$L360)*(1+Controls!I$26*Smooth!$M360)*(1+Controls!I$27*Smooth!$N360)*(1+Controls!I$28*Smooth!$O360)),2))</f>
        <v/>
      </c>
      <c r="E360" s="10" t="str">
        <f t="array" ref="E360">IF(OR($A360="",4&gt;Controls!$B$6),"",ROUND(MAX(0,Smooth!E360*Controls!E$17*INDEX(Controls!$B$21:$H$21,1,WEEKDAY($A360,2))*(1+Controls!$B$11)^358*(1+Controls!J$25*Smooth!$L360)*(1+Controls!J$26*Smooth!$M360)*(1+Controls!J$27*Smooth!$N360)*(1+Controls!J$28*Smooth!$O360)),2))</f>
        <v/>
      </c>
      <c r="F360" s="10" t="str">
        <f t="array" ref="F360">IF(OR($A360="",5&gt;Controls!$B$6),"",ROUND(MAX(0,Smooth!F360*Controls!F$17*INDEX(Controls!$B$21:$H$21,1,WEEKDAY($A360,2))*(1+Controls!$B$11)^358*(1+Controls!K$25*Smooth!$L360)*(1+Controls!K$26*Smooth!$M360)*(1+Controls!K$27*Smooth!$N360)*(1+Controls!K$28*Smooth!$O360)),2))</f>
        <v/>
      </c>
      <c r="G360" s="10" t="str">
        <f t="array" ref="G360">IF(OR($A360="",6&gt;Controls!$B$6),"",ROUND(MAX(0,Smooth!G360*Controls!G$17*INDEX(Controls!$B$21:$H$21,1,WEEKDAY($A360,2))*(1+Controls!$B$11)^358*(1+Controls!L$25*Smooth!$L360)*(1+Controls!L$26*Smooth!$M360)*(1+Controls!L$27*Smooth!$N360)*(1+Controls!L$28*Smooth!$O360)),2))</f>
        <v/>
      </c>
      <c r="H360" s="10" t="str">
        <f t="array" ref="H360">IF(OR($A360="",7&gt;Controls!$B$6),"",ROUND(MAX(0,Smooth!H360*Controls!H$17*INDEX(Controls!$B$21:$H$21,1,WEEKDAY($A360,2))*(1+Controls!$B$11)^358*(1+Controls!M$25*Smooth!$L360)*(1+Controls!M$26*Smooth!$M360)*(1+Controls!M$27*Smooth!$N360)*(1+Controls!M$28*Smooth!$O360)),2))</f>
        <v/>
      </c>
      <c r="I360" s="10" t="str">
        <f t="array" ref="I360">IF(OR($A360="",8&gt;Controls!$B$6),"",ROUND(MAX(0,Smooth!I360*Controls!I$17*INDEX(Controls!$B$21:$H$21,1,WEEKDAY($A360,2))*(1+Controls!$B$11)^358*(1+Controls!N$25*Smooth!$L360)*(1+Controls!N$26*Smooth!$M360)*(1+Controls!N$27*Smooth!$N360)*(1+Controls!N$28*Smooth!$O360)),2))</f>
        <v/>
      </c>
      <c r="J360" s="10" t="str">
        <f t="array" ref="J360">IF(OR($A360="",9&gt;Controls!$B$6),"",ROUND(MAX(0,Smooth!J360*Controls!J$17*INDEX(Controls!$B$21:$H$21,1,WEEKDAY($A360,2))*(1+Controls!$B$11)^358*(1+Controls!O$25*Smooth!$L360)*(1+Controls!O$26*Smooth!$M360)*(1+Controls!O$27*Smooth!$N360)*(1+Controls!O$28*Smooth!$O360)),2))</f>
        <v/>
      </c>
      <c r="K360" s="10" t="str">
        <f t="array" ref="K360">IF(OR($A360="",10&gt;Controls!$B$6),"",ROUND(MAX(0,Smooth!K360*Controls!K$17*INDEX(Controls!$B$21:$H$21,1,WEEKDAY($A360,2))*(1+Controls!$B$11)^358*(1+Controls!P$25*Smooth!$L360)*(1+Controls!P$26*Smooth!$M360)*(1+Controls!P$27*Smooth!$N360)*(1+Controls!P$28*Smooth!$O360)),2))</f>
        <v/>
      </c>
      <c r="L360" s="18" t="str">
        <f t="shared" si="1"/>
        <v/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21.0" customHeight="1">
      <c r="A361" s="7" t="str">
        <f>IF(360&lt;=Controls!$B$5,Controls!$B$4+359,"")</f>
        <v/>
      </c>
      <c r="B361" s="10" t="str">
        <f t="array" ref="B361">IF(OR($A361="",1&gt;Controls!$B$6),"",ROUND(MAX(0,Smooth!B361*Controls!B$17*INDEX(Controls!$B$21:$H$21,1,WEEKDAY($A361,2))*(1+Controls!$B$11)^359*(1+Controls!G$25*Smooth!$L361)*(1+Controls!G$26*Smooth!$M361)*(1+Controls!G$27*Smooth!$N361)*(1+Controls!G$28*Smooth!$O361)),2))</f>
        <v/>
      </c>
      <c r="C361" s="10" t="str">
        <f t="array" ref="C361">IF(OR($A361="",2&gt;Controls!$B$6),"",ROUND(MAX(0,Smooth!C361*Controls!C$17*INDEX(Controls!$B$21:$H$21,1,WEEKDAY($A361,2))*(1+Controls!$B$11)^359*(1+Controls!H$25*Smooth!$L361)*(1+Controls!H$26*Smooth!$M361)*(1+Controls!H$27*Smooth!$N361)*(1+Controls!H$28*Smooth!$O361)),2))</f>
        <v/>
      </c>
      <c r="D361" s="10" t="str">
        <f t="array" ref="D361">IF(OR($A361="",3&gt;Controls!$B$6),"",ROUND(MAX(0,Smooth!D361*Controls!D$17*INDEX(Controls!$B$21:$H$21,1,WEEKDAY($A361,2))*(1+Controls!$B$11)^359*(1+Controls!I$25*Smooth!$L361)*(1+Controls!I$26*Smooth!$M361)*(1+Controls!I$27*Smooth!$N361)*(1+Controls!I$28*Smooth!$O361)),2))</f>
        <v/>
      </c>
      <c r="E361" s="10" t="str">
        <f t="array" ref="E361">IF(OR($A361="",4&gt;Controls!$B$6),"",ROUND(MAX(0,Smooth!E361*Controls!E$17*INDEX(Controls!$B$21:$H$21,1,WEEKDAY($A361,2))*(1+Controls!$B$11)^359*(1+Controls!J$25*Smooth!$L361)*(1+Controls!J$26*Smooth!$M361)*(1+Controls!J$27*Smooth!$N361)*(1+Controls!J$28*Smooth!$O361)),2))</f>
        <v/>
      </c>
      <c r="F361" s="10" t="str">
        <f t="array" ref="F361">IF(OR($A361="",5&gt;Controls!$B$6),"",ROUND(MAX(0,Smooth!F361*Controls!F$17*INDEX(Controls!$B$21:$H$21,1,WEEKDAY($A361,2))*(1+Controls!$B$11)^359*(1+Controls!K$25*Smooth!$L361)*(1+Controls!K$26*Smooth!$M361)*(1+Controls!K$27*Smooth!$N361)*(1+Controls!K$28*Smooth!$O361)),2))</f>
        <v/>
      </c>
      <c r="G361" s="10" t="str">
        <f t="array" ref="G361">IF(OR($A361="",6&gt;Controls!$B$6),"",ROUND(MAX(0,Smooth!G361*Controls!G$17*INDEX(Controls!$B$21:$H$21,1,WEEKDAY($A361,2))*(1+Controls!$B$11)^359*(1+Controls!L$25*Smooth!$L361)*(1+Controls!L$26*Smooth!$M361)*(1+Controls!L$27*Smooth!$N361)*(1+Controls!L$28*Smooth!$O361)),2))</f>
        <v/>
      </c>
      <c r="H361" s="10" t="str">
        <f t="array" ref="H361">IF(OR($A361="",7&gt;Controls!$B$6),"",ROUND(MAX(0,Smooth!H361*Controls!H$17*INDEX(Controls!$B$21:$H$21,1,WEEKDAY($A361,2))*(1+Controls!$B$11)^359*(1+Controls!M$25*Smooth!$L361)*(1+Controls!M$26*Smooth!$M361)*(1+Controls!M$27*Smooth!$N361)*(1+Controls!M$28*Smooth!$O361)),2))</f>
        <v/>
      </c>
      <c r="I361" s="10" t="str">
        <f t="array" ref="I361">IF(OR($A361="",8&gt;Controls!$B$6),"",ROUND(MAX(0,Smooth!I361*Controls!I$17*INDEX(Controls!$B$21:$H$21,1,WEEKDAY($A361,2))*(1+Controls!$B$11)^359*(1+Controls!N$25*Smooth!$L361)*(1+Controls!N$26*Smooth!$M361)*(1+Controls!N$27*Smooth!$N361)*(1+Controls!N$28*Smooth!$O361)),2))</f>
        <v/>
      </c>
      <c r="J361" s="10" t="str">
        <f t="array" ref="J361">IF(OR($A361="",9&gt;Controls!$B$6),"",ROUND(MAX(0,Smooth!J361*Controls!J$17*INDEX(Controls!$B$21:$H$21,1,WEEKDAY($A361,2))*(1+Controls!$B$11)^359*(1+Controls!O$25*Smooth!$L361)*(1+Controls!O$26*Smooth!$M361)*(1+Controls!O$27*Smooth!$N361)*(1+Controls!O$28*Smooth!$O361)),2))</f>
        <v/>
      </c>
      <c r="K361" s="10" t="str">
        <f t="array" ref="K361">IF(OR($A361="",10&gt;Controls!$B$6),"",ROUND(MAX(0,Smooth!K361*Controls!K$17*INDEX(Controls!$B$21:$H$21,1,WEEKDAY($A361,2))*(1+Controls!$B$11)^359*(1+Controls!P$25*Smooth!$L361)*(1+Controls!P$26*Smooth!$M361)*(1+Controls!P$27*Smooth!$N361)*(1+Controls!P$28*Smooth!$O361)),2))</f>
        <v/>
      </c>
      <c r="L361" s="18" t="str">
        <f t="shared" si="1"/>
        <v/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21.0" customHeight="1">
      <c r="A362" s="7" t="str">
        <f>IF(361&lt;=Controls!$B$5,Controls!$B$4+360,"")</f>
        <v/>
      </c>
      <c r="B362" s="10" t="str">
        <f t="array" ref="B362">IF(OR($A362="",1&gt;Controls!$B$6),"",ROUND(MAX(0,Smooth!B362*Controls!B$17*INDEX(Controls!$B$21:$H$21,1,WEEKDAY($A362,2))*(1+Controls!$B$11)^360*(1+Controls!G$25*Smooth!$L362)*(1+Controls!G$26*Smooth!$M362)*(1+Controls!G$27*Smooth!$N362)*(1+Controls!G$28*Smooth!$O362)),2))</f>
        <v/>
      </c>
      <c r="C362" s="10" t="str">
        <f t="array" ref="C362">IF(OR($A362="",2&gt;Controls!$B$6),"",ROUND(MAX(0,Smooth!C362*Controls!C$17*INDEX(Controls!$B$21:$H$21,1,WEEKDAY($A362,2))*(1+Controls!$B$11)^360*(1+Controls!H$25*Smooth!$L362)*(1+Controls!H$26*Smooth!$M362)*(1+Controls!H$27*Smooth!$N362)*(1+Controls!H$28*Smooth!$O362)),2))</f>
        <v/>
      </c>
      <c r="D362" s="10" t="str">
        <f t="array" ref="D362">IF(OR($A362="",3&gt;Controls!$B$6),"",ROUND(MAX(0,Smooth!D362*Controls!D$17*INDEX(Controls!$B$21:$H$21,1,WEEKDAY($A362,2))*(1+Controls!$B$11)^360*(1+Controls!I$25*Smooth!$L362)*(1+Controls!I$26*Smooth!$M362)*(1+Controls!I$27*Smooth!$N362)*(1+Controls!I$28*Smooth!$O362)),2))</f>
        <v/>
      </c>
      <c r="E362" s="10" t="str">
        <f t="array" ref="E362">IF(OR($A362="",4&gt;Controls!$B$6),"",ROUND(MAX(0,Smooth!E362*Controls!E$17*INDEX(Controls!$B$21:$H$21,1,WEEKDAY($A362,2))*(1+Controls!$B$11)^360*(1+Controls!J$25*Smooth!$L362)*(1+Controls!J$26*Smooth!$M362)*(1+Controls!J$27*Smooth!$N362)*(1+Controls!J$28*Smooth!$O362)),2))</f>
        <v/>
      </c>
      <c r="F362" s="10" t="str">
        <f t="array" ref="F362">IF(OR($A362="",5&gt;Controls!$B$6),"",ROUND(MAX(0,Smooth!F362*Controls!F$17*INDEX(Controls!$B$21:$H$21,1,WEEKDAY($A362,2))*(1+Controls!$B$11)^360*(1+Controls!K$25*Smooth!$L362)*(1+Controls!K$26*Smooth!$M362)*(1+Controls!K$27*Smooth!$N362)*(1+Controls!K$28*Smooth!$O362)),2))</f>
        <v/>
      </c>
      <c r="G362" s="10" t="str">
        <f t="array" ref="G362">IF(OR($A362="",6&gt;Controls!$B$6),"",ROUND(MAX(0,Smooth!G362*Controls!G$17*INDEX(Controls!$B$21:$H$21,1,WEEKDAY($A362,2))*(1+Controls!$B$11)^360*(1+Controls!L$25*Smooth!$L362)*(1+Controls!L$26*Smooth!$M362)*(1+Controls!L$27*Smooth!$N362)*(1+Controls!L$28*Smooth!$O362)),2))</f>
        <v/>
      </c>
      <c r="H362" s="10" t="str">
        <f t="array" ref="H362">IF(OR($A362="",7&gt;Controls!$B$6),"",ROUND(MAX(0,Smooth!H362*Controls!H$17*INDEX(Controls!$B$21:$H$21,1,WEEKDAY($A362,2))*(1+Controls!$B$11)^360*(1+Controls!M$25*Smooth!$L362)*(1+Controls!M$26*Smooth!$M362)*(1+Controls!M$27*Smooth!$N362)*(1+Controls!M$28*Smooth!$O362)),2))</f>
        <v/>
      </c>
      <c r="I362" s="10" t="str">
        <f t="array" ref="I362">IF(OR($A362="",8&gt;Controls!$B$6),"",ROUND(MAX(0,Smooth!I362*Controls!I$17*INDEX(Controls!$B$21:$H$21,1,WEEKDAY($A362,2))*(1+Controls!$B$11)^360*(1+Controls!N$25*Smooth!$L362)*(1+Controls!N$26*Smooth!$M362)*(1+Controls!N$27*Smooth!$N362)*(1+Controls!N$28*Smooth!$O362)),2))</f>
        <v/>
      </c>
      <c r="J362" s="10" t="str">
        <f t="array" ref="J362">IF(OR($A362="",9&gt;Controls!$B$6),"",ROUND(MAX(0,Smooth!J362*Controls!J$17*INDEX(Controls!$B$21:$H$21,1,WEEKDAY($A362,2))*(1+Controls!$B$11)^360*(1+Controls!O$25*Smooth!$L362)*(1+Controls!O$26*Smooth!$M362)*(1+Controls!O$27*Smooth!$N362)*(1+Controls!O$28*Smooth!$O362)),2))</f>
        <v/>
      </c>
      <c r="K362" s="10" t="str">
        <f t="array" ref="K362">IF(OR($A362="",10&gt;Controls!$B$6),"",ROUND(MAX(0,Smooth!K362*Controls!K$17*INDEX(Controls!$B$21:$H$21,1,WEEKDAY($A362,2))*(1+Controls!$B$11)^360*(1+Controls!P$25*Smooth!$L362)*(1+Controls!P$26*Smooth!$M362)*(1+Controls!P$27*Smooth!$N362)*(1+Controls!P$28*Smooth!$O362)),2))</f>
        <v/>
      </c>
      <c r="L362" s="18" t="str">
        <f t="shared" si="1"/>
        <v/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21.0" customHeight="1">
      <c r="A363" s="7" t="str">
        <f>IF(362&lt;=Controls!$B$5,Controls!$B$4+361,"")</f>
        <v/>
      </c>
      <c r="B363" s="10" t="str">
        <f t="array" ref="B363">IF(OR($A363="",1&gt;Controls!$B$6),"",ROUND(MAX(0,Smooth!B363*Controls!B$17*INDEX(Controls!$B$21:$H$21,1,WEEKDAY($A363,2))*(1+Controls!$B$11)^361*(1+Controls!G$25*Smooth!$L363)*(1+Controls!G$26*Smooth!$M363)*(1+Controls!G$27*Smooth!$N363)*(1+Controls!G$28*Smooth!$O363)),2))</f>
        <v/>
      </c>
      <c r="C363" s="10" t="str">
        <f t="array" ref="C363">IF(OR($A363="",2&gt;Controls!$B$6),"",ROUND(MAX(0,Smooth!C363*Controls!C$17*INDEX(Controls!$B$21:$H$21,1,WEEKDAY($A363,2))*(1+Controls!$B$11)^361*(1+Controls!H$25*Smooth!$L363)*(1+Controls!H$26*Smooth!$M363)*(1+Controls!H$27*Smooth!$N363)*(1+Controls!H$28*Smooth!$O363)),2))</f>
        <v/>
      </c>
      <c r="D363" s="10" t="str">
        <f t="array" ref="D363">IF(OR($A363="",3&gt;Controls!$B$6),"",ROUND(MAX(0,Smooth!D363*Controls!D$17*INDEX(Controls!$B$21:$H$21,1,WEEKDAY($A363,2))*(1+Controls!$B$11)^361*(1+Controls!I$25*Smooth!$L363)*(1+Controls!I$26*Smooth!$M363)*(1+Controls!I$27*Smooth!$N363)*(1+Controls!I$28*Smooth!$O363)),2))</f>
        <v/>
      </c>
      <c r="E363" s="10" t="str">
        <f t="array" ref="E363">IF(OR($A363="",4&gt;Controls!$B$6),"",ROUND(MAX(0,Smooth!E363*Controls!E$17*INDEX(Controls!$B$21:$H$21,1,WEEKDAY($A363,2))*(1+Controls!$B$11)^361*(1+Controls!J$25*Smooth!$L363)*(1+Controls!J$26*Smooth!$M363)*(1+Controls!J$27*Smooth!$N363)*(1+Controls!J$28*Smooth!$O363)),2))</f>
        <v/>
      </c>
      <c r="F363" s="10" t="str">
        <f t="array" ref="F363">IF(OR($A363="",5&gt;Controls!$B$6),"",ROUND(MAX(0,Smooth!F363*Controls!F$17*INDEX(Controls!$B$21:$H$21,1,WEEKDAY($A363,2))*(1+Controls!$B$11)^361*(1+Controls!K$25*Smooth!$L363)*(1+Controls!K$26*Smooth!$M363)*(1+Controls!K$27*Smooth!$N363)*(1+Controls!K$28*Smooth!$O363)),2))</f>
        <v/>
      </c>
      <c r="G363" s="10" t="str">
        <f t="array" ref="G363">IF(OR($A363="",6&gt;Controls!$B$6),"",ROUND(MAX(0,Smooth!G363*Controls!G$17*INDEX(Controls!$B$21:$H$21,1,WEEKDAY($A363,2))*(1+Controls!$B$11)^361*(1+Controls!L$25*Smooth!$L363)*(1+Controls!L$26*Smooth!$M363)*(1+Controls!L$27*Smooth!$N363)*(1+Controls!L$28*Smooth!$O363)),2))</f>
        <v/>
      </c>
      <c r="H363" s="10" t="str">
        <f t="array" ref="H363">IF(OR($A363="",7&gt;Controls!$B$6),"",ROUND(MAX(0,Smooth!H363*Controls!H$17*INDEX(Controls!$B$21:$H$21,1,WEEKDAY($A363,2))*(1+Controls!$B$11)^361*(1+Controls!M$25*Smooth!$L363)*(1+Controls!M$26*Smooth!$M363)*(1+Controls!M$27*Smooth!$N363)*(1+Controls!M$28*Smooth!$O363)),2))</f>
        <v/>
      </c>
      <c r="I363" s="10" t="str">
        <f t="array" ref="I363">IF(OR($A363="",8&gt;Controls!$B$6),"",ROUND(MAX(0,Smooth!I363*Controls!I$17*INDEX(Controls!$B$21:$H$21,1,WEEKDAY($A363,2))*(1+Controls!$B$11)^361*(1+Controls!N$25*Smooth!$L363)*(1+Controls!N$26*Smooth!$M363)*(1+Controls!N$27*Smooth!$N363)*(1+Controls!N$28*Smooth!$O363)),2))</f>
        <v/>
      </c>
      <c r="J363" s="10" t="str">
        <f t="array" ref="J363">IF(OR($A363="",9&gt;Controls!$B$6),"",ROUND(MAX(0,Smooth!J363*Controls!J$17*INDEX(Controls!$B$21:$H$21,1,WEEKDAY($A363,2))*(1+Controls!$B$11)^361*(1+Controls!O$25*Smooth!$L363)*(1+Controls!O$26*Smooth!$M363)*(1+Controls!O$27*Smooth!$N363)*(1+Controls!O$28*Smooth!$O363)),2))</f>
        <v/>
      </c>
      <c r="K363" s="10" t="str">
        <f t="array" ref="K363">IF(OR($A363="",10&gt;Controls!$B$6),"",ROUND(MAX(0,Smooth!K363*Controls!K$17*INDEX(Controls!$B$21:$H$21,1,WEEKDAY($A363,2))*(1+Controls!$B$11)^361*(1+Controls!P$25*Smooth!$L363)*(1+Controls!P$26*Smooth!$M363)*(1+Controls!P$27*Smooth!$N363)*(1+Controls!P$28*Smooth!$O363)),2))</f>
        <v/>
      </c>
      <c r="L363" s="18" t="str">
        <f t="shared" si="1"/>
        <v/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21.0" customHeight="1">
      <c r="A364" s="7" t="str">
        <f>IF(363&lt;=Controls!$B$5,Controls!$B$4+362,"")</f>
        <v/>
      </c>
      <c r="B364" s="10" t="str">
        <f t="array" ref="B364">IF(OR($A364="",1&gt;Controls!$B$6),"",ROUND(MAX(0,Smooth!B364*Controls!B$17*INDEX(Controls!$B$21:$H$21,1,WEEKDAY($A364,2))*(1+Controls!$B$11)^362*(1+Controls!G$25*Smooth!$L364)*(1+Controls!G$26*Smooth!$M364)*(1+Controls!G$27*Smooth!$N364)*(1+Controls!G$28*Smooth!$O364)),2))</f>
        <v/>
      </c>
      <c r="C364" s="10" t="str">
        <f t="array" ref="C364">IF(OR($A364="",2&gt;Controls!$B$6),"",ROUND(MAX(0,Smooth!C364*Controls!C$17*INDEX(Controls!$B$21:$H$21,1,WEEKDAY($A364,2))*(1+Controls!$B$11)^362*(1+Controls!H$25*Smooth!$L364)*(1+Controls!H$26*Smooth!$M364)*(1+Controls!H$27*Smooth!$N364)*(1+Controls!H$28*Smooth!$O364)),2))</f>
        <v/>
      </c>
      <c r="D364" s="10" t="str">
        <f t="array" ref="D364">IF(OR($A364="",3&gt;Controls!$B$6),"",ROUND(MAX(0,Smooth!D364*Controls!D$17*INDEX(Controls!$B$21:$H$21,1,WEEKDAY($A364,2))*(1+Controls!$B$11)^362*(1+Controls!I$25*Smooth!$L364)*(1+Controls!I$26*Smooth!$M364)*(1+Controls!I$27*Smooth!$N364)*(1+Controls!I$28*Smooth!$O364)),2))</f>
        <v/>
      </c>
      <c r="E364" s="10" t="str">
        <f t="array" ref="E364">IF(OR($A364="",4&gt;Controls!$B$6),"",ROUND(MAX(0,Smooth!E364*Controls!E$17*INDEX(Controls!$B$21:$H$21,1,WEEKDAY($A364,2))*(1+Controls!$B$11)^362*(1+Controls!J$25*Smooth!$L364)*(1+Controls!J$26*Smooth!$M364)*(1+Controls!J$27*Smooth!$N364)*(1+Controls!J$28*Smooth!$O364)),2))</f>
        <v/>
      </c>
      <c r="F364" s="10" t="str">
        <f t="array" ref="F364">IF(OR($A364="",5&gt;Controls!$B$6),"",ROUND(MAX(0,Smooth!F364*Controls!F$17*INDEX(Controls!$B$21:$H$21,1,WEEKDAY($A364,2))*(1+Controls!$B$11)^362*(1+Controls!K$25*Smooth!$L364)*(1+Controls!K$26*Smooth!$M364)*(1+Controls!K$27*Smooth!$N364)*(1+Controls!K$28*Smooth!$O364)),2))</f>
        <v/>
      </c>
      <c r="G364" s="10" t="str">
        <f t="array" ref="G364">IF(OR($A364="",6&gt;Controls!$B$6),"",ROUND(MAX(0,Smooth!G364*Controls!G$17*INDEX(Controls!$B$21:$H$21,1,WEEKDAY($A364,2))*(1+Controls!$B$11)^362*(1+Controls!L$25*Smooth!$L364)*(1+Controls!L$26*Smooth!$M364)*(1+Controls!L$27*Smooth!$N364)*(1+Controls!L$28*Smooth!$O364)),2))</f>
        <v/>
      </c>
      <c r="H364" s="10" t="str">
        <f t="array" ref="H364">IF(OR($A364="",7&gt;Controls!$B$6),"",ROUND(MAX(0,Smooth!H364*Controls!H$17*INDEX(Controls!$B$21:$H$21,1,WEEKDAY($A364,2))*(1+Controls!$B$11)^362*(1+Controls!M$25*Smooth!$L364)*(1+Controls!M$26*Smooth!$M364)*(1+Controls!M$27*Smooth!$N364)*(1+Controls!M$28*Smooth!$O364)),2))</f>
        <v/>
      </c>
      <c r="I364" s="10" t="str">
        <f t="array" ref="I364">IF(OR($A364="",8&gt;Controls!$B$6),"",ROUND(MAX(0,Smooth!I364*Controls!I$17*INDEX(Controls!$B$21:$H$21,1,WEEKDAY($A364,2))*(1+Controls!$B$11)^362*(1+Controls!N$25*Smooth!$L364)*(1+Controls!N$26*Smooth!$M364)*(1+Controls!N$27*Smooth!$N364)*(1+Controls!N$28*Smooth!$O364)),2))</f>
        <v/>
      </c>
      <c r="J364" s="10" t="str">
        <f t="array" ref="J364">IF(OR($A364="",9&gt;Controls!$B$6),"",ROUND(MAX(0,Smooth!J364*Controls!J$17*INDEX(Controls!$B$21:$H$21,1,WEEKDAY($A364,2))*(1+Controls!$B$11)^362*(1+Controls!O$25*Smooth!$L364)*(1+Controls!O$26*Smooth!$M364)*(1+Controls!O$27*Smooth!$N364)*(1+Controls!O$28*Smooth!$O364)),2))</f>
        <v/>
      </c>
      <c r="K364" s="10" t="str">
        <f t="array" ref="K364">IF(OR($A364="",10&gt;Controls!$B$6),"",ROUND(MAX(0,Smooth!K364*Controls!K$17*INDEX(Controls!$B$21:$H$21,1,WEEKDAY($A364,2))*(1+Controls!$B$11)^362*(1+Controls!P$25*Smooth!$L364)*(1+Controls!P$26*Smooth!$M364)*(1+Controls!P$27*Smooth!$N364)*(1+Controls!P$28*Smooth!$O364)),2))</f>
        <v/>
      </c>
      <c r="L364" s="18" t="str">
        <f t="shared" si="1"/>
        <v/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21.0" customHeight="1">
      <c r="A365" s="7" t="str">
        <f>IF(364&lt;=Controls!$B$5,Controls!$B$4+363,"")</f>
        <v/>
      </c>
      <c r="B365" s="10" t="str">
        <f t="array" ref="B365">IF(OR($A365="",1&gt;Controls!$B$6),"",ROUND(MAX(0,Smooth!B365*Controls!B$17*INDEX(Controls!$B$21:$H$21,1,WEEKDAY($A365,2))*(1+Controls!$B$11)^363*(1+Controls!G$25*Smooth!$L365)*(1+Controls!G$26*Smooth!$M365)*(1+Controls!G$27*Smooth!$N365)*(1+Controls!G$28*Smooth!$O365)),2))</f>
        <v/>
      </c>
      <c r="C365" s="10" t="str">
        <f t="array" ref="C365">IF(OR($A365="",2&gt;Controls!$B$6),"",ROUND(MAX(0,Smooth!C365*Controls!C$17*INDEX(Controls!$B$21:$H$21,1,WEEKDAY($A365,2))*(1+Controls!$B$11)^363*(1+Controls!H$25*Smooth!$L365)*(1+Controls!H$26*Smooth!$M365)*(1+Controls!H$27*Smooth!$N365)*(1+Controls!H$28*Smooth!$O365)),2))</f>
        <v/>
      </c>
      <c r="D365" s="10" t="str">
        <f t="array" ref="D365">IF(OR($A365="",3&gt;Controls!$B$6),"",ROUND(MAX(0,Smooth!D365*Controls!D$17*INDEX(Controls!$B$21:$H$21,1,WEEKDAY($A365,2))*(1+Controls!$B$11)^363*(1+Controls!I$25*Smooth!$L365)*(1+Controls!I$26*Smooth!$M365)*(1+Controls!I$27*Smooth!$N365)*(1+Controls!I$28*Smooth!$O365)),2))</f>
        <v/>
      </c>
      <c r="E365" s="10" t="str">
        <f t="array" ref="E365">IF(OR($A365="",4&gt;Controls!$B$6),"",ROUND(MAX(0,Smooth!E365*Controls!E$17*INDEX(Controls!$B$21:$H$21,1,WEEKDAY($A365,2))*(1+Controls!$B$11)^363*(1+Controls!J$25*Smooth!$L365)*(1+Controls!J$26*Smooth!$M365)*(1+Controls!J$27*Smooth!$N365)*(1+Controls!J$28*Smooth!$O365)),2))</f>
        <v/>
      </c>
      <c r="F365" s="10" t="str">
        <f t="array" ref="F365">IF(OR($A365="",5&gt;Controls!$B$6),"",ROUND(MAX(0,Smooth!F365*Controls!F$17*INDEX(Controls!$B$21:$H$21,1,WEEKDAY($A365,2))*(1+Controls!$B$11)^363*(1+Controls!K$25*Smooth!$L365)*(1+Controls!K$26*Smooth!$M365)*(1+Controls!K$27*Smooth!$N365)*(1+Controls!K$28*Smooth!$O365)),2))</f>
        <v/>
      </c>
      <c r="G365" s="10" t="str">
        <f t="array" ref="G365">IF(OR($A365="",6&gt;Controls!$B$6),"",ROUND(MAX(0,Smooth!G365*Controls!G$17*INDEX(Controls!$B$21:$H$21,1,WEEKDAY($A365,2))*(1+Controls!$B$11)^363*(1+Controls!L$25*Smooth!$L365)*(1+Controls!L$26*Smooth!$M365)*(1+Controls!L$27*Smooth!$N365)*(1+Controls!L$28*Smooth!$O365)),2))</f>
        <v/>
      </c>
      <c r="H365" s="10" t="str">
        <f t="array" ref="H365">IF(OR($A365="",7&gt;Controls!$B$6),"",ROUND(MAX(0,Smooth!H365*Controls!H$17*INDEX(Controls!$B$21:$H$21,1,WEEKDAY($A365,2))*(1+Controls!$B$11)^363*(1+Controls!M$25*Smooth!$L365)*(1+Controls!M$26*Smooth!$M365)*(1+Controls!M$27*Smooth!$N365)*(1+Controls!M$28*Smooth!$O365)),2))</f>
        <v/>
      </c>
      <c r="I365" s="10" t="str">
        <f t="array" ref="I365">IF(OR($A365="",8&gt;Controls!$B$6),"",ROUND(MAX(0,Smooth!I365*Controls!I$17*INDEX(Controls!$B$21:$H$21,1,WEEKDAY($A365,2))*(1+Controls!$B$11)^363*(1+Controls!N$25*Smooth!$L365)*(1+Controls!N$26*Smooth!$M365)*(1+Controls!N$27*Smooth!$N365)*(1+Controls!N$28*Smooth!$O365)),2))</f>
        <v/>
      </c>
      <c r="J365" s="10" t="str">
        <f t="array" ref="J365">IF(OR($A365="",9&gt;Controls!$B$6),"",ROUND(MAX(0,Smooth!J365*Controls!J$17*INDEX(Controls!$B$21:$H$21,1,WEEKDAY($A365,2))*(1+Controls!$B$11)^363*(1+Controls!O$25*Smooth!$L365)*(1+Controls!O$26*Smooth!$M365)*(1+Controls!O$27*Smooth!$N365)*(1+Controls!O$28*Smooth!$O365)),2))</f>
        <v/>
      </c>
      <c r="K365" s="10" t="str">
        <f t="array" ref="K365">IF(OR($A365="",10&gt;Controls!$B$6),"",ROUND(MAX(0,Smooth!K365*Controls!K$17*INDEX(Controls!$B$21:$H$21,1,WEEKDAY($A365,2))*(1+Controls!$B$11)^363*(1+Controls!P$25*Smooth!$L365)*(1+Controls!P$26*Smooth!$M365)*(1+Controls!P$27*Smooth!$N365)*(1+Controls!P$28*Smooth!$O365)),2))</f>
        <v/>
      </c>
      <c r="L365" s="18" t="str">
        <f t="shared" si="1"/>
        <v/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21.0" customHeight="1">
      <c r="A366" s="7" t="str">
        <f>IF(365&lt;=Controls!$B$5,Controls!$B$4+364,"")</f>
        <v/>
      </c>
      <c r="B366" s="10" t="str">
        <f t="array" ref="B366">IF(OR($A366="",1&gt;Controls!$B$6),"",ROUND(MAX(0,Smooth!B366*Controls!B$17*INDEX(Controls!$B$21:$H$21,1,WEEKDAY($A366,2))*(1+Controls!$B$11)^364*(1+Controls!G$25*Smooth!$L366)*(1+Controls!G$26*Smooth!$M366)*(1+Controls!G$27*Smooth!$N366)*(1+Controls!G$28*Smooth!$O366)),2))</f>
        <v/>
      </c>
      <c r="C366" s="10" t="str">
        <f t="array" ref="C366">IF(OR($A366="",2&gt;Controls!$B$6),"",ROUND(MAX(0,Smooth!C366*Controls!C$17*INDEX(Controls!$B$21:$H$21,1,WEEKDAY($A366,2))*(1+Controls!$B$11)^364*(1+Controls!H$25*Smooth!$L366)*(1+Controls!H$26*Smooth!$M366)*(1+Controls!H$27*Smooth!$N366)*(1+Controls!H$28*Smooth!$O366)),2))</f>
        <v/>
      </c>
      <c r="D366" s="10" t="str">
        <f t="array" ref="D366">IF(OR($A366="",3&gt;Controls!$B$6),"",ROUND(MAX(0,Smooth!D366*Controls!D$17*INDEX(Controls!$B$21:$H$21,1,WEEKDAY($A366,2))*(1+Controls!$B$11)^364*(1+Controls!I$25*Smooth!$L366)*(1+Controls!I$26*Smooth!$M366)*(1+Controls!I$27*Smooth!$N366)*(1+Controls!I$28*Smooth!$O366)),2))</f>
        <v/>
      </c>
      <c r="E366" s="10" t="str">
        <f t="array" ref="E366">IF(OR($A366="",4&gt;Controls!$B$6),"",ROUND(MAX(0,Smooth!E366*Controls!E$17*INDEX(Controls!$B$21:$H$21,1,WEEKDAY($A366,2))*(1+Controls!$B$11)^364*(1+Controls!J$25*Smooth!$L366)*(1+Controls!J$26*Smooth!$M366)*(1+Controls!J$27*Smooth!$N366)*(1+Controls!J$28*Smooth!$O366)),2))</f>
        <v/>
      </c>
      <c r="F366" s="10" t="str">
        <f t="array" ref="F366">IF(OR($A366="",5&gt;Controls!$B$6),"",ROUND(MAX(0,Smooth!F366*Controls!F$17*INDEX(Controls!$B$21:$H$21,1,WEEKDAY($A366,2))*(1+Controls!$B$11)^364*(1+Controls!K$25*Smooth!$L366)*(1+Controls!K$26*Smooth!$M366)*(1+Controls!K$27*Smooth!$N366)*(1+Controls!K$28*Smooth!$O366)),2))</f>
        <v/>
      </c>
      <c r="G366" s="10" t="str">
        <f t="array" ref="G366">IF(OR($A366="",6&gt;Controls!$B$6),"",ROUND(MAX(0,Smooth!G366*Controls!G$17*INDEX(Controls!$B$21:$H$21,1,WEEKDAY($A366,2))*(1+Controls!$B$11)^364*(1+Controls!L$25*Smooth!$L366)*(1+Controls!L$26*Smooth!$M366)*(1+Controls!L$27*Smooth!$N366)*(1+Controls!L$28*Smooth!$O366)),2))</f>
        <v/>
      </c>
      <c r="H366" s="10" t="str">
        <f t="array" ref="H366">IF(OR($A366="",7&gt;Controls!$B$6),"",ROUND(MAX(0,Smooth!H366*Controls!H$17*INDEX(Controls!$B$21:$H$21,1,WEEKDAY($A366,2))*(1+Controls!$B$11)^364*(1+Controls!M$25*Smooth!$L366)*(1+Controls!M$26*Smooth!$M366)*(1+Controls!M$27*Smooth!$N366)*(1+Controls!M$28*Smooth!$O366)),2))</f>
        <v/>
      </c>
      <c r="I366" s="10" t="str">
        <f t="array" ref="I366">IF(OR($A366="",8&gt;Controls!$B$6),"",ROUND(MAX(0,Smooth!I366*Controls!I$17*INDEX(Controls!$B$21:$H$21,1,WEEKDAY($A366,2))*(1+Controls!$B$11)^364*(1+Controls!N$25*Smooth!$L366)*(1+Controls!N$26*Smooth!$M366)*(1+Controls!N$27*Smooth!$N366)*(1+Controls!N$28*Smooth!$O366)),2))</f>
        <v/>
      </c>
      <c r="J366" s="10" t="str">
        <f t="array" ref="J366">IF(OR($A366="",9&gt;Controls!$B$6),"",ROUND(MAX(0,Smooth!J366*Controls!J$17*INDEX(Controls!$B$21:$H$21,1,WEEKDAY($A366,2))*(1+Controls!$B$11)^364*(1+Controls!O$25*Smooth!$L366)*(1+Controls!O$26*Smooth!$M366)*(1+Controls!O$27*Smooth!$N366)*(1+Controls!O$28*Smooth!$O366)),2))</f>
        <v/>
      </c>
      <c r="K366" s="10" t="str">
        <f t="array" ref="K366">IF(OR($A366="",10&gt;Controls!$B$6),"",ROUND(MAX(0,Smooth!K366*Controls!K$17*INDEX(Controls!$B$21:$H$21,1,WEEKDAY($A366,2))*(1+Controls!$B$11)^364*(1+Controls!P$25*Smooth!$L366)*(1+Controls!P$26*Smooth!$M366)*(1+Controls!P$27*Smooth!$N366)*(1+Controls!P$28*Smooth!$O366)),2))</f>
        <v/>
      </c>
      <c r="L366" s="18" t="str">
        <f t="shared" si="1"/>
        <v/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21.0" customHeight="1">
      <c r="A367" s="7" t="str">
        <f>IF(366&lt;=Controls!$B$5,Controls!$B$4+365,"")</f>
        <v/>
      </c>
      <c r="B367" s="10" t="str">
        <f t="array" ref="B367">IF(OR($A367="",1&gt;Controls!$B$6),"",ROUND(MAX(0,Smooth!B367*Controls!B$17*INDEX(Controls!$B$21:$H$21,1,WEEKDAY($A367,2))*(1+Controls!$B$11)^365*(1+Controls!G$25*Smooth!$L367)*(1+Controls!G$26*Smooth!$M367)*(1+Controls!G$27*Smooth!$N367)*(1+Controls!G$28*Smooth!$O367)),2))</f>
        <v/>
      </c>
      <c r="C367" s="10" t="str">
        <f t="array" ref="C367">IF(OR($A367="",2&gt;Controls!$B$6),"",ROUND(MAX(0,Smooth!C367*Controls!C$17*INDEX(Controls!$B$21:$H$21,1,WEEKDAY($A367,2))*(1+Controls!$B$11)^365*(1+Controls!H$25*Smooth!$L367)*(1+Controls!H$26*Smooth!$M367)*(1+Controls!H$27*Smooth!$N367)*(1+Controls!H$28*Smooth!$O367)),2))</f>
        <v/>
      </c>
      <c r="D367" s="10" t="str">
        <f t="array" ref="D367">IF(OR($A367="",3&gt;Controls!$B$6),"",ROUND(MAX(0,Smooth!D367*Controls!D$17*INDEX(Controls!$B$21:$H$21,1,WEEKDAY($A367,2))*(1+Controls!$B$11)^365*(1+Controls!I$25*Smooth!$L367)*(1+Controls!I$26*Smooth!$M367)*(1+Controls!I$27*Smooth!$N367)*(1+Controls!I$28*Smooth!$O367)),2))</f>
        <v/>
      </c>
      <c r="E367" s="10" t="str">
        <f t="array" ref="E367">IF(OR($A367="",4&gt;Controls!$B$6),"",ROUND(MAX(0,Smooth!E367*Controls!E$17*INDEX(Controls!$B$21:$H$21,1,WEEKDAY($A367,2))*(1+Controls!$B$11)^365*(1+Controls!J$25*Smooth!$L367)*(1+Controls!J$26*Smooth!$M367)*(1+Controls!J$27*Smooth!$N367)*(1+Controls!J$28*Smooth!$O367)),2))</f>
        <v/>
      </c>
      <c r="F367" s="10" t="str">
        <f t="array" ref="F367">IF(OR($A367="",5&gt;Controls!$B$6),"",ROUND(MAX(0,Smooth!F367*Controls!F$17*INDEX(Controls!$B$21:$H$21,1,WEEKDAY($A367,2))*(1+Controls!$B$11)^365*(1+Controls!K$25*Smooth!$L367)*(1+Controls!K$26*Smooth!$M367)*(1+Controls!K$27*Smooth!$N367)*(1+Controls!K$28*Smooth!$O367)),2))</f>
        <v/>
      </c>
      <c r="G367" s="10" t="str">
        <f t="array" ref="G367">IF(OR($A367="",6&gt;Controls!$B$6),"",ROUND(MAX(0,Smooth!G367*Controls!G$17*INDEX(Controls!$B$21:$H$21,1,WEEKDAY($A367,2))*(1+Controls!$B$11)^365*(1+Controls!L$25*Smooth!$L367)*(1+Controls!L$26*Smooth!$M367)*(1+Controls!L$27*Smooth!$N367)*(1+Controls!L$28*Smooth!$O367)),2))</f>
        <v/>
      </c>
      <c r="H367" s="10" t="str">
        <f t="array" ref="H367">IF(OR($A367="",7&gt;Controls!$B$6),"",ROUND(MAX(0,Smooth!H367*Controls!H$17*INDEX(Controls!$B$21:$H$21,1,WEEKDAY($A367,2))*(1+Controls!$B$11)^365*(1+Controls!M$25*Smooth!$L367)*(1+Controls!M$26*Smooth!$M367)*(1+Controls!M$27*Smooth!$N367)*(1+Controls!M$28*Smooth!$O367)),2))</f>
        <v/>
      </c>
      <c r="I367" s="10" t="str">
        <f t="array" ref="I367">IF(OR($A367="",8&gt;Controls!$B$6),"",ROUND(MAX(0,Smooth!I367*Controls!I$17*INDEX(Controls!$B$21:$H$21,1,WEEKDAY($A367,2))*(1+Controls!$B$11)^365*(1+Controls!N$25*Smooth!$L367)*(1+Controls!N$26*Smooth!$M367)*(1+Controls!N$27*Smooth!$N367)*(1+Controls!N$28*Smooth!$O367)),2))</f>
        <v/>
      </c>
      <c r="J367" s="10" t="str">
        <f t="array" ref="J367">IF(OR($A367="",9&gt;Controls!$B$6),"",ROUND(MAX(0,Smooth!J367*Controls!J$17*INDEX(Controls!$B$21:$H$21,1,WEEKDAY($A367,2))*(1+Controls!$B$11)^365*(1+Controls!O$25*Smooth!$L367)*(1+Controls!O$26*Smooth!$M367)*(1+Controls!O$27*Smooth!$N367)*(1+Controls!O$28*Smooth!$O367)),2))</f>
        <v/>
      </c>
      <c r="K367" s="10" t="str">
        <f t="array" ref="K367">IF(OR($A367="",10&gt;Controls!$B$6),"",ROUND(MAX(0,Smooth!K367*Controls!K$17*INDEX(Controls!$B$21:$H$21,1,WEEKDAY($A367,2))*(1+Controls!$B$11)^365*(1+Controls!P$25*Smooth!$L367)*(1+Controls!P$26*Smooth!$M367)*(1+Controls!P$27*Smooth!$N367)*(1+Controls!P$28*Smooth!$O367)),2))</f>
        <v/>
      </c>
      <c r="L367" s="18" t="str">
        <f t="shared" si="1"/>
        <v/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9A43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3" width="15.0"/>
    <col customWidth="1" min="4" max="4" width="24.0"/>
    <col customWidth="1" min="5" max="17" width="15.0"/>
    <col customWidth="1" min="18" max="26" width="8.63"/>
  </cols>
  <sheetData>
    <row r="1" ht="21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1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.0" customHeight="1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1.0" customHeight="1">
      <c r="A4" s="4" t="s">
        <v>16</v>
      </c>
      <c r="B4" s="5">
        <f>DATE(2099,11,2)</f>
        <v>72991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21.0" customHeight="1">
      <c r="A5" s="4" t="s">
        <v>34</v>
      </c>
      <c r="B5" s="6">
        <v>90.0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21.0" customHeight="1">
      <c r="A6" s="4" t="s">
        <v>35</v>
      </c>
      <c r="B6" s="6">
        <v>3.0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1.0" customHeight="1">
      <c r="A7" s="4" t="s">
        <v>40</v>
      </c>
      <c r="B7" s="6" t="s">
        <v>42</v>
      </c>
      <c r="C7" s="2"/>
      <c r="D7" s="4" t="s">
        <v>43</v>
      </c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1.0" customHeight="1">
      <c r="A8" s="4" t="str">
        <f>IF(B7="Normal","Active mean (t)","Active minimum (t)")</f>
        <v>Active mean (t)</v>
      </c>
      <c r="B8" s="9">
        <f>IF(B7="Normal",E8,E10)</f>
        <v>50</v>
      </c>
      <c r="C8" s="2"/>
      <c r="D8" s="4" t="s">
        <v>44</v>
      </c>
      <c r="E8" s="6">
        <v>50.0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ht="21.0" customHeight="1">
      <c r="A9" s="4" t="str">
        <f>IF(B7="Normal","Active deviation (t)","Active maximum (t)")</f>
        <v>Active deviation (t)</v>
      </c>
      <c r="B9" s="9">
        <f>IF(B7="Normal",E9,E11)</f>
        <v>10</v>
      </c>
      <c r="C9" s="2"/>
      <c r="D9" s="4" t="s">
        <v>45</v>
      </c>
      <c r="E9" s="6">
        <v>10.0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21.0" customHeight="1">
      <c r="A10" s="4" t="s">
        <v>46</v>
      </c>
      <c r="B10" s="11">
        <v>0.72</v>
      </c>
      <c r="C10" s="2"/>
      <c r="D10" s="4" t="s">
        <v>47</v>
      </c>
      <c r="E10" s="6">
        <v>25.0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21.0" customHeight="1">
      <c r="A11" s="4" t="s">
        <v>48</v>
      </c>
      <c r="B11" s="11">
        <v>0.002</v>
      </c>
      <c r="C11" s="2"/>
      <c r="D11" s="4" t="s">
        <v>49</v>
      </c>
      <c r="E11" s="6">
        <v>75.0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21.0" customHeight="1">
      <c r="A12" s="4" t="s">
        <v>50</v>
      </c>
      <c r="B12" s="12">
        <v>43.0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ht="21.0" customHeight="1">
      <c r="A14" s="13" t="s">
        <v>51</v>
      </c>
      <c r="B14" s="13" t="s">
        <v>52</v>
      </c>
      <c r="C14" s="13"/>
      <c r="D14" s="13"/>
      <c r="E14" s="13"/>
      <c r="F14" s="13"/>
      <c r="G14" s="13"/>
      <c r="H14" s="13"/>
      <c r="I14" s="13"/>
      <c r="J14" s="13"/>
      <c r="K14" s="13"/>
      <c r="L14" s="2"/>
      <c r="M14" s="2"/>
      <c r="N14" s="2"/>
      <c r="O14" s="2"/>
      <c r="P14" s="2"/>
      <c r="Q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1.0" customHeight="1">
      <c r="A16" s="4" t="s">
        <v>53</v>
      </c>
      <c r="B16" s="6" t="s">
        <v>54</v>
      </c>
      <c r="C16" s="6" t="s">
        <v>55</v>
      </c>
      <c r="D16" s="6" t="s">
        <v>56</v>
      </c>
      <c r="E16" s="6" t="s">
        <v>57</v>
      </c>
      <c r="F16" s="6" t="s">
        <v>58</v>
      </c>
      <c r="G16" s="6" t="s">
        <v>59</v>
      </c>
      <c r="H16" s="6" t="s">
        <v>60</v>
      </c>
      <c r="I16" s="6" t="s">
        <v>61</v>
      </c>
      <c r="J16" s="6" t="s">
        <v>62</v>
      </c>
      <c r="K16" s="6" t="s">
        <v>63</v>
      </c>
      <c r="L16" s="2"/>
      <c r="M16" s="2"/>
      <c r="N16" s="2"/>
      <c r="O16" s="2"/>
      <c r="P16" s="2"/>
      <c r="Q16" s="2"/>
    </row>
    <row r="17" ht="21.0" customHeight="1">
      <c r="A17" s="4" t="s">
        <v>64</v>
      </c>
      <c r="B17" s="6">
        <v>1.0</v>
      </c>
      <c r="C17" s="6">
        <v>0.85</v>
      </c>
      <c r="D17" s="6">
        <v>1.15</v>
      </c>
      <c r="E17" s="6">
        <v>1.0</v>
      </c>
      <c r="F17" s="6">
        <v>1.0</v>
      </c>
      <c r="G17" s="6">
        <v>1.0</v>
      </c>
      <c r="H17" s="6">
        <v>1.0</v>
      </c>
      <c r="I17" s="6">
        <v>1.0</v>
      </c>
      <c r="J17" s="6">
        <v>1.0</v>
      </c>
      <c r="K17" s="6">
        <v>1.0</v>
      </c>
      <c r="L17" s="2"/>
      <c r="M17" s="2"/>
      <c r="N17" s="2"/>
      <c r="O17" s="2"/>
      <c r="P17" s="2"/>
      <c r="Q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ht="21.0" customHeight="1">
      <c r="A19" s="13" t="s">
        <v>65</v>
      </c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</row>
    <row r="20" ht="21.0" customHeight="1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72</v>
      </c>
      <c r="H20" s="1" t="s">
        <v>73</v>
      </c>
      <c r="I20" s="2"/>
      <c r="J20" s="2"/>
      <c r="K20" s="2"/>
      <c r="L20" s="2"/>
      <c r="M20" s="2"/>
      <c r="N20" s="2"/>
      <c r="O20" s="2"/>
      <c r="P20" s="2"/>
      <c r="Q20" s="2"/>
    </row>
    <row r="21" ht="21.0" customHeight="1">
      <c r="A21" s="4" t="s">
        <v>74</v>
      </c>
      <c r="B21" s="6">
        <v>1.0</v>
      </c>
      <c r="C21" s="6">
        <v>1.0</v>
      </c>
      <c r="D21" s="6">
        <v>1.0</v>
      </c>
      <c r="E21" s="6">
        <v>1.0</v>
      </c>
      <c r="F21" s="6">
        <v>1.0</v>
      </c>
      <c r="G21" s="6">
        <v>0.8</v>
      </c>
      <c r="H21" s="6">
        <v>0.4</v>
      </c>
      <c r="I21" s="2"/>
      <c r="J21" s="2"/>
      <c r="K21" s="2"/>
      <c r="L21" s="2"/>
      <c r="M21" s="2"/>
      <c r="N21" s="2"/>
      <c r="O21" s="2"/>
      <c r="P21" s="2"/>
      <c r="Q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21.0" customHeight="1">
      <c r="A23" s="13" t="s">
        <v>75</v>
      </c>
      <c r="B23" s="13"/>
      <c r="C23" s="13"/>
      <c r="D23" s="13"/>
      <c r="E23" s="13"/>
      <c r="F23" s="2"/>
      <c r="G23" s="2" t="s">
        <v>76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21.0" customHeight="1">
      <c r="A24" s="1" t="s">
        <v>77</v>
      </c>
      <c r="B24" s="1" t="s">
        <v>16</v>
      </c>
      <c r="C24" s="1" t="s">
        <v>78</v>
      </c>
      <c r="D24" s="1" t="s">
        <v>79</v>
      </c>
      <c r="E24" s="1" t="s">
        <v>80</v>
      </c>
      <c r="F24" s="2"/>
      <c r="G24" s="14" t="str">
        <f t="shared" ref="G24:P24" si="1">B16</f>
        <v>LV-426</v>
      </c>
      <c r="H24" s="14" t="str">
        <f t="shared" si="1"/>
        <v>Origae-6</v>
      </c>
      <c r="I24" s="14" t="str">
        <f t="shared" si="1"/>
        <v>Fiorina 151</v>
      </c>
      <c r="J24" s="14" t="str">
        <f t="shared" si="1"/>
        <v>Mine 4</v>
      </c>
      <c r="K24" s="14" t="str">
        <f t="shared" si="1"/>
        <v>Mine 5</v>
      </c>
      <c r="L24" s="14" t="str">
        <f t="shared" si="1"/>
        <v>Mine 6</v>
      </c>
      <c r="M24" s="14" t="str">
        <f t="shared" si="1"/>
        <v>Mine 7</v>
      </c>
      <c r="N24" s="14" t="str">
        <f t="shared" si="1"/>
        <v>Mine 8</v>
      </c>
      <c r="O24" s="14" t="str">
        <f t="shared" si="1"/>
        <v>Mine 9</v>
      </c>
      <c r="P24" s="14" t="str">
        <f t="shared" si="1"/>
        <v>Mine 10</v>
      </c>
      <c r="Q24" s="2"/>
    </row>
    <row r="25" ht="21.0" customHeight="1">
      <c r="A25" s="4" t="s">
        <v>81</v>
      </c>
      <c r="B25" s="5">
        <f>DATE(2099,11,14)</f>
        <v>73003</v>
      </c>
      <c r="C25" s="6">
        <v>3.0</v>
      </c>
      <c r="D25" s="6">
        <v>0.22</v>
      </c>
      <c r="E25" s="15">
        <v>1.0</v>
      </c>
      <c r="F25" s="2"/>
      <c r="G25" s="16">
        <f>IF(1&gt;$B$6,"",IF(MOD((MOD($B$12+117736,2147483646)+1)*48271,2147483647)/2147483647&lt;$E25,1,0))</f>
        <v>1</v>
      </c>
      <c r="H25" s="16">
        <f>IF(2&gt;$B$6,"",IF(MOD((MOD($B$12+222465,2147483646)+1)*48271,2147483647)/2147483647&lt;$E25,1,0))</f>
        <v>1</v>
      </c>
      <c r="I25" s="16">
        <f>IF(3&gt;$B$6,"",IF(MOD((MOD($B$12+327194,2147483646)+1)*48271,2147483647)/2147483647&lt;$E25,1,0))</f>
        <v>1</v>
      </c>
      <c r="J25" s="16" t="str">
        <f>IF(4&gt;$B$6,"",IF(MOD((MOD($B$12+431923,2147483646)+1)*48271,2147483647)/2147483647&lt;$E25,1,0))</f>
        <v/>
      </c>
      <c r="K25" s="16" t="str">
        <f>IF(5&gt;$B$6,"",IF(MOD((MOD($B$12+536652,2147483646)+1)*48271,2147483647)/2147483647&lt;$E25,1,0))</f>
        <v/>
      </c>
      <c r="L25" s="16" t="str">
        <f>IF(6&gt;$B$6,"",IF(MOD((MOD($B$12+641381,2147483646)+1)*48271,2147483647)/2147483647&lt;$E25,1,0))</f>
        <v/>
      </c>
      <c r="M25" s="16" t="str">
        <f>IF(7&gt;$B$6,"",IF(MOD((MOD($B$12+746110,2147483646)+1)*48271,2147483647)/2147483647&lt;$E25,1,0))</f>
        <v/>
      </c>
      <c r="N25" s="16" t="str">
        <f>IF(8&gt;$B$6,"",IF(MOD((MOD($B$12+850839,2147483646)+1)*48271,2147483647)/2147483647&lt;$E25,1,0))</f>
        <v/>
      </c>
      <c r="O25" s="16" t="str">
        <f>IF(9&gt;$B$6,"",IF(MOD((MOD($B$12+955568,2147483646)+1)*48271,2147483647)/2147483647&lt;$E25,1,0))</f>
        <v/>
      </c>
      <c r="P25" s="16" t="str">
        <f>IF(10&gt;$B$6,"",IF(MOD((MOD($B$12+1060297,2147483646)+1)*48271,2147483647)/2147483647&lt;$E25,1,0))</f>
        <v/>
      </c>
      <c r="Q25" s="2"/>
    </row>
    <row r="26" ht="21.0" customHeight="1">
      <c r="A26" s="4" t="s">
        <v>82</v>
      </c>
      <c r="B26" s="5">
        <f>DATE(2099,12,2)</f>
        <v>73021</v>
      </c>
      <c r="C26" s="6">
        <v>4.0</v>
      </c>
      <c r="D26" s="6">
        <v>1.9</v>
      </c>
      <c r="E26" s="15">
        <v>0.67</v>
      </c>
      <c r="F26" s="2"/>
      <c r="G26" s="16">
        <f>IF(1&gt;$B$6,"",IF(MOD((MOD($B$12+130743,2147483646)+1)*48271,2147483647)/2147483647&lt;$E26,1,0))</f>
        <v>0</v>
      </c>
      <c r="H26" s="16">
        <f>IF(2&gt;$B$6,"",IF(MOD((MOD($B$12+235472,2147483646)+1)*48271,2147483647)/2147483647&lt;$E26,1,0))</f>
        <v>1</v>
      </c>
      <c r="I26" s="16">
        <f>IF(3&gt;$B$6,"",IF(MOD((MOD($B$12+340201,2147483646)+1)*48271,2147483647)/2147483647&lt;$E26,1,0))</f>
        <v>1</v>
      </c>
      <c r="J26" s="16" t="str">
        <f>IF(4&gt;$B$6,"",IF(MOD((MOD($B$12+444930,2147483646)+1)*48271,2147483647)/2147483647&lt;$E26,1,0))</f>
        <v/>
      </c>
      <c r="K26" s="16" t="str">
        <f>IF(5&gt;$B$6,"",IF(MOD((MOD($B$12+549659,2147483646)+1)*48271,2147483647)/2147483647&lt;$E26,1,0))</f>
        <v/>
      </c>
      <c r="L26" s="16" t="str">
        <f>IF(6&gt;$B$6,"",IF(MOD((MOD($B$12+654388,2147483646)+1)*48271,2147483647)/2147483647&lt;$E26,1,0))</f>
        <v/>
      </c>
      <c r="M26" s="16" t="str">
        <f>IF(7&gt;$B$6,"",IF(MOD((MOD($B$12+759117,2147483646)+1)*48271,2147483647)/2147483647&lt;$E26,1,0))</f>
        <v/>
      </c>
      <c r="N26" s="16" t="str">
        <f>IF(8&gt;$B$6,"",IF(MOD((MOD($B$12+863846,2147483646)+1)*48271,2147483647)/2147483647&lt;$E26,1,0))</f>
        <v/>
      </c>
      <c r="O26" s="16" t="str">
        <f>IF(9&gt;$B$6,"",IF(MOD((MOD($B$12+968575,2147483646)+1)*48271,2147483647)/2147483647&lt;$E26,1,0))</f>
        <v/>
      </c>
      <c r="P26" s="16" t="str">
        <f>IF(10&gt;$B$6,"",IF(MOD((MOD($B$12+1073304,2147483646)+1)*48271,2147483647)/2147483647&lt;$E26,1,0))</f>
        <v/>
      </c>
      <c r="Q26" s="2"/>
    </row>
    <row r="27" ht="21.0" customHeight="1">
      <c r="A27" s="4" t="s">
        <v>83</v>
      </c>
      <c r="B27" s="5">
        <f>DATE(2099,12,18)</f>
        <v>73037</v>
      </c>
      <c r="C27" s="6">
        <v>1.0</v>
      </c>
      <c r="D27" s="6">
        <v>0.05</v>
      </c>
      <c r="E27" s="15">
        <v>1.0</v>
      </c>
      <c r="F27" s="2"/>
      <c r="G27" s="16">
        <f>IF(1&gt;$B$6,"",IF(MOD((MOD($B$12+143750,2147483646)+1)*48271,2147483647)/2147483647&lt;$E27,1,0))</f>
        <v>1</v>
      </c>
      <c r="H27" s="16">
        <f>IF(2&gt;$B$6,"",IF(MOD((MOD($B$12+248479,2147483646)+1)*48271,2147483647)/2147483647&lt;$E27,1,0))</f>
        <v>1</v>
      </c>
      <c r="I27" s="16">
        <f>IF(3&gt;$B$6,"",IF(MOD((MOD($B$12+353208,2147483646)+1)*48271,2147483647)/2147483647&lt;$E27,1,0))</f>
        <v>1</v>
      </c>
      <c r="J27" s="16" t="str">
        <f>IF(4&gt;$B$6,"",IF(MOD((MOD($B$12+457937,2147483646)+1)*48271,2147483647)/2147483647&lt;$E27,1,0))</f>
        <v/>
      </c>
      <c r="K27" s="16" t="str">
        <f>IF(5&gt;$B$6,"",IF(MOD((MOD($B$12+562666,2147483646)+1)*48271,2147483647)/2147483647&lt;$E27,1,0))</f>
        <v/>
      </c>
      <c r="L27" s="16" t="str">
        <f>IF(6&gt;$B$6,"",IF(MOD((MOD($B$12+667395,2147483646)+1)*48271,2147483647)/2147483647&lt;$E27,1,0))</f>
        <v/>
      </c>
      <c r="M27" s="16" t="str">
        <f>IF(7&gt;$B$6,"",IF(MOD((MOD($B$12+772124,2147483646)+1)*48271,2147483647)/2147483647&lt;$E27,1,0))</f>
        <v/>
      </c>
      <c r="N27" s="16" t="str">
        <f>IF(8&gt;$B$6,"",IF(MOD((MOD($B$12+876853,2147483646)+1)*48271,2147483647)/2147483647&lt;$E27,1,0))</f>
        <v/>
      </c>
      <c r="O27" s="16" t="str">
        <f>IF(9&gt;$B$6,"",IF(MOD((MOD($B$12+981582,2147483646)+1)*48271,2147483647)/2147483647&lt;$E27,1,0))</f>
        <v/>
      </c>
      <c r="P27" s="16" t="str">
        <f>IF(10&gt;$B$6,"",IF(MOD((MOD($B$12+1086311,2147483646)+1)*48271,2147483647)/2147483647&lt;$E27,1,0))</f>
        <v/>
      </c>
      <c r="Q27" s="2"/>
    </row>
    <row r="28" ht="21.0" customHeight="1">
      <c r="A28" s="4" t="s">
        <v>84</v>
      </c>
      <c r="B28" s="5">
        <f>DATE(2100,1,7)</f>
        <v>73057</v>
      </c>
      <c r="C28" s="6">
        <v>5.0</v>
      </c>
      <c r="D28" s="6">
        <v>1.65</v>
      </c>
      <c r="E28" s="15">
        <v>0.5</v>
      </c>
      <c r="F28" s="2"/>
      <c r="G28" s="16">
        <f>IF(1&gt;$B$6,"",IF(MOD((MOD($B$12+156757,2147483646)+1)*48271,2147483647)/2147483647&lt;$E28,1,0))</f>
        <v>0</v>
      </c>
      <c r="H28" s="16">
        <f>IF(2&gt;$B$6,"",IF(MOD((MOD($B$12+261486,2147483646)+1)*48271,2147483647)/2147483647&lt;$E28,1,0))</f>
        <v>0</v>
      </c>
      <c r="I28" s="16">
        <f>IF(3&gt;$B$6,"",IF(MOD((MOD($B$12+366215,2147483646)+1)*48271,2147483647)/2147483647&lt;$E28,1,0))</f>
        <v>1</v>
      </c>
      <c r="J28" s="16" t="str">
        <f>IF(4&gt;$B$6,"",IF(MOD((MOD($B$12+470944,2147483646)+1)*48271,2147483647)/2147483647&lt;$E28,1,0))</f>
        <v/>
      </c>
      <c r="K28" s="16" t="str">
        <f>IF(5&gt;$B$6,"",IF(MOD((MOD($B$12+575673,2147483646)+1)*48271,2147483647)/2147483647&lt;$E28,1,0))</f>
        <v/>
      </c>
      <c r="L28" s="16" t="str">
        <f>IF(6&gt;$B$6,"",IF(MOD((MOD($B$12+680402,2147483646)+1)*48271,2147483647)/2147483647&lt;$E28,1,0))</f>
        <v/>
      </c>
      <c r="M28" s="16" t="str">
        <f>IF(7&gt;$B$6,"",IF(MOD((MOD($B$12+785131,2147483646)+1)*48271,2147483647)/2147483647&lt;$E28,1,0))</f>
        <v/>
      </c>
      <c r="N28" s="16" t="str">
        <f>IF(8&gt;$B$6,"",IF(MOD((MOD($B$12+889860,2147483646)+1)*48271,2147483647)/2147483647&lt;$E28,1,0))</f>
        <v/>
      </c>
      <c r="O28" s="16" t="str">
        <f>IF(9&gt;$B$6,"",IF(MOD((MOD($B$12+994589,2147483646)+1)*48271,2147483647)/2147483647&lt;$E28,1,0))</f>
        <v/>
      </c>
      <c r="P28" s="16" t="str">
        <f>IF(10&gt;$B$6,"",IF(MOD((MOD($B$12+1099318,2147483646)+1)*48271,2147483647)/2147483647&lt;$E28,1,0))</f>
        <v/>
      </c>
      <c r="Q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21.0" customHeight="1">
      <c r="A31" s="17" t="s">
        <v>85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21.0" customHeight="1">
      <c r="A32" s="17" t="s">
        <v>86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21.0" customHeight="1">
      <c r="A33" s="17" t="s">
        <v>87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21.0" customHeight="1">
      <c r="A34" s="17" t="s">
        <v>88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5">
      <formula1>5.0</formula1>
      <formula2>366.0</formula2>
    </dataValidation>
    <dataValidation type="decimal" allowBlank="1" sqref="B6">
      <formula1>1.0</formula1>
      <formula2>10.0</formula2>
    </dataValidation>
    <dataValidation type="decimal" allowBlank="1" sqref="B12">
      <formula1>1.0</formula1>
      <formula2>2.0E9</formula2>
    </dataValidation>
    <dataValidation type="list" allowBlank="1" sqref="B7">
      <formula1>"Normal,Uniform"</formula1>
    </dataValidation>
    <dataValidation type="decimal" allowBlank="1" sqref="B10">
      <formula1>0.0</formula1>
      <formula2>0.99</formula2>
    </dataValidation>
    <dataValidation type="decimal" allowBlank="1" sqref="C25:C28">
      <formula1>1.0</formula1>
      <formula2>366.0</formula2>
    </dataValidation>
    <dataValidation type="decimal" allowBlank="1" sqref="E25:E28">
      <formula1>0.0</formula1>
      <formula2>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31" width="15.0"/>
  </cols>
  <sheetData>
    <row r="1" ht="27.0" customHeight="1">
      <c r="A1" s="1" t="s">
        <v>0</v>
      </c>
      <c r="B1" s="1" t="str">
        <f>IF(Output!B1="","",Output!B1)</f>
        <v>LV-426</v>
      </c>
      <c r="C1" s="1" t="str">
        <f>IF(Output!C1="","",Output!C1)</f>
        <v>Origae-6</v>
      </c>
      <c r="D1" s="1" t="str">
        <f>IF(Output!D1="","",Output!D1)</f>
        <v>Fiorina 151</v>
      </c>
      <c r="E1" s="1" t="str">
        <f>IF(Output!E1="","",Output!E1)</f>
        <v/>
      </c>
      <c r="F1" s="1" t="str">
        <f>IF(Output!F1="","",Output!F1)</f>
        <v/>
      </c>
      <c r="G1" s="1" t="str">
        <f>IF(Output!G1="","",Output!G1)</f>
        <v/>
      </c>
      <c r="H1" s="1" t="str">
        <f>IF(Output!H1="","",Output!H1)</f>
        <v/>
      </c>
      <c r="I1" s="1" t="str">
        <f>IF(Output!I1="","",Output!I1)</f>
        <v/>
      </c>
      <c r="J1" s="1" t="str">
        <f>IF(Output!J1="","",Output!J1)</f>
        <v/>
      </c>
      <c r="K1" s="1" t="str">
        <f>IF(Output!K1="","",Output!K1)</f>
        <v/>
      </c>
      <c r="L1" s="1" t="s">
        <v>36</v>
      </c>
      <c r="M1" s="1" t="s">
        <v>37</v>
      </c>
      <c r="N1" s="1" t="s">
        <v>38</v>
      </c>
      <c r="O1" s="1" t="s">
        <v>39</v>
      </c>
      <c r="P1" s="8" t="s">
        <v>41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1.0" customHeight="1">
      <c r="A2" s="7">
        <f>IF(1&lt;=Controls!$B$5,Controls!$B$4+0,"")</f>
        <v>72991</v>
      </c>
      <c r="B2" s="10">
        <f>IF(Random!V2="","",Random!V2)</f>
        <v>61.38200241</v>
      </c>
      <c r="C2" s="10">
        <f>IF(Random!W2="","",Random!W2)</f>
        <v>41.87491205</v>
      </c>
      <c r="D2" s="10">
        <f>IF(Random!X2="","",Random!X2)</f>
        <v>61.51654021</v>
      </c>
      <c r="E2" s="10" t="str">
        <f>IF(Random!Y2="","",Random!Y2)</f>
        <v/>
      </c>
      <c r="F2" s="10" t="str">
        <f>IF(Random!Z2="","",Random!Z2)</f>
        <v/>
      </c>
      <c r="G2" s="10" t="str">
        <f>IF(Random!AA2="","",Random!AA2)</f>
        <v/>
      </c>
      <c r="H2" s="10" t="str">
        <f>IF(Random!AB2="","",Random!AB2)</f>
        <v/>
      </c>
      <c r="I2" s="10" t="str">
        <f>IF(Random!AC2="","",Random!AC2)</f>
        <v/>
      </c>
      <c r="J2" s="10" t="str">
        <f>IF(Random!AD2="","",Random!AD2)</f>
        <v/>
      </c>
      <c r="K2" s="10" t="str">
        <f>IF(Random!AE2="","",Random!AE2)</f>
        <v/>
      </c>
      <c r="L2" s="10">
        <f>IF($A2="","",IF(AND($A2&gt;=Controls!$B$25,$A2&lt;Controls!$B$25+Controls!$C$25),(Controls!$D$25-1)*EXP(-0.5*(($A2-Controls!$B$25-(Controls!$C$25-1)/2)/MAX(Controls!$C$25/4,0.5))^2),0))</f>
        <v>0</v>
      </c>
      <c r="M2" s="10">
        <f>IF($A2="","",IF(AND($A2&gt;=Controls!$B$26,$A2&lt;Controls!$B$26+Controls!$C$26),(Controls!$D$26-1)*EXP(-0.5*(($A2-Controls!$B$26-(Controls!$C$26-1)/2)/MAX(Controls!$C$26/4,0.5))^2),0))</f>
        <v>0</v>
      </c>
      <c r="N2" s="10">
        <f>IF($A2="","",IF(AND($A2&gt;=Controls!$B$27,$A2&lt;Controls!$B$27+Controls!$C$27),(Controls!$D$27-1)*EXP(-0.5*(($A2-Controls!$B$27-(Controls!$C$27-1)/2)/MAX(Controls!$C$27/4,0.5))^2),0))</f>
        <v>0</v>
      </c>
      <c r="O2" s="10">
        <f>IF($A2="","",IF(AND($A2&gt;=Controls!$B$28,$A2&lt;Controls!$B$28+Controls!$C$28),(Controls!$D$28-1)*EXP(-0.5*(($A2-Controls!$B$28-(Controls!$C$28-1)/2)/MAX(Controls!$C$28/4,0.5))^2),0))</f>
        <v>0</v>
      </c>
      <c r="P2" s="4" t="str">
        <f t="shared" ref="P2:P367" si="1">IF(A2="","",TEXT(A2,"yyyy-mm-dd"))</f>
        <v>2099-11-02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1.0" customHeight="1">
      <c r="A3" s="7">
        <f>IF(2&lt;=Controls!$B$5,Controls!$B$4+1,"")</f>
        <v>72992</v>
      </c>
      <c r="B3" s="10">
        <f>IF(Random!V3="","",IF(Controls!$B$7="Normal",Controls!$B$8,(Controls!$B$8+Controls!$B$9)/2)+Controls!$B$10*(B2-IF(Controls!$B$7="Normal",Controls!$B$8,(Controls!$B$8+Controls!$B$9)/2))+SQRT(1-Controls!$B$10^2)*(Random!V3-IF(Controls!$B$7="Normal",Controls!$B$8,(Controls!$B$8+Controls!$B$9)/2)))</f>
        <v>60.09782256</v>
      </c>
      <c r="C3" s="10">
        <f>IF(Random!W3="","",IF(Controls!$B$7="Normal",Controls!$B$8,(Controls!$B$8+Controls!$B$9)/2)+Controls!$B$10*(C2-IF(Controls!$B$7="Normal",Controls!$B$8,(Controls!$B$8+Controls!$B$9)/2))+SQRT(1-Controls!$B$10^2)*(Random!W3-IF(Controls!$B$7="Normal",Controls!$B$8,(Controls!$B$8+Controls!$B$9)/2)))</f>
        <v>40.00748642</v>
      </c>
      <c r="D3" s="10">
        <f>IF(Random!X3="","",IF(Controls!$B$7="Normal",Controls!$B$8,(Controls!$B$8+Controls!$B$9)/2)+Controls!$B$10*(D2-IF(Controls!$B$7="Normal",Controls!$B$8,(Controls!$B$8+Controls!$B$9)/2))+SQRT(1-Controls!$B$10^2)*(Random!X3-IF(Controls!$B$7="Normal",Controls!$B$8,(Controls!$B$8+Controls!$B$9)/2)))</f>
        <v>63.76192098</v>
      </c>
      <c r="E3" s="10" t="str">
        <f>IF(Random!Y3="","",IF(Controls!$B$7="Normal",Controls!$B$8,(Controls!$B$8+Controls!$B$9)/2)+Controls!$B$10*(E2-IF(Controls!$B$7="Normal",Controls!$B$8,(Controls!$B$8+Controls!$B$9)/2))+SQRT(1-Controls!$B$10^2)*(Random!Y3-IF(Controls!$B$7="Normal",Controls!$B$8,(Controls!$B$8+Controls!$B$9)/2)))</f>
        <v/>
      </c>
      <c r="F3" s="10" t="str">
        <f>IF(Random!Z3="","",IF(Controls!$B$7="Normal",Controls!$B$8,(Controls!$B$8+Controls!$B$9)/2)+Controls!$B$10*(F2-IF(Controls!$B$7="Normal",Controls!$B$8,(Controls!$B$8+Controls!$B$9)/2))+SQRT(1-Controls!$B$10^2)*(Random!Z3-IF(Controls!$B$7="Normal",Controls!$B$8,(Controls!$B$8+Controls!$B$9)/2)))</f>
        <v/>
      </c>
      <c r="G3" s="10" t="str">
        <f>IF(Random!AA3="","",IF(Controls!$B$7="Normal",Controls!$B$8,(Controls!$B$8+Controls!$B$9)/2)+Controls!$B$10*(G2-IF(Controls!$B$7="Normal",Controls!$B$8,(Controls!$B$8+Controls!$B$9)/2))+SQRT(1-Controls!$B$10^2)*(Random!AA3-IF(Controls!$B$7="Normal",Controls!$B$8,(Controls!$B$8+Controls!$B$9)/2)))</f>
        <v/>
      </c>
      <c r="H3" s="10" t="str">
        <f>IF(Random!AB3="","",IF(Controls!$B$7="Normal",Controls!$B$8,(Controls!$B$8+Controls!$B$9)/2)+Controls!$B$10*(H2-IF(Controls!$B$7="Normal",Controls!$B$8,(Controls!$B$8+Controls!$B$9)/2))+SQRT(1-Controls!$B$10^2)*(Random!AB3-IF(Controls!$B$7="Normal",Controls!$B$8,(Controls!$B$8+Controls!$B$9)/2)))</f>
        <v/>
      </c>
      <c r="I3" s="10" t="str">
        <f>IF(Random!AC3="","",IF(Controls!$B$7="Normal",Controls!$B$8,(Controls!$B$8+Controls!$B$9)/2)+Controls!$B$10*(I2-IF(Controls!$B$7="Normal",Controls!$B$8,(Controls!$B$8+Controls!$B$9)/2))+SQRT(1-Controls!$B$10^2)*(Random!AC3-IF(Controls!$B$7="Normal",Controls!$B$8,(Controls!$B$8+Controls!$B$9)/2)))</f>
        <v/>
      </c>
      <c r="J3" s="10" t="str">
        <f>IF(Random!AD3="","",IF(Controls!$B$7="Normal",Controls!$B$8,(Controls!$B$8+Controls!$B$9)/2)+Controls!$B$10*(J2-IF(Controls!$B$7="Normal",Controls!$B$8,(Controls!$B$8+Controls!$B$9)/2))+SQRT(1-Controls!$B$10^2)*(Random!AD3-IF(Controls!$B$7="Normal",Controls!$B$8,(Controls!$B$8+Controls!$B$9)/2)))</f>
        <v/>
      </c>
      <c r="K3" s="10" t="str">
        <f>IF(Random!AE3="","",IF(Controls!$B$7="Normal",Controls!$B$8,(Controls!$B$8+Controls!$B$9)/2)+Controls!$B$10*(K2-IF(Controls!$B$7="Normal",Controls!$B$8,(Controls!$B$8+Controls!$B$9)/2))+SQRT(1-Controls!$B$10^2)*(Random!AE3-IF(Controls!$B$7="Normal",Controls!$B$8,(Controls!$B$8+Controls!$B$9)/2)))</f>
        <v/>
      </c>
      <c r="L3" s="10">
        <f>IF($A3="","",IF(AND($A3&gt;=Controls!$B$25,$A3&lt;Controls!$B$25+Controls!$C$25),(Controls!$D$25-1)*EXP(-0.5*(($A3-Controls!$B$25-(Controls!$C$25-1)/2)/MAX(Controls!$C$25/4,0.5))^2),0))</f>
        <v>0</v>
      </c>
      <c r="M3" s="10">
        <f>IF($A3="","",IF(AND($A3&gt;=Controls!$B$26,$A3&lt;Controls!$B$26+Controls!$C$26),(Controls!$D$26-1)*EXP(-0.5*(($A3-Controls!$B$26-(Controls!$C$26-1)/2)/MAX(Controls!$C$26/4,0.5))^2),0))</f>
        <v>0</v>
      </c>
      <c r="N3" s="10">
        <f>IF($A3="","",IF(AND($A3&gt;=Controls!$B$27,$A3&lt;Controls!$B$27+Controls!$C$27),(Controls!$D$27-1)*EXP(-0.5*(($A3-Controls!$B$27-(Controls!$C$27-1)/2)/MAX(Controls!$C$27/4,0.5))^2),0))</f>
        <v>0</v>
      </c>
      <c r="O3" s="10">
        <f>IF($A3="","",IF(AND($A3&gt;=Controls!$B$28,$A3&lt;Controls!$B$28+Controls!$C$28),(Controls!$D$28-1)*EXP(-0.5*(($A3-Controls!$B$28-(Controls!$C$28-1)/2)/MAX(Controls!$C$28/4,0.5))^2),0))</f>
        <v>0</v>
      </c>
      <c r="P3" s="4" t="str">
        <f t="shared" si="1"/>
        <v>2099-11-03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1.0" customHeight="1">
      <c r="A4" s="7">
        <f>IF(3&lt;=Controls!$B$5,Controls!$B$4+2,"")</f>
        <v>72993</v>
      </c>
      <c r="B4" s="10">
        <f>IF(Random!V4="","",IF(Controls!$B$7="Normal",Controls!$B$8,(Controls!$B$8+Controls!$B$9)/2)+Controls!$B$10*(B3-IF(Controls!$B$7="Normal",Controls!$B$8,(Controls!$B$8+Controls!$B$9)/2))+SQRT(1-Controls!$B$10^2)*(Random!V4-IF(Controls!$B$7="Normal",Controls!$B$8,(Controls!$B$8+Controls!$B$9)/2)))</f>
        <v>52.757549</v>
      </c>
      <c r="C4" s="10">
        <f>IF(Random!W4="","",IF(Controls!$B$7="Normal",Controls!$B$8,(Controls!$B$8+Controls!$B$9)/2)+Controls!$B$10*(C3-IF(Controls!$B$7="Normal",Controls!$B$8,(Controls!$B$8+Controls!$B$9)/2))+SQRT(1-Controls!$B$10^2)*(Random!W4-IF(Controls!$B$7="Normal",Controls!$B$8,(Controls!$B$8+Controls!$B$9)/2)))</f>
        <v>37.97924375</v>
      </c>
      <c r="D4" s="10">
        <f>IF(Random!X4="","",IF(Controls!$B$7="Normal",Controls!$B$8,(Controls!$B$8+Controls!$B$9)/2)+Controls!$B$10*(D3-IF(Controls!$B$7="Normal",Controls!$B$8,(Controls!$B$8+Controls!$B$9)/2))+SQRT(1-Controls!$B$10^2)*(Random!X4-IF(Controls!$B$7="Normal",Controls!$B$8,(Controls!$B$8+Controls!$B$9)/2)))</f>
        <v>54.91093772</v>
      </c>
      <c r="E4" s="10" t="str">
        <f>IF(Random!Y4="","",IF(Controls!$B$7="Normal",Controls!$B$8,(Controls!$B$8+Controls!$B$9)/2)+Controls!$B$10*(E3-IF(Controls!$B$7="Normal",Controls!$B$8,(Controls!$B$8+Controls!$B$9)/2))+SQRT(1-Controls!$B$10^2)*(Random!Y4-IF(Controls!$B$7="Normal",Controls!$B$8,(Controls!$B$8+Controls!$B$9)/2)))</f>
        <v/>
      </c>
      <c r="F4" s="10" t="str">
        <f>IF(Random!Z4="","",IF(Controls!$B$7="Normal",Controls!$B$8,(Controls!$B$8+Controls!$B$9)/2)+Controls!$B$10*(F3-IF(Controls!$B$7="Normal",Controls!$B$8,(Controls!$B$8+Controls!$B$9)/2))+SQRT(1-Controls!$B$10^2)*(Random!Z4-IF(Controls!$B$7="Normal",Controls!$B$8,(Controls!$B$8+Controls!$B$9)/2)))</f>
        <v/>
      </c>
      <c r="G4" s="10" t="str">
        <f>IF(Random!AA4="","",IF(Controls!$B$7="Normal",Controls!$B$8,(Controls!$B$8+Controls!$B$9)/2)+Controls!$B$10*(G3-IF(Controls!$B$7="Normal",Controls!$B$8,(Controls!$B$8+Controls!$B$9)/2))+SQRT(1-Controls!$B$10^2)*(Random!AA4-IF(Controls!$B$7="Normal",Controls!$B$8,(Controls!$B$8+Controls!$B$9)/2)))</f>
        <v/>
      </c>
      <c r="H4" s="10" t="str">
        <f>IF(Random!AB4="","",IF(Controls!$B$7="Normal",Controls!$B$8,(Controls!$B$8+Controls!$B$9)/2)+Controls!$B$10*(H3-IF(Controls!$B$7="Normal",Controls!$B$8,(Controls!$B$8+Controls!$B$9)/2))+SQRT(1-Controls!$B$10^2)*(Random!AB4-IF(Controls!$B$7="Normal",Controls!$B$8,(Controls!$B$8+Controls!$B$9)/2)))</f>
        <v/>
      </c>
      <c r="I4" s="10" t="str">
        <f>IF(Random!AC4="","",IF(Controls!$B$7="Normal",Controls!$B$8,(Controls!$B$8+Controls!$B$9)/2)+Controls!$B$10*(I3-IF(Controls!$B$7="Normal",Controls!$B$8,(Controls!$B$8+Controls!$B$9)/2))+SQRT(1-Controls!$B$10^2)*(Random!AC4-IF(Controls!$B$7="Normal",Controls!$B$8,(Controls!$B$8+Controls!$B$9)/2)))</f>
        <v/>
      </c>
      <c r="J4" s="10" t="str">
        <f>IF(Random!AD4="","",IF(Controls!$B$7="Normal",Controls!$B$8,(Controls!$B$8+Controls!$B$9)/2)+Controls!$B$10*(J3-IF(Controls!$B$7="Normal",Controls!$B$8,(Controls!$B$8+Controls!$B$9)/2))+SQRT(1-Controls!$B$10^2)*(Random!AD4-IF(Controls!$B$7="Normal",Controls!$B$8,(Controls!$B$8+Controls!$B$9)/2)))</f>
        <v/>
      </c>
      <c r="K4" s="10" t="str">
        <f>IF(Random!AE4="","",IF(Controls!$B$7="Normal",Controls!$B$8,(Controls!$B$8+Controls!$B$9)/2)+Controls!$B$10*(K3-IF(Controls!$B$7="Normal",Controls!$B$8,(Controls!$B$8+Controls!$B$9)/2))+SQRT(1-Controls!$B$10^2)*(Random!AE4-IF(Controls!$B$7="Normal",Controls!$B$8,(Controls!$B$8+Controls!$B$9)/2)))</f>
        <v/>
      </c>
      <c r="L4" s="10">
        <f>IF($A4="","",IF(AND($A4&gt;=Controls!$B$25,$A4&lt;Controls!$B$25+Controls!$C$25),(Controls!$D$25-1)*EXP(-0.5*(($A4-Controls!$B$25-(Controls!$C$25-1)/2)/MAX(Controls!$C$25/4,0.5))^2),0))</f>
        <v>0</v>
      </c>
      <c r="M4" s="10">
        <f>IF($A4="","",IF(AND($A4&gt;=Controls!$B$26,$A4&lt;Controls!$B$26+Controls!$C$26),(Controls!$D$26-1)*EXP(-0.5*(($A4-Controls!$B$26-(Controls!$C$26-1)/2)/MAX(Controls!$C$26/4,0.5))^2),0))</f>
        <v>0</v>
      </c>
      <c r="N4" s="10">
        <f>IF($A4="","",IF(AND($A4&gt;=Controls!$B$27,$A4&lt;Controls!$B$27+Controls!$C$27),(Controls!$D$27-1)*EXP(-0.5*(($A4-Controls!$B$27-(Controls!$C$27-1)/2)/MAX(Controls!$C$27/4,0.5))^2),0))</f>
        <v>0</v>
      </c>
      <c r="O4" s="10">
        <f>IF($A4="","",IF(AND($A4&gt;=Controls!$B$28,$A4&lt;Controls!$B$28+Controls!$C$28),(Controls!$D$28-1)*EXP(-0.5*(($A4-Controls!$B$28-(Controls!$C$28-1)/2)/MAX(Controls!$C$28/4,0.5))^2),0))</f>
        <v>0</v>
      </c>
      <c r="P4" s="4" t="str">
        <f t="shared" si="1"/>
        <v>2099-11-04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1.0" customHeight="1">
      <c r="A5" s="7">
        <f>IF(4&lt;=Controls!$B$5,Controls!$B$4+3,"")</f>
        <v>72994</v>
      </c>
      <c r="B5" s="10">
        <f>IF(Random!V5="","",IF(Controls!$B$7="Normal",Controls!$B$8,(Controls!$B$8+Controls!$B$9)/2)+Controls!$B$10*(B4-IF(Controls!$B$7="Normal",Controls!$B$8,(Controls!$B$8+Controls!$B$9)/2))+SQRT(1-Controls!$B$10^2)*(Random!V5-IF(Controls!$B$7="Normal",Controls!$B$8,(Controls!$B$8+Controls!$B$9)/2)))</f>
        <v>44.69375862</v>
      </c>
      <c r="C5" s="10">
        <f>IF(Random!W5="","",IF(Controls!$B$7="Normal",Controls!$B$8,(Controls!$B$8+Controls!$B$9)/2)+Controls!$B$10*(C4-IF(Controls!$B$7="Normal",Controls!$B$8,(Controls!$B$8+Controls!$B$9)/2))+SQRT(1-Controls!$B$10^2)*(Random!W5-IF(Controls!$B$7="Normal",Controls!$B$8,(Controls!$B$8+Controls!$B$9)/2)))</f>
        <v>33.23619904</v>
      </c>
      <c r="D5" s="10">
        <f>IF(Random!X5="","",IF(Controls!$B$7="Normal",Controls!$B$8,(Controls!$B$8+Controls!$B$9)/2)+Controls!$B$10*(D4-IF(Controls!$B$7="Normal",Controls!$B$8,(Controls!$B$8+Controls!$B$9)/2))+SQRT(1-Controls!$B$10^2)*(Random!X5-IF(Controls!$B$7="Normal",Controls!$B$8,(Controls!$B$8+Controls!$B$9)/2)))</f>
        <v>44.76259839</v>
      </c>
      <c r="E5" s="10" t="str">
        <f>IF(Random!Y5="","",IF(Controls!$B$7="Normal",Controls!$B$8,(Controls!$B$8+Controls!$B$9)/2)+Controls!$B$10*(E4-IF(Controls!$B$7="Normal",Controls!$B$8,(Controls!$B$8+Controls!$B$9)/2))+SQRT(1-Controls!$B$10^2)*(Random!Y5-IF(Controls!$B$7="Normal",Controls!$B$8,(Controls!$B$8+Controls!$B$9)/2)))</f>
        <v/>
      </c>
      <c r="F5" s="10" t="str">
        <f>IF(Random!Z5="","",IF(Controls!$B$7="Normal",Controls!$B$8,(Controls!$B$8+Controls!$B$9)/2)+Controls!$B$10*(F4-IF(Controls!$B$7="Normal",Controls!$B$8,(Controls!$B$8+Controls!$B$9)/2))+SQRT(1-Controls!$B$10^2)*(Random!Z5-IF(Controls!$B$7="Normal",Controls!$B$8,(Controls!$B$8+Controls!$B$9)/2)))</f>
        <v/>
      </c>
      <c r="G5" s="10" t="str">
        <f>IF(Random!AA5="","",IF(Controls!$B$7="Normal",Controls!$B$8,(Controls!$B$8+Controls!$B$9)/2)+Controls!$B$10*(G4-IF(Controls!$B$7="Normal",Controls!$B$8,(Controls!$B$8+Controls!$B$9)/2))+SQRT(1-Controls!$B$10^2)*(Random!AA5-IF(Controls!$B$7="Normal",Controls!$B$8,(Controls!$B$8+Controls!$B$9)/2)))</f>
        <v/>
      </c>
      <c r="H5" s="10" t="str">
        <f>IF(Random!AB5="","",IF(Controls!$B$7="Normal",Controls!$B$8,(Controls!$B$8+Controls!$B$9)/2)+Controls!$B$10*(H4-IF(Controls!$B$7="Normal",Controls!$B$8,(Controls!$B$8+Controls!$B$9)/2))+SQRT(1-Controls!$B$10^2)*(Random!AB5-IF(Controls!$B$7="Normal",Controls!$B$8,(Controls!$B$8+Controls!$B$9)/2)))</f>
        <v/>
      </c>
      <c r="I5" s="10" t="str">
        <f>IF(Random!AC5="","",IF(Controls!$B$7="Normal",Controls!$B$8,(Controls!$B$8+Controls!$B$9)/2)+Controls!$B$10*(I4-IF(Controls!$B$7="Normal",Controls!$B$8,(Controls!$B$8+Controls!$B$9)/2))+SQRT(1-Controls!$B$10^2)*(Random!AC5-IF(Controls!$B$7="Normal",Controls!$B$8,(Controls!$B$8+Controls!$B$9)/2)))</f>
        <v/>
      </c>
      <c r="J5" s="10" t="str">
        <f>IF(Random!AD5="","",IF(Controls!$B$7="Normal",Controls!$B$8,(Controls!$B$8+Controls!$B$9)/2)+Controls!$B$10*(J4-IF(Controls!$B$7="Normal",Controls!$B$8,(Controls!$B$8+Controls!$B$9)/2))+SQRT(1-Controls!$B$10^2)*(Random!AD5-IF(Controls!$B$7="Normal",Controls!$B$8,(Controls!$B$8+Controls!$B$9)/2)))</f>
        <v/>
      </c>
      <c r="K5" s="10" t="str">
        <f>IF(Random!AE5="","",IF(Controls!$B$7="Normal",Controls!$B$8,(Controls!$B$8+Controls!$B$9)/2)+Controls!$B$10*(K4-IF(Controls!$B$7="Normal",Controls!$B$8,(Controls!$B$8+Controls!$B$9)/2))+SQRT(1-Controls!$B$10^2)*(Random!AE5-IF(Controls!$B$7="Normal",Controls!$B$8,(Controls!$B$8+Controls!$B$9)/2)))</f>
        <v/>
      </c>
      <c r="L5" s="10">
        <f>IF($A5="","",IF(AND($A5&gt;=Controls!$B$25,$A5&lt;Controls!$B$25+Controls!$C$25),(Controls!$D$25-1)*EXP(-0.5*(($A5-Controls!$B$25-(Controls!$C$25-1)/2)/MAX(Controls!$C$25/4,0.5))^2),0))</f>
        <v>0</v>
      </c>
      <c r="M5" s="10">
        <f>IF($A5="","",IF(AND($A5&gt;=Controls!$B$26,$A5&lt;Controls!$B$26+Controls!$C$26),(Controls!$D$26-1)*EXP(-0.5*(($A5-Controls!$B$26-(Controls!$C$26-1)/2)/MAX(Controls!$C$26/4,0.5))^2),0))</f>
        <v>0</v>
      </c>
      <c r="N5" s="10">
        <f>IF($A5="","",IF(AND($A5&gt;=Controls!$B$27,$A5&lt;Controls!$B$27+Controls!$C$27),(Controls!$D$27-1)*EXP(-0.5*(($A5-Controls!$B$27-(Controls!$C$27-1)/2)/MAX(Controls!$C$27/4,0.5))^2),0))</f>
        <v>0</v>
      </c>
      <c r="O5" s="10">
        <f>IF($A5="","",IF(AND($A5&gt;=Controls!$B$28,$A5&lt;Controls!$B$28+Controls!$C$28),(Controls!$D$28-1)*EXP(-0.5*(($A5-Controls!$B$28-(Controls!$C$28-1)/2)/MAX(Controls!$C$28/4,0.5))^2),0))</f>
        <v>0</v>
      </c>
      <c r="P5" s="4" t="str">
        <f t="shared" si="1"/>
        <v>2099-11-05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1.0" customHeight="1">
      <c r="A6" s="7">
        <f>IF(5&lt;=Controls!$B$5,Controls!$B$4+4,"")</f>
        <v>72995</v>
      </c>
      <c r="B6" s="10">
        <f>IF(Random!V6="","",IF(Controls!$B$7="Normal",Controls!$B$8,(Controls!$B$8+Controls!$B$9)/2)+Controls!$B$10*(B5-IF(Controls!$B$7="Normal",Controls!$B$8,(Controls!$B$8+Controls!$B$9)/2))+SQRT(1-Controls!$B$10^2)*(Random!V6-IF(Controls!$B$7="Normal",Controls!$B$8,(Controls!$B$8+Controls!$B$9)/2)))</f>
        <v>54.58292224</v>
      </c>
      <c r="C6" s="10">
        <f>IF(Random!W6="","",IF(Controls!$B$7="Normal",Controls!$B$8,(Controls!$B$8+Controls!$B$9)/2)+Controls!$B$10*(C5-IF(Controls!$B$7="Normal",Controls!$B$8,(Controls!$B$8+Controls!$B$9)/2))+SQRT(1-Controls!$B$10^2)*(Random!W6-IF(Controls!$B$7="Normal",Controls!$B$8,(Controls!$B$8+Controls!$B$9)/2)))</f>
        <v>32.37897169</v>
      </c>
      <c r="D6" s="10">
        <f>IF(Random!X6="","",IF(Controls!$B$7="Normal",Controls!$B$8,(Controls!$B$8+Controls!$B$9)/2)+Controls!$B$10*(D5-IF(Controls!$B$7="Normal",Controls!$B$8,(Controls!$B$8+Controls!$B$9)/2))+SQRT(1-Controls!$B$10^2)*(Random!X6-IF(Controls!$B$7="Normal",Controls!$B$8,(Controls!$B$8+Controls!$B$9)/2)))</f>
        <v>40.25775208</v>
      </c>
      <c r="E6" s="10" t="str">
        <f>IF(Random!Y6="","",IF(Controls!$B$7="Normal",Controls!$B$8,(Controls!$B$8+Controls!$B$9)/2)+Controls!$B$10*(E5-IF(Controls!$B$7="Normal",Controls!$B$8,(Controls!$B$8+Controls!$B$9)/2))+SQRT(1-Controls!$B$10^2)*(Random!Y6-IF(Controls!$B$7="Normal",Controls!$B$8,(Controls!$B$8+Controls!$B$9)/2)))</f>
        <v/>
      </c>
      <c r="F6" s="10" t="str">
        <f>IF(Random!Z6="","",IF(Controls!$B$7="Normal",Controls!$B$8,(Controls!$B$8+Controls!$B$9)/2)+Controls!$B$10*(F5-IF(Controls!$B$7="Normal",Controls!$B$8,(Controls!$B$8+Controls!$B$9)/2))+SQRT(1-Controls!$B$10^2)*(Random!Z6-IF(Controls!$B$7="Normal",Controls!$B$8,(Controls!$B$8+Controls!$B$9)/2)))</f>
        <v/>
      </c>
      <c r="G6" s="10" t="str">
        <f>IF(Random!AA6="","",IF(Controls!$B$7="Normal",Controls!$B$8,(Controls!$B$8+Controls!$B$9)/2)+Controls!$B$10*(G5-IF(Controls!$B$7="Normal",Controls!$B$8,(Controls!$B$8+Controls!$B$9)/2))+SQRT(1-Controls!$B$10^2)*(Random!AA6-IF(Controls!$B$7="Normal",Controls!$B$8,(Controls!$B$8+Controls!$B$9)/2)))</f>
        <v/>
      </c>
      <c r="H6" s="10" t="str">
        <f>IF(Random!AB6="","",IF(Controls!$B$7="Normal",Controls!$B$8,(Controls!$B$8+Controls!$B$9)/2)+Controls!$B$10*(H5-IF(Controls!$B$7="Normal",Controls!$B$8,(Controls!$B$8+Controls!$B$9)/2))+SQRT(1-Controls!$B$10^2)*(Random!AB6-IF(Controls!$B$7="Normal",Controls!$B$8,(Controls!$B$8+Controls!$B$9)/2)))</f>
        <v/>
      </c>
      <c r="I6" s="10" t="str">
        <f>IF(Random!AC6="","",IF(Controls!$B$7="Normal",Controls!$B$8,(Controls!$B$8+Controls!$B$9)/2)+Controls!$B$10*(I5-IF(Controls!$B$7="Normal",Controls!$B$8,(Controls!$B$8+Controls!$B$9)/2))+SQRT(1-Controls!$B$10^2)*(Random!AC6-IF(Controls!$B$7="Normal",Controls!$B$8,(Controls!$B$8+Controls!$B$9)/2)))</f>
        <v/>
      </c>
      <c r="J6" s="10" t="str">
        <f>IF(Random!AD6="","",IF(Controls!$B$7="Normal",Controls!$B$8,(Controls!$B$8+Controls!$B$9)/2)+Controls!$B$10*(J5-IF(Controls!$B$7="Normal",Controls!$B$8,(Controls!$B$8+Controls!$B$9)/2))+SQRT(1-Controls!$B$10^2)*(Random!AD6-IF(Controls!$B$7="Normal",Controls!$B$8,(Controls!$B$8+Controls!$B$9)/2)))</f>
        <v/>
      </c>
      <c r="K6" s="10" t="str">
        <f>IF(Random!AE6="","",IF(Controls!$B$7="Normal",Controls!$B$8,(Controls!$B$8+Controls!$B$9)/2)+Controls!$B$10*(K5-IF(Controls!$B$7="Normal",Controls!$B$8,(Controls!$B$8+Controls!$B$9)/2))+SQRT(1-Controls!$B$10^2)*(Random!AE6-IF(Controls!$B$7="Normal",Controls!$B$8,(Controls!$B$8+Controls!$B$9)/2)))</f>
        <v/>
      </c>
      <c r="L6" s="10">
        <f>IF($A6="","",IF(AND($A6&gt;=Controls!$B$25,$A6&lt;Controls!$B$25+Controls!$C$25),(Controls!$D$25-1)*EXP(-0.5*(($A6-Controls!$B$25-(Controls!$C$25-1)/2)/MAX(Controls!$C$25/4,0.5))^2),0))</f>
        <v>0</v>
      </c>
      <c r="M6" s="10">
        <f>IF($A6="","",IF(AND($A6&gt;=Controls!$B$26,$A6&lt;Controls!$B$26+Controls!$C$26),(Controls!$D$26-1)*EXP(-0.5*(($A6-Controls!$B$26-(Controls!$C$26-1)/2)/MAX(Controls!$C$26/4,0.5))^2),0))</f>
        <v>0</v>
      </c>
      <c r="N6" s="10">
        <f>IF($A6="","",IF(AND($A6&gt;=Controls!$B$27,$A6&lt;Controls!$B$27+Controls!$C$27),(Controls!$D$27-1)*EXP(-0.5*(($A6-Controls!$B$27-(Controls!$C$27-1)/2)/MAX(Controls!$C$27/4,0.5))^2),0))</f>
        <v>0</v>
      </c>
      <c r="O6" s="10">
        <f>IF($A6="","",IF(AND($A6&gt;=Controls!$B$28,$A6&lt;Controls!$B$28+Controls!$C$28),(Controls!$D$28-1)*EXP(-0.5*(($A6-Controls!$B$28-(Controls!$C$28-1)/2)/MAX(Controls!$C$28/4,0.5))^2),0))</f>
        <v>0</v>
      </c>
      <c r="P6" s="4" t="str">
        <f t="shared" si="1"/>
        <v>2099-11-06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1.0" customHeight="1">
      <c r="A7" s="7">
        <f>IF(6&lt;=Controls!$B$5,Controls!$B$4+5,"")</f>
        <v>72996</v>
      </c>
      <c r="B7" s="10">
        <f>IF(Random!V7="","",IF(Controls!$B$7="Normal",Controls!$B$8,(Controls!$B$8+Controls!$B$9)/2)+Controls!$B$10*(B6-IF(Controls!$B$7="Normal",Controls!$B$8,(Controls!$B$8+Controls!$B$9)/2))+SQRT(1-Controls!$B$10^2)*(Random!V7-IF(Controls!$B$7="Normal",Controls!$B$8,(Controls!$B$8+Controls!$B$9)/2)))</f>
        <v>52.02406597</v>
      </c>
      <c r="C7" s="10">
        <f>IF(Random!W7="","",IF(Controls!$B$7="Normal",Controls!$B$8,(Controls!$B$8+Controls!$B$9)/2)+Controls!$B$10*(C6-IF(Controls!$B$7="Normal",Controls!$B$8,(Controls!$B$8+Controls!$B$9)/2))+SQRT(1-Controls!$B$10^2)*(Random!W7-IF(Controls!$B$7="Normal",Controls!$B$8,(Controls!$B$8+Controls!$B$9)/2)))</f>
        <v>40.64045511</v>
      </c>
      <c r="D7" s="10">
        <f>IF(Random!X7="","",IF(Controls!$B$7="Normal",Controls!$B$8,(Controls!$B$8+Controls!$B$9)/2)+Controls!$B$10*(D6-IF(Controls!$B$7="Normal",Controls!$B$8,(Controls!$B$8+Controls!$B$9)/2))+SQRT(1-Controls!$B$10^2)*(Random!X7-IF(Controls!$B$7="Normal",Controls!$B$8,(Controls!$B$8+Controls!$B$9)/2)))</f>
        <v>47.57560337</v>
      </c>
      <c r="E7" s="10" t="str">
        <f>IF(Random!Y7="","",IF(Controls!$B$7="Normal",Controls!$B$8,(Controls!$B$8+Controls!$B$9)/2)+Controls!$B$10*(E6-IF(Controls!$B$7="Normal",Controls!$B$8,(Controls!$B$8+Controls!$B$9)/2))+SQRT(1-Controls!$B$10^2)*(Random!Y7-IF(Controls!$B$7="Normal",Controls!$B$8,(Controls!$B$8+Controls!$B$9)/2)))</f>
        <v/>
      </c>
      <c r="F7" s="10" t="str">
        <f>IF(Random!Z7="","",IF(Controls!$B$7="Normal",Controls!$B$8,(Controls!$B$8+Controls!$B$9)/2)+Controls!$B$10*(F6-IF(Controls!$B$7="Normal",Controls!$B$8,(Controls!$B$8+Controls!$B$9)/2))+SQRT(1-Controls!$B$10^2)*(Random!Z7-IF(Controls!$B$7="Normal",Controls!$B$8,(Controls!$B$8+Controls!$B$9)/2)))</f>
        <v/>
      </c>
      <c r="G7" s="10" t="str">
        <f>IF(Random!AA7="","",IF(Controls!$B$7="Normal",Controls!$B$8,(Controls!$B$8+Controls!$B$9)/2)+Controls!$B$10*(G6-IF(Controls!$B$7="Normal",Controls!$B$8,(Controls!$B$8+Controls!$B$9)/2))+SQRT(1-Controls!$B$10^2)*(Random!AA7-IF(Controls!$B$7="Normal",Controls!$B$8,(Controls!$B$8+Controls!$B$9)/2)))</f>
        <v/>
      </c>
      <c r="H7" s="10" t="str">
        <f>IF(Random!AB7="","",IF(Controls!$B$7="Normal",Controls!$B$8,(Controls!$B$8+Controls!$B$9)/2)+Controls!$B$10*(H6-IF(Controls!$B$7="Normal",Controls!$B$8,(Controls!$B$8+Controls!$B$9)/2))+SQRT(1-Controls!$B$10^2)*(Random!AB7-IF(Controls!$B$7="Normal",Controls!$B$8,(Controls!$B$8+Controls!$B$9)/2)))</f>
        <v/>
      </c>
      <c r="I7" s="10" t="str">
        <f>IF(Random!AC7="","",IF(Controls!$B$7="Normal",Controls!$B$8,(Controls!$B$8+Controls!$B$9)/2)+Controls!$B$10*(I6-IF(Controls!$B$7="Normal",Controls!$B$8,(Controls!$B$8+Controls!$B$9)/2))+SQRT(1-Controls!$B$10^2)*(Random!AC7-IF(Controls!$B$7="Normal",Controls!$B$8,(Controls!$B$8+Controls!$B$9)/2)))</f>
        <v/>
      </c>
      <c r="J7" s="10" t="str">
        <f>IF(Random!AD7="","",IF(Controls!$B$7="Normal",Controls!$B$8,(Controls!$B$8+Controls!$B$9)/2)+Controls!$B$10*(J6-IF(Controls!$B$7="Normal",Controls!$B$8,(Controls!$B$8+Controls!$B$9)/2))+SQRT(1-Controls!$B$10^2)*(Random!AD7-IF(Controls!$B$7="Normal",Controls!$B$8,(Controls!$B$8+Controls!$B$9)/2)))</f>
        <v/>
      </c>
      <c r="K7" s="10" t="str">
        <f>IF(Random!AE7="","",IF(Controls!$B$7="Normal",Controls!$B$8,(Controls!$B$8+Controls!$B$9)/2)+Controls!$B$10*(K6-IF(Controls!$B$7="Normal",Controls!$B$8,(Controls!$B$8+Controls!$B$9)/2))+SQRT(1-Controls!$B$10^2)*(Random!AE7-IF(Controls!$B$7="Normal",Controls!$B$8,(Controls!$B$8+Controls!$B$9)/2)))</f>
        <v/>
      </c>
      <c r="L7" s="10">
        <f>IF($A7="","",IF(AND($A7&gt;=Controls!$B$25,$A7&lt;Controls!$B$25+Controls!$C$25),(Controls!$D$25-1)*EXP(-0.5*(($A7-Controls!$B$25-(Controls!$C$25-1)/2)/MAX(Controls!$C$25/4,0.5))^2),0))</f>
        <v>0</v>
      </c>
      <c r="M7" s="10">
        <f>IF($A7="","",IF(AND($A7&gt;=Controls!$B$26,$A7&lt;Controls!$B$26+Controls!$C$26),(Controls!$D$26-1)*EXP(-0.5*(($A7-Controls!$B$26-(Controls!$C$26-1)/2)/MAX(Controls!$C$26/4,0.5))^2),0))</f>
        <v>0</v>
      </c>
      <c r="N7" s="10">
        <f>IF($A7="","",IF(AND($A7&gt;=Controls!$B$27,$A7&lt;Controls!$B$27+Controls!$C$27),(Controls!$D$27-1)*EXP(-0.5*(($A7-Controls!$B$27-(Controls!$C$27-1)/2)/MAX(Controls!$C$27/4,0.5))^2),0))</f>
        <v>0</v>
      </c>
      <c r="O7" s="10">
        <f>IF($A7="","",IF(AND($A7&gt;=Controls!$B$28,$A7&lt;Controls!$B$28+Controls!$C$28),(Controls!$D$28-1)*EXP(-0.5*(($A7-Controls!$B$28-(Controls!$C$28-1)/2)/MAX(Controls!$C$28/4,0.5))^2),0))</f>
        <v>0</v>
      </c>
      <c r="P7" s="4" t="str">
        <f t="shared" si="1"/>
        <v>2099-11-07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1.0" customHeight="1">
      <c r="A8" s="7">
        <f>IF(7&lt;=Controls!$B$5,Controls!$B$4+6,"")</f>
        <v>72997</v>
      </c>
      <c r="B8" s="10">
        <f>IF(Random!V8="","",IF(Controls!$B$7="Normal",Controls!$B$8,(Controls!$B$8+Controls!$B$9)/2)+Controls!$B$10*(B7-IF(Controls!$B$7="Normal",Controls!$B$8,(Controls!$B$8+Controls!$B$9)/2))+SQRT(1-Controls!$B$10^2)*(Random!V8-IF(Controls!$B$7="Normal",Controls!$B$8,(Controls!$B$8+Controls!$B$9)/2)))</f>
        <v>51.1424735</v>
      </c>
      <c r="C8" s="10">
        <f>IF(Random!W8="","",IF(Controls!$B$7="Normal",Controls!$B$8,(Controls!$B$8+Controls!$B$9)/2)+Controls!$B$10*(C7-IF(Controls!$B$7="Normal",Controls!$B$8,(Controls!$B$8+Controls!$B$9)/2))+SQRT(1-Controls!$B$10^2)*(Random!W8-IF(Controls!$B$7="Normal",Controls!$B$8,(Controls!$B$8+Controls!$B$9)/2)))</f>
        <v>48.73540276</v>
      </c>
      <c r="D8" s="10">
        <f>IF(Random!X8="","",IF(Controls!$B$7="Normal",Controls!$B$8,(Controls!$B$8+Controls!$B$9)/2)+Controls!$B$10*(D7-IF(Controls!$B$7="Normal",Controls!$B$8,(Controls!$B$8+Controls!$B$9)/2))+SQRT(1-Controls!$B$10^2)*(Random!X8-IF(Controls!$B$7="Normal",Controls!$B$8,(Controls!$B$8+Controls!$B$9)/2)))</f>
        <v>54.55831618</v>
      </c>
      <c r="E8" s="10" t="str">
        <f>IF(Random!Y8="","",IF(Controls!$B$7="Normal",Controls!$B$8,(Controls!$B$8+Controls!$B$9)/2)+Controls!$B$10*(E7-IF(Controls!$B$7="Normal",Controls!$B$8,(Controls!$B$8+Controls!$B$9)/2))+SQRT(1-Controls!$B$10^2)*(Random!Y8-IF(Controls!$B$7="Normal",Controls!$B$8,(Controls!$B$8+Controls!$B$9)/2)))</f>
        <v/>
      </c>
      <c r="F8" s="10" t="str">
        <f>IF(Random!Z8="","",IF(Controls!$B$7="Normal",Controls!$B$8,(Controls!$B$8+Controls!$B$9)/2)+Controls!$B$10*(F7-IF(Controls!$B$7="Normal",Controls!$B$8,(Controls!$B$8+Controls!$B$9)/2))+SQRT(1-Controls!$B$10^2)*(Random!Z8-IF(Controls!$B$7="Normal",Controls!$B$8,(Controls!$B$8+Controls!$B$9)/2)))</f>
        <v/>
      </c>
      <c r="G8" s="10" t="str">
        <f>IF(Random!AA8="","",IF(Controls!$B$7="Normal",Controls!$B$8,(Controls!$B$8+Controls!$B$9)/2)+Controls!$B$10*(G7-IF(Controls!$B$7="Normal",Controls!$B$8,(Controls!$B$8+Controls!$B$9)/2))+SQRT(1-Controls!$B$10^2)*(Random!AA8-IF(Controls!$B$7="Normal",Controls!$B$8,(Controls!$B$8+Controls!$B$9)/2)))</f>
        <v/>
      </c>
      <c r="H8" s="10" t="str">
        <f>IF(Random!AB8="","",IF(Controls!$B$7="Normal",Controls!$B$8,(Controls!$B$8+Controls!$B$9)/2)+Controls!$B$10*(H7-IF(Controls!$B$7="Normal",Controls!$B$8,(Controls!$B$8+Controls!$B$9)/2))+SQRT(1-Controls!$B$10^2)*(Random!AB8-IF(Controls!$B$7="Normal",Controls!$B$8,(Controls!$B$8+Controls!$B$9)/2)))</f>
        <v/>
      </c>
      <c r="I8" s="10" t="str">
        <f>IF(Random!AC8="","",IF(Controls!$B$7="Normal",Controls!$B$8,(Controls!$B$8+Controls!$B$9)/2)+Controls!$B$10*(I7-IF(Controls!$B$7="Normal",Controls!$B$8,(Controls!$B$8+Controls!$B$9)/2))+SQRT(1-Controls!$B$10^2)*(Random!AC8-IF(Controls!$B$7="Normal",Controls!$B$8,(Controls!$B$8+Controls!$B$9)/2)))</f>
        <v/>
      </c>
      <c r="J8" s="10" t="str">
        <f>IF(Random!AD8="","",IF(Controls!$B$7="Normal",Controls!$B$8,(Controls!$B$8+Controls!$B$9)/2)+Controls!$B$10*(J7-IF(Controls!$B$7="Normal",Controls!$B$8,(Controls!$B$8+Controls!$B$9)/2))+SQRT(1-Controls!$B$10^2)*(Random!AD8-IF(Controls!$B$7="Normal",Controls!$B$8,(Controls!$B$8+Controls!$B$9)/2)))</f>
        <v/>
      </c>
      <c r="K8" s="10" t="str">
        <f>IF(Random!AE8="","",IF(Controls!$B$7="Normal",Controls!$B$8,(Controls!$B$8+Controls!$B$9)/2)+Controls!$B$10*(K7-IF(Controls!$B$7="Normal",Controls!$B$8,(Controls!$B$8+Controls!$B$9)/2))+SQRT(1-Controls!$B$10^2)*(Random!AE8-IF(Controls!$B$7="Normal",Controls!$B$8,(Controls!$B$8+Controls!$B$9)/2)))</f>
        <v/>
      </c>
      <c r="L8" s="10">
        <f>IF($A8="","",IF(AND($A8&gt;=Controls!$B$25,$A8&lt;Controls!$B$25+Controls!$C$25),(Controls!$D$25-1)*EXP(-0.5*(($A8-Controls!$B$25-(Controls!$C$25-1)/2)/MAX(Controls!$C$25/4,0.5))^2),0))</f>
        <v>0</v>
      </c>
      <c r="M8" s="10">
        <f>IF($A8="","",IF(AND($A8&gt;=Controls!$B$26,$A8&lt;Controls!$B$26+Controls!$C$26),(Controls!$D$26-1)*EXP(-0.5*(($A8-Controls!$B$26-(Controls!$C$26-1)/2)/MAX(Controls!$C$26/4,0.5))^2),0))</f>
        <v>0</v>
      </c>
      <c r="N8" s="10">
        <f>IF($A8="","",IF(AND($A8&gt;=Controls!$B$27,$A8&lt;Controls!$B$27+Controls!$C$27),(Controls!$D$27-1)*EXP(-0.5*(($A8-Controls!$B$27-(Controls!$C$27-1)/2)/MAX(Controls!$C$27/4,0.5))^2),0))</f>
        <v>0</v>
      </c>
      <c r="O8" s="10">
        <f>IF($A8="","",IF(AND($A8&gt;=Controls!$B$28,$A8&lt;Controls!$B$28+Controls!$C$28),(Controls!$D$28-1)*EXP(-0.5*(($A8-Controls!$B$28-(Controls!$C$28-1)/2)/MAX(Controls!$C$28/4,0.5))^2),0))</f>
        <v>0</v>
      </c>
      <c r="P8" s="4" t="str">
        <f t="shared" si="1"/>
        <v>2099-11-08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21.0" customHeight="1">
      <c r="A9" s="7">
        <f>IF(8&lt;=Controls!$B$5,Controls!$B$4+7,"")</f>
        <v>72998</v>
      </c>
      <c r="B9" s="10">
        <f>IF(Random!V9="","",IF(Controls!$B$7="Normal",Controls!$B$8,(Controls!$B$8+Controls!$B$9)/2)+Controls!$B$10*(B8-IF(Controls!$B$7="Normal",Controls!$B$8,(Controls!$B$8+Controls!$B$9)/2))+SQRT(1-Controls!$B$10^2)*(Random!V9-IF(Controls!$B$7="Normal",Controls!$B$8,(Controls!$B$8+Controls!$B$9)/2)))</f>
        <v>42.90489528</v>
      </c>
      <c r="C9" s="10">
        <f>IF(Random!W9="","",IF(Controls!$B$7="Normal",Controls!$B$8,(Controls!$B$8+Controls!$B$9)/2)+Controls!$B$10*(C8-IF(Controls!$B$7="Normal",Controls!$B$8,(Controls!$B$8+Controls!$B$9)/2))+SQRT(1-Controls!$B$10^2)*(Random!W9-IF(Controls!$B$7="Normal",Controls!$B$8,(Controls!$B$8+Controls!$B$9)/2)))</f>
        <v>53.38135146</v>
      </c>
      <c r="D9" s="10">
        <f>IF(Random!X9="","",IF(Controls!$B$7="Normal",Controls!$B$8,(Controls!$B$8+Controls!$B$9)/2)+Controls!$B$10*(D8-IF(Controls!$B$7="Normal",Controls!$B$8,(Controls!$B$8+Controls!$B$9)/2))+SQRT(1-Controls!$B$10^2)*(Random!X9-IF(Controls!$B$7="Normal",Controls!$B$8,(Controls!$B$8+Controls!$B$9)/2)))</f>
        <v>64.4970121</v>
      </c>
      <c r="E9" s="10" t="str">
        <f>IF(Random!Y9="","",IF(Controls!$B$7="Normal",Controls!$B$8,(Controls!$B$8+Controls!$B$9)/2)+Controls!$B$10*(E8-IF(Controls!$B$7="Normal",Controls!$B$8,(Controls!$B$8+Controls!$B$9)/2))+SQRT(1-Controls!$B$10^2)*(Random!Y9-IF(Controls!$B$7="Normal",Controls!$B$8,(Controls!$B$8+Controls!$B$9)/2)))</f>
        <v/>
      </c>
      <c r="F9" s="10" t="str">
        <f>IF(Random!Z9="","",IF(Controls!$B$7="Normal",Controls!$B$8,(Controls!$B$8+Controls!$B$9)/2)+Controls!$B$10*(F8-IF(Controls!$B$7="Normal",Controls!$B$8,(Controls!$B$8+Controls!$B$9)/2))+SQRT(1-Controls!$B$10^2)*(Random!Z9-IF(Controls!$B$7="Normal",Controls!$B$8,(Controls!$B$8+Controls!$B$9)/2)))</f>
        <v/>
      </c>
      <c r="G9" s="10" t="str">
        <f>IF(Random!AA9="","",IF(Controls!$B$7="Normal",Controls!$B$8,(Controls!$B$8+Controls!$B$9)/2)+Controls!$B$10*(G8-IF(Controls!$B$7="Normal",Controls!$B$8,(Controls!$B$8+Controls!$B$9)/2))+SQRT(1-Controls!$B$10^2)*(Random!AA9-IF(Controls!$B$7="Normal",Controls!$B$8,(Controls!$B$8+Controls!$B$9)/2)))</f>
        <v/>
      </c>
      <c r="H9" s="10" t="str">
        <f>IF(Random!AB9="","",IF(Controls!$B$7="Normal",Controls!$B$8,(Controls!$B$8+Controls!$B$9)/2)+Controls!$B$10*(H8-IF(Controls!$B$7="Normal",Controls!$B$8,(Controls!$B$8+Controls!$B$9)/2))+SQRT(1-Controls!$B$10^2)*(Random!AB9-IF(Controls!$B$7="Normal",Controls!$B$8,(Controls!$B$8+Controls!$B$9)/2)))</f>
        <v/>
      </c>
      <c r="I9" s="10" t="str">
        <f>IF(Random!AC9="","",IF(Controls!$B$7="Normal",Controls!$B$8,(Controls!$B$8+Controls!$B$9)/2)+Controls!$B$10*(I8-IF(Controls!$B$7="Normal",Controls!$B$8,(Controls!$B$8+Controls!$B$9)/2))+SQRT(1-Controls!$B$10^2)*(Random!AC9-IF(Controls!$B$7="Normal",Controls!$B$8,(Controls!$B$8+Controls!$B$9)/2)))</f>
        <v/>
      </c>
      <c r="J9" s="10" t="str">
        <f>IF(Random!AD9="","",IF(Controls!$B$7="Normal",Controls!$B$8,(Controls!$B$8+Controls!$B$9)/2)+Controls!$B$10*(J8-IF(Controls!$B$7="Normal",Controls!$B$8,(Controls!$B$8+Controls!$B$9)/2))+SQRT(1-Controls!$B$10^2)*(Random!AD9-IF(Controls!$B$7="Normal",Controls!$B$8,(Controls!$B$8+Controls!$B$9)/2)))</f>
        <v/>
      </c>
      <c r="K9" s="10" t="str">
        <f>IF(Random!AE9="","",IF(Controls!$B$7="Normal",Controls!$B$8,(Controls!$B$8+Controls!$B$9)/2)+Controls!$B$10*(K8-IF(Controls!$B$7="Normal",Controls!$B$8,(Controls!$B$8+Controls!$B$9)/2))+SQRT(1-Controls!$B$10^2)*(Random!AE9-IF(Controls!$B$7="Normal",Controls!$B$8,(Controls!$B$8+Controls!$B$9)/2)))</f>
        <v/>
      </c>
      <c r="L9" s="10">
        <f>IF($A9="","",IF(AND($A9&gt;=Controls!$B$25,$A9&lt;Controls!$B$25+Controls!$C$25),(Controls!$D$25-1)*EXP(-0.5*(($A9-Controls!$B$25-(Controls!$C$25-1)/2)/MAX(Controls!$C$25/4,0.5))^2),0))</f>
        <v>0</v>
      </c>
      <c r="M9" s="10">
        <f>IF($A9="","",IF(AND($A9&gt;=Controls!$B$26,$A9&lt;Controls!$B$26+Controls!$C$26),(Controls!$D$26-1)*EXP(-0.5*(($A9-Controls!$B$26-(Controls!$C$26-1)/2)/MAX(Controls!$C$26/4,0.5))^2),0))</f>
        <v>0</v>
      </c>
      <c r="N9" s="10">
        <f>IF($A9="","",IF(AND($A9&gt;=Controls!$B$27,$A9&lt;Controls!$B$27+Controls!$C$27),(Controls!$D$27-1)*EXP(-0.5*(($A9-Controls!$B$27-(Controls!$C$27-1)/2)/MAX(Controls!$C$27/4,0.5))^2),0))</f>
        <v>0</v>
      </c>
      <c r="O9" s="10">
        <f>IF($A9="","",IF(AND($A9&gt;=Controls!$B$28,$A9&lt;Controls!$B$28+Controls!$C$28),(Controls!$D$28-1)*EXP(-0.5*(($A9-Controls!$B$28-(Controls!$C$28-1)/2)/MAX(Controls!$C$28/4,0.5))^2),0))</f>
        <v>0</v>
      </c>
      <c r="P9" s="4" t="str">
        <f t="shared" si="1"/>
        <v>2099-11-09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21.0" customHeight="1">
      <c r="A10" s="7">
        <f>IF(9&lt;=Controls!$B$5,Controls!$B$4+8,"")</f>
        <v>72999</v>
      </c>
      <c r="B10" s="10">
        <f>IF(Random!V10="","",IF(Controls!$B$7="Normal",Controls!$B$8,(Controls!$B$8+Controls!$B$9)/2)+Controls!$B$10*(B9-IF(Controls!$B$7="Normal",Controls!$B$8,(Controls!$B$8+Controls!$B$9)/2))+SQRT(1-Controls!$B$10^2)*(Random!V10-IF(Controls!$B$7="Normal",Controls!$B$8,(Controls!$B$8+Controls!$B$9)/2)))</f>
        <v>52.31427397</v>
      </c>
      <c r="C10" s="10">
        <f>IF(Random!W10="","",IF(Controls!$B$7="Normal",Controls!$B$8,(Controls!$B$8+Controls!$B$9)/2)+Controls!$B$10*(C9-IF(Controls!$B$7="Normal",Controls!$B$8,(Controls!$B$8+Controls!$B$9)/2))+SQRT(1-Controls!$B$10^2)*(Random!W10-IF(Controls!$B$7="Normal",Controls!$B$8,(Controls!$B$8+Controls!$B$9)/2)))</f>
        <v>54.62586565</v>
      </c>
      <c r="D10" s="10">
        <f>IF(Random!X10="","",IF(Controls!$B$7="Normal",Controls!$B$8,(Controls!$B$8+Controls!$B$9)/2)+Controls!$B$10*(D9-IF(Controls!$B$7="Normal",Controls!$B$8,(Controls!$B$8+Controls!$B$9)/2))+SQRT(1-Controls!$B$10^2)*(Random!X10-IF(Controls!$B$7="Normal",Controls!$B$8,(Controls!$B$8+Controls!$B$9)/2)))</f>
        <v>53.94292941</v>
      </c>
      <c r="E10" s="10" t="str">
        <f>IF(Random!Y10="","",IF(Controls!$B$7="Normal",Controls!$B$8,(Controls!$B$8+Controls!$B$9)/2)+Controls!$B$10*(E9-IF(Controls!$B$7="Normal",Controls!$B$8,(Controls!$B$8+Controls!$B$9)/2))+SQRT(1-Controls!$B$10^2)*(Random!Y10-IF(Controls!$B$7="Normal",Controls!$B$8,(Controls!$B$8+Controls!$B$9)/2)))</f>
        <v/>
      </c>
      <c r="F10" s="10" t="str">
        <f>IF(Random!Z10="","",IF(Controls!$B$7="Normal",Controls!$B$8,(Controls!$B$8+Controls!$B$9)/2)+Controls!$B$10*(F9-IF(Controls!$B$7="Normal",Controls!$B$8,(Controls!$B$8+Controls!$B$9)/2))+SQRT(1-Controls!$B$10^2)*(Random!Z10-IF(Controls!$B$7="Normal",Controls!$B$8,(Controls!$B$8+Controls!$B$9)/2)))</f>
        <v/>
      </c>
      <c r="G10" s="10" t="str">
        <f>IF(Random!AA10="","",IF(Controls!$B$7="Normal",Controls!$B$8,(Controls!$B$8+Controls!$B$9)/2)+Controls!$B$10*(G9-IF(Controls!$B$7="Normal",Controls!$B$8,(Controls!$B$8+Controls!$B$9)/2))+SQRT(1-Controls!$B$10^2)*(Random!AA10-IF(Controls!$B$7="Normal",Controls!$B$8,(Controls!$B$8+Controls!$B$9)/2)))</f>
        <v/>
      </c>
      <c r="H10" s="10" t="str">
        <f>IF(Random!AB10="","",IF(Controls!$B$7="Normal",Controls!$B$8,(Controls!$B$8+Controls!$B$9)/2)+Controls!$B$10*(H9-IF(Controls!$B$7="Normal",Controls!$B$8,(Controls!$B$8+Controls!$B$9)/2))+SQRT(1-Controls!$B$10^2)*(Random!AB10-IF(Controls!$B$7="Normal",Controls!$B$8,(Controls!$B$8+Controls!$B$9)/2)))</f>
        <v/>
      </c>
      <c r="I10" s="10" t="str">
        <f>IF(Random!AC10="","",IF(Controls!$B$7="Normal",Controls!$B$8,(Controls!$B$8+Controls!$B$9)/2)+Controls!$B$10*(I9-IF(Controls!$B$7="Normal",Controls!$B$8,(Controls!$B$8+Controls!$B$9)/2))+SQRT(1-Controls!$B$10^2)*(Random!AC10-IF(Controls!$B$7="Normal",Controls!$B$8,(Controls!$B$8+Controls!$B$9)/2)))</f>
        <v/>
      </c>
      <c r="J10" s="10" t="str">
        <f>IF(Random!AD10="","",IF(Controls!$B$7="Normal",Controls!$B$8,(Controls!$B$8+Controls!$B$9)/2)+Controls!$B$10*(J9-IF(Controls!$B$7="Normal",Controls!$B$8,(Controls!$B$8+Controls!$B$9)/2))+SQRT(1-Controls!$B$10^2)*(Random!AD10-IF(Controls!$B$7="Normal",Controls!$B$8,(Controls!$B$8+Controls!$B$9)/2)))</f>
        <v/>
      </c>
      <c r="K10" s="10" t="str">
        <f>IF(Random!AE10="","",IF(Controls!$B$7="Normal",Controls!$B$8,(Controls!$B$8+Controls!$B$9)/2)+Controls!$B$10*(K9-IF(Controls!$B$7="Normal",Controls!$B$8,(Controls!$B$8+Controls!$B$9)/2))+SQRT(1-Controls!$B$10^2)*(Random!AE10-IF(Controls!$B$7="Normal",Controls!$B$8,(Controls!$B$8+Controls!$B$9)/2)))</f>
        <v/>
      </c>
      <c r="L10" s="10">
        <f>IF($A10="","",IF(AND($A10&gt;=Controls!$B$25,$A10&lt;Controls!$B$25+Controls!$C$25),(Controls!$D$25-1)*EXP(-0.5*(($A10-Controls!$B$25-(Controls!$C$25-1)/2)/MAX(Controls!$C$25/4,0.5))^2),0))</f>
        <v>0</v>
      </c>
      <c r="M10" s="10">
        <f>IF($A10="","",IF(AND($A10&gt;=Controls!$B$26,$A10&lt;Controls!$B$26+Controls!$C$26),(Controls!$D$26-1)*EXP(-0.5*(($A10-Controls!$B$26-(Controls!$C$26-1)/2)/MAX(Controls!$C$26/4,0.5))^2),0))</f>
        <v>0</v>
      </c>
      <c r="N10" s="10">
        <f>IF($A10="","",IF(AND($A10&gt;=Controls!$B$27,$A10&lt;Controls!$B$27+Controls!$C$27),(Controls!$D$27-1)*EXP(-0.5*(($A10-Controls!$B$27-(Controls!$C$27-1)/2)/MAX(Controls!$C$27/4,0.5))^2),0))</f>
        <v>0</v>
      </c>
      <c r="O10" s="10">
        <f>IF($A10="","",IF(AND($A10&gt;=Controls!$B$28,$A10&lt;Controls!$B$28+Controls!$C$28),(Controls!$D$28-1)*EXP(-0.5*(($A10-Controls!$B$28-(Controls!$C$28-1)/2)/MAX(Controls!$C$28/4,0.5))^2),0))</f>
        <v>0</v>
      </c>
      <c r="P10" s="4" t="str">
        <f t="shared" si="1"/>
        <v>2099-11-10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1.0" customHeight="1">
      <c r="A11" s="7">
        <f>IF(10&lt;=Controls!$B$5,Controls!$B$4+9,"")</f>
        <v>73000</v>
      </c>
      <c r="B11" s="10">
        <f>IF(Random!V11="","",IF(Controls!$B$7="Normal",Controls!$B$8,(Controls!$B$8+Controls!$B$9)/2)+Controls!$B$10*(B10-IF(Controls!$B$7="Normal",Controls!$B$8,(Controls!$B$8+Controls!$B$9)/2))+SQRT(1-Controls!$B$10^2)*(Random!V11-IF(Controls!$B$7="Normal",Controls!$B$8,(Controls!$B$8+Controls!$B$9)/2)))</f>
        <v>53.01283513</v>
      </c>
      <c r="C11" s="10">
        <f>IF(Random!W11="","",IF(Controls!$B$7="Normal",Controls!$B$8,(Controls!$B$8+Controls!$B$9)/2)+Controls!$B$10*(C10-IF(Controls!$B$7="Normal",Controls!$B$8,(Controls!$B$8+Controls!$B$9)/2))+SQRT(1-Controls!$B$10^2)*(Random!W11-IF(Controls!$B$7="Normal",Controls!$B$8,(Controls!$B$8+Controls!$B$9)/2)))</f>
        <v>57.80982911</v>
      </c>
      <c r="D11" s="10">
        <f>IF(Random!X11="","",IF(Controls!$B$7="Normal",Controls!$B$8,(Controls!$B$8+Controls!$B$9)/2)+Controls!$B$10*(D10-IF(Controls!$B$7="Normal",Controls!$B$8,(Controls!$B$8+Controls!$B$9)/2))+SQRT(1-Controls!$B$10^2)*(Random!X11-IF(Controls!$B$7="Normal",Controls!$B$8,(Controls!$B$8+Controls!$B$9)/2)))</f>
        <v>52.45556873</v>
      </c>
      <c r="E11" s="10" t="str">
        <f>IF(Random!Y11="","",IF(Controls!$B$7="Normal",Controls!$B$8,(Controls!$B$8+Controls!$B$9)/2)+Controls!$B$10*(E10-IF(Controls!$B$7="Normal",Controls!$B$8,(Controls!$B$8+Controls!$B$9)/2))+SQRT(1-Controls!$B$10^2)*(Random!Y11-IF(Controls!$B$7="Normal",Controls!$B$8,(Controls!$B$8+Controls!$B$9)/2)))</f>
        <v/>
      </c>
      <c r="F11" s="10" t="str">
        <f>IF(Random!Z11="","",IF(Controls!$B$7="Normal",Controls!$B$8,(Controls!$B$8+Controls!$B$9)/2)+Controls!$B$10*(F10-IF(Controls!$B$7="Normal",Controls!$B$8,(Controls!$B$8+Controls!$B$9)/2))+SQRT(1-Controls!$B$10^2)*(Random!Z11-IF(Controls!$B$7="Normal",Controls!$B$8,(Controls!$B$8+Controls!$B$9)/2)))</f>
        <v/>
      </c>
      <c r="G11" s="10" t="str">
        <f>IF(Random!AA11="","",IF(Controls!$B$7="Normal",Controls!$B$8,(Controls!$B$8+Controls!$B$9)/2)+Controls!$B$10*(G10-IF(Controls!$B$7="Normal",Controls!$B$8,(Controls!$B$8+Controls!$B$9)/2))+SQRT(1-Controls!$B$10^2)*(Random!AA11-IF(Controls!$B$7="Normal",Controls!$B$8,(Controls!$B$8+Controls!$B$9)/2)))</f>
        <v/>
      </c>
      <c r="H11" s="10" t="str">
        <f>IF(Random!AB11="","",IF(Controls!$B$7="Normal",Controls!$B$8,(Controls!$B$8+Controls!$B$9)/2)+Controls!$B$10*(H10-IF(Controls!$B$7="Normal",Controls!$B$8,(Controls!$B$8+Controls!$B$9)/2))+SQRT(1-Controls!$B$10^2)*(Random!AB11-IF(Controls!$B$7="Normal",Controls!$B$8,(Controls!$B$8+Controls!$B$9)/2)))</f>
        <v/>
      </c>
      <c r="I11" s="10" t="str">
        <f>IF(Random!AC11="","",IF(Controls!$B$7="Normal",Controls!$B$8,(Controls!$B$8+Controls!$B$9)/2)+Controls!$B$10*(I10-IF(Controls!$B$7="Normal",Controls!$B$8,(Controls!$B$8+Controls!$B$9)/2))+SQRT(1-Controls!$B$10^2)*(Random!AC11-IF(Controls!$B$7="Normal",Controls!$B$8,(Controls!$B$8+Controls!$B$9)/2)))</f>
        <v/>
      </c>
      <c r="J11" s="10" t="str">
        <f>IF(Random!AD11="","",IF(Controls!$B$7="Normal",Controls!$B$8,(Controls!$B$8+Controls!$B$9)/2)+Controls!$B$10*(J10-IF(Controls!$B$7="Normal",Controls!$B$8,(Controls!$B$8+Controls!$B$9)/2))+SQRT(1-Controls!$B$10^2)*(Random!AD11-IF(Controls!$B$7="Normal",Controls!$B$8,(Controls!$B$8+Controls!$B$9)/2)))</f>
        <v/>
      </c>
      <c r="K11" s="10" t="str">
        <f>IF(Random!AE11="","",IF(Controls!$B$7="Normal",Controls!$B$8,(Controls!$B$8+Controls!$B$9)/2)+Controls!$B$10*(K10-IF(Controls!$B$7="Normal",Controls!$B$8,(Controls!$B$8+Controls!$B$9)/2))+SQRT(1-Controls!$B$10^2)*(Random!AE11-IF(Controls!$B$7="Normal",Controls!$B$8,(Controls!$B$8+Controls!$B$9)/2)))</f>
        <v/>
      </c>
      <c r="L11" s="10">
        <f>IF($A11="","",IF(AND($A11&gt;=Controls!$B$25,$A11&lt;Controls!$B$25+Controls!$C$25),(Controls!$D$25-1)*EXP(-0.5*(($A11-Controls!$B$25-(Controls!$C$25-1)/2)/MAX(Controls!$C$25/4,0.5))^2),0))</f>
        <v>0</v>
      </c>
      <c r="M11" s="10">
        <f>IF($A11="","",IF(AND($A11&gt;=Controls!$B$26,$A11&lt;Controls!$B$26+Controls!$C$26),(Controls!$D$26-1)*EXP(-0.5*(($A11-Controls!$B$26-(Controls!$C$26-1)/2)/MAX(Controls!$C$26/4,0.5))^2),0))</f>
        <v>0</v>
      </c>
      <c r="N11" s="10">
        <f>IF($A11="","",IF(AND($A11&gt;=Controls!$B$27,$A11&lt;Controls!$B$27+Controls!$C$27),(Controls!$D$27-1)*EXP(-0.5*(($A11-Controls!$B$27-(Controls!$C$27-1)/2)/MAX(Controls!$C$27/4,0.5))^2),0))</f>
        <v>0</v>
      </c>
      <c r="O11" s="10">
        <f>IF($A11="","",IF(AND($A11&gt;=Controls!$B$28,$A11&lt;Controls!$B$28+Controls!$C$28),(Controls!$D$28-1)*EXP(-0.5*(($A11-Controls!$B$28-(Controls!$C$28-1)/2)/MAX(Controls!$C$28/4,0.5))^2),0))</f>
        <v>0</v>
      </c>
      <c r="P11" s="4" t="str">
        <f t="shared" si="1"/>
        <v>2099-11-11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21.0" customHeight="1">
      <c r="A12" s="7">
        <f>IF(11&lt;=Controls!$B$5,Controls!$B$4+10,"")</f>
        <v>73001</v>
      </c>
      <c r="B12" s="10">
        <f>IF(Random!V12="","",IF(Controls!$B$7="Normal",Controls!$B$8,(Controls!$B$8+Controls!$B$9)/2)+Controls!$B$10*(B11-IF(Controls!$B$7="Normal",Controls!$B$8,(Controls!$B$8+Controls!$B$9)/2))+SQRT(1-Controls!$B$10^2)*(Random!V12-IF(Controls!$B$7="Normal",Controls!$B$8,(Controls!$B$8+Controls!$B$9)/2)))</f>
        <v>44.49009925</v>
      </c>
      <c r="C12" s="10">
        <f>IF(Random!W12="","",IF(Controls!$B$7="Normal",Controls!$B$8,(Controls!$B$8+Controls!$B$9)/2)+Controls!$B$10*(C11-IF(Controls!$B$7="Normal",Controls!$B$8,(Controls!$B$8+Controls!$B$9)/2))+SQRT(1-Controls!$B$10^2)*(Random!W12-IF(Controls!$B$7="Normal",Controls!$B$8,(Controls!$B$8+Controls!$B$9)/2)))</f>
        <v>47.80410303</v>
      </c>
      <c r="D12" s="10">
        <f>IF(Random!X12="","",IF(Controls!$B$7="Normal",Controls!$B$8,(Controls!$B$8+Controls!$B$9)/2)+Controls!$B$10*(D11-IF(Controls!$B$7="Normal",Controls!$B$8,(Controls!$B$8+Controls!$B$9)/2))+SQRT(1-Controls!$B$10^2)*(Random!X12-IF(Controls!$B$7="Normal",Controls!$B$8,(Controls!$B$8+Controls!$B$9)/2)))</f>
        <v>48.06362893</v>
      </c>
      <c r="E12" s="10" t="str">
        <f>IF(Random!Y12="","",IF(Controls!$B$7="Normal",Controls!$B$8,(Controls!$B$8+Controls!$B$9)/2)+Controls!$B$10*(E11-IF(Controls!$B$7="Normal",Controls!$B$8,(Controls!$B$8+Controls!$B$9)/2))+SQRT(1-Controls!$B$10^2)*(Random!Y12-IF(Controls!$B$7="Normal",Controls!$B$8,(Controls!$B$8+Controls!$B$9)/2)))</f>
        <v/>
      </c>
      <c r="F12" s="10" t="str">
        <f>IF(Random!Z12="","",IF(Controls!$B$7="Normal",Controls!$B$8,(Controls!$B$8+Controls!$B$9)/2)+Controls!$B$10*(F11-IF(Controls!$B$7="Normal",Controls!$B$8,(Controls!$B$8+Controls!$B$9)/2))+SQRT(1-Controls!$B$10^2)*(Random!Z12-IF(Controls!$B$7="Normal",Controls!$B$8,(Controls!$B$8+Controls!$B$9)/2)))</f>
        <v/>
      </c>
      <c r="G12" s="10" t="str">
        <f>IF(Random!AA12="","",IF(Controls!$B$7="Normal",Controls!$B$8,(Controls!$B$8+Controls!$B$9)/2)+Controls!$B$10*(G11-IF(Controls!$B$7="Normal",Controls!$B$8,(Controls!$B$8+Controls!$B$9)/2))+SQRT(1-Controls!$B$10^2)*(Random!AA12-IF(Controls!$B$7="Normal",Controls!$B$8,(Controls!$B$8+Controls!$B$9)/2)))</f>
        <v/>
      </c>
      <c r="H12" s="10" t="str">
        <f>IF(Random!AB12="","",IF(Controls!$B$7="Normal",Controls!$B$8,(Controls!$B$8+Controls!$B$9)/2)+Controls!$B$10*(H11-IF(Controls!$B$7="Normal",Controls!$B$8,(Controls!$B$8+Controls!$B$9)/2))+SQRT(1-Controls!$B$10^2)*(Random!AB12-IF(Controls!$B$7="Normal",Controls!$B$8,(Controls!$B$8+Controls!$B$9)/2)))</f>
        <v/>
      </c>
      <c r="I12" s="10" t="str">
        <f>IF(Random!AC12="","",IF(Controls!$B$7="Normal",Controls!$B$8,(Controls!$B$8+Controls!$B$9)/2)+Controls!$B$10*(I11-IF(Controls!$B$7="Normal",Controls!$B$8,(Controls!$B$8+Controls!$B$9)/2))+SQRT(1-Controls!$B$10^2)*(Random!AC12-IF(Controls!$B$7="Normal",Controls!$B$8,(Controls!$B$8+Controls!$B$9)/2)))</f>
        <v/>
      </c>
      <c r="J12" s="10" t="str">
        <f>IF(Random!AD12="","",IF(Controls!$B$7="Normal",Controls!$B$8,(Controls!$B$8+Controls!$B$9)/2)+Controls!$B$10*(J11-IF(Controls!$B$7="Normal",Controls!$B$8,(Controls!$B$8+Controls!$B$9)/2))+SQRT(1-Controls!$B$10^2)*(Random!AD12-IF(Controls!$B$7="Normal",Controls!$B$8,(Controls!$B$8+Controls!$B$9)/2)))</f>
        <v/>
      </c>
      <c r="K12" s="10" t="str">
        <f>IF(Random!AE12="","",IF(Controls!$B$7="Normal",Controls!$B$8,(Controls!$B$8+Controls!$B$9)/2)+Controls!$B$10*(K11-IF(Controls!$B$7="Normal",Controls!$B$8,(Controls!$B$8+Controls!$B$9)/2))+SQRT(1-Controls!$B$10^2)*(Random!AE12-IF(Controls!$B$7="Normal",Controls!$B$8,(Controls!$B$8+Controls!$B$9)/2)))</f>
        <v/>
      </c>
      <c r="L12" s="10">
        <f>IF($A12="","",IF(AND($A12&gt;=Controls!$B$25,$A12&lt;Controls!$B$25+Controls!$C$25),(Controls!$D$25-1)*EXP(-0.5*(($A12-Controls!$B$25-(Controls!$C$25-1)/2)/MAX(Controls!$C$25/4,0.5))^2),0))</f>
        <v>0</v>
      </c>
      <c r="M12" s="10">
        <f>IF($A12="","",IF(AND($A12&gt;=Controls!$B$26,$A12&lt;Controls!$B$26+Controls!$C$26),(Controls!$D$26-1)*EXP(-0.5*(($A12-Controls!$B$26-(Controls!$C$26-1)/2)/MAX(Controls!$C$26/4,0.5))^2),0))</f>
        <v>0</v>
      </c>
      <c r="N12" s="10">
        <f>IF($A12="","",IF(AND($A12&gt;=Controls!$B$27,$A12&lt;Controls!$B$27+Controls!$C$27),(Controls!$D$27-1)*EXP(-0.5*(($A12-Controls!$B$27-(Controls!$C$27-1)/2)/MAX(Controls!$C$27/4,0.5))^2),0))</f>
        <v>0</v>
      </c>
      <c r="O12" s="10">
        <f>IF($A12="","",IF(AND($A12&gt;=Controls!$B$28,$A12&lt;Controls!$B$28+Controls!$C$28),(Controls!$D$28-1)*EXP(-0.5*(($A12-Controls!$B$28-(Controls!$C$28-1)/2)/MAX(Controls!$C$28/4,0.5))^2),0))</f>
        <v>0</v>
      </c>
      <c r="P12" s="4" t="str">
        <f t="shared" si="1"/>
        <v>2099-11-12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21.0" customHeight="1">
      <c r="A13" s="7">
        <f>IF(12&lt;=Controls!$B$5,Controls!$B$4+11,"")</f>
        <v>73002</v>
      </c>
      <c r="B13" s="10">
        <f>IF(Random!V13="","",IF(Controls!$B$7="Normal",Controls!$B$8,(Controls!$B$8+Controls!$B$9)/2)+Controls!$B$10*(B12-IF(Controls!$B$7="Normal",Controls!$B$8,(Controls!$B$8+Controls!$B$9)/2))+SQRT(1-Controls!$B$10^2)*(Random!V13-IF(Controls!$B$7="Normal",Controls!$B$8,(Controls!$B$8+Controls!$B$9)/2)))</f>
        <v>35.53506171</v>
      </c>
      <c r="C13" s="10">
        <f>IF(Random!W13="","",IF(Controls!$B$7="Normal",Controls!$B$8,(Controls!$B$8+Controls!$B$9)/2)+Controls!$B$10*(C12-IF(Controls!$B$7="Normal",Controls!$B$8,(Controls!$B$8+Controls!$B$9)/2))+SQRT(1-Controls!$B$10^2)*(Random!W13-IF(Controls!$B$7="Normal",Controls!$B$8,(Controls!$B$8+Controls!$B$9)/2)))</f>
        <v>41.2282437</v>
      </c>
      <c r="D13" s="10">
        <f>IF(Random!X13="","",IF(Controls!$B$7="Normal",Controls!$B$8,(Controls!$B$8+Controls!$B$9)/2)+Controls!$B$10*(D12-IF(Controls!$B$7="Normal",Controls!$B$8,(Controls!$B$8+Controls!$B$9)/2))+SQRT(1-Controls!$B$10^2)*(Random!X13-IF(Controls!$B$7="Normal",Controls!$B$8,(Controls!$B$8+Controls!$B$9)/2)))</f>
        <v>33.13126803</v>
      </c>
      <c r="E13" s="10" t="str">
        <f>IF(Random!Y13="","",IF(Controls!$B$7="Normal",Controls!$B$8,(Controls!$B$8+Controls!$B$9)/2)+Controls!$B$10*(E12-IF(Controls!$B$7="Normal",Controls!$B$8,(Controls!$B$8+Controls!$B$9)/2))+SQRT(1-Controls!$B$10^2)*(Random!Y13-IF(Controls!$B$7="Normal",Controls!$B$8,(Controls!$B$8+Controls!$B$9)/2)))</f>
        <v/>
      </c>
      <c r="F13" s="10" t="str">
        <f>IF(Random!Z13="","",IF(Controls!$B$7="Normal",Controls!$B$8,(Controls!$B$8+Controls!$B$9)/2)+Controls!$B$10*(F12-IF(Controls!$B$7="Normal",Controls!$B$8,(Controls!$B$8+Controls!$B$9)/2))+SQRT(1-Controls!$B$10^2)*(Random!Z13-IF(Controls!$B$7="Normal",Controls!$B$8,(Controls!$B$8+Controls!$B$9)/2)))</f>
        <v/>
      </c>
      <c r="G13" s="10" t="str">
        <f>IF(Random!AA13="","",IF(Controls!$B$7="Normal",Controls!$B$8,(Controls!$B$8+Controls!$B$9)/2)+Controls!$B$10*(G12-IF(Controls!$B$7="Normal",Controls!$B$8,(Controls!$B$8+Controls!$B$9)/2))+SQRT(1-Controls!$B$10^2)*(Random!AA13-IF(Controls!$B$7="Normal",Controls!$B$8,(Controls!$B$8+Controls!$B$9)/2)))</f>
        <v/>
      </c>
      <c r="H13" s="10" t="str">
        <f>IF(Random!AB13="","",IF(Controls!$B$7="Normal",Controls!$B$8,(Controls!$B$8+Controls!$B$9)/2)+Controls!$B$10*(H12-IF(Controls!$B$7="Normal",Controls!$B$8,(Controls!$B$8+Controls!$B$9)/2))+SQRT(1-Controls!$B$10^2)*(Random!AB13-IF(Controls!$B$7="Normal",Controls!$B$8,(Controls!$B$8+Controls!$B$9)/2)))</f>
        <v/>
      </c>
      <c r="I13" s="10" t="str">
        <f>IF(Random!AC13="","",IF(Controls!$B$7="Normal",Controls!$B$8,(Controls!$B$8+Controls!$B$9)/2)+Controls!$B$10*(I12-IF(Controls!$B$7="Normal",Controls!$B$8,(Controls!$B$8+Controls!$B$9)/2))+SQRT(1-Controls!$B$10^2)*(Random!AC13-IF(Controls!$B$7="Normal",Controls!$B$8,(Controls!$B$8+Controls!$B$9)/2)))</f>
        <v/>
      </c>
      <c r="J13" s="10" t="str">
        <f>IF(Random!AD13="","",IF(Controls!$B$7="Normal",Controls!$B$8,(Controls!$B$8+Controls!$B$9)/2)+Controls!$B$10*(J12-IF(Controls!$B$7="Normal",Controls!$B$8,(Controls!$B$8+Controls!$B$9)/2))+SQRT(1-Controls!$B$10^2)*(Random!AD13-IF(Controls!$B$7="Normal",Controls!$B$8,(Controls!$B$8+Controls!$B$9)/2)))</f>
        <v/>
      </c>
      <c r="K13" s="10" t="str">
        <f>IF(Random!AE13="","",IF(Controls!$B$7="Normal",Controls!$B$8,(Controls!$B$8+Controls!$B$9)/2)+Controls!$B$10*(K12-IF(Controls!$B$7="Normal",Controls!$B$8,(Controls!$B$8+Controls!$B$9)/2))+SQRT(1-Controls!$B$10^2)*(Random!AE13-IF(Controls!$B$7="Normal",Controls!$B$8,(Controls!$B$8+Controls!$B$9)/2)))</f>
        <v/>
      </c>
      <c r="L13" s="10">
        <f>IF($A13="","",IF(AND($A13&gt;=Controls!$B$25,$A13&lt;Controls!$B$25+Controls!$C$25),(Controls!$D$25-1)*EXP(-0.5*(($A13-Controls!$B$25-(Controls!$C$25-1)/2)/MAX(Controls!$C$25/4,0.5))^2),0))</f>
        <v>0</v>
      </c>
      <c r="M13" s="10">
        <f>IF($A13="","",IF(AND($A13&gt;=Controls!$B$26,$A13&lt;Controls!$B$26+Controls!$C$26),(Controls!$D$26-1)*EXP(-0.5*(($A13-Controls!$B$26-(Controls!$C$26-1)/2)/MAX(Controls!$C$26/4,0.5))^2),0))</f>
        <v>0</v>
      </c>
      <c r="N13" s="10">
        <f>IF($A13="","",IF(AND($A13&gt;=Controls!$B$27,$A13&lt;Controls!$B$27+Controls!$C$27),(Controls!$D$27-1)*EXP(-0.5*(($A13-Controls!$B$27-(Controls!$C$27-1)/2)/MAX(Controls!$C$27/4,0.5))^2),0))</f>
        <v>0</v>
      </c>
      <c r="O13" s="10">
        <f>IF($A13="","",IF(AND($A13&gt;=Controls!$B$28,$A13&lt;Controls!$B$28+Controls!$C$28),(Controls!$D$28-1)*EXP(-0.5*(($A13-Controls!$B$28-(Controls!$C$28-1)/2)/MAX(Controls!$C$28/4,0.5))^2),0))</f>
        <v>0</v>
      </c>
      <c r="P13" s="4" t="str">
        <f t="shared" si="1"/>
        <v>2099-11-13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1.0" customHeight="1">
      <c r="A14" s="7">
        <f>IF(13&lt;=Controls!$B$5,Controls!$B$4+12,"")</f>
        <v>73003</v>
      </c>
      <c r="B14" s="10">
        <f>IF(Random!V14="","",IF(Controls!$B$7="Normal",Controls!$B$8,(Controls!$B$8+Controls!$B$9)/2)+Controls!$B$10*(B13-IF(Controls!$B$7="Normal",Controls!$B$8,(Controls!$B$8+Controls!$B$9)/2))+SQRT(1-Controls!$B$10^2)*(Random!V14-IF(Controls!$B$7="Normal",Controls!$B$8,(Controls!$B$8+Controls!$B$9)/2)))</f>
        <v>37.32707891</v>
      </c>
      <c r="C14" s="10">
        <f>IF(Random!W14="","",IF(Controls!$B$7="Normal",Controls!$B$8,(Controls!$B$8+Controls!$B$9)/2)+Controls!$B$10*(C13-IF(Controls!$B$7="Normal",Controls!$B$8,(Controls!$B$8+Controls!$B$9)/2))+SQRT(1-Controls!$B$10^2)*(Random!W14-IF(Controls!$B$7="Normal",Controls!$B$8,(Controls!$B$8+Controls!$B$9)/2)))</f>
        <v>52.79700855</v>
      </c>
      <c r="D14" s="10">
        <f>IF(Random!X14="","",IF(Controls!$B$7="Normal",Controls!$B$8,(Controls!$B$8+Controls!$B$9)/2)+Controls!$B$10*(D13-IF(Controls!$B$7="Normal",Controls!$B$8,(Controls!$B$8+Controls!$B$9)/2))+SQRT(1-Controls!$B$10^2)*(Random!X14-IF(Controls!$B$7="Normal",Controls!$B$8,(Controls!$B$8+Controls!$B$9)/2)))</f>
        <v>18.52311465</v>
      </c>
      <c r="E14" s="10" t="str">
        <f>IF(Random!Y14="","",IF(Controls!$B$7="Normal",Controls!$B$8,(Controls!$B$8+Controls!$B$9)/2)+Controls!$B$10*(E13-IF(Controls!$B$7="Normal",Controls!$B$8,(Controls!$B$8+Controls!$B$9)/2))+SQRT(1-Controls!$B$10^2)*(Random!Y14-IF(Controls!$B$7="Normal",Controls!$B$8,(Controls!$B$8+Controls!$B$9)/2)))</f>
        <v/>
      </c>
      <c r="F14" s="10" t="str">
        <f>IF(Random!Z14="","",IF(Controls!$B$7="Normal",Controls!$B$8,(Controls!$B$8+Controls!$B$9)/2)+Controls!$B$10*(F13-IF(Controls!$B$7="Normal",Controls!$B$8,(Controls!$B$8+Controls!$B$9)/2))+SQRT(1-Controls!$B$10^2)*(Random!Z14-IF(Controls!$B$7="Normal",Controls!$B$8,(Controls!$B$8+Controls!$B$9)/2)))</f>
        <v/>
      </c>
      <c r="G14" s="10" t="str">
        <f>IF(Random!AA14="","",IF(Controls!$B$7="Normal",Controls!$B$8,(Controls!$B$8+Controls!$B$9)/2)+Controls!$B$10*(G13-IF(Controls!$B$7="Normal",Controls!$B$8,(Controls!$B$8+Controls!$B$9)/2))+SQRT(1-Controls!$B$10^2)*(Random!AA14-IF(Controls!$B$7="Normal",Controls!$B$8,(Controls!$B$8+Controls!$B$9)/2)))</f>
        <v/>
      </c>
      <c r="H14" s="10" t="str">
        <f>IF(Random!AB14="","",IF(Controls!$B$7="Normal",Controls!$B$8,(Controls!$B$8+Controls!$B$9)/2)+Controls!$B$10*(H13-IF(Controls!$B$7="Normal",Controls!$B$8,(Controls!$B$8+Controls!$B$9)/2))+SQRT(1-Controls!$B$10^2)*(Random!AB14-IF(Controls!$B$7="Normal",Controls!$B$8,(Controls!$B$8+Controls!$B$9)/2)))</f>
        <v/>
      </c>
      <c r="I14" s="10" t="str">
        <f>IF(Random!AC14="","",IF(Controls!$B$7="Normal",Controls!$B$8,(Controls!$B$8+Controls!$B$9)/2)+Controls!$B$10*(I13-IF(Controls!$B$7="Normal",Controls!$B$8,(Controls!$B$8+Controls!$B$9)/2))+SQRT(1-Controls!$B$10^2)*(Random!AC14-IF(Controls!$B$7="Normal",Controls!$B$8,(Controls!$B$8+Controls!$B$9)/2)))</f>
        <v/>
      </c>
      <c r="J14" s="10" t="str">
        <f>IF(Random!AD14="","",IF(Controls!$B$7="Normal",Controls!$B$8,(Controls!$B$8+Controls!$B$9)/2)+Controls!$B$10*(J13-IF(Controls!$B$7="Normal",Controls!$B$8,(Controls!$B$8+Controls!$B$9)/2))+SQRT(1-Controls!$B$10^2)*(Random!AD14-IF(Controls!$B$7="Normal",Controls!$B$8,(Controls!$B$8+Controls!$B$9)/2)))</f>
        <v/>
      </c>
      <c r="K14" s="10" t="str">
        <f>IF(Random!AE14="","",IF(Controls!$B$7="Normal",Controls!$B$8,(Controls!$B$8+Controls!$B$9)/2)+Controls!$B$10*(K13-IF(Controls!$B$7="Normal",Controls!$B$8,(Controls!$B$8+Controls!$B$9)/2))+SQRT(1-Controls!$B$10^2)*(Random!AE14-IF(Controls!$B$7="Normal",Controls!$B$8,(Controls!$B$8+Controls!$B$9)/2)))</f>
        <v/>
      </c>
      <c r="L14" s="10">
        <f>IF($A14="","",IF(AND($A14&gt;=Controls!$B$25,$A14&lt;Controls!$B$25+Controls!$C$25),(Controls!$D$25-1)*EXP(-0.5*(($A14-Controls!$B$25-(Controls!$C$25-1)/2)/MAX(Controls!$C$25/4,0.5))^2),0))</f>
        <v>-0.3206675866</v>
      </c>
      <c r="M14" s="10">
        <f>IF($A14="","",IF(AND($A14&gt;=Controls!$B$26,$A14&lt;Controls!$B$26+Controls!$C$26),(Controls!$D$26-1)*EXP(-0.5*(($A14-Controls!$B$26-(Controls!$C$26-1)/2)/MAX(Controls!$C$26/4,0.5))^2),0))</f>
        <v>0</v>
      </c>
      <c r="N14" s="10">
        <f>IF($A14="","",IF(AND($A14&gt;=Controls!$B$27,$A14&lt;Controls!$B$27+Controls!$C$27),(Controls!$D$27-1)*EXP(-0.5*(($A14-Controls!$B$27-(Controls!$C$27-1)/2)/MAX(Controls!$C$27/4,0.5))^2),0))</f>
        <v>0</v>
      </c>
      <c r="O14" s="10">
        <f>IF($A14="","",IF(AND($A14&gt;=Controls!$B$28,$A14&lt;Controls!$B$28+Controls!$C$28),(Controls!$D$28-1)*EXP(-0.5*(($A14-Controls!$B$28-(Controls!$C$28-1)/2)/MAX(Controls!$C$28/4,0.5))^2),0))</f>
        <v>0</v>
      </c>
      <c r="P14" s="4" t="str">
        <f t="shared" si="1"/>
        <v>2099-11-14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21.0" customHeight="1">
      <c r="A15" s="7">
        <f>IF(14&lt;=Controls!$B$5,Controls!$B$4+13,"")</f>
        <v>73004</v>
      </c>
      <c r="B15" s="10">
        <f>IF(Random!V15="","",IF(Controls!$B$7="Normal",Controls!$B$8,(Controls!$B$8+Controls!$B$9)/2)+Controls!$B$10*(B14-IF(Controls!$B$7="Normal",Controls!$B$8,(Controls!$B$8+Controls!$B$9)/2))+SQRT(1-Controls!$B$10^2)*(Random!V15-IF(Controls!$B$7="Normal",Controls!$B$8,(Controls!$B$8+Controls!$B$9)/2)))</f>
        <v>48.02127175</v>
      </c>
      <c r="C15" s="10">
        <f>IF(Random!W15="","",IF(Controls!$B$7="Normal",Controls!$B$8,(Controls!$B$8+Controls!$B$9)/2)+Controls!$B$10*(C14-IF(Controls!$B$7="Normal",Controls!$B$8,(Controls!$B$8+Controls!$B$9)/2))+SQRT(1-Controls!$B$10^2)*(Random!W15-IF(Controls!$B$7="Normal",Controls!$B$8,(Controls!$B$8+Controls!$B$9)/2)))</f>
        <v>57.53450281</v>
      </c>
      <c r="D15" s="10">
        <f>IF(Random!X15="","",IF(Controls!$B$7="Normal",Controls!$B$8,(Controls!$B$8+Controls!$B$9)/2)+Controls!$B$10*(D14-IF(Controls!$B$7="Normal",Controls!$B$8,(Controls!$B$8+Controls!$B$9)/2))+SQRT(1-Controls!$B$10^2)*(Random!X15-IF(Controls!$B$7="Normal",Controls!$B$8,(Controls!$B$8+Controls!$B$9)/2)))</f>
        <v>27.91106059</v>
      </c>
      <c r="E15" s="10" t="str">
        <f>IF(Random!Y15="","",IF(Controls!$B$7="Normal",Controls!$B$8,(Controls!$B$8+Controls!$B$9)/2)+Controls!$B$10*(E14-IF(Controls!$B$7="Normal",Controls!$B$8,(Controls!$B$8+Controls!$B$9)/2))+SQRT(1-Controls!$B$10^2)*(Random!Y15-IF(Controls!$B$7="Normal",Controls!$B$8,(Controls!$B$8+Controls!$B$9)/2)))</f>
        <v/>
      </c>
      <c r="F15" s="10" t="str">
        <f>IF(Random!Z15="","",IF(Controls!$B$7="Normal",Controls!$B$8,(Controls!$B$8+Controls!$B$9)/2)+Controls!$B$10*(F14-IF(Controls!$B$7="Normal",Controls!$B$8,(Controls!$B$8+Controls!$B$9)/2))+SQRT(1-Controls!$B$10^2)*(Random!Z15-IF(Controls!$B$7="Normal",Controls!$B$8,(Controls!$B$8+Controls!$B$9)/2)))</f>
        <v/>
      </c>
      <c r="G15" s="10" t="str">
        <f>IF(Random!AA15="","",IF(Controls!$B$7="Normal",Controls!$B$8,(Controls!$B$8+Controls!$B$9)/2)+Controls!$B$10*(G14-IF(Controls!$B$7="Normal",Controls!$B$8,(Controls!$B$8+Controls!$B$9)/2))+SQRT(1-Controls!$B$10^2)*(Random!AA15-IF(Controls!$B$7="Normal",Controls!$B$8,(Controls!$B$8+Controls!$B$9)/2)))</f>
        <v/>
      </c>
      <c r="H15" s="10" t="str">
        <f>IF(Random!AB15="","",IF(Controls!$B$7="Normal",Controls!$B$8,(Controls!$B$8+Controls!$B$9)/2)+Controls!$B$10*(H14-IF(Controls!$B$7="Normal",Controls!$B$8,(Controls!$B$8+Controls!$B$9)/2))+SQRT(1-Controls!$B$10^2)*(Random!AB15-IF(Controls!$B$7="Normal",Controls!$B$8,(Controls!$B$8+Controls!$B$9)/2)))</f>
        <v/>
      </c>
      <c r="I15" s="10" t="str">
        <f>IF(Random!AC15="","",IF(Controls!$B$7="Normal",Controls!$B$8,(Controls!$B$8+Controls!$B$9)/2)+Controls!$B$10*(I14-IF(Controls!$B$7="Normal",Controls!$B$8,(Controls!$B$8+Controls!$B$9)/2))+SQRT(1-Controls!$B$10^2)*(Random!AC15-IF(Controls!$B$7="Normal",Controls!$B$8,(Controls!$B$8+Controls!$B$9)/2)))</f>
        <v/>
      </c>
      <c r="J15" s="10" t="str">
        <f>IF(Random!AD15="","",IF(Controls!$B$7="Normal",Controls!$B$8,(Controls!$B$8+Controls!$B$9)/2)+Controls!$B$10*(J14-IF(Controls!$B$7="Normal",Controls!$B$8,(Controls!$B$8+Controls!$B$9)/2))+SQRT(1-Controls!$B$10^2)*(Random!AD15-IF(Controls!$B$7="Normal",Controls!$B$8,(Controls!$B$8+Controls!$B$9)/2)))</f>
        <v/>
      </c>
      <c r="K15" s="10" t="str">
        <f>IF(Random!AE15="","",IF(Controls!$B$7="Normal",Controls!$B$8,(Controls!$B$8+Controls!$B$9)/2)+Controls!$B$10*(K14-IF(Controls!$B$7="Normal",Controls!$B$8,(Controls!$B$8+Controls!$B$9)/2))+SQRT(1-Controls!$B$10^2)*(Random!AE15-IF(Controls!$B$7="Normal",Controls!$B$8,(Controls!$B$8+Controls!$B$9)/2)))</f>
        <v/>
      </c>
      <c r="L15" s="10">
        <f>IF($A15="","",IF(AND($A15&gt;=Controls!$B$25,$A15&lt;Controls!$B$25+Controls!$C$25),(Controls!$D$25-1)*EXP(-0.5*(($A15-Controls!$B$25-(Controls!$C$25-1)/2)/MAX(Controls!$C$25/4,0.5))^2),0))</f>
        <v>-0.78</v>
      </c>
      <c r="M15" s="10">
        <f>IF($A15="","",IF(AND($A15&gt;=Controls!$B$26,$A15&lt;Controls!$B$26+Controls!$C$26),(Controls!$D$26-1)*EXP(-0.5*(($A15-Controls!$B$26-(Controls!$C$26-1)/2)/MAX(Controls!$C$26/4,0.5))^2),0))</f>
        <v>0</v>
      </c>
      <c r="N15" s="10">
        <f>IF($A15="","",IF(AND($A15&gt;=Controls!$B$27,$A15&lt;Controls!$B$27+Controls!$C$27),(Controls!$D$27-1)*EXP(-0.5*(($A15-Controls!$B$27-(Controls!$C$27-1)/2)/MAX(Controls!$C$27/4,0.5))^2),0))</f>
        <v>0</v>
      </c>
      <c r="O15" s="10">
        <f>IF($A15="","",IF(AND($A15&gt;=Controls!$B$28,$A15&lt;Controls!$B$28+Controls!$C$28),(Controls!$D$28-1)*EXP(-0.5*(($A15-Controls!$B$28-(Controls!$C$28-1)/2)/MAX(Controls!$C$28/4,0.5))^2),0))</f>
        <v>0</v>
      </c>
      <c r="P15" s="4" t="str">
        <f t="shared" si="1"/>
        <v>2099-11-15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21.0" customHeight="1">
      <c r="A16" s="7">
        <f>IF(15&lt;=Controls!$B$5,Controls!$B$4+14,"")</f>
        <v>73005</v>
      </c>
      <c r="B16" s="10">
        <f>IF(Random!V16="","",IF(Controls!$B$7="Normal",Controls!$B$8,(Controls!$B$8+Controls!$B$9)/2)+Controls!$B$10*(B15-IF(Controls!$B$7="Normal",Controls!$B$8,(Controls!$B$8+Controls!$B$9)/2))+SQRT(1-Controls!$B$10^2)*(Random!V16-IF(Controls!$B$7="Normal",Controls!$B$8,(Controls!$B$8+Controls!$B$9)/2)))</f>
        <v>52.87051147</v>
      </c>
      <c r="C16" s="10">
        <f>IF(Random!W16="","",IF(Controls!$B$7="Normal",Controls!$B$8,(Controls!$B$8+Controls!$B$9)/2)+Controls!$B$10*(C15-IF(Controls!$B$7="Normal",Controls!$B$8,(Controls!$B$8+Controls!$B$9)/2))+SQRT(1-Controls!$B$10^2)*(Random!W16-IF(Controls!$B$7="Normal",Controls!$B$8,(Controls!$B$8+Controls!$B$9)/2)))</f>
        <v>60.23674163</v>
      </c>
      <c r="D16" s="10">
        <f>IF(Random!X16="","",IF(Controls!$B$7="Normal",Controls!$B$8,(Controls!$B$8+Controls!$B$9)/2)+Controls!$B$10*(D15-IF(Controls!$B$7="Normal",Controls!$B$8,(Controls!$B$8+Controls!$B$9)/2))+SQRT(1-Controls!$B$10^2)*(Random!X16-IF(Controls!$B$7="Normal",Controls!$B$8,(Controls!$B$8+Controls!$B$9)/2)))</f>
        <v>38.28600609</v>
      </c>
      <c r="E16" s="10" t="str">
        <f>IF(Random!Y16="","",IF(Controls!$B$7="Normal",Controls!$B$8,(Controls!$B$8+Controls!$B$9)/2)+Controls!$B$10*(E15-IF(Controls!$B$7="Normal",Controls!$B$8,(Controls!$B$8+Controls!$B$9)/2))+SQRT(1-Controls!$B$10^2)*(Random!Y16-IF(Controls!$B$7="Normal",Controls!$B$8,(Controls!$B$8+Controls!$B$9)/2)))</f>
        <v/>
      </c>
      <c r="F16" s="10" t="str">
        <f>IF(Random!Z16="","",IF(Controls!$B$7="Normal",Controls!$B$8,(Controls!$B$8+Controls!$B$9)/2)+Controls!$B$10*(F15-IF(Controls!$B$7="Normal",Controls!$B$8,(Controls!$B$8+Controls!$B$9)/2))+SQRT(1-Controls!$B$10^2)*(Random!Z16-IF(Controls!$B$7="Normal",Controls!$B$8,(Controls!$B$8+Controls!$B$9)/2)))</f>
        <v/>
      </c>
      <c r="G16" s="10" t="str">
        <f>IF(Random!AA16="","",IF(Controls!$B$7="Normal",Controls!$B$8,(Controls!$B$8+Controls!$B$9)/2)+Controls!$B$10*(G15-IF(Controls!$B$7="Normal",Controls!$B$8,(Controls!$B$8+Controls!$B$9)/2))+SQRT(1-Controls!$B$10^2)*(Random!AA16-IF(Controls!$B$7="Normal",Controls!$B$8,(Controls!$B$8+Controls!$B$9)/2)))</f>
        <v/>
      </c>
      <c r="H16" s="10" t="str">
        <f>IF(Random!AB16="","",IF(Controls!$B$7="Normal",Controls!$B$8,(Controls!$B$8+Controls!$B$9)/2)+Controls!$B$10*(H15-IF(Controls!$B$7="Normal",Controls!$B$8,(Controls!$B$8+Controls!$B$9)/2))+SQRT(1-Controls!$B$10^2)*(Random!AB16-IF(Controls!$B$7="Normal",Controls!$B$8,(Controls!$B$8+Controls!$B$9)/2)))</f>
        <v/>
      </c>
      <c r="I16" s="10" t="str">
        <f>IF(Random!AC16="","",IF(Controls!$B$7="Normal",Controls!$B$8,(Controls!$B$8+Controls!$B$9)/2)+Controls!$B$10*(I15-IF(Controls!$B$7="Normal",Controls!$B$8,(Controls!$B$8+Controls!$B$9)/2))+SQRT(1-Controls!$B$10^2)*(Random!AC16-IF(Controls!$B$7="Normal",Controls!$B$8,(Controls!$B$8+Controls!$B$9)/2)))</f>
        <v/>
      </c>
      <c r="J16" s="10" t="str">
        <f>IF(Random!AD16="","",IF(Controls!$B$7="Normal",Controls!$B$8,(Controls!$B$8+Controls!$B$9)/2)+Controls!$B$10*(J15-IF(Controls!$B$7="Normal",Controls!$B$8,(Controls!$B$8+Controls!$B$9)/2))+SQRT(1-Controls!$B$10^2)*(Random!AD16-IF(Controls!$B$7="Normal",Controls!$B$8,(Controls!$B$8+Controls!$B$9)/2)))</f>
        <v/>
      </c>
      <c r="K16" s="10" t="str">
        <f>IF(Random!AE16="","",IF(Controls!$B$7="Normal",Controls!$B$8,(Controls!$B$8+Controls!$B$9)/2)+Controls!$B$10*(K15-IF(Controls!$B$7="Normal",Controls!$B$8,(Controls!$B$8+Controls!$B$9)/2))+SQRT(1-Controls!$B$10^2)*(Random!AE16-IF(Controls!$B$7="Normal",Controls!$B$8,(Controls!$B$8+Controls!$B$9)/2)))</f>
        <v/>
      </c>
      <c r="L16" s="10">
        <f>IF($A16="","",IF(AND($A16&gt;=Controls!$B$25,$A16&lt;Controls!$B$25+Controls!$C$25),(Controls!$D$25-1)*EXP(-0.5*(($A16-Controls!$B$25-(Controls!$C$25-1)/2)/MAX(Controls!$C$25/4,0.5))^2),0))</f>
        <v>-0.3206675866</v>
      </c>
      <c r="M16" s="10">
        <f>IF($A16="","",IF(AND($A16&gt;=Controls!$B$26,$A16&lt;Controls!$B$26+Controls!$C$26),(Controls!$D$26-1)*EXP(-0.5*(($A16-Controls!$B$26-(Controls!$C$26-1)/2)/MAX(Controls!$C$26/4,0.5))^2),0))</f>
        <v>0</v>
      </c>
      <c r="N16" s="10">
        <f>IF($A16="","",IF(AND($A16&gt;=Controls!$B$27,$A16&lt;Controls!$B$27+Controls!$C$27),(Controls!$D$27-1)*EXP(-0.5*(($A16-Controls!$B$27-(Controls!$C$27-1)/2)/MAX(Controls!$C$27/4,0.5))^2),0))</f>
        <v>0</v>
      </c>
      <c r="O16" s="10">
        <f>IF($A16="","",IF(AND($A16&gt;=Controls!$B$28,$A16&lt;Controls!$B$28+Controls!$C$28),(Controls!$D$28-1)*EXP(-0.5*(($A16-Controls!$B$28-(Controls!$C$28-1)/2)/MAX(Controls!$C$28/4,0.5))^2),0))</f>
        <v>0</v>
      </c>
      <c r="P16" s="4" t="str">
        <f t="shared" si="1"/>
        <v>2099-11-16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21.0" customHeight="1">
      <c r="A17" s="7">
        <f>IF(16&lt;=Controls!$B$5,Controls!$B$4+15,"")</f>
        <v>73006</v>
      </c>
      <c r="B17" s="10">
        <f>IF(Random!V17="","",IF(Controls!$B$7="Normal",Controls!$B$8,(Controls!$B$8+Controls!$B$9)/2)+Controls!$B$10*(B16-IF(Controls!$B$7="Normal",Controls!$B$8,(Controls!$B$8+Controls!$B$9)/2))+SQRT(1-Controls!$B$10^2)*(Random!V17-IF(Controls!$B$7="Normal",Controls!$B$8,(Controls!$B$8+Controls!$B$9)/2)))</f>
        <v>36.15459815</v>
      </c>
      <c r="C17" s="10">
        <f>IF(Random!W17="","",IF(Controls!$B$7="Normal",Controls!$B$8,(Controls!$B$8+Controls!$B$9)/2)+Controls!$B$10*(C16-IF(Controls!$B$7="Normal",Controls!$B$8,(Controls!$B$8+Controls!$B$9)/2))+SQRT(1-Controls!$B$10^2)*(Random!W17-IF(Controls!$B$7="Normal",Controls!$B$8,(Controls!$B$8+Controls!$B$9)/2)))</f>
        <v>59.46093543</v>
      </c>
      <c r="D17" s="10">
        <f>IF(Random!X17="","",IF(Controls!$B$7="Normal",Controls!$B$8,(Controls!$B$8+Controls!$B$9)/2)+Controls!$B$10*(D16-IF(Controls!$B$7="Normal",Controls!$B$8,(Controls!$B$8+Controls!$B$9)/2))+SQRT(1-Controls!$B$10^2)*(Random!X17-IF(Controls!$B$7="Normal",Controls!$B$8,(Controls!$B$8+Controls!$B$9)/2)))</f>
        <v>43.72938946</v>
      </c>
      <c r="E17" s="10" t="str">
        <f>IF(Random!Y17="","",IF(Controls!$B$7="Normal",Controls!$B$8,(Controls!$B$8+Controls!$B$9)/2)+Controls!$B$10*(E16-IF(Controls!$B$7="Normal",Controls!$B$8,(Controls!$B$8+Controls!$B$9)/2))+SQRT(1-Controls!$B$10^2)*(Random!Y17-IF(Controls!$B$7="Normal",Controls!$B$8,(Controls!$B$8+Controls!$B$9)/2)))</f>
        <v/>
      </c>
      <c r="F17" s="10" t="str">
        <f>IF(Random!Z17="","",IF(Controls!$B$7="Normal",Controls!$B$8,(Controls!$B$8+Controls!$B$9)/2)+Controls!$B$10*(F16-IF(Controls!$B$7="Normal",Controls!$B$8,(Controls!$B$8+Controls!$B$9)/2))+SQRT(1-Controls!$B$10^2)*(Random!Z17-IF(Controls!$B$7="Normal",Controls!$B$8,(Controls!$B$8+Controls!$B$9)/2)))</f>
        <v/>
      </c>
      <c r="G17" s="10" t="str">
        <f>IF(Random!AA17="","",IF(Controls!$B$7="Normal",Controls!$B$8,(Controls!$B$8+Controls!$B$9)/2)+Controls!$B$10*(G16-IF(Controls!$B$7="Normal",Controls!$B$8,(Controls!$B$8+Controls!$B$9)/2))+SQRT(1-Controls!$B$10^2)*(Random!AA17-IF(Controls!$B$7="Normal",Controls!$B$8,(Controls!$B$8+Controls!$B$9)/2)))</f>
        <v/>
      </c>
      <c r="H17" s="10" t="str">
        <f>IF(Random!AB17="","",IF(Controls!$B$7="Normal",Controls!$B$8,(Controls!$B$8+Controls!$B$9)/2)+Controls!$B$10*(H16-IF(Controls!$B$7="Normal",Controls!$B$8,(Controls!$B$8+Controls!$B$9)/2))+SQRT(1-Controls!$B$10^2)*(Random!AB17-IF(Controls!$B$7="Normal",Controls!$B$8,(Controls!$B$8+Controls!$B$9)/2)))</f>
        <v/>
      </c>
      <c r="I17" s="10" t="str">
        <f>IF(Random!AC17="","",IF(Controls!$B$7="Normal",Controls!$B$8,(Controls!$B$8+Controls!$B$9)/2)+Controls!$B$10*(I16-IF(Controls!$B$7="Normal",Controls!$B$8,(Controls!$B$8+Controls!$B$9)/2))+SQRT(1-Controls!$B$10^2)*(Random!AC17-IF(Controls!$B$7="Normal",Controls!$B$8,(Controls!$B$8+Controls!$B$9)/2)))</f>
        <v/>
      </c>
      <c r="J17" s="10" t="str">
        <f>IF(Random!AD17="","",IF(Controls!$B$7="Normal",Controls!$B$8,(Controls!$B$8+Controls!$B$9)/2)+Controls!$B$10*(J16-IF(Controls!$B$7="Normal",Controls!$B$8,(Controls!$B$8+Controls!$B$9)/2))+SQRT(1-Controls!$B$10^2)*(Random!AD17-IF(Controls!$B$7="Normal",Controls!$B$8,(Controls!$B$8+Controls!$B$9)/2)))</f>
        <v/>
      </c>
      <c r="K17" s="10" t="str">
        <f>IF(Random!AE17="","",IF(Controls!$B$7="Normal",Controls!$B$8,(Controls!$B$8+Controls!$B$9)/2)+Controls!$B$10*(K16-IF(Controls!$B$7="Normal",Controls!$B$8,(Controls!$B$8+Controls!$B$9)/2))+SQRT(1-Controls!$B$10^2)*(Random!AE17-IF(Controls!$B$7="Normal",Controls!$B$8,(Controls!$B$8+Controls!$B$9)/2)))</f>
        <v/>
      </c>
      <c r="L17" s="10">
        <f>IF($A17="","",IF(AND($A17&gt;=Controls!$B$25,$A17&lt;Controls!$B$25+Controls!$C$25),(Controls!$D$25-1)*EXP(-0.5*(($A17-Controls!$B$25-(Controls!$C$25-1)/2)/MAX(Controls!$C$25/4,0.5))^2),0))</f>
        <v>0</v>
      </c>
      <c r="M17" s="10">
        <f>IF($A17="","",IF(AND($A17&gt;=Controls!$B$26,$A17&lt;Controls!$B$26+Controls!$C$26),(Controls!$D$26-1)*EXP(-0.5*(($A17-Controls!$B$26-(Controls!$C$26-1)/2)/MAX(Controls!$C$26/4,0.5))^2),0))</f>
        <v>0</v>
      </c>
      <c r="N17" s="10">
        <f>IF($A17="","",IF(AND($A17&gt;=Controls!$B$27,$A17&lt;Controls!$B$27+Controls!$C$27),(Controls!$D$27-1)*EXP(-0.5*(($A17-Controls!$B$27-(Controls!$C$27-1)/2)/MAX(Controls!$C$27/4,0.5))^2),0))</f>
        <v>0</v>
      </c>
      <c r="O17" s="10">
        <f>IF($A17="","",IF(AND($A17&gt;=Controls!$B$28,$A17&lt;Controls!$B$28+Controls!$C$28),(Controls!$D$28-1)*EXP(-0.5*(($A17-Controls!$B$28-(Controls!$C$28-1)/2)/MAX(Controls!$C$28/4,0.5))^2),0))</f>
        <v>0</v>
      </c>
      <c r="P17" s="4" t="str">
        <f t="shared" si="1"/>
        <v>2099-11-17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1.0" customHeight="1">
      <c r="A18" s="7">
        <f>IF(17&lt;=Controls!$B$5,Controls!$B$4+16,"")</f>
        <v>73007</v>
      </c>
      <c r="B18" s="10">
        <f>IF(Random!V18="","",IF(Controls!$B$7="Normal",Controls!$B$8,(Controls!$B$8+Controls!$B$9)/2)+Controls!$B$10*(B17-IF(Controls!$B$7="Normal",Controls!$B$8,(Controls!$B$8+Controls!$B$9)/2))+SQRT(1-Controls!$B$10^2)*(Random!V18-IF(Controls!$B$7="Normal",Controls!$B$8,(Controls!$B$8+Controls!$B$9)/2)))</f>
        <v>41.79239905</v>
      </c>
      <c r="C18" s="10">
        <f>IF(Random!W18="","",IF(Controls!$B$7="Normal",Controls!$B$8,(Controls!$B$8+Controls!$B$9)/2)+Controls!$B$10*(C17-IF(Controls!$B$7="Normal",Controls!$B$8,(Controls!$B$8+Controls!$B$9)/2))+SQRT(1-Controls!$B$10^2)*(Random!W18-IF(Controls!$B$7="Normal",Controls!$B$8,(Controls!$B$8+Controls!$B$9)/2)))</f>
        <v>65.75037241</v>
      </c>
      <c r="D18" s="10">
        <f>IF(Random!X18="","",IF(Controls!$B$7="Normal",Controls!$B$8,(Controls!$B$8+Controls!$B$9)/2)+Controls!$B$10*(D17-IF(Controls!$B$7="Normal",Controls!$B$8,(Controls!$B$8+Controls!$B$9)/2))+SQRT(1-Controls!$B$10^2)*(Random!X18-IF(Controls!$B$7="Normal",Controls!$B$8,(Controls!$B$8+Controls!$B$9)/2)))</f>
        <v>43.09572005</v>
      </c>
      <c r="E18" s="10" t="str">
        <f>IF(Random!Y18="","",IF(Controls!$B$7="Normal",Controls!$B$8,(Controls!$B$8+Controls!$B$9)/2)+Controls!$B$10*(E17-IF(Controls!$B$7="Normal",Controls!$B$8,(Controls!$B$8+Controls!$B$9)/2))+SQRT(1-Controls!$B$10^2)*(Random!Y18-IF(Controls!$B$7="Normal",Controls!$B$8,(Controls!$B$8+Controls!$B$9)/2)))</f>
        <v/>
      </c>
      <c r="F18" s="10" t="str">
        <f>IF(Random!Z18="","",IF(Controls!$B$7="Normal",Controls!$B$8,(Controls!$B$8+Controls!$B$9)/2)+Controls!$B$10*(F17-IF(Controls!$B$7="Normal",Controls!$B$8,(Controls!$B$8+Controls!$B$9)/2))+SQRT(1-Controls!$B$10^2)*(Random!Z18-IF(Controls!$B$7="Normal",Controls!$B$8,(Controls!$B$8+Controls!$B$9)/2)))</f>
        <v/>
      </c>
      <c r="G18" s="10" t="str">
        <f>IF(Random!AA18="","",IF(Controls!$B$7="Normal",Controls!$B$8,(Controls!$B$8+Controls!$B$9)/2)+Controls!$B$10*(G17-IF(Controls!$B$7="Normal",Controls!$B$8,(Controls!$B$8+Controls!$B$9)/2))+SQRT(1-Controls!$B$10^2)*(Random!AA18-IF(Controls!$B$7="Normal",Controls!$B$8,(Controls!$B$8+Controls!$B$9)/2)))</f>
        <v/>
      </c>
      <c r="H18" s="10" t="str">
        <f>IF(Random!AB18="","",IF(Controls!$B$7="Normal",Controls!$B$8,(Controls!$B$8+Controls!$B$9)/2)+Controls!$B$10*(H17-IF(Controls!$B$7="Normal",Controls!$B$8,(Controls!$B$8+Controls!$B$9)/2))+SQRT(1-Controls!$B$10^2)*(Random!AB18-IF(Controls!$B$7="Normal",Controls!$B$8,(Controls!$B$8+Controls!$B$9)/2)))</f>
        <v/>
      </c>
      <c r="I18" s="10" t="str">
        <f>IF(Random!AC18="","",IF(Controls!$B$7="Normal",Controls!$B$8,(Controls!$B$8+Controls!$B$9)/2)+Controls!$B$10*(I17-IF(Controls!$B$7="Normal",Controls!$B$8,(Controls!$B$8+Controls!$B$9)/2))+SQRT(1-Controls!$B$10^2)*(Random!AC18-IF(Controls!$B$7="Normal",Controls!$B$8,(Controls!$B$8+Controls!$B$9)/2)))</f>
        <v/>
      </c>
      <c r="J18" s="10" t="str">
        <f>IF(Random!AD18="","",IF(Controls!$B$7="Normal",Controls!$B$8,(Controls!$B$8+Controls!$B$9)/2)+Controls!$B$10*(J17-IF(Controls!$B$7="Normal",Controls!$B$8,(Controls!$B$8+Controls!$B$9)/2))+SQRT(1-Controls!$B$10^2)*(Random!AD18-IF(Controls!$B$7="Normal",Controls!$B$8,(Controls!$B$8+Controls!$B$9)/2)))</f>
        <v/>
      </c>
      <c r="K18" s="10" t="str">
        <f>IF(Random!AE18="","",IF(Controls!$B$7="Normal",Controls!$B$8,(Controls!$B$8+Controls!$B$9)/2)+Controls!$B$10*(K17-IF(Controls!$B$7="Normal",Controls!$B$8,(Controls!$B$8+Controls!$B$9)/2))+SQRT(1-Controls!$B$10^2)*(Random!AE18-IF(Controls!$B$7="Normal",Controls!$B$8,(Controls!$B$8+Controls!$B$9)/2)))</f>
        <v/>
      </c>
      <c r="L18" s="10">
        <f>IF($A18="","",IF(AND($A18&gt;=Controls!$B$25,$A18&lt;Controls!$B$25+Controls!$C$25),(Controls!$D$25-1)*EXP(-0.5*(($A18-Controls!$B$25-(Controls!$C$25-1)/2)/MAX(Controls!$C$25/4,0.5))^2),0))</f>
        <v>0</v>
      </c>
      <c r="M18" s="10">
        <f>IF($A18="","",IF(AND($A18&gt;=Controls!$B$26,$A18&lt;Controls!$B$26+Controls!$C$26),(Controls!$D$26-1)*EXP(-0.5*(($A18-Controls!$B$26-(Controls!$C$26-1)/2)/MAX(Controls!$C$26/4,0.5))^2),0))</f>
        <v>0</v>
      </c>
      <c r="N18" s="10">
        <f>IF($A18="","",IF(AND($A18&gt;=Controls!$B$27,$A18&lt;Controls!$B$27+Controls!$C$27),(Controls!$D$27-1)*EXP(-0.5*(($A18-Controls!$B$27-(Controls!$C$27-1)/2)/MAX(Controls!$C$27/4,0.5))^2),0))</f>
        <v>0</v>
      </c>
      <c r="O18" s="10">
        <f>IF($A18="","",IF(AND($A18&gt;=Controls!$B$28,$A18&lt;Controls!$B$28+Controls!$C$28),(Controls!$D$28-1)*EXP(-0.5*(($A18-Controls!$B$28-(Controls!$C$28-1)/2)/MAX(Controls!$C$28/4,0.5))^2),0))</f>
        <v>0</v>
      </c>
      <c r="P18" s="4" t="str">
        <f t="shared" si="1"/>
        <v>2099-11-18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21.0" customHeight="1">
      <c r="A19" s="7">
        <f>IF(18&lt;=Controls!$B$5,Controls!$B$4+17,"")</f>
        <v>73008</v>
      </c>
      <c r="B19" s="10">
        <f>IF(Random!V19="","",IF(Controls!$B$7="Normal",Controls!$B$8,(Controls!$B$8+Controls!$B$9)/2)+Controls!$B$10*(B18-IF(Controls!$B$7="Normal",Controls!$B$8,(Controls!$B$8+Controls!$B$9)/2))+SQRT(1-Controls!$B$10^2)*(Random!V19-IF(Controls!$B$7="Normal",Controls!$B$8,(Controls!$B$8+Controls!$B$9)/2)))</f>
        <v>52.2822003</v>
      </c>
      <c r="C19" s="10">
        <f>IF(Random!W19="","",IF(Controls!$B$7="Normal",Controls!$B$8,(Controls!$B$8+Controls!$B$9)/2)+Controls!$B$10*(C18-IF(Controls!$B$7="Normal",Controls!$B$8,(Controls!$B$8+Controls!$B$9)/2))+SQRT(1-Controls!$B$10^2)*(Random!W19-IF(Controls!$B$7="Normal",Controls!$B$8,(Controls!$B$8+Controls!$B$9)/2)))</f>
        <v>51.68870518</v>
      </c>
      <c r="D19" s="10">
        <f>IF(Random!X19="","",IF(Controls!$B$7="Normal",Controls!$B$8,(Controls!$B$8+Controls!$B$9)/2)+Controls!$B$10*(D18-IF(Controls!$B$7="Normal",Controls!$B$8,(Controls!$B$8+Controls!$B$9)/2))+SQRT(1-Controls!$B$10^2)*(Random!X19-IF(Controls!$B$7="Normal",Controls!$B$8,(Controls!$B$8+Controls!$B$9)/2)))</f>
        <v>47.30077621</v>
      </c>
      <c r="E19" s="10" t="str">
        <f>IF(Random!Y19="","",IF(Controls!$B$7="Normal",Controls!$B$8,(Controls!$B$8+Controls!$B$9)/2)+Controls!$B$10*(E18-IF(Controls!$B$7="Normal",Controls!$B$8,(Controls!$B$8+Controls!$B$9)/2))+SQRT(1-Controls!$B$10^2)*(Random!Y19-IF(Controls!$B$7="Normal",Controls!$B$8,(Controls!$B$8+Controls!$B$9)/2)))</f>
        <v/>
      </c>
      <c r="F19" s="10" t="str">
        <f>IF(Random!Z19="","",IF(Controls!$B$7="Normal",Controls!$B$8,(Controls!$B$8+Controls!$B$9)/2)+Controls!$B$10*(F18-IF(Controls!$B$7="Normal",Controls!$B$8,(Controls!$B$8+Controls!$B$9)/2))+SQRT(1-Controls!$B$10^2)*(Random!Z19-IF(Controls!$B$7="Normal",Controls!$B$8,(Controls!$B$8+Controls!$B$9)/2)))</f>
        <v/>
      </c>
      <c r="G19" s="10" t="str">
        <f>IF(Random!AA19="","",IF(Controls!$B$7="Normal",Controls!$B$8,(Controls!$B$8+Controls!$B$9)/2)+Controls!$B$10*(G18-IF(Controls!$B$7="Normal",Controls!$B$8,(Controls!$B$8+Controls!$B$9)/2))+SQRT(1-Controls!$B$10^2)*(Random!AA19-IF(Controls!$B$7="Normal",Controls!$B$8,(Controls!$B$8+Controls!$B$9)/2)))</f>
        <v/>
      </c>
      <c r="H19" s="10" t="str">
        <f>IF(Random!AB19="","",IF(Controls!$B$7="Normal",Controls!$B$8,(Controls!$B$8+Controls!$B$9)/2)+Controls!$B$10*(H18-IF(Controls!$B$7="Normal",Controls!$B$8,(Controls!$B$8+Controls!$B$9)/2))+SQRT(1-Controls!$B$10^2)*(Random!AB19-IF(Controls!$B$7="Normal",Controls!$B$8,(Controls!$B$8+Controls!$B$9)/2)))</f>
        <v/>
      </c>
      <c r="I19" s="10" t="str">
        <f>IF(Random!AC19="","",IF(Controls!$B$7="Normal",Controls!$B$8,(Controls!$B$8+Controls!$B$9)/2)+Controls!$B$10*(I18-IF(Controls!$B$7="Normal",Controls!$B$8,(Controls!$B$8+Controls!$B$9)/2))+SQRT(1-Controls!$B$10^2)*(Random!AC19-IF(Controls!$B$7="Normal",Controls!$B$8,(Controls!$B$8+Controls!$B$9)/2)))</f>
        <v/>
      </c>
      <c r="J19" s="10" t="str">
        <f>IF(Random!AD19="","",IF(Controls!$B$7="Normal",Controls!$B$8,(Controls!$B$8+Controls!$B$9)/2)+Controls!$B$10*(J18-IF(Controls!$B$7="Normal",Controls!$B$8,(Controls!$B$8+Controls!$B$9)/2))+SQRT(1-Controls!$B$10^2)*(Random!AD19-IF(Controls!$B$7="Normal",Controls!$B$8,(Controls!$B$8+Controls!$B$9)/2)))</f>
        <v/>
      </c>
      <c r="K19" s="10" t="str">
        <f>IF(Random!AE19="","",IF(Controls!$B$7="Normal",Controls!$B$8,(Controls!$B$8+Controls!$B$9)/2)+Controls!$B$10*(K18-IF(Controls!$B$7="Normal",Controls!$B$8,(Controls!$B$8+Controls!$B$9)/2))+SQRT(1-Controls!$B$10^2)*(Random!AE19-IF(Controls!$B$7="Normal",Controls!$B$8,(Controls!$B$8+Controls!$B$9)/2)))</f>
        <v/>
      </c>
      <c r="L19" s="10">
        <f>IF($A19="","",IF(AND($A19&gt;=Controls!$B$25,$A19&lt;Controls!$B$25+Controls!$C$25),(Controls!$D$25-1)*EXP(-0.5*(($A19-Controls!$B$25-(Controls!$C$25-1)/2)/MAX(Controls!$C$25/4,0.5))^2),0))</f>
        <v>0</v>
      </c>
      <c r="M19" s="10">
        <f>IF($A19="","",IF(AND($A19&gt;=Controls!$B$26,$A19&lt;Controls!$B$26+Controls!$C$26),(Controls!$D$26-1)*EXP(-0.5*(($A19-Controls!$B$26-(Controls!$C$26-1)/2)/MAX(Controls!$C$26/4,0.5))^2),0))</f>
        <v>0</v>
      </c>
      <c r="N19" s="10">
        <f>IF($A19="","",IF(AND($A19&gt;=Controls!$B$27,$A19&lt;Controls!$B$27+Controls!$C$27),(Controls!$D$27-1)*EXP(-0.5*(($A19-Controls!$B$27-(Controls!$C$27-1)/2)/MAX(Controls!$C$27/4,0.5))^2),0))</f>
        <v>0</v>
      </c>
      <c r="O19" s="10">
        <f>IF($A19="","",IF(AND($A19&gt;=Controls!$B$28,$A19&lt;Controls!$B$28+Controls!$C$28),(Controls!$D$28-1)*EXP(-0.5*(($A19-Controls!$B$28-(Controls!$C$28-1)/2)/MAX(Controls!$C$28/4,0.5))^2),0))</f>
        <v>0</v>
      </c>
      <c r="P19" s="4" t="str">
        <f t="shared" si="1"/>
        <v>2099-11-19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21.0" customHeight="1">
      <c r="A20" s="7">
        <f>IF(19&lt;=Controls!$B$5,Controls!$B$4+18,"")</f>
        <v>73009</v>
      </c>
      <c r="B20" s="10">
        <f>IF(Random!V20="","",IF(Controls!$B$7="Normal",Controls!$B$8,(Controls!$B$8+Controls!$B$9)/2)+Controls!$B$10*(B19-IF(Controls!$B$7="Normal",Controls!$B$8,(Controls!$B$8+Controls!$B$9)/2))+SQRT(1-Controls!$B$10^2)*(Random!V20-IF(Controls!$B$7="Normal",Controls!$B$8,(Controls!$B$8+Controls!$B$9)/2)))</f>
        <v>59.31806743</v>
      </c>
      <c r="C20" s="10">
        <f>IF(Random!W20="","",IF(Controls!$B$7="Normal",Controls!$B$8,(Controls!$B$8+Controls!$B$9)/2)+Controls!$B$10*(C19-IF(Controls!$B$7="Normal",Controls!$B$8,(Controls!$B$8+Controls!$B$9)/2))+SQRT(1-Controls!$B$10^2)*(Random!W20-IF(Controls!$B$7="Normal",Controls!$B$8,(Controls!$B$8+Controls!$B$9)/2)))</f>
        <v>51.70363982</v>
      </c>
      <c r="D20" s="10">
        <f>IF(Random!X20="","",IF(Controls!$B$7="Normal",Controls!$B$8,(Controls!$B$8+Controls!$B$9)/2)+Controls!$B$10*(D19-IF(Controls!$B$7="Normal",Controls!$B$8,(Controls!$B$8+Controls!$B$9)/2))+SQRT(1-Controls!$B$10^2)*(Random!X20-IF(Controls!$B$7="Normal",Controls!$B$8,(Controls!$B$8+Controls!$B$9)/2)))</f>
        <v>42.65524012</v>
      </c>
      <c r="E20" s="10" t="str">
        <f>IF(Random!Y20="","",IF(Controls!$B$7="Normal",Controls!$B$8,(Controls!$B$8+Controls!$B$9)/2)+Controls!$B$10*(E19-IF(Controls!$B$7="Normal",Controls!$B$8,(Controls!$B$8+Controls!$B$9)/2))+SQRT(1-Controls!$B$10^2)*(Random!Y20-IF(Controls!$B$7="Normal",Controls!$B$8,(Controls!$B$8+Controls!$B$9)/2)))</f>
        <v/>
      </c>
      <c r="F20" s="10" t="str">
        <f>IF(Random!Z20="","",IF(Controls!$B$7="Normal",Controls!$B$8,(Controls!$B$8+Controls!$B$9)/2)+Controls!$B$10*(F19-IF(Controls!$B$7="Normal",Controls!$B$8,(Controls!$B$8+Controls!$B$9)/2))+SQRT(1-Controls!$B$10^2)*(Random!Z20-IF(Controls!$B$7="Normal",Controls!$B$8,(Controls!$B$8+Controls!$B$9)/2)))</f>
        <v/>
      </c>
      <c r="G20" s="10" t="str">
        <f>IF(Random!AA20="","",IF(Controls!$B$7="Normal",Controls!$B$8,(Controls!$B$8+Controls!$B$9)/2)+Controls!$B$10*(G19-IF(Controls!$B$7="Normal",Controls!$B$8,(Controls!$B$8+Controls!$B$9)/2))+SQRT(1-Controls!$B$10^2)*(Random!AA20-IF(Controls!$B$7="Normal",Controls!$B$8,(Controls!$B$8+Controls!$B$9)/2)))</f>
        <v/>
      </c>
      <c r="H20" s="10" t="str">
        <f>IF(Random!AB20="","",IF(Controls!$B$7="Normal",Controls!$B$8,(Controls!$B$8+Controls!$B$9)/2)+Controls!$B$10*(H19-IF(Controls!$B$7="Normal",Controls!$B$8,(Controls!$B$8+Controls!$B$9)/2))+SQRT(1-Controls!$B$10^2)*(Random!AB20-IF(Controls!$B$7="Normal",Controls!$B$8,(Controls!$B$8+Controls!$B$9)/2)))</f>
        <v/>
      </c>
      <c r="I20" s="10" t="str">
        <f>IF(Random!AC20="","",IF(Controls!$B$7="Normal",Controls!$B$8,(Controls!$B$8+Controls!$B$9)/2)+Controls!$B$10*(I19-IF(Controls!$B$7="Normal",Controls!$B$8,(Controls!$B$8+Controls!$B$9)/2))+SQRT(1-Controls!$B$10^2)*(Random!AC20-IF(Controls!$B$7="Normal",Controls!$B$8,(Controls!$B$8+Controls!$B$9)/2)))</f>
        <v/>
      </c>
      <c r="J20" s="10" t="str">
        <f>IF(Random!AD20="","",IF(Controls!$B$7="Normal",Controls!$B$8,(Controls!$B$8+Controls!$B$9)/2)+Controls!$B$10*(J19-IF(Controls!$B$7="Normal",Controls!$B$8,(Controls!$B$8+Controls!$B$9)/2))+SQRT(1-Controls!$B$10^2)*(Random!AD20-IF(Controls!$B$7="Normal",Controls!$B$8,(Controls!$B$8+Controls!$B$9)/2)))</f>
        <v/>
      </c>
      <c r="K20" s="10" t="str">
        <f>IF(Random!AE20="","",IF(Controls!$B$7="Normal",Controls!$B$8,(Controls!$B$8+Controls!$B$9)/2)+Controls!$B$10*(K19-IF(Controls!$B$7="Normal",Controls!$B$8,(Controls!$B$8+Controls!$B$9)/2))+SQRT(1-Controls!$B$10^2)*(Random!AE20-IF(Controls!$B$7="Normal",Controls!$B$8,(Controls!$B$8+Controls!$B$9)/2)))</f>
        <v/>
      </c>
      <c r="L20" s="10">
        <f>IF($A20="","",IF(AND($A20&gt;=Controls!$B$25,$A20&lt;Controls!$B$25+Controls!$C$25),(Controls!$D$25-1)*EXP(-0.5*(($A20-Controls!$B$25-(Controls!$C$25-1)/2)/MAX(Controls!$C$25/4,0.5))^2),0))</f>
        <v>0</v>
      </c>
      <c r="M20" s="10">
        <f>IF($A20="","",IF(AND($A20&gt;=Controls!$B$26,$A20&lt;Controls!$B$26+Controls!$C$26),(Controls!$D$26-1)*EXP(-0.5*(($A20-Controls!$B$26-(Controls!$C$26-1)/2)/MAX(Controls!$C$26/4,0.5))^2),0))</f>
        <v>0</v>
      </c>
      <c r="N20" s="10">
        <f>IF($A20="","",IF(AND($A20&gt;=Controls!$B$27,$A20&lt;Controls!$B$27+Controls!$C$27),(Controls!$D$27-1)*EXP(-0.5*(($A20-Controls!$B$27-(Controls!$C$27-1)/2)/MAX(Controls!$C$27/4,0.5))^2),0))</f>
        <v>0</v>
      </c>
      <c r="O20" s="10">
        <f>IF($A20="","",IF(AND($A20&gt;=Controls!$B$28,$A20&lt;Controls!$B$28+Controls!$C$28),(Controls!$D$28-1)*EXP(-0.5*(($A20-Controls!$B$28-(Controls!$C$28-1)/2)/MAX(Controls!$C$28/4,0.5))^2),0))</f>
        <v>0</v>
      </c>
      <c r="P20" s="4" t="str">
        <f t="shared" si="1"/>
        <v>2099-11-20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21.0" customHeight="1">
      <c r="A21" s="7">
        <f>IF(20&lt;=Controls!$B$5,Controls!$B$4+19,"")</f>
        <v>73010</v>
      </c>
      <c r="B21" s="10">
        <f>IF(Random!V21="","",IF(Controls!$B$7="Normal",Controls!$B$8,(Controls!$B$8+Controls!$B$9)/2)+Controls!$B$10*(B20-IF(Controls!$B$7="Normal",Controls!$B$8,(Controls!$B$8+Controls!$B$9)/2))+SQRT(1-Controls!$B$10^2)*(Random!V21-IF(Controls!$B$7="Normal",Controls!$B$8,(Controls!$B$8+Controls!$B$9)/2)))</f>
        <v>64.95802188</v>
      </c>
      <c r="C21" s="10">
        <f>IF(Random!W21="","",IF(Controls!$B$7="Normal",Controls!$B$8,(Controls!$B$8+Controls!$B$9)/2)+Controls!$B$10*(C20-IF(Controls!$B$7="Normal",Controls!$B$8,(Controls!$B$8+Controls!$B$9)/2))+SQRT(1-Controls!$B$10^2)*(Random!W21-IF(Controls!$B$7="Normal",Controls!$B$8,(Controls!$B$8+Controls!$B$9)/2)))</f>
        <v>46.70357412</v>
      </c>
      <c r="D21" s="10">
        <f>IF(Random!X21="","",IF(Controls!$B$7="Normal",Controls!$B$8,(Controls!$B$8+Controls!$B$9)/2)+Controls!$B$10*(D20-IF(Controls!$B$7="Normal",Controls!$B$8,(Controls!$B$8+Controls!$B$9)/2))+SQRT(1-Controls!$B$10^2)*(Random!X21-IF(Controls!$B$7="Normal",Controls!$B$8,(Controls!$B$8+Controls!$B$9)/2)))</f>
        <v>40.01877852</v>
      </c>
      <c r="E21" s="10" t="str">
        <f>IF(Random!Y21="","",IF(Controls!$B$7="Normal",Controls!$B$8,(Controls!$B$8+Controls!$B$9)/2)+Controls!$B$10*(E20-IF(Controls!$B$7="Normal",Controls!$B$8,(Controls!$B$8+Controls!$B$9)/2))+SQRT(1-Controls!$B$10^2)*(Random!Y21-IF(Controls!$B$7="Normal",Controls!$B$8,(Controls!$B$8+Controls!$B$9)/2)))</f>
        <v/>
      </c>
      <c r="F21" s="10" t="str">
        <f>IF(Random!Z21="","",IF(Controls!$B$7="Normal",Controls!$B$8,(Controls!$B$8+Controls!$B$9)/2)+Controls!$B$10*(F20-IF(Controls!$B$7="Normal",Controls!$B$8,(Controls!$B$8+Controls!$B$9)/2))+SQRT(1-Controls!$B$10^2)*(Random!Z21-IF(Controls!$B$7="Normal",Controls!$B$8,(Controls!$B$8+Controls!$B$9)/2)))</f>
        <v/>
      </c>
      <c r="G21" s="10" t="str">
        <f>IF(Random!AA21="","",IF(Controls!$B$7="Normal",Controls!$B$8,(Controls!$B$8+Controls!$B$9)/2)+Controls!$B$10*(G20-IF(Controls!$B$7="Normal",Controls!$B$8,(Controls!$B$8+Controls!$B$9)/2))+SQRT(1-Controls!$B$10^2)*(Random!AA21-IF(Controls!$B$7="Normal",Controls!$B$8,(Controls!$B$8+Controls!$B$9)/2)))</f>
        <v/>
      </c>
      <c r="H21" s="10" t="str">
        <f>IF(Random!AB21="","",IF(Controls!$B$7="Normal",Controls!$B$8,(Controls!$B$8+Controls!$B$9)/2)+Controls!$B$10*(H20-IF(Controls!$B$7="Normal",Controls!$B$8,(Controls!$B$8+Controls!$B$9)/2))+SQRT(1-Controls!$B$10^2)*(Random!AB21-IF(Controls!$B$7="Normal",Controls!$B$8,(Controls!$B$8+Controls!$B$9)/2)))</f>
        <v/>
      </c>
      <c r="I21" s="10" t="str">
        <f>IF(Random!AC21="","",IF(Controls!$B$7="Normal",Controls!$B$8,(Controls!$B$8+Controls!$B$9)/2)+Controls!$B$10*(I20-IF(Controls!$B$7="Normal",Controls!$B$8,(Controls!$B$8+Controls!$B$9)/2))+SQRT(1-Controls!$B$10^2)*(Random!AC21-IF(Controls!$B$7="Normal",Controls!$B$8,(Controls!$B$8+Controls!$B$9)/2)))</f>
        <v/>
      </c>
      <c r="J21" s="10" t="str">
        <f>IF(Random!AD21="","",IF(Controls!$B$7="Normal",Controls!$B$8,(Controls!$B$8+Controls!$B$9)/2)+Controls!$B$10*(J20-IF(Controls!$B$7="Normal",Controls!$B$8,(Controls!$B$8+Controls!$B$9)/2))+SQRT(1-Controls!$B$10^2)*(Random!AD21-IF(Controls!$B$7="Normal",Controls!$B$8,(Controls!$B$8+Controls!$B$9)/2)))</f>
        <v/>
      </c>
      <c r="K21" s="10" t="str">
        <f>IF(Random!AE21="","",IF(Controls!$B$7="Normal",Controls!$B$8,(Controls!$B$8+Controls!$B$9)/2)+Controls!$B$10*(K20-IF(Controls!$B$7="Normal",Controls!$B$8,(Controls!$B$8+Controls!$B$9)/2))+SQRT(1-Controls!$B$10^2)*(Random!AE21-IF(Controls!$B$7="Normal",Controls!$B$8,(Controls!$B$8+Controls!$B$9)/2)))</f>
        <v/>
      </c>
      <c r="L21" s="10">
        <f>IF($A21="","",IF(AND($A21&gt;=Controls!$B$25,$A21&lt;Controls!$B$25+Controls!$C$25),(Controls!$D$25-1)*EXP(-0.5*(($A21-Controls!$B$25-(Controls!$C$25-1)/2)/MAX(Controls!$C$25/4,0.5))^2),0))</f>
        <v>0</v>
      </c>
      <c r="M21" s="10">
        <f>IF($A21="","",IF(AND($A21&gt;=Controls!$B$26,$A21&lt;Controls!$B$26+Controls!$C$26),(Controls!$D$26-1)*EXP(-0.5*(($A21-Controls!$B$26-(Controls!$C$26-1)/2)/MAX(Controls!$C$26/4,0.5))^2),0))</f>
        <v>0</v>
      </c>
      <c r="N21" s="10">
        <f>IF($A21="","",IF(AND($A21&gt;=Controls!$B$27,$A21&lt;Controls!$B$27+Controls!$C$27),(Controls!$D$27-1)*EXP(-0.5*(($A21-Controls!$B$27-(Controls!$C$27-1)/2)/MAX(Controls!$C$27/4,0.5))^2),0))</f>
        <v>0</v>
      </c>
      <c r="O21" s="10">
        <f>IF($A21="","",IF(AND($A21&gt;=Controls!$B$28,$A21&lt;Controls!$B$28+Controls!$C$28),(Controls!$D$28-1)*EXP(-0.5*(($A21-Controls!$B$28-(Controls!$C$28-1)/2)/MAX(Controls!$C$28/4,0.5))^2),0))</f>
        <v>0</v>
      </c>
      <c r="P21" s="4" t="str">
        <f t="shared" si="1"/>
        <v>2099-11-21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21.0" customHeight="1">
      <c r="A22" s="7">
        <f>IF(21&lt;=Controls!$B$5,Controls!$B$4+20,"")</f>
        <v>73011</v>
      </c>
      <c r="B22" s="10">
        <f>IF(Random!V22="","",IF(Controls!$B$7="Normal",Controls!$B$8,(Controls!$B$8+Controls!$B$9)/2)+Controls!$B$10*(B21-IF(Controls!$B$7="Normal",Controls!$B$8,(Controls!$B$8+Controls!$B$9)/2))+SQRT(1-Controls!$B$10^2)*(Random!V22-IF(Controls!$B$7="Normal",Controls!$B$8,(Controls!$B$8+Controls!$B$9)/2)))</f>
        <v>66.20064409</v>
      </c>
      <c r="C22" s="10">
        <f>IF(Random!W22="","",IF(Controls!$B$7="Normal",Controls!$B$8,(Controls!$B$8+Controls!$B$9)/2)+Controls!$B$10*(C21-IF(Controls!$B$7="Normal",Controls!$B$8,(Controls!$B$8+Controls!$B$9)/2))+SQRT(1-Controls!$B$10^2)*(Random!W22-IF(Controls!$B$7="Normal",Controls!$B$8,(Controls!$B$8+Controls!$B$9)/2)))</f>
        <v>48.71167961</v>
      </c>
      <c r="D22" s="10">
        <f>IF(Random!X22="","",IF(Controls!$B$7="Normal",Controls!$B$8,(Controls!$B$8+Controls!$B$9)/2)+Controls!$B$10*(D21-IF(Controls!$B$7="Normal",Controls!$B$8,(Controls!$B$8+Controls!$B$9)/2))+SQRT(1-Controls!$B$10^2)*(Random!X22-IF(Controls!$B$7="Normal",Controls!$B$8,(Controls!$B$8+Controls!$B$9)/2)))</f>
        <v>41.75902969</v>
      </c>
      <c r="E22" s="10" t="str">
        <f>IF(Random!Y22="","",IF(Controls!$B$7="Normal",Controls!$B$8,(Controls!$B$8+Controls!$B$9)/2)+Controls!$B$10*(E21-IF(Controls!$B$7="Normal",Controls!$B$8,(Controls!$B$8+Controls!$B$9)/2))+SQRT(1-Controls!$B$10^2)*(Random!Y22-IF(Controls!$B$7="Normal",Controls!$B$8,(Controls!$B$8+Controls!$B$9)/2)))</f>
        <v/>
      </c>
      <c r="F22" s="10" t="str">
        <f>IF(Random!Z22="","",IF(Controls!$B$7="Normal",Controls!$B$8,(Controls!$B$8+Controls!$B$9)/2)+Controls!$B$10*(F21-IF(Controls!$B$7="Normal",Controls!$B$8,(Controls!$B$8+Controls!$B$9)/2))+SQRT(1-Controls!$B$10^2)*(Random!Z22-IF(Controls!$B$7="Normal",Controls!$B$8,(Controls!$B$8+Controls!$B$9)/2)))</f>
        <v/>
      </c>
      <c r="G22" s="10" t="str">
        <f>IF(Random!AA22="","",IF(Controls!$B$7="Normal",Controls!$B$8,(Controls!$B$8+Controls!$B$9)/2)+Controls!$B$10*(G21-IF(Controls!$B$7="Normal",Controls!$B$8,(Controls!$B$8+Controls!$B$9)/2))+SQRT(1-Controls!$B$10^2)*(Random!AA22-IF(Controls!$B$7="Normal",Controls!$B$8,(Controls!$B$8+Controls!$B$9)/2)))</f>
        <v/>
      </c>
      <c r="H22" s="10" t="str">
        <f>IF(Random!AB22="","",IF(Controls!$B$7="Normal",Controls!$B$8,(Controls!$B$8+Controls!$B$9)/2)+Controls!$B$10*(H21-IF(Controls!$B$7="Normal",Controls!$B$8,(Controls!$B$8+Controls!$B$9)/2))+SQRT(1-Controls!$B$10^2)*(Random!AB22-IF(Controls!$B$7="Normal",Controls!$B$8,(Controls!$B$8+Controls!$B$9)/2)))</f>
        <v/>
      </c>
      <c r="I22" s="10" t="str">
        <f>IF(Random!AC22="","",IF(Controls!$B$7="Normal",Controls!$B$8,(Controls!$B$8+Controls!$B$9)/2)+Controls!$B$10*(I21-IF(Controls!$B$7="Normal",Controls!$B$8,(Controls!$B$8+Controls!$B$9)/2))+SQRT(1-Controls!$B$10^2)*(Random!AC22-IF(Controls!$B$7="Normal",Controls!$B$8,(Controls!$B$8+Controls!$B$9)/2)))</f>
        <v/>
      </c>
      <c r="J22" s="10" t="str">
        <f>IF(Random!AD22="","",IF(Controls!$B$7="Normal",Controls!$B$8,(Controls!$B$8+Controls!$B$9)/2)+Controls!$B$10*(J21-IF(Controls!$B$7="Normal",Controls!$B$8,(Controls!$B$8+Controls!$B$9)/2))+SQRT(1-Controls!$B$10^2)*(Random!AD22-IF(Controls!$B$7="Normal",Controls!$B$8,(Controls!$B$8+Controls!$B$9)/2)))</f>
        <v/>
      </c>
      <c r="K22" s="10" t="str">
        <f>IF(Random!AE22="","",IF(Controls!$B$7="Normal",Controls!$B$8,(Controls!$B$8+Controls!$B$9)/2)+Controls!$B$10*(K21-IF(Controls!$B$7="Normal",Controls!$B$8,(Controls!$B$8+Controls!$B$9)/2))+SQRT(1-Controls!$B$10^2)*(Random!AE22-IF(Controls!$B$7="Normal",Controls!$B$8,(Controls!$B$8+Controls!$B$9)/2)))</f>
        <v/>
      </c>
      <c r="L22" s="10">
        <f>IF($A22="","",IF(AND($A22&gt;=Controls!$B$25,$A22&lt;Controls!$B$25+Controls!$C$25),(Controls!$D$25-1)*EXP(-0.5*(($A22-Controls!$B$25-(Controls!$C$25-1)/2)/MAX(Controls!$C$25/4,0.5))^2),0))</f>
        <v>0</v>
      </c>
      <c r="M22" s="10">
        <f>IF($A22="","",IF(AND($A22&gt;=Controls!$B$26,$A22&lt;Controls!$B$26+Controls!$C$26),(Controls!$D$26-1)*EXP(-0.5*(($A22-Controls!$B$26-(Controls!$C$26-1)/2)/MAX(Controls!$C$26/4,0.5))^2),0))</f>
        <v>0</v>
      </c>
      <c r="N22" s="10">
        <f>IF($A22="","",IF(AND($A22&gt;=Controls!$B$27,$A22&lt;Controls!$B$27+Controls!$C$27),(Controls!$D$27-1)*EXP(-0.5*(($A22-Controls!$B$27-(Controls!$C$27-1)/2)/MAX(Controls!$C$27/4,0.5))^2),0))</f>
        <v>0</v>
      </c>
      <c r="O22" s="10">
        <f>IF($A22="","",IF(AND($A22&gt;=Controls!$B$28,$A22&lt;Controls!$B$28+Controls!$C$28),(Controls!$D$28-1)*EXP(-0.5*(($A22-Controls!$B$28-(Controls!$C$28-1)/2)/MAX(Controls!$C$28/4,0.5))^2),0))</f>
        <v>0</v>
      </c>
      <c r="P22" s="4" t="str">
        <f t="shared" si="1"/>
        <v>2099-11-22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21.0" customHeight="1">
      <c r="A23" s="7">
        <f>IF(22&lt;=Controls!$B$5,Controls!$B$4+21,"")</f>
        <v>73012</v>
      </c>
      <c r="B23" s="10">
        <f>IF(Random!V23="","",IF(Controls!$B$7="Normal",Controls!$B$8,(Controls!$B$8+Controls!$B$9)/2)+Controls!$B$10*(B22-IF(Controls!$B$7="Normal",Controls!$B$8,(Controls!$B$8+Controls!$B$9)/2))+SQRT(1-Controls!$B$10^2)*(Random!V23-IF(Controls!$B$7="Normal",Controls!$B$8,(Controls!$B$8+Controls!$B$9)/2)))</f>
        <v>55.37532629</v>
      </c>
      <c r="C23" s="10">
        <f>IF(Random!W23="","",IF(Controls!$B$7="Normal",Controls!$B$8,(Controls!$B$8+Controls!$B$9)/2)+Controls!$B$10*(C22-IF(Controls!$B$7="Normal",Controls!$B$8,(Controls!$B$8+Controls!$B$9)/2))+SQRT(1-Controls!$B$10^2)*(Random!W23-IF(Controls!$B$7="Normal",Controls!$B$8,(Controls!$B$8+Controls!$B$9)/2)))</f>
        <v>53.94668107</v>
      </c>
      <c r="D23" s="10">
        <f>IF(Random!X23="","",IF(Controls!$B$7="Normal",Controls!$B$8,(Controls!$B$8+Controls!$B$9)/2)+Controls!$B$10*(D22-IF(Controls!$B$7="Normal",Controls!$B$8,(Controls!$B$8+Controls!$B$9)/2))+SQRT(1-Controls!$B$10^2)*(Random!X23-IF(Controls!$B$7="Normal",Controls!$B$8,(Controls!$B$8+Controls!$B$9)/2)))</f>
        <v>42.98211682</v>
      </c>
      <c r="E23" s="10" t="str">
        <f>IF(Random!Y23="","",IF(Controls!$B$7="Normal",Controls!$B$8,(Controls!$B$8+Controls!$B$9)/2)+Controls!$B$10*(E22-IF(Controls!$B$7="Normal",Controls!$B$8,(Controls!$B$8+Controls!$B$9)/2))+SQRT(1-Controls!$B$10^2)*(Random!Y23-IF(Controls!$B$7="Normal",Controls!$B$8,(Controls!$B$8+Controls!$B$9)/2)))</f>
        <v/>
      </c>
      <c r="F23" s="10" t="str">
        <f>IF(Random!Z23="","",IF(Controls!$B$7="Normal",Controls!$B$8,(Controls!$B$8+Controls!$B$9)/2)+Controls!$B$10*(F22-IF(Controls!$B$7="Normal",Controls!$B$8,(Controls!$B$8+Controls!$B$9)/2))+SQRT(1-Controls!$B$10^2)*(Random!Z23-IF(Controls!$B$7="Normal",Controls!$B$8,(Controls!$B$8+Controls!$B$9)/2)))</f>
        <v/>
      </c>
      <c r="G23" s="10" t="str">
        <f>IF(Random!AA23="","",IF(Controls!$B$7="Normal",Controls!$B$8,(Controls!$B$8+Controls!$B$9)/2)+Controls!$B$10*(G22-IF(Controls!$B$7="Normal",Controls!$B$8,(Controls!$B$8+Controls!$B$9)/2))+SQRT(1-Controls!$B$10^2)*(Random!AA23-IF(Controls!$B$7="Normal",Controls!$B$8,(Controls!$B$8+Controls!$B$9)/2)))</f>
        <v/>
      </c>
      <c r="H23" s="10" t="str">
        <f>IF(Random!AB23="","",IF(Controls!$B$7="Normal",Controls!$B$8,(Controls!$B$8+Controls!$B$9)/2)+Controls!$B$10*(H22-IF(Controls!$B$7="Normal",Controls!$B$8,(Controls!$B$8+Controls!$B$9)/2))+SQRT(1-Controls!$B$10^2)*(Random!AB23-IF(Controls!$B$7="Normal",Controls!$B$8,(Controls!$B$8+Controls!$B$9)/2)))</f>
        <v/>
      </c>
      <c r="I23" s="10" t="str">
        <f>IF(Random!AC23="","",IF(Controls!$B$7="Normal",Controls!$B$8,(Controls!$B$8+Controls!$B$9)/2)+Controls!$B$10*(I22-IF(Controls!$B$7="Normal",Controls!$B$8,(Controls!$B$8+Controls!$B$9)/2))+SQRT(1-Controls!$B$10^2)*(Random!AC23-IF(Controls!$B$7="Normal",Controls!$B$8,(Controls!$B$8+Controls!$B$9)/2)))</f>
        <v/>
      </c>
      <c r="J23" s="10" t="str">
        <f>IF(Random!AD23="","",IF(Controls!$B$7="Normal",Controls!$B$8,(Controls!$B$8+Controls!$B$9)/2)+Controls!$B$10*(J22-IF(Controls!$B$7="Normal",Controls!$B$8,(Controls!$B$8+Controls!$B$9)/2))+SQRT(1-Controls!$B$10^2)*(Random!AD23-IF(Controls!$B$7="Normal",Controls!$B$8,(Controls!$B$8+Controls!$B$9)/2)))</f>
        <v/>
      </c>
      <c r="K23" s="10" t="str">
        <f>IF(Random!AE23="","",IF(Controls!$B$7="Normal",Controls!$B$8,(Controls!$B$8+Controls!$B$9)/2)+Controls!$B$10*(K22-IF(Controls!$B$7="Normal",Controls!$B$8,(Controls!$B$8+Controls!$B$9)/2))+SQRT(1-Controls!$B$10^2)*(Random!AE23-IF(Controls!$B$7="Normal",Controls!$B$8,(Controls!$B$8+Controls!$B$9)/2)))</f>
        <v/>
      </c>
      <c r="L23" s="10">
        <f>IF($A23="","",IF(AND($A23&gt;=Controls!$B$25,$A23&lt;Controls!$B$25+Controls!$C$25),(Controls!$D$25-1)*EXP(-0.5*(($A23-Controls!$B$25-(Controls!$C$25-1)/2)/MAX(Controls!$C$25/4,0.5))^2),0))</f>
        <v>0</v>
      </c>
      <c r="M23" s="10">
        <f>IF($A23="","",IF(AND($A23&gt;=Controls!$B$26,$A23&lt;Controls!$B$26+Controls!$C$26),(Controls!$D$26-1)*EXP(-0.5*(($A23-Controls!$B$26-(Controls!$C$26-1)/2)/MAX(Controls!$C$26/4,0.5))^2),0))</f>
        <v>0</v>
      </c>
      <c r="N23" s="10">
        <f>IF($A23="","",IF(AND($A23&gt;=Controls!$B$27,$A23&lt;Controls!$B$27+Controls!$C$27),(Controls!$D$27-1)*EXP(-0.5*(($A23-Controls!$B$27-(Controls!$C$27-1)/2)/MAX(Controls!$C$27/4,0.5))^2),0))</f>
        <v>0</v>
      </c>
      <c r="O23" s="10">
        <f>IF($A23="","",IF(AND($A23&gt;=Controls!$B$28,$A23&lt;Controls!$B$28+Controls!$C$28),(Controls!$D$28-1)*EXP(-0.5*(($A23-Controls!$B$28-(Controls!$C$28-1)/2)/MAX(Controls!$C$28/4,0.5))^2),0))</f>
        <v>0</v>
      </c>
      <c r="P23" s="4" t="str">
        <f t="shared" si="1"/>
        <v>2099-11-23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21.0" customHeight="1">
      <c r="A24" s="7">
        <f>IF(23&lt;=Controls!$B$5,Controls!$B$4+22,"")</f>
        <v>73013</v>
      </c>
      <c r="B24" s="10">
        <f>IF(Random!V24="","",IF(Controls!$B$7="Normal",Controls!$B$8,(Controls!$B$8+Controls!$B$9)/2)+Controls!$B$10*(B23-IF(Controls!$B$7="Normal",Controls!$B$8,(Controls!$B$8+Controls!$B$9)/2))+SQRT(1-Controls!$B$10^2)*(Random!V24-IF(Controls!$B$7="Normal",Controls!$B$8,(Controls!$B$8+Controls!$B$9)/2)))</f>
        <v>44.36111515</v>
      </c>
      <c r="C24" s="10">
        <f>IF(Random!W24="","",IF(Controls!$B$7="Normal",Controls!$B$8,(Controls!$B$8+Controls!$B$9)/2)+Controls!$B$10*(C23-IF(Controls!$B$7="Normal",Controls!$B$8,(Controls!$B$8+Controls!$B$9)/2))+SQRT(1-Controls!$B$10^2)*(Random!W24-IF(Controls!$B$7="Normal",Controls!$B$8,(Controls!$B$8+Controls!$B$9)/2)))</f>
        <v>67.02758591</v>
      </c>
      <c r="D24" s="10">
        <f>IF(Random!X24="","",IF(Controls!$B$7="Normal",Controls!$B$8,(Controls!$B$8+Controls!$B$9)/2)+Controls!$B$10*(D23-IF(Controls!$B$7="Normal",Controls!$B$8,(Controls!$B$8+Controls!$B$9)/2))+SQRT(1-Controls!$B$10^2)*(Random!X24-IF(Controls!$B$7="Normal",Controls!$B$8,(Controls!$B$8+Controls!$B$9)/2)))</f>
        <v>42.52953162</v>
      </c>
      <c r="E24" s="10" t="str">
        <f>IF(Random!Y24="","",IF(Controls!$B$7="Normal",Controls!$B$8,(Controls!$B$8+Controls!$B$9)/2)+Controls!$B$10*(E23-IF(Controls!$B$7="Normal",Controls!$B$8,(Controls!$B$8+Controls!$B$9)/2))+SQRT(1-Controls!$B$10^2)*(Random!Y24-IF(Controls!$B$7="Normal",Controls!$B$8,(Controls!$B$8+Controls!$B$9)/2)))</f>
        <v/>
      </c>
      <c r="F24" s="10" t="str">
        <f>IF(Random!Z24="","",IF(Controls!$B$7="Normal",Controls!$B$8,(Controls!$B$8+Controls!$B$9)/2)+Controls!$B$10*(F23-IF(Controls!$B$7="Normal",Controls!$B$8,(Controls!$B$8+Controls!$B$9)/2))+SQRT(1-Controls!$B$10^2)*(Random!Z24-IF(Controls!$B$7="Normal",Controls!$B$8,(Controls!$B$8+Controls!$B$9)/2)))</f>
        <v/>
      </c>
      <c r="G24" s="10" t="str">
        <f>IF(Random!AA24="","",IF(Controls!$B$7="Normal",Controls!$B$8,(Controls!$B$8+Controls!$B$9)/2)+Controls!$B$10*(G23-IF(Controls!$B$7="Normal",Controls!$B$8,(Controls!$B$8+Controls!$B$9)/2))+SQRT(1-Controls!$B$10^2)*(Random!AA24-IF(Controls!$B$7="Normal",Controls!$B$8,(Controls!$B$8+Controls!$B$9)/2)))</f>
        <v/>
      </c>
      <c r="H24" s="10" t="str">
        <f>IF(Random!AB24="","",IF(Controls!$B$7="Normal",Controls!$B$8,(Controls!$B$8+Controls!$B$9)/2)+Controls!$B$10*(H23-IF(Controls!$B$7="Normal",Controls!$B$8,(Controls!$B$8+Controls!$B$9)/2))+SQRT(1-Controls!$B$10^2)*(Random!AB24-IF(Controls!$B$7="Normal",Controls!$B$8,(Controls!$B$8+Controls!$B$9)/2)))</f>
        <v/>
      </c>
      <c r="I24" s="10" t="str">
        <f>IF(Random!AC24="","",IF(Controls!$B$7="Normal",Controls!$B$8,(Controls!$B$8+Controls!$B$9)/2)+Controls!$B$10*(I23-IF(Controls!$B$7="Normal",Controls!$B$8,(Controls!$B$8+Controls!$B$9)/2))+SQRT(1-Controls!$B$10^2)*(Random!AC24-IF(Controls!$B$7="Normal",Controls!$B$8,(Controls!$B$8+Controls!$B$9)/2)))</f>
        <v/>
      </c>
      <c r="J24" s="10" t="str">
        <f>IF(Random!AD24="","",IF(Controls!$B$7="Normal",Controls!$B$8,(Controls!$B$8+Controls!$B$9)/2)+Controls!$B$10*(J23-IF(Controls!$B$7="Normal",Controls!$B$8,(Controls!$B$8+Controls!$B$9)/2))+SQRT(1-Controls!$B$10^2)*(Random!AD24-IF(Controls!$B$7="Normal",Controls!$B$8,(Controls!$B$8+Controls!$B$9)/2)))</f>
        <v/>
      </c>
      <c r="K24" s="10" t="str">
        <f>IF(Random!AE24="","",IF(Controls!$B$7="Normal",Controls!$B$8,(Controls!$B$8+Controls!$B$9)/2)+Controls!$B$10*(K23-IF(Controls!$B$7="Normal",Controls!$B$8,(Controls!$B$8+Controls!$B$9)/2))+SQRT(1-Controls!$B$10^2)*(Random!AE24-IF(Controls!$B$7="Normal",Controls!$B$8,(Controls!$B$8+Controls!$B$9)/2)))</f>
        <v/>
      </c>
      <c r="L24" s="10">
        <f>IF($A24="","",IF(AND($A24&gt;=Controls!$B$25,$A24&lt;Controls!$B$25+Controls!$C$25),(Controls!$D$25-1)*EXP(-0.5*(($A24-Controls!$B$25-(Controls!$C$25-1)/2)/MAX(Controls!$C$25/4,0.5))^2),0))</f>
        <v>0</v>
      </c>
      <c r="M24" s="10">
        <f>IF($A24="","",IF(AND($A24&gt;=Controls!$B$26,$A24&lt;Controls!$B$26+Controls!$C$26),(Controls!$D$26-1)*EXP(-0.5*(($A24-Controls!$B$26-(Controls!$C$26-1)/2)/MAX(Controls!$C$26/4,0.5))^2),0))</f>
        <v>0</v>
      </c>
      <c r="N24" s="10">
        <f>IF($A24="","",IF(AND($A24&gt;=Controls!$B$27,$A24&lt;Controls!$B$27+Controls!$C$27),(Controls!$D$27-1)*EXP(-0.5*(($A24-Controls!$B$27-(Controls!$C$27-1)/2)/MAX(Controls!$C$27/4,0.5))^2),0))</f>
        <v>0</v>
      </c>
      <c r="O24" s="10">
        <f>IF($A24="","",IF(AND($A24&gt;=Controls!$B$28,$A24&lt;Controls!$B$28+Controls!$C$28),(Controls!$D$28-1)*EXP(-0.5*(($A24-Controls!$B$28-(Controls!$C$28-1)/2)/MAX(Controls!$C$28/4,0.5))^2),0))</f>
        <v>0</v>
      </c>
      <c r="P24" s="4" t="str">
        <f t="shared" si="1"/>
        <v>2099-11-24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21.0" customHeight="1">
      <c r="A25" s="7">
        <f>IF(24&lt;=Controls!$B$5,Controls!$B$4+23,"")</f>
        <v>73014</v>
      </c>
      <c r="B25" s="10">
        <f>IF(Random!V25="","",IF(Controls!$B$7="Normal",Controls!$B$8,(Controls!$B$8+Controls!$B$9)/2)+Controls!$B$10*(B24-IF(Controls!$B$7="Normal",Controls!$B$8,(Controls!$B$8+Controls!$B$9)/2))+SQRT(1-Controls!$B$10^2)*(Random!V25-IF(Controls!$B$7="Normal",Controls!$B$8,(Controls!$B$8+Controls!$B$9)/2)))</f>
        <v>38.28942194</v>
      </c>
      <c r="C25" s="10">
        <f>IF(Random!W25="","",IF(Controls!$B$7="Normal",Controls!$B$8,(Controls!$B$8+Controls!$B$9)/2)+Controls!$B$10*(C24-IF(Controls!$B$7="Normal",Controls!$B$8,(Controls!$B$8+Controls!$B$9)/2))+SQRT(1-Controls!$B$10^2)*(Random!W25-IF(Controls!$B$7="Normal",Controls!$B$8,(Controls!$B$8+Controls!$B$9)/2)))</f>
        <v>67.63289675</v>
      </c>
      <c r="D25" s="10">
        <f>IF(Random!X25="","",IF(Controls!$B$7="Normal",Controls!$B$8,(Controls!$B$8+Controls!$B$9)/2)+Controls!$B$10*(D24-IF(Controls!$B$7="Normal",Controls!$B$8,(Controls!$B$8+Controls!$B$9)/2))+SQRT(1-Controls!$B$10^2)*(Random!X25-IF(Controls!$B$7="Normal",Controls!$B$8,(Controls!$B$8+Controls!$B$9)/2)))</f>
        <v>53.93210438</v>
      </c>
      <c r="E25" s="10" t="str">
        <f>IF(Random!Y25="","",IF(Controls!$B$7="Normal",Controls!$B$8,(Controls!$B$8+Controls!$B$9)/2)+Controls!$B$10*(E24-IF(Controls!$B$7="Normal",Controls!$B$8,(Controls!$B$8+Controls!$B$9)/2))+SQRT(1-Controls!$B$10^2)*(Random!Y25-IF(Controls!$B$7="Normal",Controls!$B$8,(Controls!$B$8+Controls!$B$9)/2)))</f>
        <v/>
      </c>
      <c r="F25" s="10" t="str">
        <f>IF(Random!Z25="","",IF(Controls!$B$7="Normal",Controls!$B$8,(Controls!$B$8+Controls!$B$9)/2)+Controls!$B$10*(F24-IF(Controls!$B$7="Normal",Controls!$B$8,(Controls!$B$8+Controls!$B$9)/2))+SQRT(1-Controls!$B$10^2)*(Random!Z25-IF(Controls!$B$7="Normal",Controls!$B$8,(Controls!$B$8+Controls!$B$9)/2)))</f>
        <v/>
      </c>
      <c r="G25" s="10" t="str">
        <f>IF(Random!AA25="","",IF(Controls!$B$7="Normal",Controls!$B$8,(Controls!$B$8+Controls!$B$9)/2)+Controls!$B$10*(G24-IF(Controls!$B$7="Normal",Controls!$B$8,(Controls!$B$8+Controls!$B$9)/2))+SQRT(1-Controls!$B$10^2)*(Random!AA25-IF(Controls!$B$7="Normal",Controls!$B$8,(Controls!$B$8+Controls!$B$9)/2)))</f>
        <v/>
      </c>
      <c r="H25" s="10" t="str">
        <f>IF(Random!AB25="","",IF(Controls!$B$7="Normal",Controls!$B$8,(Controls!$B$8+Controls!$B$9)/2)+Controls!$B$10*(H24-IF(Controls!$B$7="Normal",Controls!$B$8,(Controls!$B$8+Controls!$B$9)/2))+SQRT(1-Controls!$B$10^2)*(Random!AB25-IF(Controls!$B$7="Normal",Controls!$B$8,(Controls!$B$8+Controls!$B$9)/2)))</f>
        <v/>
      </c>
      <c r="I25" s="10" t="str">
        <f>IF(Random!AC25="","",IF(Controls!$B$7="Normal",Controls!$B$8,(Controls!$B$8+Controls!$B$9)/2)+Controls!$B$10*(I24-IF(Controls!$B$7="Normal",Controls!$B$8,(Controls!$B$8+Controls!$B$9)/2))+SQRT(1-Controls!$B$10^2)*(Random!AC25-IF(Controls!$B$7="Normal",Controls!$B$8,(Controls!$B$8+Controls!$B$9)/2)))</f>
        <v/>
      </c>
      <c r="J25" s="10" t="str">
        <f>IF(Random!AD25="","",IF(Controls!$B$7="Normal",Controls!$B$8,(Controls!$B$8+Controls!$B$9)/2)+Controls!$B$10*(J24-IF(Controls!$B$7="Normal",Controls!$B$8,(Controls!$B$8+Controls!$B$9)/2))+SQRT(1-Controls!$B$10^2)*(Random!AD25-IF(Controls!$B$7="Normal",Controls!$B$8,(Controls!$B$8+Controls!$B$9)/2)))</f>
        <v/>
      </c>
      <c r="K25" s="10" t="str">
        <f>IF(Random!AE25="","",IF(Controls!$B$7="Normal",Controls!$B$8,(Controls!$B$8+Controls!$B$9)/2)+Controls!$B$10*(K24-IF(Controls!$B$7="Normal",Controls!$B$8,(Controls!$B$8+Controls!$B$9)/2))+SQRT(1-Controls!$B$10^2)*(Random!AE25-IF(Controls!$B$7="Normal",Controls!$B$8,(Controls!$B$8+Controls!$B$9)/2)))</f>
        <v/>
      </c>
      <c r="L25" s="10">
        <f>IF($A25="","",IF(AND($A25&gt;=Controls!$B$25,$A25&lt;Controls!$B$25+Controls!$C$25),(Controls!$D$25-1)*EXP(-0.5*(($A25-Controls!$B$25-(Controls!$C$25-1)/2)/MAX(Controls!$C$25/4,0.5))^2),0))</f>
        <v>0</v>
      </c>
      <c r="M25" s="10">
        <f>IF($A25="","",IF(AND($A25&gt;=Controls!$B$26,$A25&lt;Controls!$B$26+Controls!$C$26),(Controls!$D$26-1)*EXP(-0.5*(($A25-Controls!$B$26-(Controls!$C$26-1)/2)/MAX(Controls!$C$26/4,0.5))^2),0))</f>
        <v>0</v>
      </c>
      <c r="N25" s="10">
        <f>IF($A25="","",IF(AND($A25&gt;=Controls!$B$27,$A25&lt;Controls!$B$27+Controls!$C$27),(Controls!$D$27-1)*EXP(-0.5*(($A25-Controls!$B$27-(Controls!$C$27-1)/2)/MAX(Controls!$C$27/4,0.5))^2),0))</f>
        <v>0</v>
      </c>
      <c r="O25" s="10">
        <f>IF($A25="","",IF(AND($A25&gt;=Controls!$B$28,$A25&lt;Controls!$B$28+Controls!$C$28),(Controls!$D$28-1)*EXP(-0.5*(($A25-Controls!$B$28-(Controls!$C$28-1)/2)/MAX(Controls!$C$28/4,0.5))^2),0))</f>
        <v>0</v>
      </c>
      <c r="P25" s="4" t="str">
        <f t="shared" si="1"/>
        <v>2099-11-25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21.0" customHeight="1">
      <c r="A26" s="7">
        <f>IF(25&lt;=Controls!$B$5,Controls!$B$4+24,"")</f>
        <v>73015</v>
      </c>
      <c r="B26" s="10">
        <f>IF(Random!V26="","",IF(Controls!$B$7="Normal",Controls!$B$8,(Controls!$B$8+Controls!$B$9)/2)+Controls!$B$10*(B25-IF(Controls!$B$7="Normal",Controls!$B$8,(Controls!$B$8+Controls!$B$9)/2))+SQRT(1-Controls!$B$10^2)*(Random!V26-IF(Controls!$B$7="Normal",Controls!$B$8,(Controls!$B$8+Controls!$B$9)/2)))</f>
        <v>31.07174766</v>
      </c>
      <c r="C26" s="10">
        <f>IF(Random!W26="","",IF(Controls!$B$7="Normal",Controls!$B$8,(Controls!$B$8+Controls!$B$9)/2)+Controls!$B$10*(C25-IF(Controls!$B$7="Normal",Controls!$B$8,(Controls!$B$8+Controls!$B$9)/2))+SQRT(1-Controls!$B$10^2)*(Random!W26-IF(Controls!$B$7="Normal",Controls!$B$8,(Controls!$B$8+Controls!$B$9)/2)))</f>
        <v>54.29032626</v>
      </c>
      <c r="D26" s="10">
        <f>IF(Random!X26="","",IF(Controls!$B$7="Normal",Controls!$B$8,(Controls!$B$8+Controls!$B$9)/2)+Controls!$B$10*(D25-IF(Controls!$B$7="Normal",Controls!$B$8,(Controls!$B$8+Controls!$B$9)/2))+SQRT(1-Controls!$B$10^2)*(Random!X26-IF(Controls!$B$7="Normal",Controls!$B$8,(Controls!$B$8+Controls!$B$9)/2)))</f>
        <v>46.07205419</v>
      </c>
      <c r="E26" s="10" t="str">
        <f>IF(Random!Y26="","",IF(Controls!$B$7="Normal",Controls!$B$8,(Controls!$B$8+Controls!$B$9)/2)+Controls!$B$10*(E25-IF(Controls!$B$7="Normal",Controls!$B$8,(Controls!$B$8+Controls!$B$9)/2))+SQRT(1-Controls!$B$10^2)*(Random!Y26-IF(Controls!$B$7="Normal",Controls!$B$8,(Controls!$B$8+Controls!$B$9)/2)))</f>
        <v/>
      </c>
      <c r="F26" s="10" t="str">
        <f>IF(Random!Z26="","",IF(Controls!$B$7="Normal",Controls!$B$8,(Controls!$B$8+Controls!$B$9)/2)+Controls!$B$10*(F25-IF(Controls!$B$7="Normal",Controls!$B$8,(Controls!$B$8+Controls!$B$9)/2))+SQRT(1-Controls!$B$10^2)*(Random!Z26-IF(Controls!$B$7="Normal",Controls!$B$8,(Controls!$B$8+Controls!$B$9)/2)))</f>
        <v/>
      </c>
      <c r="G26" s="10" t="str">
        <f>IF(Random!AA26="","",IF(Controls!$B$7="Normal",Controls!$B$8,(Controls!$B$8+Controls!$B$9)/2)+Controls!$B$10*(G25-IF(Controls!$B$7="Normal",Controls!$B$8,(Controls!$B$8+Controls!$B$9)/2))+SQRT(1-Controls!$B$10^2)*(Random!AA26-IF(Controls!$B$7="Normal",Controls!$B$8,(Controls!$B$8+Controls!$B$9)/2)))</f>
        <v/>
      </c>
      <c r="H26" s="10" t="str">
        <f>IF(Random!AB26="","",IF(Controls!$B$7="Normal",Controls!$B$8,(Controls!$B$8+Controls!$B$9)/2)+Controls!$B$10*(H25-IF(Controls!$B$7="Normal",Controls!$B$8,(Controls!$B$8+Controls!$B$9)/2))+SQRT(1-Controls!$B$10^2)*(Random!AB26-IF(Controls!$B$7="Normal",Controls!$B$8,(Controls!$B$8+Controls!$B$9)/2)))</f>
        <v/>
      </c>
      <c r="I26" s="10" t="str">
        <f>IF(Random!AC26="","",IF(Controls!$B$7="Normal",Controls!$B$8,(Controls!$B$8+Controls!$B$9)/2)+Controls!$B$10*(I25-IF(Controls!$B$7="Normal",Controls!$B$8,(Controls!$B$8+Controls!$B$9)/2))+SQRT(1-Controls!$B$10^2)*(Random!AC26-IF(Controls!$B$7="Normal",Controls!$B$8,(Controls!$B$8+Controls!$B$9)/2)))</f>
        <v/>
      </c>
      <c r="J26" s="10" t="str">
        <f>IF(Random!AD26="","",IF(Controls!$B$7="Normal",Controls!$B$8,(Controls!$B$8+Controls!$B$9)/2)+Controls!$B$10*(J25-IF(Controls!$B$7="Normal",Controls!$B$8,(Controls!$B$8+Controls!$B$9)/2))+SQRT(1-Controls!$B$10^2)*(Random!AD26-IF(Controls!$B$7="Normal",Controls!$B$8,(Controls!$B$8+Controls!$B$9)/2)))</f>
        <v/>
      </c>
      <c r="K26" s="10" t="str">
        <f>IF(Random!AE26="","",IF(Controls!$B$7="Normal",Controls!$B$8,(Controls!$B$8+Controls!$B$9)/2)+Controls!$B$10*(K25-IF(Controls!$B$7="Normal",Controls!$B$8,(Controls!$B$8+Controls!$B$9)/2))+SQRT(1-Controls!$B$10^2)*(Random!AE26-IF(Controls!$B$7="Normal",Controls!$B$8,(Controls!$B$8+Controls!$B$9)/2)))</f>
        <v/>
      </c>
      <c r="L26" s="10">
        <f>IF($A26="","",IF(AND($A26&gt;=Controls!$B$25,$A26&lt;Controls!$B$25+Controls!$C$25),(Controls!$D$25-1)*EXP(-0.5*(($A26-Controls!$B$25-(Controls!$C$25-1)/2)/MAX(Controls!$C$25/4,0.5))^2),0))</f>
        <v>0</v>
      </c>
      <c r="M26" s="10">
        <f>IF($A26="","",IF(AND($A26&gt;=Controls!$B$26,$A26&lt;Controls!$B$26+Controls!$C$26),(Controls!$D$26-1)*EXP(-0.5*(($A26-Controls!$B$26-(Controls!$C$26-1)/2)/MAX(Controls!$C$26/4,0.5))^2),0))</f>
        <v>0</v>
      </c>
      <c r="N26" s="10">
        <f>IF($A26="","",IF(AND($A26&gt;=Controls!$B$27,$A26&lt;Controls!$B$27+Controls!$C$27),(Controls!$D$27-1)*EXP(-0.5*(($A26-Controls!$B$27-(Controls!$C$27-1)/2)/MAX(Controls!$C$27/4,0.5))^2),0))</f>
        <v>0</v>
      </c>
      <c r="O26" s="10">
        <f>IF($A26="","",IF(AND($A26&gt;=Controls!$B$28,$A26&lt;Controls!$B$28+Controls!$C$28),(Controls!$D$28-1)*EXP(-0.5*(($A26-Controls!$B$28-(Controls!$C$28-1)/2)/MAX(Controls!$C$28/4,0.5))^2),0))</f>
        <v>0</v>
      </c>
      <c r="P26" s="4" t="str">
        <f t="shared" si="1"/>
        <v>2099-11-26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21.0" customHeight="1">
      <c r="A27" s="7">
        <f>IF(26&lt;=Controls!$B$5,Controls!$B$4+25,"")</f>
        <v>73016</v>
      </c>
      <c r="B27" s="10">
        <f>IF(Random!V27="","",IF(Controls!$B$7="Normal",Controls!$B$8,(Controls!$B$8+Controls!$B$9)/2)+Controls!$B$10*(B26-IF(Controls!$B$7="Normal",Controls!$B$8,(Controls!$B$8+Controls!$B$9)/2))+SQRT(1-Controls!$B$10^2)*(Random!V27-IF(Controls!$B$7="Normal",Controls!$B$8,(Controls!$B$8+Controls!$B$9)/2)))</f>
        <v>41.95749419</v>
      </c>
      <c r="C27" s="10">
        <f>IF(Random!W27="","",IF(Controls!$B$7="Normal",Controls!$B$8,(Controls!$B$8+Controls!$B$9)/2)+Controls!$B$10*(C26-IF(Controls!$B$7="Normal",Controls!$B$8,(Controls!$B$8+Controls!$B$9)/2))+SQRT(1-Controls!$B$10^2)*(Random!W27-IF(Controls!$B$7="Normal",Controls!$B$8,(Controls!$B$8+Controls!$B$9)/2)))</f>
        <v>53.70763852</v>
      </c>
      <c r="D27" s="10">
        <f>IF(Random!X27="","",IF(Controls!$B$7="Normal",Controls!$B$8,(Controls!$B$8+Controls!$B$9)/2)+Controls!$B$10*(D26-IF(Controls!$B$7="Normal",Controls!$B$8,(Controls!$B$8+Controls!$B$9)/2))+SQRT(1-Controls!$B$10^2)*(Random!X27-IF(Controls!$B$7="Normal",Controls!$B$8,(Controls!$B$8+Controls!$B$9)/2)))</f>
        <v>38.37985524</v>
      </c>
      <c r="E27" s="10" t="str">
        <f>IF(Random!Y27="","",IF(Controls!$B$7="Normal",Controls!$B$8,(Controls!$B$8+Controls!$B$9)/2)+Controls!$B$10*(E26-IF(Controls!$B$7="Normal",Controls!$B$8,(Controls!$B$8+Controls!$B$9)/2))+SQRT(1-Controls!$B$10^2)*(Random!Y27-IF(Controls!$B$7="Normal",Controls!$B$8,(Controls!$B$8+Controls!$B$9)/2)))</f>
        <v/>
      </c>
      <c r="F27" s="10" t="str">
        <f>IF(Random!Z27="","",IF(Controls!$B$7="Normal",Controls!$B$8,(Controls!$B$8+Controls!$B$9)/2)+Controls!$B$10*(F26-IF(Controls!$B$7="Normal",Controls!$B$8,(Controls!$B$8+Controls!$B$9)/2))+SQRT(1-Controls!$B$10^2)*(Random!Z27-IF(Controls!$B$7="Normal",Controls!$B$8,(Controls!$B$8+Controls!$B$9)/2)))</f>
        <v/>
      </c>
      <c r="G27" s="10" t="str">
        <f>IF(Random!AA27="","",IF(Controls!$B$7="Normal",Controls!$B$8,(Controls!$B$8+Controls!$B$9)/2)+Controls!$B$10*(G26-IF(Controls!$B$7="Normal",Controls!$B$8,(Controls!$B$8+Controls!$B$9)/2))+SQRT(1-Controls!$B$10^2)*(Random!AA27-IF(Controls!$B$7="Normal",Controls!$B$8,(Controls!$B$8+Controls!$B$9)/2)))</f>
        <v/>
      </c>
      <c r="H27" s="10" t="str">
        <f>IF(Random!AB27="","",IF(Controls!$B$7="Normal",Controls!$B$8,(Controls!$B$8+Controls!$B$9)/2)+Controls!$B$10*(H26-IF(Controls!$B$7="Normal",Controls!$B$8,(Controls!$B$8+Controls!$B$9)/2))+SQRT(1-Controls!$B$10^2)*(Random!AB27-IF(Controls!$B$7="Normal",Controls!$B$8,(Controls!$B$8+Controls!$B$9)/2)))</f>
        <v/>
      </c>
      <c r="I27" s="10" t="str">
        <f>IF(Random!AC27="","",IF(Controls!$B$7="Normal",Controls!$B$8,(Controls!$B$8+Controls!$B$9)/2)+Controls!$B$10*(I26-IF(Controls!$B$7="Normal",Controls!$B$8,(Controls!$B$8+Controls!$B$9)/2))+SQRT(1-Controls!$B$10^2)*(Random!AC27-IF(Controls!$B$7="Normal",Controls!$B$8,(Controls!$B$8+Controls!$B$9)/2)))</f>
        <v/>
      </c>
      <c r="J27" s="10" t="str">
        <f>IF(Random!AD27="","",IF(Controls!$B$7="Normal",Controls!$B$8,(Controls!$B$8+Controls!$B$9)/2)+Controls!$B$10*(J26-IF(Controls!$B$7="Normal",Controls!$B$8,(Controls!$B$8+Controls!$B$9)/2))+SQRT(1-Controls!$B$10^2)*(Random!AD27-IF(Controls!$B$7="Normal",Controls!$B$8,(Controls!$B$8+Controls!$B$9)/2)))</f>
        <v/>
      </c>
      <c r="K27" s="10" t="str">
        <f>IF(Random!AE27="","",IF(Controls!$B$7="Normal",Controls!$B$8,(Controls!$B$8+Controls!$B$9)/2)+Controls!$B$10*(K26-IF(Controls!$B$7="Normal",Controls!$B$8,(Controls!$B$8+Controls!$B$9)/2))+SQRT(1-Controls!$B$10^2)*(Random!AE27-IF(Controls!$B$7="Normal",Controls!$B$8,(Controls!$B$8+Controls!$B$9)/2)))</f>
        <v/>
      </c>
      <c r="L27" s="10">
        <f>IF($A27="","",IF(AND($A27&gt;=Controls!$B$25,$A27&lt;Controls!$B$25+Controls!$C$25),(Controls!$D$25-1)*EXP(-0.5*(($A27-Controls!$B$25-(Controls!$C$25-1)/2)/MAX(Controls!$C$25/4,0.5))^2),0))</f>
        <v>0</v>
      </c>
      <c r="M27" s="10">
        <f>IF($A27="","",IF(AND($A27&gt;=Controls!$B$26,$A27&lt;Controls!$B$26+Controls!$C$26),(Controls!$D$26-1)*EXP(-0.5*(($A27-Controls!$B$26-(Controls!$C$26-1)/2)/MAX(Controls!$C$26/4,0.5))^2),0))</f>
        <v>0</v>
      </c>
      <c r="N27" s="10">
        <f>IF($A27="","",IF(AND($A27&gt;=Controls!$B$27,$A27&lt;Controls!$B$27+Controls!$C$27),(Controls!$D$27-1)*EXP(-0.5*(($A27-Controls!$B$27-(Controls!$C$27-1)/2)/MAX(Controls!$C$27/4,0.5))^2),0))</f>
        <v>0</v>
      </c>
      <c r="O27" s="10">
        <f>IF($A27="","",IF(AND($A27&gt;=Controls!$B$28,$A27&lt;Controls!$B$28+Controls!$C$28),(Controls!$D$28-1)*EXP(-0.5*(($A27-Controls!$B$28-(Controls!$C$28-1)/2)/MAX(Controls!$C$28/4,0.5))^2),0))</f>
        <v>0</v>
      </c>
      <c r="P27" s="4" t="str">
        <f t="shared" si="1"/>
        <v>2099-11-27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21.0" customHeight="1">
      <c r="A28" s="7">
        <f>IF(27&lt;=Controls!$B$5,Controls!$B$4+26,"")</f>
        <v>73017</v>
      </c>
      <c r="B28" s="10">
        <f>IF(Random!V28="","",IF(Controls!$B$7="Normal",Controls!$B$8,(Controls!$B$8+Controls!$B$9)/2)+Controls!$B$10*(B27-IF(Controls!$B$7="Normal",Controls!$B$8,(Controls!$B$8+Controls!$B$9)/2))+SQRT(1-Controls!$B$10^2)*(Random!V28-IF(Controls!$B$7="Normal",Controls!$B$8,(Controls!$B$8+Controls!$B$9)/2)))</f>
        <v>34.36405659</v>
      </c>
      <c r="C28" s="10">
        <f>IF(Random!W28="","",IF(Controls!$B$7="Normal",Controls!$B$8,(Controls!$B$8+Controls!$B$9)/2)+Controls!$B$10*(C27-IF(Controls!$B$7="Normal",Controls!$B$8,(Controls!$B$8+Controls!$B$9)/2))+SQRT(1-Controls!$B$10^2)*(Random!W28-IF(Controls!$B$7="Normal",Controls!$B$8,(Controls!$B$8+Controls!$B$9)/2)))</f>
        <v>48.92011107</v>
      </c>
      <c r="D28" s="10">
        <f>IF(Random!X28="","",IF(Controls!$B$7="Normal",Controls!$B$8,(Controls!$B$8+Controls!$B$9)/2)+Controls!$B$10*(D27-IF(Controls!$B$7="Normal",Controls!$B$8,(Controls!$B$8+Controls!$B$9)/2))+SQRT(1-Controls!$B$10^2)*(Random!X28-IF(Controls!$B$7="Normal",Controls!$B$8,(Controls!$B$8+Controls!$B$9)/2)))</f>
        <v>44.13740962</v>
      </c>
      <c r="E28" s="10" t="str">
        <f>IF(Random!Y28="","",IF(Controls!$B$7="Normal",Controls!$B$8,(Controls!$B$8+Controls!$B$9)/2)+Controls!$B$10*(E27-IF(Controls!$B$7="Normal",Controls!$B$8,(Controls!$B$8+Controls!$B$9)/2))+SQRT(1-Controls!$B$10^2)*(Random!Y28-IF(Controls!$B$7="Normal",Controls!$B$8,(Controls!$B$8+Controls!$B$9)/2)))</f>
        <v/>
      </c>
      <c r="F28" s="10" t="str">
        <f>IF(Random!Z28="","",IF(Controls!$B$7="Normal",Controls!$B$8,(Controls!$B$8+Controls!$B$9)/2)+Controls!$B$10*(F27-IF(Controls!$B$7="Normal",Controls!$B$8,(Controls!$B$8+Controls!$B$9)/2))+SQRT(1-Controls!$B$10^2)*(Random!Z28-IF(Controls!$B$7="Normal",Controls!$B$8,(Controls!$B$8+Controls!$B$9)/2)))</f>
        <v/>
      </c>
      <c r="G28" s="10" t="str">
        <f>IF(Random!AA28="","",IF(Controls!$B$7="Normal",Controls!$B$8,(Controls!$B$8+Controls!$B$9)/2)+Controls!$B$10*(G27-IF(Controls!$B$7="Normal",Controls!$B$8,(Controls!$B$8+Controls!$B$9)/2))+SQRT(1-Controls!$B$10^2)*(Random!AA28-IF(Controls!$B$7="Normal",Controls!$B$8,(Controls!$B$8+Controls!$B$9)/2)))</f>
        <v/>
      </c>
      <c r="H28" s="10" t="str">
        <f>IF(Random!AB28="","",IF(Controls!$B$7="Normal",Controls!$B$8,(Controls!$B$8+Controls!$B$9)/2)+Controls!$B$10*(H27-IF(Controls!$B$7="Normal",Controls!$B$8,(Controls!$B$8+Controls!$B$9)/2))+SQRT(1-Controls!$B$10^2)*(Random!AB28-IF(Controls!$B$7="Normal",Controls!$B$8,(Controls!$B$8+Controls!$B$9)/2)))</f>
        <v/>
      </c>
      <c r="I28" s="10" t="str">
        <f>IF(Random!AC28="","",IF(Controls!$B$7="Normal",Controls!$B$8,(Controls!$B$8+Controls!$B$9)/2)+Controls!$B$10*(I27-IF(Controls!$B$7="Normal",Controls!$B$8,(Controls!$B$8+Controls!$B$9)/2))+SQRT(1-Controls!$B$10^2)*(Random!AC28-IF(Controls!$B$7="Normal",Controls!$B$8,(Controls!$B$8+Controls!$B$9)/2)))</f>
        <v/>
      </c>
      <c r="J28" s="10" t="str">
        <f>IF(Random!AD28="","",IF(Controls!$B$7="Normal",Controls!$B$8,(Controls!$B$8+Controls!$B$9)/2)+Controls!$B$10*(J27-IF(Controls!$B$7="Normal",Controls!$B$8,(Controls!$B$8+Controls!$B$9)/2))+SQRT(1-Controls!$B$10^2)*(Random!AD28-IF(Controls!$B$7="Normal",Controls!$B$8,(Controls!$B$8+Controls!$B$9)/2)))</f>
        <v/>
      </c>
      <c r="K28" s="10" t="str">
        <f>IF(Random!AE28="","",IF(Controls!$B$7="Normal",Controls!$B$8,(Controls!$B$8+Controls!$B$9)/2)+Controls!$B$10*(K27-IF(Controls!$B$7="Normal",Controls!$B$8,(Controls!$B$8+Controls!$B$9)/2))+SQRT(1-Controls!$B$10^2)*(Random!AE28-IF(Controls!$B$7="Normal",Controls!$B$8,(Controls!$B$8+Controls!$B$9)/2)))</f>
        <v/>
      </c>
      <c r="L28" s="10">
        <f>IF($A28="","",IF(AND($A28&gt;=Controls!$B$25,$A28&lt;Controls!$B$25+Controls!$C$25),(Controls!$D$25-1)*EXP(-0.5*(($A28-Controls!$B$25-(Controls!$C$25-1)/2)/MAX(Controls!$C$25/4,0.5))^2),0))</f>
        <v>0</v>
      </c>
      <c r="M28" s="10">
        <f>IF($A28="","",IF(AND($A28&gt;=Controls!$B$26,$A28&lt;Controls!$B$26+Controls!$C$26),(Controls!$D$26-1)*EXP(-0.5*(($A28-Controls!$B$26-(Controls!$C$26-1)/2)/MAX(Controls!$C$26/4,0.5))^2),0))</f>
        <v>0</v>
      </c>
      <c r="N28" s="10">
        <f>IF($A28="","",IF(AND($A28&gt;=Controls!$B$27,$A28&lt;Controls!$B$27+Controls!$C$27),(Controls!$D$27-1)*EXP(-0.5*(($A28-Controls!$B$27-(Controls!$C$27-1)/2)/MAX(Controls!$C$27/4,0.5))^2),0))</f>
        <v>0</v>
      </c>
      <c r="O28" s="10">
        <f>IF($A28="","",IF(AND($A28&gt;=Controls!$B$28,$A28&lt;Controls!$B$28+Controls!$C$28),(Controls!$D$28-1)*EXP(-0.5*(($A28-Controls!$B$28-(Controls!$C$28-1)/2)/MAX(Controls!$C$28/4,0.5))^2),0))</f>
        <v>0</v>
      </c>
      <c r="P28" s="4" t="str">
        <f t="shared" si="1"/>
        <v>2099-11-28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21.0" customHeight="1">
      <c r="A29" s="7">
        <f>IF(28&lt;=Controls!$B$5,Controls!$B$4+27,"")</f>
        <v>73018</v>
      </c>
      <c r="B29" s="10">
        <f>IF(Random!V29="","",IF(Controls!$B$7="Normal",Controls!$B$8,(Controls!$B$8+Controls!$B$9)/2)+Controls!$B$10*(B28-IF(Controls!$B$7="Normal",Controls!$B$8,(Controls!$B$8+Controls!$B$9)/2))+SQRT(1-Controls!$B$10^2)*(Random!V29-IF(Controls!$B$7="Normal",Controls!$B$8,(Controls!$B$8+Controls!$B$9)/2)))</f>
        <v>35.60473006</v>
      </c>
      <c r="C29" s="10">
        <f>IF(Random!W29="","",IF(Controls!$B$7="Normal",Controls!$B$8,(Controls!$B$8+Controls!$B$9)/2)+Controls!$B$10*(C28-IF(Controls!$B$7="Normal",Controls!$B$8,(Controls!$B$8+Controls!$B$9)/2))+SQRT(1-Controls!$B$10^2)*(Random!W29-IF(Controls!$B$7="Normal",Controls!$B$8,(Controls!$B$8+Controls!$B$9)/2)))</f>
        <v>54.86973499</v>
      </c>
      <c r="D29" s="10">
        <f>IF(Random!X29="","",IF(Controls!$B$7="Normal",Controls!$B$8,(Controls!$B$8+Controls!$B$9)/2)+Controls!$B$10*(D28-IF(Controls!$B$7="Normal",Controls!$B$8,(Controls!$B$8+Controls!$B$9)/2))+SQRT(1-Controls!$B$10^2)*(Random!X29-IF(Controls!$B$7="Normal",Controls!$B$8,(Controls!$B$8+Controls!$B$9)/2)))</f>
        <v>49.14192046</v>
      </c>
      <c r="E29" s="10" t="str">
        <f>IF(Random!Y29="","",IF(Controls!$B$7="Normal",Controls!$B$8,(Controls!$B$8+Controls!$B$9)/2)+Controls!$B$10*(E28-IF(Controls!$B$7="Normal",Controls!$B$8,(Controls!$B$8+Controls!$B$9)/2))+SQRT(1-Controls!$B$10^2)*(Random!Y29-IF(Controls!$B$7="Normal",Controls!$B$8,(Controls!$B$8+Controls!$B$9)/2)))</f>
        <v/>
      </c>
      <c r="F29" s="10" t="str">
        <f>IF(Random!Z29="","",IF(Controls!$B$7="Normal",Controls!$B$8,(Controls!$B$8+Controls!$B$9)/2)+Controls!$B$10*(F28-IF(Controls!$B$7="Normal",Controls!$B$8,(Controls!$B$8+Controls!$B$9)/2))+SQRT(1-Controls!$B$10^2)*(Random!Z29-IF(Controls!$B$7="Normal",Controls!$B$8,(Controls!$B$8+Controls!$B$9)/2)))</f>
        <v/>
      </c>
      <c r="G29" s="10" t="str">
        <f>IF(Random!AA29="","",IF(Controls!$B$7="Normal",Controls!$B$8,(Controls!$B$8+Controls!$B$9)/2)+Controls!$B$10*(G28-IF(Controls!$B$7="Normal",Controls!$B$8,(Controls!$B$8+Controls!$B$9)/2))+SQRT(1-Controls!$B$10^2)*(Random!AA29-IF(Controls!$B$7="Normal",Controls!$B$8,(Controls!$B$8+Controls!$B$9)/2)))</f>
        <v/>
      </c>
      <c r="H29" s="10" t="str">
        <f>IF(Random!AB29="","",IF(Controls!$B$7="Normal",Controls!$B$8,(Controls!$B$8+Controls!$B$9)/2)+Controls!$B$10*(H28-IF(Controls!$B$7="Normal",Controls!$B$8,(Controls!$B$8+Controls!$B$9)/2))+SQRT(1-Controls!$B$10^2)*(Random!AB29-IF(Controls!$B$7="Normal",Controls!$B$8,(Controls!$B$8+Controls!$B$9)/2)))</f>
        <v/>
      </c>
      <c r="I29" s="10" t="str">
        <f>IF(Random!AC29="","",IF(Controls!$B$7="Normal",Controls!$B$8,(Controls!$B$8+Controls!$B$9)/2)+Controls!$B$10*(I28-IF(Controls!$B$7="Normal",Controls!$B$8,(Controls!$B$8+Controls!$B$9)/2))+SQRT(1-Controls!$B$10^2)*(Random!AC29-IF(Controls!$B$7="Normal",Controls!$B$8,(Controls!$B$8+Controls!$B$9)/2)))</f>
        <v/>
      </c>
      <c r="J29" s="10" t="str">
        <f>IF(Random!AD29="","",IF(Controls!$B$7="Normal",Controls!$B$8,(Controls!$B$8+Controls!$B$9)/2)+Controls!$B$10*(J28-IF(Controls!$B$7="Normal",Controls!$B$8,(Controls!$B$8+Controls!$B$9)/2))+SQRT(1-Controls!$B$10^2)*(Random!AD29-IF(Controls!$B$7="Normal",Controls!$B$8,(Controls!$B$8+Controls!$B$9)/2)))</f>
        <v/>
      </c>
      <c r="K29" s="10" t="str">
        <f>IF(Random!AE29="","",IF(Controls!$B$7="Normal",Controls!$B$8,(Controls!$B$8+Controls!$B$9)/2)+Controls!$B$10*(K28-IF(Controls!$B$7="Normal",Controls!$B$8,(Controls!$B$8+Controls!$B$9)/2))+SQRT(1-Controls!$B$10^2)*(Random!AE29-IF(Controls!$B$7="Normal",Controls!$B$8,(Controls!$B$8+Controls!$B$9)/2)))</f>
        <v/>
      </c>
      <c r="L29" s="10">
        <f>IF($A29="","",IF(AND($A29&gt;=Controls!$B$25,$A29&lt;Controls!$B$25+Controls!$C$25),(Controls!$D$25-1)*EXP(-0.5*(($A29-Controls!$B$25-(Controls!$C$25-1)/2)/MAX(Controls!$C$25/4,0.5))^2),0))</f>
        <v>0</v>
      </c>
      <c r="M29" s="10">
        <f>IF($A29="","",IF(AND($A29&gt;=Controls!$B$26,$A29&lt;Controls!$B$26+Controls!$C$26),(Controls!$D$26-1)*EXP(-0.5*(($A29-Controls!$B$26-(Controls!$C$26-1)/2)/MAX(Controls!$C$26/4,0.5))^2),0))</f>
        <v>0</v>
      </c>
      <c r="N29" s="10">
        <f>IF($A29="","",IF(AND($A29&gt;=Controls!$B$27,$A29&lt;Controls!$B$27+Controls!$C$27),(Controls!$D$27-1)*EXP(-0.5*(($A29-Controls!$B$27-(Controls!$C$27-1)/2)/MAX(Controls!$C$27/4,0.5))^2),0))</f>
        <v>0</v>
      </c>
      <c r="O29" s="10">
        <f>IF($A29="","",IF(AND($A29&gt;=Controls!$B$28,$A29&lt;Controls!$B$28+Controls!$C$28),(Controls!$D$28-1)*EXP(-0.5*(($A29-Controls!$B$28-(Controls!$C$28-1)/2)/MAX(Controls!$C$28/4,0.5))^2),0))</f>
        <v>0</v>
      </c>
      <c r="P29" s="4" t="str">
        <f t="shared" si="1"/>
        <v>2099-11-29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21.0" customHeight="1">
      <c r="A30" s="7">
        <f>IF(29&lt;=Controls!$B$5,Controls!$B$4+28,"")</f>
        <v>73019</v>
      </c>
      <c r="B30" s="10">
        <f>IF(Random!V30="","",IF(Controls!$B$7="Normal",Controls!$B$8,(Controls!$B$8+Controls!$B$9)/2)+Controls!$B$10*(B29-IF(Controls!$B$7="Normal",Controls!$B$8,(Controls!$B$8+Controls!$B$9)/2))+SQRT(1-Controls!$B$10^2)*(Random!V30-IF(Controls!$B$7="Normal",Controls!$B$8,(Controls!$B$8+Controls!$B$9)/2)))</f>
        <v>41.16659363</v>
      </c>
      <c r="C30" s="10">
        <f>IF(Random!W30="","",IF(Controls!$B$7="Normal",Controls!$B$8,(Controls!$B$8+Controls!$B$9)/2)+Controls!$B$10*(C29-IF(Controls!$B$7="Normal",Controls!$B$8,(Controls!$B$8+Controls!$B$9)/2))+SQRT(1-Controls!$B$10^2)*(Random!W30-IF(Controls!$B$7="Normal",Controls!$B$8,(Controls!$B$8+Controls!$B$9)/2)))</f>
        <v>47.61101337</v>
      </c>
      <c r="D30" s="10">
        <f>IF(Random!X30="","",IF(Controls!$B$7="Normal",Controls!$B$8,(Controls!$B$8+Controls!$B$9)/2)+Controls!$B$10*(D29-IF(Controls!$B$7="Normal",Controls!$B$8,(Controls!$B$8+Controls!$B$9)/2))+SQRT(1-Controls!$B$10^2)*(Random!X30-IF(Controls!$B$7="Normal",Controls!$B$8,(Controls!$B$8+Controls!$B$9)/2)))</f>
        <v>43.21680706</v>
      </c>
      <c r="E30" s="10" t="str">
        <f>IF(Random!Y30="","",IF(Controls!$B$7="Normal",Controls!$B$8,(Controls!$B$8+Controls!$B$9)/2)+Controls!$B$10*(E29-IF(Controls!$B$7="Normal",Controls!$B$8,(Controls!$B$8+Controls!$B$9)/2))+SQRT(1-Controls!$B$10^2)*(Random!Y30-IF(Controls!$B$7="Normal",Controls!$B$8,(Controls!$B$8+Controls!$B$9)/2)))</f>
        <v/>
      </c>
      <c r="F30" s="10" t="str">
        <f>IF(Random!Z30="","",IF(Controls!$B$7="Normal",Controls!$B$8,(Controls!$B$8+Controls!$B$9)/2)+Controls!$B$10*(F29-IF(Controls!$B$7="Normal",Controls!$B$8,(Controls!$B$8+Controls!$B$9)/2))+SQRT(1-Controls!$B$10^2)*(Random!Z30-IF(Controls!$B$7="Normal",Controls!$B$8,(Controls!$B$8+Controls!$B$9)/2)))</f>
        <v/>
      </c>
      <c r="G30" s="10" t="str">
        <f>IF(Random!AA30="","",IF(Controls!$B$7="Normal",Controls!$B$8,(Controls!$B$8+Controls!$B$9)/2)+Controls!$B$10*(G29-IF(Controls!$B$7="Normal",Controls!$B$8,(Controls!$B$8+Controls!$B$9)/2))+SQRT(1-Controls!$B$10^2)*(Random!AA30-IF(Controls!$B$7="Normal",Controls!$B$8,(Controls!$B$8+Controls!$B$9)/2)))</f>
        <v/>
      </c>
      <c r="H30" s="10" t="str">
        <f>IF(Random!AB30="","",IF(Controls!$B$7="Normal",Controls!$B$8,(Controls!$B$8+Controls!$B$9)/2)+Controls!$B$10*(H29-IF(Controls!$B$7="Normal",Controls!$B$8,(Controls!$B$8+Controls!$B$9)/2))+SQRT(1-Controls!$B$10^2)*(Random!AB30-IF(Controls!$B$7="Normal",Controls!$B$8,(Controls!$B$8+Controls!$B$9)/2)))</f>
        <v/>
      </c>
      <c r="I30" s="10" t="str">
        <f>IF(Random!AC30="","",IF(Controls!$B$7="Normal",Controls!$B$8,(Controls!$B$8+Controls!$B$9)/2)+Controls!$B$10*(I29-IF(Controls!$B$7="Normal",Controls!$B$8,(Controls!$B$8+Controls!$B$9)/2))+SQRT(1-Controls!$B$10^2)*(Random!AC30-IF(Controls!$B$7="Normal",Controls!$B$8,(Controls!$B$8+Controls!$B$9)/2)))</f>
        <v/>
      </c>
      <c r="J30" s="10" t="str">
        <f>IF(Random!AD30="","",IF(Controls!$B$7="Normal",Controls!$B$8,(Controls!$B$8+Controls!$B$9)/2)+Controls!$B$10*(J29-IF(Controls!$B$7="Normal",Controls!$B$8,(Controls!$B$8+Controls!$B$9)/2))+SQRT(1-Controls!$B$10^2)*(Random!AD30-IF(Controls!$B$7="Normal",Controls!$B$8,(Controls!$B$8+Controls!$B$9)/2)))</f>
        <v/>
      </c>
      <c r="K30" s="10" t="str">
        <f>IF(Random!AE30="","",IF(Controls!$B$7="Normal",Controls!$B$8,(Controls!$B$8+Controls!$B$9)/2)+Controls!$B$10*(K29-IF(Controls!$B$7="Normal",Controls!$B$8,(Controls!$B$8+Controls!$B$9)/2))+SQRT(1-Controls!$B$10^2)*(Random!AE30-IF(Controls!$B$7="Normal",Controls!$B$8,(Controls!$B$8+Controls!$B$9)/2)))</f>
        <v/>
      </c>
      <c r="L30" s="10">
        <f>IF($A30="","",IF(AND($A30&gt;=Controls!$B$25,$A30&lt;Controls!$B$25+Controls!$C$25),(Controls!$D$25-1)*EXP(-0.5*(($A30-Controls!$B$25-(Controls!$C$25-1)/2)/MAX(Controls!$C$25/4,0.5))^2),0))</f>
        <v>0</v>
      </c>
      <c r="M30" s="10">
        <f>IF($A30="","",IF(AND($A30&gt;=Controls!$B$26,$A30&lt;Controls!$B$26+Controls!$C$26),(Controls!$D$26-1)*EXP(-0.5*(($A30-Controls!$B$26-(Controls!$C$26-1)/2)/MAX(Controls!$C$26/4,0.5))^2),0))</f>
        <v>0</v>
      </c>
      <c r="N30" s="10">
        <f>IF($A30="","",IF(AND($A30&gt;=Controls!$B$27,$A30&lt;Controls!$B$27+Controls!$C$27),(Controls!$D$27-1)*EXP(-0.5*(($A30-Controls!$B$27-(Controls!$C$27-1)/2)/MAX(Controls!$C$27/4,0.5))^2),0))</f>
        <v>0</v>
      </c>
      <c r="O30" s="10">
        <f>IF($A30="","",IF(AND($A30&gt;=Controls!$B$28,$A30&lt;Controls!$B$28+Controls!$C$28),(Controls!$D$28-1)*EXP(-0.5*(($A30-Controls!$B$28-(Controls!$C$28-1)/2)/MAX(Controls!$C$28/4,0.5))^2),0))</f>
        <v>0</v>
      </c>
      <c r="P30" s="4" t="str">
        <f t="shared" si="1"/>
        <v>2099-11-30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21.0" customHeight="1">
      <c r="A31" s="7">
        <f>IF(30&lt;=Controls!$B$5,Controls!$B$4+29,"")</f>
        <v>73020</v>
      </c>
      <c r="B31" s="10">
        <f>IF(Random!V31="","",IF(Controls!$B$7="Normal",Controls!$B$8,(Controls!$B$8+Controls!$B$9)/2)+Controls!$B$10*(B30-IF(Controls!$B$7="Normal",Controls!$B$8,(Controls!$B$8+Controls!$B$9)/2))+SQRT(1-Controls!$B$10^2)*(Random!V31-IF(Controls!$B$7="Normal",Controls!$B$8,(Controls!$B$8+Controls!$B$9)/2)))</f>
        <v>50.86460927</v>
      </c>
      <c r="C31" s="10">
        <f>IF(Random!W31="","",IF(Controls!$B$7="Normal",Controls!$B$8,(Controls!$B$8+Controls!$B$9)/2)+Controls!$B$10*(C30-IF(Controls!$B$7="Normal",Controls!$B$8,(Controls!$B$8+Controls!$B$9)/2))+SQRT(1-Controls!$B$10^2)*(Random!W31-IF(Controls!$B$7="Normal",Controls!$B$8,(Controls!$B$8+Controls!$B$9)/2)))</f>
        <v>62.65870004</v>
      </c>
      <c r="D31" s="10">
        <f>IF(Random!X31="","",IF(Controls!$B$7="Normal",Controls!$B$8,(Controls!$B$8+Controls!$B$9)/2)+Controls!$B$10*(D30-IF(Controls!$B$7="Normal",Controls!$B$8,(Controls!$B$8+Controls!$B$9)/2))+SQRT(1-Controls!$B$10^2)*(Random!X31-IF(Controls!$B$7="Normal",Controls!$B$8,(Controls!$B$8+Controls!$B$9)/2)))</f>
        <v>53.5027238</v>
      </c>
      <c r="E31" s="10" t="str">
        <f>IF(Random!Y31="","",IF(Controls!$B$7="Normal",Controls!$B$8,(Controls!$B$8+Controls!$B$9)/2)+Controls!$B$10*(E30-IF(Controls!$B$7="Normal",Controls!$B$8,(Controls!$B$8+Controls!$B$9)/2))+SQRT(1-Controls!$B$10^2)*(Random!Y31-IF(Controls!$B$7="Normal",Controls!$B$8,(Controls!$B$8+Controls!$B$9)/2)))</f>
        <v/>
      </c>
      <c r="F31" s="10" t="str">
        <f>IF(Random!Z31="","",IF(Controls!$B$7="Normal",Controls!$B$8,(Controls!$B$8+Controls!$B$9)/2)+Controls!$B$10*(F30-IF(Controls!$B$7="Normal",Controls!$B$8,(Controls!$B$8+Controls!$B$9)/2))+SQRT(1-Controls!$B$10^2)*(Random!Z31-IF(Controls!$B$7="Normal",Controls!$B$8,(Controls!$B$8+Controls!$B$9)/2)))</f>
        <v/>
      </c>
      <c r="G31" s="10" t="str">
        <f>IF(Random!AA31="","",IF(Controls!$B$7="Normal",Controls!$B$8,(Controls!$B$8+Controls!$B$9)/2)+Controls!$B$10*(G30-IF(Controls!$B$7="Normal",Controls!$B$8,(Controls!$B$8+Controls!$B$9)/2))+SQRT(1-Controls!$B$10^2)*(Random!AA31-IF(Controls!$B$7="Normal",Controls!$B$8,(Controls!$B$8+Controls!$B$9)/2)))</f>
        <v/>
      </c>
      <c r="H31" s="10" t="str">
        <f>IF(Random!AB31="","",IF(Controls!$B$7="Normal",Controls!$B$8,(Controls!$B$8+Controls!$B$9)/2)+Controls!$B$10*(H30-IF(Controls!$B$7="Normal",Controls!$B$8,(Controls!$B$8+Controls!$B$9)/2))+SQRT(1-Controls!$B$10^2)*(Random!AB31-IF(Controls!$B$7="Normal",Controls!$B$8,(Controls!$B$8+Controls!$B$9)/2)))</f>
        <v/>
      </c>
      <c r="I31" s="10" t="str">
        <f>IF(Random!AC31="","",IF(Controls!$B$7="Normal",Controls!$B$8,(Controls!$B$8+Controls!$B$9)/2)+Controls!$B$10*(I30-IF(Controls!$B$7="Normal",Controls!$B$8,(Controls!$B$8+Controls!$B$9)/2))+SQRT(1-Controls!$B$10^2)*(Random!AC31-IF(Controls!$B$7="Normal",Controls!$B$8,(Controls!$B$8+Controls!$B$9)/2)))</f>
        <v/>
      </c>
      <c r="J31" s="10" t="str">
        <f>IF(Random!AD31="","",IF(Controls!$B$7="Normal",Controls!$B$8,(Controls!$B$8+Controls!$B$9)/2)+Controls!$B$10*(J30-IF(Controls!$B$7="Normal",Controls!$B$8,(Controls!$B$8+Controls!$B$9)/2))+SQRT(1-Controls!$B$10^2)*(Random!AD31-IF(Controls!$B$7="Normal",Controls!$B$8,(Controls!$B$8+Controls!$B$9)/2)))</f>
        <v/>
      </c>
      <c r="K31" s="10" t="str">
        <f>IF(Random!AE31="","",IF(Controls!$B$7="Normal",Controls!$B$8,(Controls!$B$8+Controls!$B$9)/2)+Controls!$B$10*(K30-IF(Controls!$B$7="Normal",Controls!$B$8,(Controls!$B$8+Controls!$B$9)/2))+SQRT(1-Controls!$B$10^2)*(Random!AE31-IF(Controls!$B$7="Normal",Controls!$B$8,(Controls!$B$8+Controls!$B$9)/2)))</f>
        <v/>
      </c>
      <c r="L31" s="10">
        <f>IF($A31="","",IF(AND($A31&gt;=Controls!$B$25,$A31&lt;Controls!$B$25+Controls!$C$25),(Controls!$D$25-1)*EXP(-0.5*(($A31-Controls!$B$25-(Controls!$C$25-1)/2)/MAX(Controls!$C$25/4,0.5))^2),0))</f>
        <v>0</v>
      </c>
      <c r="M31" s="10">
        <f>IF($A31="","",IF(AND($A31&gt;=Controls!$B$26,$A31&lt;Controls!$B$26+Controls!$C$26),(Controls!$D$26-1)*EXP(-0.5*(($A31-Controls!$B$26-(Controls!$C$26-1)/2)/MAX(Controls!$C$26/4,0.5))^2),0))</f>
        <v>0</v>
      </c>
      <c r="N31" s="10">
        <f>IF($A31="","",IF(AND($A31&gt;=Controls!$B$27,$A31&lt;Controls!$B$27+Controls!$C$27),(Controls!$D$27-1)*EXP(-0.5*(($A31-Controls!$B$27-(Controls!$C$27-1)/2)/MAX(Controls!$C$27/4,0.5))^2),0))</f>
        <v>0</v>
      </c>
      <c r="O31" s="10">
        <f>IF($A31="","",IF(AND($A31&gt;=Controls!$B$28,$A31&lt;Controls!$B$28+Controls!$C$28),(Controls!$D$28-1)*EXP(-0.5*(($A31-Controls!$B$28-(Controls!$C$28-1)/2)/MAX(Controls!$C$28/4,0.5))^2),0))</f>
        <v>0</v>
      </c>
      <c r="P31" s="4" t="str">
        <f t="shared" si="1"/>
        <v>2099-12-01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21.0" customHeight="1">
      <c r="A32" s="7">
        <f>IF(31&lt;=Controls!$B$5,Controls!$B$4+30,"")</f>
        <v>73021</v>
      </c>
      <c r="B32" s="10">
        <f>IF(Random!V32="","",IF(Controls!$B$7="Normal",Controls!$B$8,(Controls!$B$8+Controls!$B$9)/2)+Controls!$B$10*(B31-IF(Controls!$B$7="Normal",Controls!$B$8,(Controls!$B$8+Controls!$B$9)/2))+SQRT(1-Controls!$B$10^2)*(Random!V32-IF(Controls!$B$7="Normal",Controls!$B$8,(Controls!$B$8+Controls!$B$9)/2)))</f>
        <v>41.12986315</v>
      </c>
      <c r="C32" s="10">
        <f>IF(Random!W32="","",IF(Controls!$B$7="Normal",Controls!$B$8,(Controls!$B$8+Controls!$B$9)/2)+Controls!$B$10*(C31-IF(Controls!$B$7="Normal",Controls!$B$8,(Controls!$B$8+Controls!$B$9)/2))+SQRT(1-Controls!$B$10^2)*(Random!W32-IF(Controls!$B$7="Normal",Controls!$B$8,(Controls!$B$8+Controls!$B$9)/2)))</f>
        <v>63.36329627</v>
      </c>
      <c r="D32" s="10">
        <f>IF(Random!X32="","",IF(Controls!$B$7="Normal",Controls!$B$8,(Controls!$B$8+Controls!$B$9)/2)+Controls!$B$10*(D31-IF(Controls!$B$7="Normal",Controls!$B$8,(Controls!$B$8+Controls!$B$9)/2))+SQRT(1-Controls!$B$10^2)*(Random!X32-IF(Controls!$B$7="Normal",Controls!$B$8,(Controls!$B$8+Controls!$B$9)/2)))</f>
        <v>44.28317571</v>
      </c>
      <c r="E32" s="10" t="str">
        <f>IF(Random!Y32="","",IF(Controls!$B$7="Normal",Controls!$B$8,(Controls!$B$8+Controls!$B$9)/2)+Controls!$B$10*(E31-IF(Controls!$B$7="Normal",Controls!$B$8,(Controls!$B$8+Controls!$B$9)/2))+SQRT(1-Controls!$B$10^2)*(Random!Y32-IF(Controls!$B$7="Normal",Controls!$B$8,(Controls!$B$8+Controls!$B$9)/2)))</f>
        <v/>
      </c>
      <c r="F32" s="10" t="str">
        <f>IF(Random!Z32="","",IF(Controls!$B$7="Normal",Controls!$B$8,(Controls!$B$8+Controls!$B$9)/2)+Controls!$B$10*(F31-IF(Controls!$B$7="Normal",Controls!$B$8,(Controls!$B$8+Controls!$B$9)/2))+SQRT(1-Controls!$B$10^2)*(Random!Z32-IF(Controls!$B$7="Normal",Controls!$B$8,(Controls!$B$8+Controls!$B$9)/2)))</f>
        <v/>
      </c>
      <c r="G32" s="10" t="str">
        <f>IF(Random!AA32="","",IF(Controls!$B$7="Normal",Controls!$B$8,(Controls!$B$8+Controls!$B$9)/2)+Controls!$B$10*(G31-IF(Controls!$B$7="Normal",Controls!$B$8,(Controls!$B$8+Controls!$B$9)/2))+SQRT(1-Controls!$B$10^2)*(Random!AA32-IF(Controls!$B$7="Normal",Controls!$B$8,(Controls!$B$8+Controls!$B$9)/2)))</f>
        <v/>
      </c>
      <c r="H32" s="10" t="str">
        <f>IF(Random!AB32="","",IF(Controls!$B$7="Normal",Controls!$B$8,(Controls!$B$8+Controls!$B$9)/2)+Controls!$B$10*(H31-IF(Controls!$B$7="Normal",Controls!$B$8,(Controls!$B$8+Controls!$B$9)/2))+SQRT(1-Controls!$B$10^2)*(Random!AB32-IF(Controls!$B$7="Normal",Controls!$B$8,(Controls!$B$8+Controls!$B$9)/2)))</f>
        <v/>
      </c>
      <c r="I32" s="10" t="str">
        <f>IF(Random!AC32="","",IF(Controls!$B$7="Normal",Controls!$B$8,(Controls!$B$8+Controls!$B$9)/2)+Controls!$B$10*(I31-IF(Controls!$B$7="Normal",Controls!$B$8,(Controls!$B$8+Controls!$B$9)/2))+SQRT(1-Controls!$B$10^2)*(Random!AC32-IF(Controls!$B$7="Normal",Controls!$B$8,(Controls!$B$8+Controls!$B$9)/2)))</f>
        <v/>
      </c>
      <c r="J32" s="10" t="str">
        <f>IF(Random!AD32="","",IF(Controls!$B$7="Normal",Controls!$B$8,(Controls!$B$8+Controls!$B$9)/2)+Controls!$B$10*(J31-IF(Controls!$B$7="Normal",Controls!$B$8,(Controls!$B$8+Controls!$B$9)/2))+SQRT(1-Controls!$B$10^2)*(Random!AD32-IF(Controls!$B$7="Normal",Controls!$B$8,(Controls!$B$8+Controls!$B$9)/2)))</f>
        <v/>
      </c>
      <c r="K32" s="10" t="str">
        <f>IF(Random!AE32="","",IF(Controls!$B$7="Normal",Controls!$B$8,(Controls!$B$8+Controls!$B$9)/2)+Controls!$B$10*(K31-IF(Controls!$B$7="Normal",Controls!$B$8,(Controls!$B$8+Controls!$B$9)/2))+SQRT(1-Controls!$B$10^2)*(Random!AE32-IF(Controls!$B$7="Normal",Controls!$B$8,(Controls!$B$8+Controls!$B$9)/2)))</f>
        <v/>
      </c>
      <c r="L32" s="10">
        <f>IF($A32="","",IF(AND($A32&gt;=Controls!$B$25,$A32&lt;Controls!$B$25+Controls!$C$25),(Controls!$D$25-1)*EXP(-0.5*(($A32-Controls!$B$25-(Controls!$C$25-1)/2)/MAX(Controls!$C$25/4,0.5))^2),0))</f>
        <v>0</v>
      </c>
      <c r="M32" s="10">
        <f>IF($A32="","",IF(AND($A32&gt;=Controls!$B$26,$A32&lt;Controls!$B$26+Controls!$C$26),(Controls!$D$26-1)*EXP(-0.5*(($A32-Controls!$B$26-(Controls!$C$26-1)/2)/MAX(Controls!$C$26/4,0.5))^2),0))</f>
        <v>0.2921872206</v>
      </c>
      <c r="N32" s="10">
        <f>IF($A32="","",IF(AND($A32&gt;=Controls!$B$27,$A32&lt;Controls!$B$27+Controls!$C$27),(Controls!$D$27-1)*EXP(-0.5*(($A32-Controls!$B$27-(Controls!$C$27-1)/2)/MAX(Controls!$C$27/4,0.5))^2),0))</f>
        <v>0</v>
      </c>
      <c r="O32" s="10">
        <f>IF($A32="","",IF(AND($A32&gt;=Controls!$B$28,$A32&lt;Controls!$B$28+Controls!$C$28),(Controls!$D$28-1)*EXP(-0.5*(($A32-Controls!$B$28-(Controls!$C$28-1)/2)/MAX(Controls!$C$28/4,0.5))^2),0))</f>
        <v>0</v>
      </c>
      <c r="P32" s="4" t="str">
        <f t="shared" si="1"/>
        <v>2099-12-02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21.0" customHeight="1">
      <c r="A33" s="7">
        <f>IF(32&lt;=Controls!$B$5,Controls!$B$4+31,"")</f>
        <v>73022</v>
      </c>
      <c r="B33" s="10">
        <f>IF(Random!V33="","",IF(Controls!$B$7="Normal",Controls!$B$8,(Controls!$B$8+Controls!$B$9)/2)+Controls!$B$10*(B32-IF(Controls!$B$7="Normal",Controls!$B$8,(Controls!$B$8+Controls!$B$9)/2))+SQRT(1-Controls!$B$10^2)*(Random!V33-IF(Controls!$B$7="Normal",Controls!$B$8,(Controls!$B$8+Controls!$B$9)/2)))</f>
        <v>55.51542428</v>
      </c>
      <c r="C33" s="10">
        <f>IF(Random!W33="","",IF(Controls!$B$7="Normal",Controls!$B$8,(Controls!$B$8+Controls!$B$9)/2)+Controls!$B$10*(C32-IF(Controls!$B$7="Normal",Controls!$B$8,(Controls!$B$8+Controls!$B$9)/2))+SQRT(1-Controls!$B$10^2)*(Random!W33-IF(Controls!$B$7="Normal",Controls!$B$8,(Controls!$B$8+Controls!$B$9)/2)))</f>
        <v>55.62817029</v>
      </c>
      <c r="D33" s="10">
        <f>IF(Random!X33="","",IF(Controls!$B$7="Normal",Controls!$B$8,(Controls!$B$8+Controls!$B$9)/2)+Controls!$B$10*(D32-IF(Controls!$B$7="Normal",Controls!$B$8,(Controls!$B$8+Controls!$B$9)/2))+SQRT(1-Controls!$B$10^2)*(Random!X33-IF(Controls!$B$7="Normal",Controls!$B$8,(Controls!$B$8+Controls!$B$9)/2)))</f>
        <v>39.45458959</v>
      </c>
      <c r="E33" s="10" t="str">
        <f>IF(Random!Y33="","",IF(Controls!$B$7="Normal",Controls!$B$8,(Controls!$B$8+Controls!$B$9)/2)+Controls!$B$10*(E32-IF(Controls!$B$7="Normal",Controls!$B$8,(Controls!$B$8+Controls!$B$9)/2))+SQRT(1-Controls!$B$10^2)*(Random!Y33-IF(Controls!$B$7="Normal",Controls!$B$8,(Controls!$B$8+Controls!$B$9)/2)))</f>
        <v/>
      </c>
      <c r="F33" s="10" t="str">
        <f>IF(Random!Z33="","",IF(Controls!$B$7="Normal",Controls!$B$8,(Controls!$B$8+Controls!$B$9)/2)+Controls!$B$10*(F32-IF(Controls!$B$7="Normal",Controls!$B$8,(Controls!$B$8+Controls!$B$9)/2))+SQRT(1-Controls!$B$10^2)*(Random!Z33-IF(Controls!$B$7="Normal",Controls!$B$8,(Controls!$B$8+Controls!$B$9)/2)))</f>
        <v/>
      </c>
      <c r="G33" s="10" t="str">
        <f>IF(Random!AA33="","",IF(Controls!$B$7="Normal",Controls!$B$8,(Controls!$B$8+Controls!$B$9)/2)+Controls!$B$10*(G32-IF(Controls!$B$7="Normal",Controls!$B$8,(Controls!$B$8+Controls!$B$9)/2))+SQRT(1-Controls!$B$10^2)*(Random!AA33-IF(Controls!$B$7="Normal",Controls!$B$8,(Controls!$B$8+Controls!$B$9)/2)))</f>
        <v/>
      </c>
      <c r="H33" s="10" t="str">
        <f>IF(Random!AB33="","",IF(Controls!$B$7="Normal",Controls!$B$8,(Controls!$B$8+Controls!$B$9)/2)+Controls!$B$10*(H32-IF(Controls!$B$7="Normal",Controls!$B$8,(Controls!$B$8+Controls!$B$9)/2))+SQRT(1-Controls!$B$10^2)*(Random!AB33-IF(Controls!$B$7="Normal",Controls!$B$8,(Controls!$B$8+Controls!$B$9)/2)))</f>
        <v/>
      </c>
      <c r="I33" s="10" t="str">
        <f>IF(Random!AC33="","",IF(Controls!$B$7="Normal",Controls!$B$8,(Controls!$B$8+Controls!$B$9)/2)+Controls!$B$10*(I32-IF(Controls!$B$7="Normal",Controls!$B$8,(Controls!$B$8+Controls!$B$9)/2))+SQRT(1-Controls!$B$10^2)*(Random!AC33-IF(Controls!$B$7="Normal",Controls!$B$8,(Controls!$B$8+Controls!$B$9)/2)))</f>
        <v/>
      </c>
      <c r="J33" s="10" t="str">
        <f>IF(Random!AD33="","",IF(Controls!$B$7="Normal",Controls!$B$8,(Controls!$B$8+Controls!$B$9)/2)+Controls!$B$10*(J32-IF(Controls!$B$7="Normal",Controls!$B$8,(Controls!$B$8+Controls!$B$9)/2))+SQRT(1-Controls!$B$10^2)*(Random!AD33-IF(Controls!$B$7="Normal",Controls!$B$8,(Controls!$B$8+Controls!$B$9)/2)))</f>
        <v/>
      </c>
      <c r="K33" s="10" t="str">
        <f>IF(Random!AE33="","",IF(Controls!$B$7="Normal",Controls!$B$8,(Controls!$B$8+Controls!$B$9)/2)+Controls!$B$10*(K32-IF(Controls!$B$7="Normal",Controls!$B$8,(Controls!$B$8+Controls!$B$9)/2))+SQRT(1-Controls!$B$10^2)*(Random!AE33-IF(Controls!$B$7="Normal",Controls!$B$8,(Controls!$B$8+Controls!$B$9)/2)))</f>
        <v/>
      </c>
      <c r="L33" s="10">
        <f>IF($A33="","",IF(AND($A33&gt;=Controls!$B$25,$A33&lt;Controls!$B$25+Controls!$C$25),(Controls!$D$25-1)*EXP(-0.5*(($A33-Controls!$B$25-(Controls!$C$25-1)/2)/MAX(Controls!$C$25/4,0.5))^2),0))</f>
        <v>0</v>
      </c>
      <c r="M33" s="10">
        <f>IF($A33="","",IF(AND($A33&gt;=Controls!$B$26,$A33&lt;Controls!$B$26+Controls!$C$26),(Controls!$D$26-1)*EXP(-0.5*(($A33-Controls!$B$26-(Controls!$C$26-1)/2)/MAX(Controls!$C$26/4,0.5))^2),0))</f>
        <v>0.7942472123</v>
      </c>
      <c r="N33" s="10">
        <f>IF($A33="","",IF(AND($A33&gt;=Controls!$B$27,$A33&lt;Controls!$B$27+Controls!$C$27),(Controls!$D$27-1)*EXP(-0.5*(($A33-Controls!$B$27-(Controls!$C$27-1)/2)/MAX(Controls!$C$27/4,0.5))^2),0))</f>
        <v>0</v>
      </c>
      <c r="O33" s="10">
        <f>IF($A33="","",IF(AND($A33&gt;=Controls!$B$28,$A33&lt;Controls!$B$28+Controls!$C$28),(Controls!$D$28-1)*EXP(-0.5*(($A33-Controls!$B$28-(Controls!$C$28-1)/2)/MAX(Controls!$C$28/4,0.5))^2),0))</f>
        <v>0</v>
      </c>
      <c r="P33" s="4" t="str">
        <f t="shared" si="1"/>
        <v>2099-12-03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21.0" customHeight="1">
      <c r="A34" s="7">
        <f>IF(33&lt;=Controls!$B$5,Controls!$B$4+32,"")</f>
        <v>73023</v>
      </c>
      <c r="B34" s="10">
        <f>IF(Random!V34="","",IF(Controls!$B$7="Normal",Controls!$B$8,(Controls!$B$8+Controls!$B$9)/2)+Controls!$B$10*(B33-IF(Controls!$B$7="Normal",Controls!$B$8,(Controls!$B$8+Controls!$B$9)/2))+SQRT(1-Controls!$B$10^2)*(Random!V34-IF(Controls!$B$7="Normal",Controls!$B$8,(Controls!$B$8+Controls!$B$9)/2)))</f>
        <v>49.4280911</v>
      </c>
      <c r="C34" s="10">
        <f>IF(Random!W34="","",IF(Controls!$B$7="Normal",Controls!$B$8,(Controls!$B$8+Controls!$B$9)/2)+Controls!$B$10*(C33-IF(Controls!$B$7="Normal",Controls!$B$8,(Controls!$B$8+Controls!$B$9)/2))+SQRT(1-Controls!$B$10^2)*(Random!W34-IF(Controls!$B$7="Normal",Controls!$B$8,(Controls!$B$8+Controls!$B$9)/2)))</f>
        <v>60.80774914</v>
      </c>
      <c r="D34" s="10">
        <f>IF(Random!X34="","",IF(Controls!$B$7="Normal",Controls!$B$8,(Controls!$B$8+Controls!$B$9)/2)+Controls!$B$10*(D33-IF(Controls!$B$7="Normal",Controls!$B$8,(Controls!$B$8+Controls!$B$9)/2))+SQRT(1-Controls!$B$10^2)*(Random!X34-IF(Controls!$B$7="Normal",Controls!$B$8,(Controls!$B$8+Controls!$B$9)/2)))</f>
        <v>43.26970254</v>
      </c>
      <c r="E34" s="10" t="str">
        <f>IF(Random!Y34="","",IF(Controls!$B$7="Normal",Controls!$B$8,(Controls!$B$8+Controls!$B$9)/2)+Controls!$B$10*(E33-IF(Controls!$B$7="Normal",Controls!$B$8,(Controls!$B$8+Controls!$B$9)/2))+SQRT(1-Controls!$B$10^2)*(Random!Y34-IF(Controls!$B$7="Normal",Controls!$B$8,(Controls!$B$8+Controls!$B$9)/2)))</f>
        <v/>
      </c>
      <c r="F34" s="10" t="str">
        <f>IF(Random!Z34="","",IF(Controls!$B$7="Normal",Controls!$B$8,(Controls!$B$8+Controls!$B$9)/2)+Controls!$B$10*(F33-IF(Controls!$B$7="Normal",Controls!$B$8,(Controls!$B$8+Controls!$B$9)/2))+SQRT(1-Controls!$B$10^2)*(Random!Z34-IF(Controls!$B$7="Normal",Controls!$B$8,(Controls!$B$8+Controls!$B$9)/2)))</f>
        <v/>
      </c>
      <c r="G34" s="10" t="str">
        <f>IF(Random!AA34="","",IF(Controls!$B$7="Normal",Controls!$B$8,(Controls!$B$8+Controls!$B$9)/2)+Controls!$B$10*(G33-IF(Controls!$B$7="Normal",Controls!$B$8,(Controls!$B$8+Controls!$B$9)/2))+SQRT(1-Controls!$B$10^2)*(Random!AA34-IF(Controls!$B$7="Normal",Controls!$B$8,(Controls!$B$8+Controls!$B$9)/2)))</f>
        <v/>
      </c>
      <c r="H34" s="10" t="str">
        <f>IF(Random!AB34="","",IF(Controls!$B$7="Normal",Controls!$B$8,(Controls!$B$8+Controls!$B$9)/2)+Controls!$B$10*(H33-IF(Controls!$B$7="Normal",Controls!$B$8,(Controls!$B$8+Controls!$B$9)/2))+SQRT(1-Controls!$B$10^2)*(Random!AB34-IF(Controls!$B$7="Normal",Controls!$B$8,(Controls!$B$8+Controls!$B$9)/2)))</f>
        <v/>
      </c>
      <c r="I34" s="10" t="str">
        <f>IF(Random!AC34="","",IF(Controls!$B$7="Normal",Controls!$B$8,(Controls!$B$8+Controls!$B$9)/2)+Controls!$B$10*(I33-IF(Controls!$B$7="Normal",Controls!$B$8,(Controls!$B$8+Controls!$B$9)/2))+SQRT(1-Controls!$B$10^2)*(Random!AC34-IF(Controls!$B$7="Normal",Controls!$B$8,(Controls!$B$8+Controls!$B$9)/2)))</f>
        <v/>
      </c>
      <c r="J34" s="10" t="str">
        <f>IF(Random!AD34="","",IF(Controls!$B$7="Normal",Controls!$B$8,(Controls!$B$8+Controls!$B$9)/2)+Controls!$B$10*(J33-IF(Controls!$B$7="Normal",Controls!$B$8,(Controls!$B$8+Controls!$B$9)/2))+SQRT(1-Controls!$B$10^2)*(Random!AD34-IF(Controls!$B$7="Normal",Controls!$B$8,(Controls!$B$8+Controls!$B$9)/2)))</f>
        <v/>
      </c>
      <c r="K34" s="10" t="str">
        <f>IF(Random!AE34="","",IF(Controls!$B$7="Normal",Controls!$B$8,(Controls!$B$8+Controls!$B$9)/2)+Controls!$B$10*(K33-IF(Controls!$B$7="Normal",Controls!$B$8,(Controls!$B$8+Controls!$B$9)/2))+SQRT(1-Controls!$B$10^2)*(Random!AE34-IF(Controls!$B$7="Normal",Controls!$B$8,(Controls!$B$8+Controls!$B$9)/2)))</f>
        <v/>
      </c>
      <c r="L34" s="10">
        <f>IF($A34="","",IF(AND($A34&gt;=Controls!$B$25,$A34&lt;Controls!$B$25+Controls!$C$25),(Controls!$D$25-1)*EXP(-0.5*(($A34-Controls!$B$25-(Controls!$C$25-1)/2)/MAX(Controls!$C$25/4,0.5))^2),0))</f>
        <v>0</v>
      </c>
      <c r="M34" s="10">
        <f>IF($A34="","",IF(AND($A34&gt;=Controls!$B$26,$A34&lt;Controls!$B$26+Controls!$C$26),(Controls!$D$26-1)*EXP(-0.5*(($A34-Controls!$B$26-(Controls!$C$26-1)/2)/MAX(Controls!$C$26/4,0.5))^2),0))</f>
        <v>0.7942472123</v>
      </c>
      <c r="N34" s="10">
        <f>IF($A34="","",IF(AND($A34&gt;=Controls!$B$27,$A34&lt;Controls!$B$27+Controls!$C$27),(Controls!$D$27-1)*EXP(-0.5*(($A34-Controls!$B$27-(Controls!$C$27-1)/2)/MAX(Controls!$C$27/4,0.5))^2),0))</f>
        <v>0</v>
      </c>
      <c r="O34" s="10">
        <f>IF($A34="","",IF(AND($A34&gt;=Controls!$B$28,$A34&lt;Controls!$B$28+Controls!$C$28),(Controls!$D$28-1)*EXP(-0.5*(($A34-Controls!$B$28-(Controls!$C$28-1)/2)/MAX(Controls!$C$28/4,0.5))^2),0))</f>
        <v>0</v>
      </c>
      <c r="P34" s="4" t="str">
        <f t="shared" si="1"/>
        <v>2099-12-04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21.0" customHeight="1">
      <c r="A35" s="7">
        <f>IF(34&lt;=Controls!$B$5,Controls!$B$4+33,"")</f>
        <v>73024</v>
      </c>
      <c r="B35" s="10">
        <f>IF(Random!V35="","",IF(Controls!$B$7="Normal",Controls!$B$8,(Controls!$B$8+Controls!$B$9)/2)+Controls!$B$10*(B34-IF(Controls!$B$7="Normal",Controls!$B$8,(Controls!$B$8+Controls!$B$9)/2))+SQRT(1-Controls!$B$10^2)*(Random!V35-IF(Controls!$B$7="Normal",Controls!$B$8,(Controls!$B$8+Controls!$B$9)/2)))</f>
        <v>43.12193813</v>
      </c>
      <c r="C35" s="10">
        <f>IF(Random!W35="","",IF(Controls!$B$7="Normal",Controls!$B$8,(Controls!$B$8+Controls!$B$9)/2)+Controls!$B$10*(C34-IF(Controls!$B$7="Normal",Controls!$B$8,(Controls!$B$8+Controls!$B$9)/2))+SQRT(1-Controls!$B$10^2)*(Random!W35-IF(Controls!$B$7="Normal",Controls!$B$8,(Controls!$B$8+Controls!$B$9)/2)))</f>
        <v>66.58772116</v>
      </c>
      <c r="D35" s="10">
        <f>IF(Random!X35="","",IF(Controls!$B$7="Normal",Controls!$B$8,(Controls!$B$8+Controls!$B$9)/2)+Controls!$B$10*(D34-IF(Controls!$B$7="Normal",Controls!$B$8,(Controls!$B$8+Controls!$B$9)/2))+SQRT(1-Controls!$B$10^2)*(Random!X35-IF(Controls!$B$7="Normal",Controls!$B$8,(Controls!$B$8+Controls!$B$9)/2)))</f>
        <v>50.62501797</v>
      </c>
      <c r="E35" s="10" t="str">
        <f>IF(Random!Y35="","",IF(Controls!$B$7="Normal",Controls!$B$8,(Controls!$B$8+Controls!$B$9)/2)+Controls!$B$10*(E34-IF(Controls!$B$7="Normal",Controls!$B$8,(Controls!$B$8+Controls!$B$9)/2))+SQRT(1-Controls!$B$10^2)*(Random!Y35-IF(Controls!$B$7="Normal",Controls!$B$8,(Controls!$B$8+Controls!$B$9)/2)))</f>
        <v/>
      </c>
      <c r="F35" s="10" t="str">
        <f>IF(Random!Z35="","",IF(Controls!$B$7="Normal",Controls!$B$8,(Controls!$B$8+Controls!$B$9)/2)+Controls!$B$10*(F34-IF(Controls!$B$7="Normal",Controls!$B$8,(Controls!$B$8+Controls!$B$9)/2))+SQRT(1-Controls!$B$10^2)*(Random!Z35-IF(Controls!$B$7="Normal",Controls!$B$8,(Controls!$B$8+Controls!$B$9)/2)))</f>
        <v/>
      </c>
      <c r="G35" s="10" t="str">
        <f>IF(Random!AA35="","",IF(Controls!$B$7="Normal",Controls!$B$8,(Controls!$B$8+Controls!$B$9)/2)+Controls!$B$10*(G34-IF(Controls!$B$7="Normal",Controls!$B$8,(Controls!$B$8+Controls!$B$9)/2))+SQRT(1-Controls!$B$10^2)*(Random!AA35-IF(Controls!$B$7="Normal",Controls!$B$8,(Controls!$B$8+Controls!$B$9)/2)))</f>
        <v/>
      </c>
      <c r="H35" s="10" t="str">
        <f>IF(Random!AB35="","",IF(Controls!$B$7="Normal",Controls!$B$8,(Controls!$B$8+Controls!$B$9)/2)+Controls!$B$10*(H34-IF(Controls!$B$7="Normal",Controls!$B$8,(Controls!$B$8+Controls!$B$9)/2))+SQRT(1-Controls!$B$10^2)*(Random!AB35-IF(Controls!$B$7="Normal",Controls!$B$8,(Controls!$B$8+Controls!$B$9)/2)))</f>
        <v/>
      </c>
      <c r="I35" s="10" t="str">
        <f>IF(Random!AC35="","",IF(Controls!$B$7="Normal",Controls!$B$8,(Controls!$B$8+Controls!$B$9)/2)+Controls!$B$10*(I34-IF(Controls!$B$7="Normal",Controls!$B$8,(Controls!$B$8+Controls!$B$9)/2))+SQRT(1-Controls!$B$10^2)*(Random!AC35-IF(Controls!$B$7="Normal",Controls!$B$8,(Controls!$B$8+Controls!$B$9)/2)))</f>
        <v/>
      </c>
      <c r="J35" s="10" t="str">
        <f>IF(Random!AD35="","",IF(Controls!$B$7="Normal",Controls!$B$8,(Controls!$B$8+Controls!$B$9)/2)+Controls!$B$10*(J34-IF(Controls!$B$7="Normal",Controls!$B$8,(Controls!$B$8+Controls!$B$9)/2))+SQRT(1-Controls!$B$10^2)*(Random!AD35-IF(Controls!$B$7="Normal",Controls!$B$8,(Controls!$B$8+Controls!$B$9)/2)))</f>
        <v/>
      </c>
      <c r="K35" s="10" t="str">
        <f>IF(Random!AE35="","",IF(Controls!$B$7="Normal",Controls!$B$8,(Controls!$B$8+Controls!$B$9)/2)+Controls!$B$10*(K34-IF(Controls!$B$7="Normal",Controls!$B$8,(Controls!$B$8+Controls!$B$9)/2))+SQRT(1-Controls!$B$10^2)*(Random!AE35-IF(Controls!$B$7="Normal",Controls!$B$8,(Controls!$B$8+Controls!$B$9)/2)))</f>
        <v/>
      </c>
      <c r="L35" s="10">
        <f>IF($A35="","",IF(AND($A35&gt;=Controls!$B$25,$A35&lt;Controls!$B$25+Controls!$C$25),(Controls!$D$25-1)*EXP(-0.5*(($A35-Controls!$B$25-(Controls!$C$25-1)/2)/MAX(Controls!$C$25/4,0.5))^2),0))</f>
        <v>0</v>
      </c>
      <c r="M35" s="10">
        <f>IF($A35="","",IF(AND($A35&gt;=Controls!$B$26,$A35&lt;Controls!$B$26+Controls!$C$26),(Controls!$D$26-1)*EXP(-0.5*(($A35-Controls!$B$26-(Controls!$C$26-1)/2)/MAX(Controls!$C$26/4,0.5))^2),0))</f>
        <v>0.2921872206</v>
      </c>
      <c r="N35" s="10">
        <f>IF($A35="","",IF(AND($A35&gt;=Controls!$B$27,$A35&lt;Controls!$B$27+Controls!$C$27),(Controls!$D$27-1)*EXP(-0.5*(($A35-Controls!$B$27-(Controls!$C$27-1)/2)/MAX(Controls!$C$27/4,0.5))^2),0))</f>
        <v>0</v>
      </c>
      <c r="O35" s="10">
        <f>IF($A35="","",IF(AND($A35&gt;=Controls!$B$28,$A35&lt;Controls!$B$28+Controls!$C$28),(Controls!$D$28-1)*EXP(-0.5*(($A35-Controls!$B$28-(Controls!$C$28-1)/2)/MAX(Controls!$C$28/4,0.5))^2),0))</f>
        <v>0</v>
      </c>
      <c r="P35" s="4" t="str">
        <f t="shared" si="1"/>
        <v>2099-12-05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21.0" customHeight="1">
      <c r="A36" s="7">
        <f>IF(35&lt;=Controls!$B$5,Controls!$B$4+34,"")</f>
        <v>73025</v>
      </c>
      <c r="B36" s="10">
        <f>IF(Random!V36="","",IF(Controls!$B$7="Normal",Controls!$B$8,(Controls!$B$8+Controls!$B$9)/2)+Controls!$B$10*(B35-IF(Controls!$B$7="Normal",Controls!$B$8,(Controls!$B$8+Controls!$B$9)/2))+SQRT(1-Controls!$B$10^2)*(Random!V36-IF(Controls!$B$7="Normal",Controls!$B$8,(Controls!$B$8+Controls!$B$9)/2)))</f>
        <v>55.06559557</v>
      </c>
      <c r="C36" s="10">
        <f>IF(Random!W36="","",IF(Controls!$B$7="Normal",Controls!$B$8,(Controls!$B$8+Controls!$B$9)/2)+Controls!$B$10*(C35-IF(Controls!$B$7="Normal",Controls!$B$8,(Controls!$B$8+Controls!$B$9)/2))+SQRT(1-Controls!$B$10^2)*(Random!W36-IF(Controls!$B$7="Normal",Controls!$B$8,(Controls!$B$8+Controls!$B$9)/2)))</f>
        <v>52.32889044</v>
      </c>
      <c r="D36" s="10">
        <f>IF(Random!X36="","",IF(Controls!$B$7="Normal",Controls!$B$8,(Controls!$B$8+Controls!$B$9)/2)+Controls!$B$10*(D35-IF(Controls!$B$7="Normal",Controls!$B$8,(Controls!$B$8+Controls!$B$9)/2))+SQRT(1-Controls!$B$10^2)*(Random!X36-IF(Controls!$B$7="Normal",Controls!$B$8,(Controls!$B$8+Controls!$B$9)/2)))</f>
        <v>53.72029455</v>
      </c>
      <c r="E36" s="10" t="str">
        <f>IF(Random!Y36="","",IF(Controls!$B$7="Normal",Controls!$B$8,(Controls!$B$8+Controls!$B$9)/2)+Controls!$B$10*(E35-IF(Controls!$B$7="Normal",Controls!$B$8,(Controls!$B$8+Controls!$B$9)/2))+SQRT(1-Controls!$B$10^2)*(Random!Y36-IF(Controls!$B$7="Normal",Controls!$B$8,(Controls!$B$8+Controls!$B$9)/2)))</f>
        <v/>
      </c>
      <c r="F36" s="10" t="str">
        <f>IF(Random!Z36="","",IF(Controls!$B$7="Normal",Controls!$B$8,(Controls!$B$8+Controls!$B$9)/2)+Controls!$B$10*(F35-IF(Controls!$B$7="Normal",Controls!$B$8,(Controls!$B$8+Controls!$B$9)/2))+SQRT(1-Controls!$B$10^2)*(Random!Z36-IF(Controls!$B$7="Normal",Controls!$B$8,(Controls!$B$8+Controls!$B$9)/2)))</f>
        <v/>
      </c>
      <c r="G36" s="10" t="str">
        <f>IF(Random!AA36="","",IF(Controls!$B$7="Normal",Controls!$B$8,(Controls!$B$8+Controls!$B$9)/2)+Controls!$B$10*(G35-IF(Controls!$B$7="Normal",Controls!$B$8,(Controls!$B$8+Controls!$B$9)/2))+SQRT(1-Controls!$B$10^2)*(Random!AA36-IF(Controls!$B$7="Normal",Controls!$B$8,(Controls!$B$8+Controls!$B$9)/2)))</f>
        <v/>
      </c>
      <c r="H36" s="10" t="str">
        <f>IF(Random!AB36="","",IF(Controls!$B$7="Normal",Controls!$B$8,(Controls!$B$8+Controls!$B$9)/2)+Controls!$B$10*(H35-IF(Controls!$B$7="Normal",Controls!$B$8,(Controls!$B$8+Controls!$B$9)/2))+SQRT(1-Controls!$B$10^2)*(Random!AB36-IF(Controls!$B$7="Normal",Controls!$B$8,(Controls!$B$8+Controls!$B$9)/2)))</f>
        <v/>
      </c>
      <c r="I36" s="10" t="str">
        <f>IF(Random!AC36="","",IF(Controls!$B$7="Normal",Controls!$B$8,(Controls!$B$8+Controls!$B$9)/2)+Controls!$B$10*(I35-IF(Controls!$B$7="Normal",Controls!$B$8,(Controls!$B$8+Controls!$B$9)/2))+SQRT(1-Controls!$B$10^2)*(Random!AC36-IF(Controls!$B$7="Normal",Controls!$B$8,(Controls!$B$8+Controls!$B$9)/2)))</f>
        <v/>
      </c>
      <c r="J36" s="10" t="str">
        <f>IF(Random!AD36="","",IF(Controls!$B$7="Normal",Controls!$B$8,(Controls!$B$8+Controls!$B$9)/2)+Controls!$B$10*(J35-IF(Controls!$B$7="Normal",Controls!$B$8,(Controls!$B$8+Controls!$B$9)/2))+SQRT(1-Controls!$B$10^2)*(Random!AD36-IF(Controls!$B$7="Normal",Controls!$B$8,(Controls!$B$8+Controls!$B$9)/2)))</f>
        <v/>
      </c>
      <c r="K36" s="10" t="str">
        <f>IF(Random!AE36="","",IF(Controls!$B$7="Normal",Controls!$B$8,(Controls!$B$8+Controls!$B$9)/2)+Controls!$B$10*(K35-IF(Controls!$B$7="Normal",Controls!$B$8,(Controls!$B$8+Controls!$B$9)/2))+SQRT(1-Controls!$B$10^2)*(Random!AE36-IF(Controls!$B$7="Normal",Controls!$B$8,(Controls!$B$8+Controls!$B$9)/2)))</f>
        <v/>
      </c>
      <c r="L36" s="10">
        <f>IF($A36="","",IF(AND($A36&gt;=Controls!$B$25,$A36&lt;Controls!$B$25+Controls!$C$25),(Controls!$D$25-1)*EXP(-0.5*(($A36-Controls!$B$25-(Controls!$C$25-1)/2)/MAX(Controls!$C$25/4,0.5))^2),0))</f>
        <v>0</v>
      </c>
      <c r="M36" s="10">
        <f>IF($A36="","",IF(AND($A36&gt;=Controls!$B$26,$A36&lt;Controls!$B$26+Controls!$C$26),(Controls!$D$26-1)*EXP(-0.5*(($A36-Controls!$B$26-(Controls!$C$26-1)/2)/MAX(Controls!$C$26/4,0.5))^2),0))</f>
        <v>0</v>
      </c>
      <c r="N36" s="10">
        <f>IF($A36="","",IF(AND($A36&gt;=Controls!$B$27,$A36&lt;Controls!$B$27+Controls!$C$27),(Controls!$D$27-1)*EXP(-0.5*(($A36-Controls!$B$27-(Controls!$C$27-1)/2)/MAX(Controls!$C$27/4,0.5))^2),0))</f>
        <v>0</v>
      </c>
      <c r="O36" s="10">
        <f>IF($A36="","",IF(AND($A36&gt;=Controls!$B$28,$A36&lt;Controls!$B$28+Controls!$C$28),(Controls!$D$28-1)*EXP(-0.5*(($A36-Controls!$B$28-(Controls!$C$28-1)/2)/MAX(Controls!$C$28/4,0.5))^2),0))</f>
        <v>0</v>
      </c>
      <c r="P36" s="4" t="str">
        <f t="shared" si="1"/>
        <v>2099-12-06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21.0" customHeight="1">
      <c r="A37" s="7">
        <f>IF(36&lt;=Controls!$B$5,Controls!$B$4+35,"")</f>
        <v>73026</v>
      </c>
      <c r="B37" s="10">
        <f>IF(Random!V37="","",IF(Controls!$B$7="Normal",Controls!$B$8,(Controls!$B$8+Controls!$B$9)/2)+Controls!$B$10*(B36-IF(Controls!$B$7="Normal",Controls!$B$8,(Controls!$B$8+Controls!$B$9)/2))+SQRT(1-Controls!$B$10^2)*(Random!V37-IF(Controls!$B$7="Normal",Controls!$B$8,(Controls!$B$8+Controls!$B$9)/2)))</f>
        <v>48.11732095</v>
      </c>
      <c r="C37" s="10">
        <f>IF(Random!W37="","",IF(Controls!$B$7="Normal",Controls!$B$8,(Controls!$B$8+Controls!$B$9)/2)+Controls!$B$10*(C36-IF(Controls!$B$7="Normal",Controls!$B$8,(Controls!$B$8+Controls!$B$9)/2))+SQRT(1-Controls!$B$10^2)*(Random!W37-IF(Controls!$B$7="Normal",Controls!$B$8,(Controls!$B$8+Controls!$B$9)/2)))</f>
        <v>45.75422566</v>
      </c>
      <c r="D37" s="10">
        <f>IF(Random!X37="","",IF(Controls!$B$7="Normal",Controls!$B$8,(Controls!$B$8+Controls!$B$9)/2)+Controls!$B$10*(D36-IF(Controls!$B$7="Normal",Controls!$B$8,(Controls!$B$8+Controls!$B$9)/2))+SQRT(1-Controls!$B$10^2)*(Random!X37-IF(Controls!$B$7="Normal",Controls!$B$8,(Controls!$B$8+Controls!$B$9)/2)))</f>
        <v>53.85093677</v>
      </c>
      <c r="E37" s="10" t="str">
        <f>IF(Random!Y37="","",IF(Controls!$B$7="Normal",Controls!$B$8,(Controls!$B$8+Controls!$B$9)/2)+Controls!$B$10*(E36-IF(Controls!$B$7="Normal",Controls!$B$8,(Controls!$B$8+Controls!$B$9)/2))+SQRT(1-Controls!$B$10^2)*(Random!Y37-IF(Controls!$B$7="Normal",Controls!$B$8,(Controls!$B$8+Controls!$B$9)/2)))</f>
        <v/>
      </c>
      <c r="F37" s="10" t="str">
        <f>IF(Random!Z37="","",IF(Controls!$B$7="Normal",Controls!$B$8,(Controls!$B$8+Controls!$B$9)/2)+Controls!$B$10*(F36-IF(Controls!$B$7="Normal",Controls!$B$8,(Controls!$B$8+Controls!$B$9)/2))+SQRT(1-Controls!$B$10^2)*(Random!Z37-IF(Controls!$B$7="Normal",Controls!$B$8,(Controls!$B$8+Controls!$B$9)/2)))</f>
        <v/>
      </c>
      <c r="G37" s="10" t="str">
        <f>IF(Random!AA37="","",IF(Controls!$B$7="Normal",Controls!$B$8,(Controls!$B$8+Controls!$B$9)/2)+Controls!$B$10*(G36-IF(Controls!$B$7="Normal",Controls!$B$8,(Controls!$B$8+Controls!$B$9)/2))+SQRT(1-Controls!$B$10^2)*(Random!AA37-IF(Controls!$B$7="Normal",Controls!$B$8,(Controls!$B$8+Controls!$B$9)/2)))</f>
        <v/>
      </c>
      <c r="H37" s="10" t="str">
        <f>IF(Random!AB37="","",IF(Controls!$B$7="Normal",Controls!$B$8,(Controls!$B$8+Controls!$B$9)/2)+Controls!$B$10*(H36-IF(Controls!$B$7="Normal",Controls!$B$8,(Controls!$B$8+Controls!$B$9)/2))+SQRT(1-Controls!$B$10^2)*(Random!AB37-IF(Controls!$B$7="Normal",Controls!$B$8,(Controls!$B$8+Controls!$B$9)/2)))</f>
        <v/>
      </c>
      <c r="I37" s="10" t="str">
        <f>IF(Random!AC37="","",IF(Controls!$B$7="Normal",Controls!$B$8,(Controls!$B$8+Controls!$B$9)/2)+Controls!$B$10*(I36-IF(Controls!$B$7="Normal",Controls!$B$8,(Controls!$B$8+Controls!$B$9)/2))+SQRT(1-Controls!$B$10^2)*(Random!AC37-IF(Controls!$B$7="Normal",Controls!$B$8,(Controls!$B$8+Controls!$B$9)/2)))</f>
        <v/>
      </c>
      <c r="J37" s="10" t="str">
        <f>IF(Random!AD37="","",IF(Controls!$B$7="Normal",Controls!$B$8,(Controls!$B$8+Controls!$B$9)/2)+Controls!$B$10*(J36-IF(Controls!$B$7="Normal",Controls!$B$8,(Controls!$B$8+Controls!$B$9)/2))+SQRT(1-Controls!$B$10^2)*(Random!AD37-IF(Controls!$B$7="Normal",Controls!$B$8,(Controls!$B$8+Controls!$B$9)/2)))</f>
        <v/>
      </c>
      <c r="K37" s="10" t="str">
        <f>IF(Random!AE37="","",IF(Controls!$B$7="Normal",Controls!$B$8,(Controls!$B$8+Controls!$B$9)/2)+Controls!$B$10*(K36-IF(Controls!$B$7="Normal",Controls!$B$8,(Controls!$B$8+Controls!$B$9)/2))+SQRT(1-Controls!$B$10^2)*(Random!AE37-IF(Controls!$B$7="Normal",Controls!$B$8,(Controls!$B$8+Controls!$B$9)/2)))</f>
        <v/>
      </c>
      <c r="L37" s="10">
        <f>IF($A37="","",IF(AND($A37&gt;=Controls!$B$25,$A37&lt;Controls!$B$25+Controls!$C$25),(Controls!$D$25-1)*EXP(-0.5*(($A37-Controls!$B$25-(Controls!$C$25-1)/2)/MAX(Controls!$C$25/4,0.5))^2),0))</f>
        <v>0</v>
      </c>
      <c r="M37" s="10">
        <f>IF($A37="","",IF(AND($A37&gt;=Controls!$B$26,$A37&lt;Controls!$B$26+Controls!$C$26),(Controls!$D$26-1)*EXP(-0.5*(($A37-Controls!$B$26-(Controls!$C$26-1)/2)/MAX(Controls!$C$26/4,0.5))^2),0))</f>
        <v>0</v>
      </c>
      <c r="N37" s="10">
        <f>IF($A37="","",IF(AND($A37&gt;=Controls!$B$27,$A37&lt;Controls!$B$27+Controls!$C$27),(Controls!$D$27-1)*EXP(-0.5*(($A37-Controls!$B$27-(Controls!$C$27-1)/2)/MAX(Controls!$C$27/4,0.5))^2),0))</f>
        <v>0</v>
      </c>
      <c r="O37" s="10">
        <f>IF($A37="","",IF(AND($A37&gt;=Controls!$B$28,$A37&lt;Controls!$B$28+Controls!$C$28),(Controls!$D$28-1)*EXP(-0.5*(($A37-Controls!$B$28-(Controls!$C$28-1)/2)/MAX(Controls!$C$28/4,0.5))^2),0))</f>
        <v>0</v>
      </c>
      <c r="P37" s="4" t="str">
        <f t="shared" si="1"/>
        <v>2099-12-07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21.0" customHeight="1">
      <c r="A38" s="7">
        <f>IF(37&lt;=Controls!$B$5,Controls!$B$4+36,"")</f>
        <v>73027</v>
      </c>
      <c r="B38" s="10">
        <f>IF(Random!V38="","",IF(Controls!$B$7="Normal",Controls!$B$8,(Controls!$B$8+Controls!$B$9)/2)+Controls!$B$10*(B37-IF(Controls!$B$7="Normal",Controls!$B$8,(Controls!$B$8+Controls!$B$9)/2))+SQRT(1-Controls!$B$10^2)*(Random!V38-IF(Controls!$B$7="Normal",Controls!$B$8,(Controls!$B$8+Controls!$B$9)/2)))</f>
        <v>52.92282467</v>
      </c>
      <c r="C38" s="10">
        <f>IF(Random!W38="","",IF(Controls!$B$7="Normal",Controls!$B$8,(Controls!$B$8+Controls!$B$9)/2)+Controls!$B$10*(C37-IF(Controls!$B$7="Normal",Controls!$B$8,(Controls!$B$8+Controls!$B$9)/2))+SQRT(1-Controls!$B$10^2)*(Random!W38-IF(Controls!$B$7="Normal",Controls!$B$8,(Controls!$B$8+Controls!$B$9)/2)))</f>
        <v>48.32828838</v>
      </c>
      <c r="D38" s="10">
        <f>IF(Random!X38="","",IF(Controls!$B$7="Normal",Controls!$B$8,(Controls!$B$8+Controls!$B$9)/2)+Controls!$B$10*(D37-IF(Controls!$B$7="Normal",Controls!$B$8,(Controls!$B$8+Controls!$B$9)/2))+SQRT(1-Controls!$B$10^2)*(Random!X38-IF(Controls!$B$7="Normal",Controls!$B$8,(Controls!$B$8+Controls!$B$9)/2)))</f>
        <v>57.16654336</v>
      </c>
      <c r="E38" s="10" t="str">
        <f>IF(Random!Y38="","",IF(Controls!$B$7="Normal",Controls!$B$8,(Controls!$B$8+Controls!$B$9)/2)+Controls!$B$10*(E37-IF(Controls!$B$7="Normal",Controls!$B$8,(Controls!$B$8+Controls!$B$9)/2))+SQRT(1-Controls!$B$10^2)*(Random!Y38-IF(Controls!$B$7="Normal",Controls!$B$8,(Controls!$B$8+Controls!$B$9)/2)))</f>
        <v/>
      </c>
      <c r="F38" s="10" t="str">
        <f>IF(Random!Z38="","",IF(Controls!$B$7="Normal",Controls!$B$8,(Controls!$B$8+Controls!$B$9)/2)+Controls!$B$10*(F37-IF(Controls!$B$7="Normal",Controls!$B$8,(Controls!$B$8+Controls!$B$9)/2))+SQRT(1-Controls!$B$10^2)*(Random!Z38-IF(Controls!$B$7="Normal",Controls!$B$8,(Controls!$B$8+Controls!$B$9)/2)))</f>
        <v/>
      </c>
      <c r="G38" s="10" t="str">
        <f>IF(Random!AA38="","",IF(Controls!$B$7="Normal",Controls!$B$8,(Controls!$B$8+Controls!$B$9)/2)+Controls!$B$10*(G37-IF(Controls!$B$7="Normal",Controls!$B$8,(Controls!$B$8+Controls!$B$9)/2))+SQRT(1-Controls!$B$10^2)*(Random!AA38-IF(Controls!$B$7="Normal",Controls!$B$8,(Controls!$B$8+Controls!$B$9)/2)))</f>
        <v/>
      </c>
      <c r="H38" s="10" t="str">
        <f>IF(Random!AB38="","",IF(Controls!$B$7="Normal",Controls!$B$8,(Controls!$B$8+Controls!$B$9)/2)+Controls!$B$10*(H37-IF(Controls!$B$7="Normal",Controls!$B$8,(Controls!$B$8+Controls!$B$9)/2))+SQRT(1-Controls!$B$10^2)*(Random!AB38-IF(Controls!$B$7="Normal",Controls!$B$8,(Controls!$B$8+Controls!$B$9)/2)))</f>
        <v/>
      </c>
      <c r="I38" s="10" t="str">
        <f>IF(Random!AC38="","",IF(Controls!$B$7="Normal",Controls!$B$8,(Controls!$B$8+Controls!$B$9)/2)+Controls!$B$10*(I37-IF(Controls!$B$7="Normal",Controls!$B$8,(Controls!$B$8+Controls!$B$9)/2))+SQRT(1-Controls!$B$10^2)*(Random!AC38-IF(Controls!$B$7="Normal",Controls!$B$8,(Controls!$B$8+Controls!$B$9)/2)))</f>
        <v/>
      </c>
      <c r="J38" s="10" t="str">
        <f>IF(Random!AD38="","",IF(Controls!$B$7="Normal",Controls!$B$8,(Controls!$B$8+Controls!$B$9)/2)+Controls!$B$10*(J37-IF(Controls!$B$7="Normal",Controls!$B$8,(Controls!$B$8+Controls!$B$9)/2))+SQRT(1-Controls!$B$10^2)*(Random!AD38-IF(Controls!$B$7="Normal",Controls!$B$8,(Controls!$B$8+Controls!$B$9)/2)))</f>
        <v/>
      </c>
      <c r="K38" s="10" t="str">
        <f>IF(Random!AE38="","",IF(Controls!$B$7="Normal",Controls!$B$8,(Controls!$B$8+Controls!$B$9)/2)+Controls!$B$10*(K37-IF(Controls!$B$7="Normal",Controls!$B$8,(Controls!$B$8+Controls!$B$9)/2))+SQRT(1-Controls!$B$10^2)*(Random!AE38-IF(Controls!$B$7="Normal",Controls!$B$8,(Controls!$B$8+Controls!$B$9)/2)))</f>
        <v/>
      </c>
      <c r="L38" s="10">
        <f>IF($A38="","",IF(AND($A38&gt;=Controls!$B$25,$A38&lt;Controls!$B$25+Controls!$C$25),(Controls!$D$25-1)*EXP(-0.5*(($A38-Controls!$B$25-(Controls!$C$25-1)/2)/MAX(Controls!$C$25/4,0.5))^2),0))</f>
        <v>0</v>
      </c>
      <c r="M38" s="10">
        <f>IF($A38="","",IF(AND($A38&gt;=Controls!$B$26,$A38&lt;Controls!$B$26+Controls!$C$26),(Controls!$D$26-1)*EXP(-0.5*(($A38-Controls!$B$26-(Controls!$C$26-1)/2)/MAX(Controls!$C$26/4,0.5))^2),0))</f>
        <v>0</v>
      </c>
      <c r="N38" s="10">
        <f>IF($A38="","",IF(AND($A38&gt;=Controls!$B$27,$A38&lt;Controls!$B$27+Controls!$C$27),(Controls!$D$27-1)*EXP(-0.5*(($A38-Controls!$B$27-(Controls!$C$27-1)/2)/MAX(Controls!$C$27/4,0.5))^2),0))</f>
        <v>0</v>
      </c>
      <c r="O38" s="10">
        <f>IF($A38="","",IF(AND($A38&gt;=Controls!$B$28,$A38&lt;Controls!$B$28+Controls!$C$28),(Controls!$D$28-1)*EXP(-0.5*(($A38-Controls!$B$28-(Controls!$C$28-1)/2)/MAX(Controls!$C$28/4,0.5))^2),0))</f>
        <v>0</v>
      </c>
      <c r="P38" s="4" t="str">
        <f t="shared" si="1"/>
        <v>2099-12-08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21.0" customHeight="1">
      <c r="A39" s="7">
        <f>IF(38&lt;=Controls!$B$5,Controls!$B$4+37,"")</f>
        <v>73028</v>
      </c>
      <c r="B39" s="10">
        <f>IF(Random!V39="","",IF(Controls!$B$7="Normal",Controls!$B$8,(Controls!$B$8+Controls!$B$9)/2)+Controls!$B$10*(B38-IF(Controls!$B$7="Normal",Controls!$B$8,(Controls!$B$8+Controls!$B$9)/2))+SQRT(1-Controls!$B$10^2)*(Random!V39-IF(Controls!$B$7="Normal",Controls!$B$8,(Controls!$B$8+Controls!$B$9)/2)))</f>
        <v>44.874304</v>
      </c>
      <c r="C39" s="10">
        <f>IF(Random!W39="","",IF(Controls!$B$7="Normal",Controls!$B$8,(Controls!$B$8+Controls!$B$9)/2)+Controls!$B$10*(C38-IF(Controls!$B$7="Normal",Controls!$B$8,(Controls!$B$8+Controls!$B$9)/2))+SQRT(1-Controls!$B$10^2)*(Random!W39-IF(Controls!$B$7="Normal",Controls!$B$8,(Controls!$B$8+Controls!$B$9)/2)))</f>
        <v>45.63752485</v>
      </c>
      <c r="D39" s="10">
        <f>IF(Random!X39="","",IF(Controls!$B$7="Normal",Controls!$B$8,(Controls!$B$8+Controls!$B$9)/2)+Controls!$B$10*(D38-IF(Controls!$B$7="Normal",Controls!$B$8,(Controls!$B$8+Controls!$B$9)/2))+SQRT(1-Controls!$B$10^2)*(Random!X39-IF(Controls!$B$7="Normal",Controls!$B$8,(Controls!$B$8+Controls!$B$9)/2)))</f>
        <v>55.7642701</v>
      </c>
      <c r="E39" s="10" t="str">
        <f>IF(Random!Y39="","",IF(Controls!$B$7="Normal",Controls!$B$8,(Controls!$B$8+Controls!$B$9)/2)+Controls!$B$10*(E38-IF(Controls!$B$7="Normal",Controls!$B$8,(Controls!$B$8+Controls!$B$9)/2))+SQRT(1-Controls!$B$10^2)*(Random!Y39-IF(Controls!$B$7="Normal",Controls!$B$8,(Controls!$B$8+Controls!$B$9)/2)))</f>
        <v/>
      </c>
      <c r="F39" s="10" t="str">
        <f>IF(Random!Z39="","",IF(Controls!$B$7="Normal",Controls!$B$8,(Controls!$B$8+Controls!$B$9)/2)+Controls!$B$10*(F38-IF(Controls!$B$7="Normal",Controls!$B$8,(Controls!$B$8+Controls!$B$9)/2))+SQRT(1-Controls!$B$10^2)*(Random!Z39-IF(Controls!$B$7="Normal",Controls!$B$8,(Controls!$B$8+Controls!$B$9)/2)))</f>
        <v/>
      </c>
      <c r="G39" s="10" t="str">
        <f>IF(Random!AA39="","",IF(Controls!$B$7="Normal",Controls!$B$8,(Controls!$B$8+Controls!$B$9)/2)+Controls!$B$10*(G38-IF(Controls!$B$7="Normal",Controls!$B$8,(Controls!$B$8+Controls!$B$9)/2))+SQRT(1-Controls!$B$10^2)*(Random!AA39-IF(Controls!$B$7="Normal",Controls!$B$8,(Controls!$B$8+Controls!$B$9)/2)))</f>
        <v/>
      </c>
      <c r="H39" s="10" t="str">
        <f>IF(Random!AB39="","",IF(Controls!$B$7="Normal",Controls!$B$8,(Controls!$B$8+Controls!$B$9)/2)+Controls!$B$10*(H38-IF(Controls!$B$7="Normal",Controls!$B$8,(Controls!$B$8+Controls!$B$9)/2))+SQRT(1-Controls!$B$10^2)*(Random!AB39-IF(Controls!$B$7="Normal",Controls!$B$8,(Controls!$B$8+Controls!$B$9)/2)))</f>
        <v/>
      </c>
      <c r="I39" s="10" t="str">
        <f>IF(Random!AC39="","",IF(Controls!$B$7="Normal",Controls!$B$8,(Controls!$B$8+Controls!$B$9)/2)+Controls!$B$10*(I38-IF(Controls!$B$7="Normal",Controls!$B$8,(Controls!$B$8+Controls!$B$9)/2))+SQRT(1-Controls!$B$10^2)*(Random!AC39-IF(Controls!$B$7="Normal",Controls!$B$8,(Controls!$B$8+Controls!$B$9)/2)))</f>
        <v/>
      </c>
      <c r="J39" s="10" t="str">
        <f>IF(Random!AD39="","",IF(Controls!$B$7="Normal",Controls!$B$8,(Controls!$B$8+Controls!$B$9)/2)+Controls!$B$10*(J38-IF(Controls!$B$7="Normal",Controls!$B$8,(Controls!$B$8+Controls!$B$9)/2))+SQRT(1-Controls!$B$10^2)*(Random!AD39-IF(Controls!$B$7="Normal",Controls!$B$8,(Controls!$B$8+Controls!$B$9)/2)))</f>
        <v/>
      </c>
      <c r="K39" s="10" t="str">
        <f>IF(Random!AE39="","",IF(Controls!$B$7="Normal",Controls!$B$8,(Controls!$B$8+Controls!$B$9)/2)+Controls!$B$10*(K38-IF(Controls!$B$7="Normal",Controls!$B$8,(Controls!$B$8+Controls!$B$9)/2))+SQRT(1-Controls!$B$10^2)*(Random!AE39-IF(Controls!$B$7="Normal",Controls!$B$8,(Controls!$B$8+Controls!$B$9)/2)))</f>
        <v/>
      </c>
      <c r="L39" s="10">
        <f>IF($A39="","",IF(AND($A39&gt;=Controls!$B$25,$A39&lt;Controls!$B$25+Controls!$C$25),(Controls!$D$25-1)*EXP(-0.5*(($A39-Controls!$B$25-(Controls!$C$25-1)/2)/MAX(Controls!$C$25/4,0.5))^2),0))</f>
        <v>0</v>
      </c>
      <c r="M39" s="10">
        <f>IF($A39="","",IF(AND($A39&gt;=Controls!$B$26,$A39&lt;Controls!$B$26+Controls!$C$26),(Controls!$D$26-1)*EXP(-0.5*(($A39-Controls!$B$26-(Controls!$C$26-1)/2)/MAX(Controls!$C$26/4,0.5))^2),0))</f>
        <v>0</v>
      </c>
      <c r="N39" s="10">
        <f>IF($A39="","",IF(AND($A39&gt;=Controls!$B$27,$A39&lt;Controls!$B$27+Controls!$C$27),(Controls!$D$27-1)*EXP(-0.5*(($A39-Controls!$B$27-(Controls!$C$27-1)/2)/MAX(Controls!$C$27/4,0.5))^2),0))</f>
        <v>0</v>
      </c>
      <c r="O39" s="10">
        <f>IF($A39="","",IF(AND($A39&gt;=Controls!$B$28,$A39&lt;Controls!$B$28+Controls!$C$28),(Controls!$D$28-1)*EXP(-0.5*(($A39-Controls!$B$28-(Controls!$C$28-1)/2)/MAX(Controls!$C$28/4,0.5))^2),0))</f>
        <v>0</v>
      </c>
      <c r="P39" s="4" t="str">
        <f t="shared" si="1"/>
        <v>2099-12-09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21.0" customHeight="1">
      <c r="A40" s="7">
        <f>IF(39&lt;=Controls!$B$5,Controls!$B$4+38,"")</f>
        <v>73029</v>
      </c>
      <c r="B40" s="10">
        <f>IF(Random!V40="","",IF(Controls!$B$7="Normal",Controls!$B$8,(Controls!$B$8+Controls!$B$9)/2)+Controls!$B$10*(B39-IF(Controls!$B$7="Normal",Controls!$B$8,(Controls!$B$8+Controls!$B$9)/2))+SQRT(1-Controls!$B$10^2)*(Random!V40-IF(Controls!$B$7="Normal",Controls!$B$8,(Controls!$B$8+Controls!$B$9)/2)))</f>
        <v>44.13779055</v>
      </c>
      <c r="C40" s="10">
        <f>IF(Random!W40="","",IF(Controls!$B$7="Normal",Controls!$B$8,(Controls!$B$8+Controls!$B$9)/2)+Controls!$B$10*(C39-IF(Controls!$B$7="Normal",Controls!$B$8,(Controls!$B$8+Controls!$B$9)/2))+SQRT(1-Controls!$B$10^2)*(Random!W40-IF(Controls!$B$7="Normal",Controls!$B$8,(Controls!$B$8+Controls!$B$9)/2)))</f>
        <v>47.71004634</v>
      </c>
      <c r="D40" s="10">
        <f>IF(Random!X40="","",IF(Controls!$B$7="Normal",Controls!$B$8,(Controls!$B$8+Controls!$B$9)/2)+Controls!$B$10*(D39-IF(Controls!$B$7="Normal",Controls!$B$8,(Controls!$B$8+Controls!$B$9)/2))+SQRT(1-Controls!$B$10^2)*(Random!X40-IF(Controls!$B$7="Normal",Controls!$B$8,(Controls!$B$8+Controls!$B$9)/2)))</f>
        <v>54.10525674</v>
      </c>
      <c r="E40" s="10" t="str">
        <f>IF(Random!Y40="","",IF(Controls!$B$7="Normal",Controls!$B$8,(Controls!$B$8+Controls!$B$9)/2)+Controls!$B$10*(E39-IF(Controls!$B$7="Normal",Controls!$B$8,(Controls!$B$8+Controls!$B$9)/2))+SQRT(1-Controls!$B$10^2)*(Random!Y40-IF(Controls!$B$7="Normal",Controls!$B$8,(Controls!$B$8+Controls!$B$9)/2)))</f>
        <v/>
      </c>
      <c r="F40" s="10" t="str">
        <f>IF(Random!Z40="","",IF(Controls!$B$7="Normal",Controls!$B$8,(Controls!$B$8+Controls!$B$9)/2)+Controls!$B$10*(F39-IF(Controls!$B$7="Normal",Controls!$B$8,(Controls!$B$8+Controls!$B$9)/2))+SQRT(1-Controls!$B$10^2)*(Random!Z40-IF(Controls!$B$7="Normal",Controls!$B$8,(Controls!$B$8+Controls!$B$9)/2)))</f>
        <v/>
      </c>
      <c r="G40" s="10" t="str">
        <f>IF(Random!AA40="","",IF(Controls!$B$7="Normal",Controls!$B$8,(Controls!$B$8+Controls!$B$9)/2)+Controls!$B$10*(G39-IF(Controls!$B$7="Normal",Controls!$B$8,(Controls!$B$8+Controls!$B$9)/2))+SQRT(1-Controls!$B$10^2)*(Random!AA40-IF(Controls!$B$7="Normal",Controls!$B$8,(Controls!$B$8+Controls!$B$9)/2)))</f>
        <v/>
      </c>
      <c r="H40" s="10" t="str">
        <f>IF(Random!AB40="","",IF(Controls!$B$7="Normal",Controls!$B$8,(Controls!$B$8+Controls!$B$9)/2)+Controls!$B$10*(H39-IF(Controls!$B$7="Normal",Controls!$B$8,(Controls!$B$8+Controls!$B$9)/2))+SQRT(1-Controls!$B$10^2)*(Random!AB40-IF(Controls!$B$7="Normal",Controls!$B$8,(Controls!$B$8+Controls!$B$9)/2)))</f>
        <v/>
      </c>
      <c r="I40" s="10" t="str">
        <f>IF(Random!AC40="","",IF(Controls!$B$7="Normal",Controls!$B$8,(Controls!$B$8+Controls!$B$9)/2)+Controls!$B$10*(I39-IF(Controls!$B$7="Normal",Controls!$B$8,(Controls!$B$8+Controls!$B$9)/2))+SQRT(1-Controls!$B$10^2)*(Random!AC40-IF(Controls!$B$7="Normal",Controls!$B$8,(Controls!$B$8+Controls!$B$9)/2)))</f>
        <v/>
      </c>
      <c r="J40" s="10" t="str">
        <f>IF(Random!AD40="","",IF(Controls!$B$7="Normal",Controls!$B$8,(Controls!$B$8+Controls!$B$9)/2)+Controls!$B$10*(J39-IF(Controls!$B$7="Normal",Controls!$B$8,(Controls!$B$8+Controls!$B$9)/2))+SQRT(1-Controls!$B$10^2)*(Random!AD40-IF(Controls!$B$7="Normal",Controls!$B$8,(Controls!$B$8+Controls!$B$9)/2)))</f>
        <v/>
      </c>
      <c r="K40" s="10" t="str">
        <f>IF(Random!AE40="","",IF(Controls!$B$7="Normal",Controls!$B$8,(Controls!$B$8+Controls!$B$9)/2)+Controls!$B$10*(K39-IF(Controls!$B$7="Normal",Controls!$B$8,(Controls!$B$8+Controls!$B$9)/2))+SQRT(1-Controls!$B$10^2)*(Random!AE40-IF(Controls!$B$7="Normal",Controls!$B$8,(Controls!$B$8+Controls!$B$9)/2)))</f>
        <v/>
      </c>
      <c r="L40" s="10">
        <f>IF($A40="","",IF(AND($A40&gt;=Controls!$B$25,$A40&lt;Controls!$B$25+Controls!$C$25),(Controls!$D$25-1)*EXP(-0.5*(($A40-Controls!$B$25-(Controls!$C$25-1)/2)/MAX(Controls!$C$25/4,0.5))^2),0))</f>
        <v>0</v>
      </c>
      <c r="M40" s="10">
        <f>IF($A40="","",IF(AND($A40&gt;=Controls!$B$26,$A40&lt;Controls!$B$26+Controls!$C$26),(Controls!$D$26-1)*EXP(-0.5*(($A40-Controls!$B$26-(Controls!$C$26-1)/2)/MAX(Controls!$C$26/4,0.5))^2),0))</f>
        <v>0</v>
      </c>
      <c r="N40" s="10">
        <f>IF($A40="","",IF(AND($A40&gt;=Controls!$B$27,$A40&lt;Controls!$B$27+Controls!$C$27),(Controls!$D$27-1)*EXP(-0.5*(($A40-Controls!$B$27-(Controls!$C$27-1)/2)/MAX(Controls!$C$27/4,0.5))^2),0))</f>
        <v>0</v>
      </c>
      <c r="O40" s="10">
        <f>IF($A40="","",IF(AND($A40&gt;=Controls!$B$28,$A40&lt;Controls!$B$28+Controls!$C$28),(Controls!$D$28-1)*EXP(-0.5*(($A40-Controls!$B$28-(Controls!$C$28-1)/2)/MAX(Controls!$C$28/4,0.5))^2),0))</f>
        <v>0</v>
      </c>
      <c r="P40" s="4" t="str">
        <f t="shared" si="1"/>
        <v>2099-12-10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21.0" customHeight="1">
      <c r="A41" s="7">
        <f>IF(40&lt;=Controls!$B$5,Controls!$B$4+39,"")</f>
        <v>73030</v>
      </c>
      <c r="B41" s="10">
        <f>IF(Random!V41="","",IF(Controls!$B$7="Normal",Controls!$B$8,(Controls!$B$8+Controls!$B$9)/2)+Controls!$B$10*(B40-IF(Controls!$B$7="Normal",Controls!$B$8,(Controls!$B$8+Controls!$B$9)/2))+SQRT(1-Controls!$B$10^2)*(Random!V41-IF(Controls!$B$7="Normal",Controls!$B$8,(Controls!$B$8+Controls!$B$9)/2)))</f>
        <v>41.75297037</v>
      </c>
      <c r="C41" s="10">
        <f>IF(Random!W41="","",IF(Controls!$B$7="Normal",Controls!$B$8,(Controls!$B$8+Controls!$B$9)/2)+Controls!$B$10*(C40-IF(Controls!$B$7="Normal",Controls!$B$8,(Controls!$B$8+Controls!$B$9)/2))+SQRT(1-Controls!$B$10^2)*(Random!W41-IF(Controls!$B$7="Normal",Controls!$B$8,(Controls!$B$8+Controls!$B$9)/2)))</f>
        <v>41.65948612</v>
      </c>
      <c r="D41" s="10">
        <f>IF(Random!X41="","",IF(Controls!$B$7="Normal",Controls!$B$8,(Controls!$B$8+Controls!$B$9)/2)+Controls!$B$10*(D40-IF(Controls!$B$7="Normal",Controls!$B$8,(Controls!$B$8+Controls!$B$9)/2))+SQRT(1-Controls!$B$10^2)*(Random!X41-IF(Controls!$B$7="Normal",Controls!$B$8,(Controls!$B$8+Controls!$B$9)/2)))</f>
        <v>43.38789083</v>
      </c>
      <c r="E41" s="10" t="str">
        <f>IF(Random!Y41="","",IF(Controls!$B$7="Normal",Controls!$B$8,(Controls!$B$8+Controls!$B$9)/2)+Controls!$B$10*(E40-IF(Controls!$B$7="Normal",Controls!$B$8,(Controls!$B$8+Controls!$B$9)/2))+SQRT(1-Controls!$B$10^2)*(Random!Y41-IF(Controls!$B$7="Normal",Controls!$B$8,(Controls!$B$8+Controls!$B$9)/2)))</f>
        <v/>
      </c>
      <c r="F41" s="10" t="str">
        <f>IF(Random!Z41="","",IF(Controls!$B$7="Normal",Controls!$B$8,(Controls!$B$8+Controls!$B$9)/2)+Controls!$B$10*(F40-IF(Controls!$B$7="Normal",Controls!$B$8,(Controls!$B$8+Controls!$B$9)/2))+SQRT(1-Controls!$B$10^2)*(Random!Z41-IF(Controls!$B$7="Normal",Controls!$B$8,(Controls!$B$8+Controls!$B$9)/2)))</f>
        <v/>
      </c>
      <c r="G41" s="10" t="str">
        <f>IF(Random!AA41="","",IF(Controls!$B$7="Normal",Controls!$B$8,(Controls!$B$8+Controls!$B$9)/2)+Controls!$B$10*(G40-IF(Controls!$B$7="Normal",Controls!$B$8,(Controls!$B$8+Controls!$B$9)/2))+SQRT(1-Controls!$B$10^2)*(Random!AA41-IF(Controls!$B$7="Normal",Controls!$B$8,(Controls!$B$8+Controls!$B$9)/2)))</f>
        <v/>
      </c>
      <c r="H41" s="10" t="str">
        <f>IF(Random!AB41="","",IF(Controls!$B$7="Normal",Controls!$B$8,(Controls!$B$8+Controls!$B$9)/2)+Controls!$B$10*(H40-IF(Controls!$B$7="Normal",Controls!$B$8,(Controls!$B$8+Controls!$B$9)/2))+SQRT(1-Controls!$B$10^2)*(Random!AB41-IF(Controls!$B$7="Normal",Controls!$B$8,(Controls!$B$8+Controls!$B$9)/2)))</f>
        <v/>
      </c>
      <c r="I41" s="10" t="str">
        <f>IF(Random!AC41="","",IF(Controls!$B$7="Normal",Controls!$B$8,(Controls!$B$8+Controls!$B$9)/2)+Controls!$B$10*(I40-IF(Controls!$B$7="Normal",Controls!$B$8,(Controls!$B$8+Controls!$B$9)/2))+SQRT(1-Controls!$B$10^2)*(Random!AC41-IF(Controls!$B$7="Normal",Controls!$B$8,(Controls!$B$8+Controls!$B$9)/2)))</f>
        <v/>
      </c>
      <c r="J41" s="10" t="str">
        <f>IF(Random!AD41="","",IF(Controls!$B$7="Normal",Controls!$B$8,(Controls!$B$8+Controls!$B$9)/2)+Controls!$B$10*(J40-IF(Controls!$B$7="Normal",Controls!$B$8,(Controls!$B$8+Controls!$B$9)/2))+SQRT(1-Controls!$B$10^2)*(Random!AD41-IF(Controls!$B$7="Normal",Controls!$B$8,(Controls!$B$8+Controls!$B$9)/2)))</f>
        <v/>
      </c>
      <c r="K41" s="10" t="str">
        <f>IF(Random!AE41="","",IF(Controls!$B$7="Normal",Controls!$B$8,(Controls!$B$8+Controls!$B$9)/2)+Controls!$B$10*(K40-IF(Controls!$B$7="Normal",Controls!$B$8,(Controls!$B$8+Controls!$B$9)/2))+SQRT(1-Controls!$B$10^2)*(Random!AE41-IF(Controls!$B$7="Normal",Controls!$B$8,(Controls!$B$8+Controls!$B$9)/2)))</f>
        <v/>
      </c>
      <c r="L41" s="10">
        <f>IF($A41="","",IF(AND($A41&gt;=Controls!$B$25,$A41&lt;Controls!$B$25+Controls!$C$25),(Controls!$D$25-1)*EXP(-0.5*(($A41-Controls!$B$25-(Controls!$C$25-1)/2)/MAX(Controls!$C$25/4,0.5))^2),0))</f>
        <v>0</v>
      </c>
      <c r="M41" s="10">
        <f>IF($A41="","",IF(AND($A41&gt;=Controls!$B$26,$A41&lt;Controls!$B$26+Controls!$C$26),(Controls!$D$26-1)*EXP(-0.5*(($A41-Controls!$B$26-(Controls!$C$26-1)/2)/MAX(Controls!$C$26/4,0.5))^2),0))</f>
        <v>0</v>
      </c>
      <c r="N41" s="10">
        <f>IF($A41="","",IF(AND($A41&gt;=Controls!$B$27,$A41&lt;Controls!$B$27+Controls!$C$27),(Controls!$D$27-1)*EXP(-0.5*(($A41-Controls!$B$27-(Controls!$C$27-1)/2)/MAX(Controls!$C$27/4,0.5))^2),0))</f>
        <v>0</v>
      </c>
      <c r="O41" s="10">
        <f>IF($A41="","",IF(AND($A41&gt;=Controls!$B$28,$A41&lt;Controls!$B$28+Controls!$C$28),(Controls!$D$28-1)*EXP(-0.5*(($A41-Controls!$B$28-(Controls!$C$28-1)/2)/MAX(Controls!$C$28/4,0.5))^2),0))</f>
        <v>0</v>
      </c>
      <c r="P41" s="4" t="str">
        <f t="shared" si="1"/>
        <v>2099-12-11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21.0" customHeight="1">
      <c r="A42" s="7">
        <f>IF(41&lt;=Controls!$B$5,Controls!$B$4+40,"")</f>
        <v>73031</v>
      </c>
      <c r="B42" s="10">
        <f>IF(Random!V42="","",IF(Controls!$B$7="Normal",Controls!$B$8,(Controls!$B$8+Controls!$B$9)/2)+Controls!$B$10*(B41-IF(Controls!$B$7="Normal",Controls!$B$8,(Controls!$B$8+Controls!$B$9)/2))+SQRT(1-Controls!$B$10^2)*(Random!V42-IF(Controls!$B$7="Normal",Controls!$B$8,(Controls!$B$8+Controls!$B$9)/2)))</f>
        <v>39.26146078</v>
      </c>
      <c r="C42" s="10">
        <f>IF(Random!W42="","",IF(Controls!$B$7="Normal",Controls!$B$8,(Controls!$B$8+Controls!$B$9)/2)+Controls!$B$10*(C41-IF(Controls!$B$7="Normal",Controls!$B$8,(Controls!$B$8+Controls!$B$9)/2))+SQRT(1-Controls!$B$10^2)*(Random!W42-IF(Controls!$B$7="Normal",Controls!$B$8,(Controls!$B$8+Controls!$B$9)/2)))</f>
        <v>34.38811945</v>
      </c>
      <c r="D42" s="10">
        <f>IF(Random!X42="","",IF(Controls!$B$7="Normal",Controls!$B$8,(Controls!$B$8+Controls!$B$9)/2)+Controls!$B$10*(D41-IF(Controls!$B$7="Normal",Controls!$B$8,(Controls!$B$8+Controls!$B$9)/2))+SQRT(1-Controls!$B$10^2)*(Random!X42-IF(Controls!$B$7="Normal",Controls!$B$8,(Controls!$B$8+Controls!$B$9)/2)))</f>
        <v>43.94540236</v>
      </c>
      <c r="E42" s="10" t="str">
        <f>IF(Random!Y42="","",IF(Controls!$B$7="Normal",Controls!$B$8,(Controls!$B$8+Controls!$B$9)/2)+Controls!$B$10*(E41-IF(Controls!$B$7="Normal",Controls!$B$8,(Controls!$B$8+Controls!$B$9)/2))+SQRT(1-Controls!$B$10^2)*(Random!Y42-IF(Controls!$B$7="Normal",Controls!$B$8,(Controls!$B$8+Controls!$B$9)/2)))</f>
        <v/>
      </c>
      <c r="F42" s="10" t="str">
        <f>IF(Random!Z42="","",IF(Controls!$B$7="Normal",Controls!$B$8,(Controls!$B$8+Controls!$B$9)/2)+Controls!$B$10*(F41-IF(Controls!$B$7="Normal",Controls!$B$8,(Controls!$B$8+Controls!$B$9)/2))+SQRT(1-Controls!$B$10^2)*(Random!Z42-IF(Controls!$B$7="Normal",Controls!$B$8,(Controls!$B$8+Controls!$B$9)/2)))</f>
        <v/>
      </c>
      <c r="G42" s="10" t="str">
        <f>IF(Random!AA42="","",IF(Controls!$B$7="Normal",Controls!$B$8,(Controls!$B$8+Controls!$B$9)/2)+Controls!$B$10*(G41-IF(Controls!$B$7="Normal",Controls!$B$8,(Controls!$B$8+Controls!$B$9)/2))+SQRT(1-Controls!$B$10^2)*(Random!AA42-IF(Controls!$B$7="Normal",Controls!$B$8,(Controls!$B$8+Controls!$B$9)/2)))</f>
        <v/>
      </c>
      <c r="H42" s="10" t="str">
        <f>IF(Random!AB42="","",IF(Controls!$B$7="Normal",Controls!$B$8,(Controls!$B$8+Controls!$B$9)/2)+Controls!$B$10*(H41-IF(Controls!$B$7="Normal",Controls!$B$8,(Controls!$B$8+Controls!$B$9)/2))+SQRT(1-Controls!$B$10^2)*(Random!AB42-IF(Controls!$B$7="Normal",Controls!$B$8,(Controls!$B$8+Controls!$B$9)/2)))</f>
        <v/>
      </c>
      <c r="I42" s="10" t="str">
        <f>IF(Random!AC42="","",IF(Controls!$B$7="Normal",Controls!$B$8,(Controls!$B$8+Controls!$B$9)/2)+Controls!$B$10*(I41-IF(Controls!$B$7="Normal",Controls!$B$8,(Controls!$B$8+Controls!$B$9)/2))+SQRT(1-Controls!$B$10^2)*(Random!AC42-IF(Controls!$B$7="Normal",Controls!$B$8,(Controls!$B$8+Controls!$B$9)/2)))</f>
        <v/>
      </c>
      <c r="J42" s="10" t="str">
        <f>IF(Random!AD42="","",IF(Controls!$B$7="Normal",Controls!$B$8,(Controls!$B$8+Controls!$B$9)/2)+Controls!$B$10*(J41-IF(Controls!$B$7="Normal",Controls!$B$8,(Controls!$B$8+Controls!$B$9)/2))+SQRT(1-Controls!$B$10^2)*(Random!AD42-IF(Controls!$B$7="Normal",Controls!$B$8,(Controls!$B$8+Controls!$B$9)/2)))</f>
        <v/>
      </c>
      <c r="K42" s="10" t="str">
        <f>IF(Random!AE42="","",IF(Controls!$B$7="Normal",Controls!$B$8,(Controls!$B$8+Controls!$B$9)/2)+Controls!$B$10*(K41-IF(Controls!$B$7="Normal",Controls!$B$8,(Controls!$B$8+Controls!$B$9)/2))+SQRT(1-Controls!$B$10^2)*(Random!AE42-IF(Controls!$B$7="Normal",Controls!$B$8,(Controls!$B$8+Controls!$B$9)/2)))</f>
        <v/>
      </c>
      <c r="L42" s="10">
        <f>IF($A42="","",IF(AND($A42&gt;=Controls!$B$25,$A42&lt;Controls!$B$25+Controls!$C$25),(Controls!$D$25-1)*EXP(-0.5*(($A42-Controls!$B$25-(Controls!$C$25-1)/2)/MAX(Controls!$C$25/4,0.5))^2),0))</f>
        <v>0</v>
      </c>
      <c r="M42" s="10">
        <f>IF($A42="","",IF(AND($A42&gt;=Controls!$B$26,$A42&lt;Controls!$B$26+Controls!$C$26),(Controls!$D$26-1)*EXP(-0.5*(($A42-Controls!$B$26-(Controls!$C$26-1)/2)/MAX(Controls!$C$26/4,0.5))^2),0))</f>
        <v>0</v>
      </c>
      <c r="N42" s="10">
        <f>IF($A42="","",IF(AND($A42&gt;=Controls!$B$27,$A42&lt;Controls!$B$27+Controls!$C$27),(Controls!$D$27-1)*EXP(-0.5*(($A42-Controls!$B$27-(Controls!$C$27-1)/2)/MAX(Controls!$C$27/4,0.5))^2),0))</f>
        <v>0</v>
      </c>
      <c r="O42" s="10">
        <f>IF($A42="","",IF(AND($A42&gt;=Controls!$B$28,$A42&lt;Controls!$B$28+Controls!$C$28),(Controls!$D$28-1)*EXP(-0.5*(($A42-Controls!$B$28-(Controls!$C$28-1)/2)/MAX(Controls!$C$28/4,0.5))^2),0))</f>
        <v>0</v>
      </c>
      <c r="P42" s="4" t="str">
        <f t="shared" si="1"/>
        <v>2099-12-12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21.0" customHeight="1">
      <c r="A43" s="7">
        <f>IF(42&lt;=Controls!$B$5,Controls!$B$4+41,"")</f>
        <v>73032</v>
      </c>
      <c r="B43" s="10">
        <f>IF(Random!V43="","",IF(Controls!$B$7="Normal",Controls!$B$8,(Controls!$B$8+Controls!$B$9)/2)+Controls!$B$10*(B42-IF(Controls!$B$7="Normal",Controls!$B$8,(Controls!$B$8+Controls!$B$9)/2))+SQRT(1-Controls!$B$10^2)*(Random!V43-IF(Controls!$B$7="Normal",Controls!$B$8,(Controls!$B$8+Controls!$B$9)/2)))</f>
        <v>34.08384835</v>
      </c>
      <c r="C43" s="10">
        <f>IF(Random!W43="","",IF(Controls!$B$7="Normal",Controls!$B$8,(Controls!$B$8+Controls!$B$9)/2)+Controls!$B$10*(C42-IF(Controls!$B$7="Normal",Controls!$B$8,(Controls!$B$8+Controls!$B$9)/2))+SQRT(1-Controls!$B$10^2)*(Random!W43-IF(Controls!$B$7="Normal",Controls!$B$8,(Controls!$B$8+Controls!$B$9)/2)))</f>
        <v>37.98172953</v>
      </c>
      <c r="D43" s="10">
        <f>IF(Random!X43="","",IF(Controls!$B$7="Normal",Controls!$B$8,(Controls!$B$8+Controls!$B$9)/2)+Controls!$B$10*(D42-IF(Controls!$B$7="Normal",Controls!$B$8,(Controls!$B$8+Controls!$B$9)/2))+SQRT(1-Controls!$B$10^2)*(Random!X43-IF(Controls!$B$7="Normal",Controls!$B$8,(Controls!$B$8+Controls!$B$9)/2)))</f>
        <v>48.73184839</v>
      </c>
      <c r="E43" s="10" t="str">
        <f>IF(Random!Y43="","",IF(Controls!$B$7="Normal",Controls!$B$8,(Controls!$B$8+Controls!$B$9)/2)+Controls!$B$10*(E42-IF(Controls!$B$7="Normal",Controls!$B$8,(Controls!$B$8+Controls!$B$9)/2))+SQRT(1-Controls!$B$10^2)*(Random!Y43-IF(Controls!$B$7="Normal",Controls!$B$8,(Controls!$B$8+Controls!$B$9)/2)))</f>
        <v/>
      </c>
      <c r="F43" s="10" t="str">
        <f>IF(Random!Z43="","",IF(Controls!$B$7="Normal",Controls!$B$8,(Controls!$B$8+Controls!$B$9)/2)+Controls!$B$10*(F42-IF(Controls!$B$7="Normal",Controls!$B$8,(Controls!$B$8+Controls!$B$9)/2))+SQRT(1-Controls!$B$10^2)*(Random!Z43-IF(Controls!$B$7="Normal",Controls!$B$8,(Controls!$B$8+Controls!$B$9)/2)))</f>
        <v/>
      </c>
      <c r="G43" s="10" t="str">
        <f>IF(Random!AA43="","",IF(Controls!$B$7="Normal",Controls!$B$8,(Controls!$B$8+Controls!$B$9)/2)+Controls!$B$10*(G42-IF(Controls!$B$7="Normal",Controls!$B$8,(Controls!$B$8+Controls!$B$9)/2))+SQRT(1-Controls!$B$10^2)*(Random!AA43-IF(Controls!$B$7="Normal",Controls!$B$8,(Controls!$B$8+Controls!$B$9)/2)))</f>
        <v/>
      </c>
      <c r="H43" s="10" t="str">
        <f>IF(Random!AB43="","",IF(Controls!$B$7="Normal",Controls!$B$8,(Controls!$B$8+Controls!$B$9)/2)+Controls!$B$10*(H42-IF(Controls!$B$7="Normal",Controls!$B$8,(Controls!$B$8+Controls!$B$9)/2))+SQRT(1-Controls!$B$10^2)*(Random!AB43-IF(Controls!$B$7="Normal",Controls!$B$8,(Controls!$B$8+Controls!$B$9)/2)))</f>
        <v/>
      </c>
      <c r="I43" s="10" t="str">
        <f>IF(Random!AC43="","",IF(Controls!$B$7="Normal",Controls!$B$8,(Controls!$B$8+Controls!$B$9)/2)+Controls!$B$10*(I42-IF(Controls!$B$7="Normal",Controls!$B$8,(Controls!$B$8+Controls!$B$9)/2))+SQRT(1-Controls!$B$10^2)*(Random!AC43-IF(Controls!$B$7="Normal",Controls!$B$8,(Controls!$B$8+Controls!$B$9)/2)))</f>
        <v/>
      </c>
      <c r="J43" s="10" t="str">
        <f>IF(Random!AD43="","",IF(Controls!$B$7="Normal",Controls!$B$8,(Controls!$B$8+Controls!$B$9)/2)+Controls!$B$10*(J42-IF(Controls!$B$7="Normal",Controls!$B$8,(Controls!$B$8+Controls!$B$9)/2))+SQRT(1-Controls!$B$10^2)*(Random!AD43-IF(Controls!$B$7="Normal",Controls!$B$8,(Controls!$B$8+Controls!$B$9)/2)))</f>
        <v/>
      </c>
      <c r="K43" s="10" t="str">
        <f>IF(Random!AE43="","",IF(Controls!$B$7="Normal",Controls!$B$8,(Controls!$B$8+Controls!$B$9)/2)+Controls!$B$10*(K42-IF(Controls!$B$7="Normal",Controls!$B$8,(Controls!$B$8+Controls!$B$9)/2))+SQRT(1-Controls!$B$10^2)*(Random!AE43-IF(Controls!$B$7="Normal",Controls!$B$8,(Controls!$B$8+Controls!$B$9)/2)))</f>
        <v/>
      </c>
      <c r="L43" s="10">
        <f>IF($A43="","",IF(AND($A43&gt;=Controls!$B$25,$A43&lt;Controls!$B$25+Controls!$C$25),(Controls!$D$25-1)*EXP(-0.5*(($A43-Controls!$B$25-(Controls!$C$25-1)/2)/MAX(Controls!$C$25/4,0.5))^2),0))</f>
        <v>0</v>
      </c>
      <c r="M43" s="10">
        <f>IF($A43="","",IF(AND($A43&gt;=Controls!$B$26,$A43&lt;Controls!$B$26+Controls!$C$26),(Controls!$D$26-1)*EXP(-0.5*(($A43-Controls!$B$26-(Controls!$C$26-1)/2)/MAX(Controls!$C$26/4,0.5))^2),0))</f>
        <v>0</v>
      </c>
      <c r="N43" s="10">
        <f>IF($A43="","",IF(AND($A43&gt;=Controls!$B$27,$A43&lt;Controls!$B$27+Controls!$C$27),(Controls!$D$27-1)*EXP(-0.5*(($A43-Controls!$B$27-(Controls!$C$27-1)/2)/MAX(Controls!$C$27/4,0.5))^2),0))</f>
        <v>0</v>
      </c>
      <c r="O43" s="10">
        <f>IF($A43="","",IF(AND($A43&gt;=Controls!$B$28,$A43&lt;Controls!$B$28+Controls!$C$28),(Controls!$D$28-1)*EXP(-0.5*(($A43-Controls!$B$28-(Controls!$C$28-1)/2)/MAX(Controls!$C$28/4,0.5))^2),0))</f>
        <v>0</v>
      </c>
      <c r="P43" s="4" t="str">
        <f t="shared" si="1"/>
        <v>2099-12-13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21.0" customHeight="1">
      <c r="A44" s="7">
        <f>IF(43&lt;=Controls!$B$5,Controls!$B$4+42,"")</f>
        <v>73033</v>
      </c>
      <c r="B44" s="10">
        <f>IF(Random!V44="","",IF(Controls!$B$7="Normal",Controls!$B$8,(Controls!$B$8+Controls!$B$9)/2)+Controls!$B$10*(B43-IF(Controls!$B$7="Normal",Controls!$B$8,(Controls!$B$8+Controls!$B$9)/2))+SQRT(1-Controls!$B$10^2)*(Random!V44-IF(Controls!$B$7="Normal",Controls!$B$8,(Controls!$B$8+Controls!$B$9)/2)))</f>
        <v>45.9794837</v>
      </c>
      <c r="C44" s="10">
        <f>IF(Random!W44="","",IF(Controls!$B$7="Normal",Controls!$B$8,(Controls!$B$8+Controls!$B$9)/2)+Controls!$B$10*(C43-IF(Controls!$B$7="Normal",Controls!$B$8,(Controls!$B$8+Controls!$B$9)/2))+SQRT(1-Controls!$B$10^2)*(Random!W44-IF(Controls!$B$7="Normal",Controls!$B$8,(Controls!$B$8+Controls!$B$9)/2)))</f>
        <v>45.5137523</v>
      </c>
      <c r="D44" s="10">
        <f>IF(Random!X44="","",IF(Controls!$B$7="Normal",Controls!$B$8,(Controls!$B$8+Controls!$B$9)/2)+Controls!$B$10*(D43-IF(Controls!$B$7="Normal",Controls!$B$8,(Controls!$B$8+Controls!$B$9)/2))+SQRT(1-Controls!$B$10^2)*(Random!X44-IF(Controls!$B$7="Normal",Controls!$B$8,(Controls!$B$8+Controls!$B$9)/2)))</f>
        <v>46.55061553</v>
      </c>
      <c r="E44" s="10" t="str">
        <f>IF(Random!Y44="","",IF(Controls!$B$7="Normal",Controls!$B$8,(Controls!$B$8+Controls!$B$9)/2)+Controls!$B$10*(E43-IF(Controls!$B$7="Normal",Controls!$B$8,(Controls!$B$8+Controls!$B$9)/2))+SQRT(1-Controls!$B$10^2)*(Random!Y44-IF(Controls!$B$7="Normal",Controls!$B$8,(Controls!$B$8+Controls!$B$9)/2)))</f>
        <v/>
      </c>
      <c r="F44" s="10" t="str">
        <f>IF(Random!Z44="","",IF(Controls!$B$7="Normal",Controls!$B$8,(Controls!$B$8+Controls!$B$9)/2)+Controls!$B$10*(F43-IF(Controls!$B$7="Normal",Controls!$B$8,(Controls!$B$8+Controls!$B$9)/2))+SQRT(1-Controls!$B$10^2)*(Random!Z44-IF(Controls!$B$7="Normal",Controls!$B$8,(Controls!$B$8+Controls!$B$9)/2)))</f>
        <v/>
      </c>
      <c r="G44" s="10" t="str">
        <f>IF(Random!AA44="","",IF(Controls!$B$7="Normal",Controls!$B$8,(Controls!$B$8+Controls!$B$9)/2)+Controls!$B$10*(G43-IF(Controls!$B$7="Normal",Controls!$B$8,(Controls!$B$8+Controls!$B$9)/2))+SQRT(1-Controls!$B$10^2)*(Random!AA44-IF(Controls!$B$7="Normal",Controls!$B$8,(Controls!$B$8+Controls!$B$9)/2)))</f>
        <v/>
      </c>
      <c r="H44" s="10" t="str">
        <f>IF(Random!AB44="","",IF(Controls!$B$7="Normal",Controls!$B$8,(Controls!$B$8+Controls!$B$9)/2)+Controls!$B$10*(H43-IF(Controls!$B$7="Normal",Controls!$B$8,(Controls!$B$8+Controls!$B$9)/2))+SQRT(1-Controls!$B$10^2)*(Random!AB44-IF(Controls!$B$7="Normal",Controls!$B$8,(Controls!$B$8+Controls!$B$9)/2)))</f>
        <v/>
      </c>
      <c r="I44" s="10" t="str">
        <f>IF(Random!AC44="","",IF(Controls!$B$7="Normal",Controls!$B$8,(Controls!$B$8+Controls!$B$9)/2)+Controls!$B$10*(I43-IF(Controls!$B$7="Normal",Controls!$B$8,(Controls!$B$8+Controls!$B$9)/2))+SQRT(1-Controls!$B$10^2)*(Random!AC44-IF(Controls!$B$7="Normal",Controls!$B$8,(Controls!$B$8+Controls!$B$9)/2)))</f>
        <v/>
      </c>
      <c r="J44" s="10" t="str">
        <f>IF(Random!AD44="","",IF(Controls!$B$7="Normal",Controls!$B$8,(Controls!$B$8+Controls!$B$9)/2)+Controls!$B$10*(J43-IF(Controls!$B$7="Normal",Controls!$B$8,(Controls!$B$8+Controls!$B$9)/2))+SQRT(1-Controls!$B$10^2)*(Random!AD44-IF(Controls!$B$7="Normal",Controls!$B$8,(Controls!$B$8+Controls!$B$9)/2)))</f>
        <v/>
      </c>
      <c r="K44" s="10" t="str">
        <f>IF(Random!AE44="","",IF(Controls!$B$7="Normal",Controls!$B$8,(Controls!$B$8+Controls!$B$9)/2)+Controls!$B$10*(K43-IF(Controls!$B$7="Normal",Controls!$B$8,(Controls!$B$8+Controls!$B$9)/2))+SQRT(1-Controls!$B$10^2)*(Random!AE44-IF(Controls!$B$7="Normal",Controls!$B$8,(Controls!$B$8+Controls!$B$9)/2)))</f>
        <v/>
      </c>
      <c r="L44" s="10">
        <f>IF($A44="","",IF(AND($A44&gt;=Controls!$B$25,$A44&lt;Controls!$B$25+Controls!$C$25),(Controls!$D$25-1)*EXP(-0.5*(($A44-Controls!$B$25-(Controls!$C$25-1)/2)/MAX(Controls!$C$25/4,0.5))^2),0))</f>
        <v>0</v>
      </c>
      <c r="M44" s="10">
        <f>IF($A44="","",IF(AND($A44&gt;=Controls!$B$26,$A44&lt;Controls!$B$26+Controls!$C$26),(Controls!$D$26-1)*EXP(-0.5*(($A44-Controls!$B$26-(Controls!$C$26-1)/2)/MAX(Controls!$C$26/4,0.5))^2),0))</f>
        <v>0</v>
      </c>
      <c r="N44" s="10">
        <f>IF($A44="","",IF(AND($A44&gt;=Controls!$B$27,$A44&lt;Controls!$B$27+Controls!$C$27),(Controls!$D$27-1)*EXP(-0.5*(($A44-Controls!$B$27-(Controls!$C$27-1)/2)/MAX(Controls!$C$27/4,0.5))^2),0))</f>
        <v>0</v>
      </c>
      <c r="O44" s="10">
        <f>IF($A44="","",IF(AND($A44&gt;=Controls!$B$28,$A44&lt;Controls!$B$28+Controls!$C$28),(Controls!$D$28-1)*EXP(-0.5*(($A44-Controls!$B$28-(Controls!$C$28-1)/2)/MAX(Controls!$C$28/4,0.5))^2),0))</f>
        <v>0</v>
      </c>
      <c r="P44" s="4" t="str">
        <f t="shared" si="1"/>
        <v>2099-12-14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21.0" customHeight="1">
      <c r="A45" s="7">
        <f>IF(44&lt;=Controls!$B$5,Controls!$B$4+43,"")</f>
        <v>73034</v>
      </c>
      <c r="B45" s="10">
        <f>IF(Random!V45="","",IF(Controls!$B$7="Normal",Controls!$B$8,(Controls!$B$8+Controls!$B$9)/2)+Controls!$B$10*(B44-IF(Controls!$B$7="Normal",Controls!$B$8,(Controls!$B$8+Controls!$B$9)/2))+SQRT(1-Controls!$B$10^2)*(Random!V45-IF(Controls!$B$7="Normal",Controls!$B$8,(Controls!$B$8+Controls!$B$9)/2)))</f>
        <v>44.65542786</v>
      </c>
      <c r="C45" s="10">
        <f>IF(Random!W45="","",IF(Controls!$B$7="Normal",Controls!$B$8,(Controls!$B$8+Controls!$B$9)/2)+Controls!$B$10*(C44-IF(Controls!$B$7="Normal",Controls!$B$8,(Controls!$B$8+Controls!$B$9)/2))+SQRT(1-Controls!$B$10^2)*(Random!W45-IF(Controls!$B$7="Normal",Controls!$B$8,(Controls!$B$8+Controls!$B$9)/2)))</f>
        <v>41.85008343</v>
      </c>
      <c r="D45" s="10">
        <f>IF(Random!X45="","",IF(Controls!$B$7="Normal",Controls!$B$8,(Controls!$B$8+Controls!$B$9)/2)+Controls!$B$10*(D44-IF(Controls!$B$7="Normal",Controls!$B$8,(Controls!$B$8+Controls!$B$9)/2))+SQRT(1-Controls!$B$10^2)*(Random!X45-IF(Controls!$B$7="Normal",Controls!$B$8,(Controls!$B$8+Controls!$B$9)/2)))</f>
        <v>35.37522097</v>
      </c>
      <c r="E45" s="10" t="str">
        <f>IF(Random!Y45="","",IF(Controls!$B$7="Normal",Controls!$B$8,(Controls!$B$8+Controls!$B$9)/2)+Controls!$B$10*(E44-IF(Controls!$B$7="Normal",Controls!$B$8,(Controls!$B$8+Controls!$B$9)/2))+SQRT(1-Controls!$B$10^2)*(Random!Y45-IF(Controls!$B$7="Normal",Controls!$B$8,(Controls!$B$8+Controls!$B$9)/2)))</f>
        <v/>
      </c>
      <c r="F45" s="10" t="str">
        <f>IF(Random!Z45="","",IF(Controls!$B$7="Normal",Controls!$B$8,(Controls!$B$8+Controls!$B$9)/2)+Controls!$B$10*(F44-IF(Controls!$B$7="Normal",Controls!$B$8,(Controls!$B$8+Controls!$B$9)/2))+SQRT(1-Controls!$B$10^2)*(Random!Z45-IF(Controls!$B$7="Normal",Controls!$B$8,(Controls!$B$8+Controls!$B$9)/2)))</f>
        <v/>
      </c>
      <c r="G45" s="10" t="str">
        <f>IF(Random!AA45="","",IF(Controls!$B$7="Normal",Controls!$B$8,(Controls!$B$8+Controls!$B$9)/2)+Controls!$B$10*(G44-IF(Controls!$B$7="Normal",Controls!$B$8,(Controls!$B$8+Controls!$B$9)/2))+SQRT(1-Controls!$B$10^2)*(Random!AA45-IF(Controls!$B$7="Normal",Controls!$B$8,(Controls!$B$8+Controls!$B$9)/2)))</f>
        <v/>
      </c>
      <c r="H45" s="10" t="str">
        <f>IF(Random!AB45="","",IF(Controls!$B$7="Normal",Controls!$B$8,(Controls!$B$8+Controls!$B$9)/2)+Controls!$B$10*(H44-IF(Controls!$B$7="Normal",Controls!$B$8,(Controls!$B$8+Controls!$B$9)/2))+SQRT(1-Controls!$B$10^2)*(Random!AB45-IF(Controls!$B$7="Normal",Controls!$B$8,(Controls!$B$8+Controls!$B$9)/2)))</f>
        <v/>
      </c>
      <c r="I45" s="10" t="str">
        <f>IF(Random!AC45="","",IF(Controls!$B$7="Normal",Controls!$B$8,(Controls!$B$8+Controls!$B$9)/2)+Controls!$B$10*(I44-IF(Controls!$B$7="Normal",Controls!$B$8,(Controls!$B$8+Controls!$B$9)/2))+SQRT(1-Controls!$B$10^2)*(Random!AC45-IF(Controls!$B$7="Normal",Controls!$B$8,(Controls!$B$8+Controls!$B$9)/2)))</f>
        <v/>
      </c>
      <c r="J45" s="10" t="str">
        <f>IF(Random!AD45="","",IF(Controls!$B$7="Normal",Controls!$B$8,(Controls!$B$8+Controls!$B$9)/2)+Controls!$B$10*(J44-IF(Controls!$B$7="Normal",Controls!$B$8,(Controls!$B$8+Controls!$B$9)/2))+SQRT(1-Controls!$B$10^2)*(Random!AD45-IF(Controls!$B$7="Normal",Controls!$B$8,(Controls!$B$8+Controls!$B$9)/2)))</f>
        <v/>
      </c>
      <c r="K45" s="10" t="str">
        <f>IF(Random!AE45="","",IF(Controls!$B$7="Normal",Controls!$B$8,(Controls!$B$8+Controls!$B$9)/2)+Controls!$B$10*(K44-IF(Controls!$B$7="Normal",Controls!$B$8,(Controls!$B$8+Controls!$B$9)/2))+SQRT(1-Controls!$B$10^2)*(Random!AE45-IF(Controls!$B$7="Normal",Controls!$B$8,(Controls!$B$8+Controls!$B$9)/2)))</f>
        <v/>
      </c>
      <c r="L45" s="10">
        <f>IF($A45="","",IF(AND($A45&gt;=Controls!$B$25,$A45&lt;Controls!$B$25+Controls!$C$25),(Controls!$D$25-1)*EXP(-0.5*(($A45-Controls!$B$25-(Controls!$C$25-1)/2)/MAX(Controls!$C$25/4,0.5))^2),0))</f>
        <v>0</v>
      </c>
      <c r="M45" s="10">
        <f>IF($A45="","",IF(AND($A45&gt;=Controls!$B$26,$A45&lt;Controls!$B$26+Controls!$C$26),(Controls!$D$26-1)*EXP(-0.5*(($A45-Controls!$B$26-(Controls!$C$26-1)/2)/MAX(Controls!$C$26/4,0.5))^2),0))</f>
        <v>0</v>
      </c>
      <c r="N45" s="10">
        <f>IF($A45="","",IF(AND($A45&gt;=Controls!$B$27,$A45&lt;Controls!$B$27+Controls!$C$27),(Controls!$D$27-1)*EXP(-0.5*(($A45-Controls!$B$27-(Controls!$C$27-1)/2)/MAX(Controls!$C$27/4,0.5))^2),0))</f>
        <v>0</v>
      </c>
      <c r="O45" s="10">
        <f>IF($A45="","",IF(AND($A45&gt;=Controls!$B$28,$A45&lt;Controls!$B$28+Controls!$C$28),(Controls!$D$28-1)*EXP(-0.5*(($A45-Controls!$B$28-(Controls!$C$28-1)/2)/MAX(Controls!$C$28/4,0.5))^2),0))</f>
        <v>0</v>
      </c>
      <c r="P45" s="4" t="str">
        <f t="shared" si="1"/>
        <v>2099-12-15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21.0" customHeight="1">
      <c r="A46" s="7">
        <f>IF(45&lt;=Controls!$B$5,Controls!$B$4+44,"")</f>
        <v>73035</v>
      </c>
      <c r="B46" s="10">
        <f>IF(Random!V46="","",IF(Controls!$B$7="Normal",Controls!$B$8,(Controls!$B$8+Controls!$B$9)/2)+Controls!$B$10*(B45-IF(Controls!$B$7="Normal",Controls!$B$8,(Controls!$B$8+Controls!$B$9)/2))+SQRT(1-Controls!$B$10^2)*(Random!V46-IF(Controls!$B$7="Normal",Controls!$B$8,(Controls!$B$8+Controls!$B$9)/2)))</f>
        <v>41.03703761</v>
      </c>
      <c r="C46" s="10">
        <f>IF(Random!W46="","",IF(Controls!$B$7="Normal",Controls!$B$8,(Controls!$B$8+Controls!$B$9)/2)+Controls!$B$10*(C45-IF(Controls!$B$7="Normal",Controls!$B$8,(Controls!$B$8+Controls!$B$9)/2))+SQRT(1-Controls!$B$10^2)*(Random!W46-IF(Controls!$B$7="Normal",Controls!$B$8,(Controls!$B$8+Controls!$B$9)/2)))</f>
        <v>51.63743486</v>
      </c>
      <c r="D46" s="10">
        <f>IF(Random!X46="","",IF(Controls!$B$7="Normal",Controls!$B$8,(Controls!$B$8+Controls!$B$9)/2)+Controls!$B$10*(D45-IF(Controls!$B$7="Normal",Controls!$B$8,(Controls!$B$8+Controls!$B$9)/2))+SQRT(1-Controls!$B$10^2)*(Random!X46-IF(Controls!$B$7="Normal",Controls!$B$8,(Controls!$B$8+Controls!$B$9)/2)))</f>
        <v>32.3222357</v>
      </c>
      <c r="E46" s="10" t="str">
        <f>IF(Random!Y46="","",IF(Controls!$B$7="Normal",Controls!$B$8,(Controls!$B$8+Controls!$B$9)/2)+Controls!$B$10*(E45-IF(Controls!$B$7="Normal",Controls!$B$8,(Controls!$B$8+Controls!$B$9)/2))+SQRT(1-Controls!$B$10^2)*(Random!Y46-IF(Controls!$B$7="Normal",Controls!$B$8,(Controls!$B$8+Controls!$B$9)/2)))</f>
        <v/>
      </c>
      <c r="F46" s="10" t="str">
        <f>IF(Random!Z46="","",IF(Controls!$B$7="Normal",Controls!$B$8,(Controls!$B$8+Controls!$B$9)/2)+Controls!$B$10*(F45-IF(Controls!$B$7="Normal",Controls!$B$8,(Controls!$B$8+Controls!$B$9)/2))+SQRT(1-Controls!$B$10^2)*(Random!Z46-IF(Controls!$B$7="Normal",Controls!$B$8,(Controls!$B$8+Controls!$B$9)/2)))</f>
        <v/>
      </c>
      <c r="G46" s="10" t="str">
        <f>IF(Random!AA46="","",IF(Controls!$B$7="Normal",Controls!$B$8,(Controls!$B$8+Controls!$B$9)/2)+Controls!$B$10*(G45-IF(Controls!$B$7="Normal",Controls!$B$8,(Controls!$B$8+Controls!$B$9)/2))+SQRT(1-Controls!$B$10^2)*(Random!AA46-IF(Controls!$B$7="Normal",Controls!$B$8,(Controls!$B$8+Controls!$B$9)/2)))</f>
        <v/>
      </c>
      <c r="H46" s="10" t="str">
        <f>IF(Random!AB46="","",IF(Controls!$B$7="Normal",Controls!$B$8,(Controls!$B$8+Controls!$B$9)/2)+Controls!$B$10*(H45-IF(Controls!$B$7="Normal",Controls!$B$8,(Controls!$B$8+Controls!$B$9)/2))+SQRT(1-Controls!$B$10^2)*(Random!AB46-IF(Controls!$B$7="Normal",Controls!$B$8,(Controls!$B$8+Controls!$B$9)/2)))</f>
        <v/>
      </c>
      <c r="I46" s="10" t="str">
        <f>IF(Random!AC46="","",IF(Controls!$B$7="Normal",Controls!$B$8,(Controls!$B$8+Controls!$B$9)/2)+Controls!$B$10*(I45-IF(Controls!$B$7="Normal",Controls!$B$8,(Controls!$B$8+Controls!$B$9)/2))+SQRT(1-Controls!$B$10^2)*(Random!AC46-IF(Controls!$B$7="Normal",Controls!$B$8,(Controls!$B$8+Controls!$B$9)/2)))</f>
        <v/>
      </c>
      <c r="J46" s="10" t="str">
        <f>IF(Random!AD46="","",IF(Controls!$B$7="Normal",Controls!$B$8,(Controls!$B$8+Controls!$B$9)/2)+Controls!$B$10*(J45-IF(Controls!$B$7="Normal",Controls!$B$8,(Controls!$B$8+Controls!$B$9)/2))+SQRT(1-Controls!$B$10^2)*(Random!AD46-IF(Controls!$B$7="Normal",Controls!$B$8,(Controls!$B$8+Controls!$B$9)/2)))</f>
        <v/>
      </c>
      <c r="K46" s="10" t="str">
        <f>IF(Random!AE46="","",IF(Controls!$B$7="Normal",Controls!$B$8,(Controls!$B$8+Controls!$B$9)/2)+Controls!$B$10*(K45-IF(Controls!$B$7="Normal",Controls!$B$8,(Controls!$B$8+Controls!$B$9)/2))+SQRT(1-Controls!$B$10^2)*(Random!AE46-IF(Controls!$B$7="Normal",Controls!$B$8,(Controls!$B$8+Controls!$B$9)/2)))</f>
        <v/>
      </c>
      <c r="L46" s="10">
        <f>IF($A46="","",IF(AND($A46&gt;=Controls!$B$25,$A46&lt;Controls!$B$25+Controls!$C$25),(Controls!$D$25-1)*EXP(-0.5*(($A46-Controls!$B$25-(Controls!$C$25-1)/2)/MAX(Controls!$C$25/4,0.5))^2),0))</f>
        <v>0</v>
      </c>
      <c r="M46" s="10">
        <f>IF($A46="","",IF(AND($A46&gt;=Controls!$B$26,$A46&lt;Controls!$B$26+Controls!$C$26),(Controls!$D$26-1)*EXP(-0.5*(($A46-Controls!$B$26-(Controls!$C$26-1)/2)/MAX(Controls!$C$26/4,0.5))^2),0))</f>
        <v>0</v>
      </c>
      <c r="N46" s="10">
        <f>IF($A46="","",IF(AND($A46&gt;=Controls!$B$27,$A46&lt;Controls!$B$27+Controls!$C$27),(Controls!$D$27-1)*EXP(-0.5*(($A46-Controls!$B$27-(Controls!$C$27-1)/2)/MAX(Controls!$C$27/4,0.5))^2),0))</f>
        <v>0</v>
      </c>
      <c r="O46" s="10">
        <f>IF($A46="","",IF(AND($A46&gt;=Controls!$B$28,$A46&lt;Controls!$B$28+Controls!$C$28),(Controls!$D$28-1)*EXP(-0.5*(($A46-Controls!$B$28-(Controls!$C$28-1)/2)/MAX(Controls!$C$28/4,0.5))^2),0))</f>
        <v>0</v>
      </c>
      <c r="P46" s="4" t="str">
        <f t="shared" si="1"/>
        <v>2099-12-16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21.0" customHeight="1">
      <c r="A47" s="7">
        <f>IF(46&lt;=Controls!$B$5,Controls!$B$4+45,"")</f>
        <v>73036</v>
      </c>
      <c r="B47" s="10">
        <f>IF(Random!V47="","",IF(Controls!$B$7="Normal",Controls!$B$8,(Controls!$B$8+Controls!$B$9)/2)+Controls!$B$10*(B46-IF(Controls!$B$7="Normal",Controls!$B$8,(Controls!$B$8+Controls!$B$9)/2))+SQRT(1-Controls!$B$10^2)*(Random!V47-IF(Controls!$B$7="Normal",Controls!$B$8,(Controls!$B$8+Controls!$B$9)/2)))</f>
        <v>50.27444378</v>
      </c>
      <c r="C47" s="10">
        <f>IF(Random!W47="","",IF(Controls!$B$7="Normal",Controls!$B$8,(Controls!$B$8+Controls!$B$9)/2)+Controls!$B$10*(C46-IF(Controls!$B$7="Normal",Controls!$B$8,(Controls!$B$8+Controls!$B$9)/2))+SQRT(1-Controls!$B$10^2)*(Random!W47-IF(Controls!$B$7="Normal",Controls!$B$8,(Controls!$B$8+Controls!$B$9)/2)))</f>
        <v>53.85974267</v>
      </c>
      <c r="D47" s="10">
        <f>IF(Random!X47="","",IF(Controls!$B$7="Normal",Controls!$B$8,(Controls!$B$8+Controls!$B$9)/2)+Controls!$B$10*(D46-IF(Controls!$B$7="Normal",Controls!$B$8,(Controls!$B$8+Controls!$B$9)/2))+SQRT(1-Controls!$B$10^2)*(Random!X47-IF(Controls!$B$7="Normal",Controls!$B$8,(Controls!$B$8+Controls!$B$9)/2)))</f>
        <v>36.55924247</v>
      </c>
      <c r="E47" s="10" t="str">
        <f>IF(Random!Y47="","",IF(Controls!$B$7="Normal",Controls!$B$8,(Controls!$B$8+Controls!$B$9)/2)+Controls!$B$10*(E46-IF(Controls!$B$7="Normal",Controls!$B$8,(Controls!$B$8+Controls!$B$9)/2))+SQRT(1-Controls!$B$10^2)*(Random!Y47-IF(Controls!$B$7="Normal",Controls!$B$8,(Controls!$B$8+Controls!$B$9)/2)))</f>
        <v/>
      </c>
      <c r="F47" s="10" t="str">
        <f>IF(Random!Z47="","",IF(Controls!$B$7="Normal",Controls!$B$8,(Controls!$B$8+Controls!$B$9)/2)+Controls!$B$10*(F46-IF(Controls!$B$7="Normal",Controls!$B$8,(Controls!$B$8+Controls!$B$9)/2))+SQRT(1-Controls!$B$10^2)*(Random!Z47-IF(Controls!$B$7="Normal",Controls!$B$8,(Controls!$B$8+Controls!$B$9)/2)))</f>
        <v/>
      </c>
      <c r="G47" s="10" t="str">
        <f>IF(Random!AA47="","",IF(Controls!$B$7="Normal",Controls!$B$8,(Controls!$B$8+Controls!$B$9)/2)+Controls!$B$10*(G46-IF(Controls!$B$7="Normal",Controls!$B$8,(Controls!$B$8+Controls!$B$9)/2))+SQRT(1-Controls!$B$10^2)*(Random!AA47-IF(Controls!$B$7="Normal",Controls!$B$8,(Controls!$B$8+Controls!$B$9)/2)))</f>
        <v/>
      </c>
      <c r="H47" s="10" t="str">
        <f>IF(Random!AB47="","",IF(Controls!$B$7="Normal",Controls!$B$8,(Controls!$B$8+Controls!$B$9)/2)+Controls!$B$10*(H46-IF(Controls!$B$7="Normal",Controls!$B$8,(Controls!$B$8+Controls!$B$9)/2))+SQRT(1-Controls!$B$10^2)*(Random!AB47-IF(Controls!$B$7="Normal",Controls!$B$8,(Controls!$B$8+Controls!$B$9)/2)))</f>
        <v/>
      </c>
      <c r="I47" s="10" t="str">
        <f>IF(Random!AC47="","",IF(Controls!$B$7="Normal",Controls!$B$8,(Controls!$B$8+Controls!$B$9)/2)+Controls!$B$10*(I46-IF(Controls!$B$7="Normal",Controls!$B$8,(Controls!$B$8+Controls!$B$9)/2))+SQRT(1-Controls!$B$10^2)*(Random!AC47-IF(Controls!$B$7="Normal",Controls!$B$8,(Controls!$B$8+Controls!$B$9)/2)))</f>
        <v/>
      </c>
      <c r="J47" s="10" t="str">
        <f>IF(Random!AD47="","",IF(Controls!$B$7="Normal",Controls!$B$8,(Controls!$B$8+Controls!$B$9)/2)+Controls!$B$10*(J46-IF(Controls!$B$7="Normal",Controls!$B$8,(Controls!$B$8+Controls!$B$9)/2))+SQRT(1-Controls!$B$10^2)*(Random!AD47-IF(Controls!$B$7="Normal",Controls!$B$8,(Controls!$B$8+Controls!$B$9)/2)))</f>
        <v/>
      </c>
      <c r="K47" s="10" t="str">
        <f>IF(Random!AE47="","",IF(Controls!$B$7="Normal",Controls!$B$8,(Controls!$B$8+Controls!$B$9)/2)+Controls!$B$10*(K46-IF(Controls!$B$7="Normal",Controls!$B$8,(Controls!$B$8+Controls!$B$9)/2))+SQRT(1-Controls!$B$10^2)*(Random!AE47-IF(Controls!$B$7="Normal",Controls!$B$8,(Controls!$B$8+Controls!$B$9)/2)))</f>
        <v/>
      </c>
      <c r="L47" s="10">
        <f>IF($A47="","",IF(AND($A47&gt;=Controls!$B$25,$A47&lt;Controls!$B$25+Controls!$C$25),(Controls!$D$25-1)*EXP(-0.5*(($A47-Controls!$B$25-(Controls!$C$25-1)/2)/MAX(Controls!$C$25/4,0.5))^2),0))</f>
        <v>0</v>
      </c>
      <c r="M47" s="10">
        <f>IF($A47="","",IF(AND($A47&gt;=Controls!$B$26,$A47&lt;Controls!$B$26+Controls!$C$26),(Controls!$D$26-1)*EXP(-0.5*(($A47-Controls!$B$26-(Controls!$C$26-1)/2)/MAX(Controls!$C$26/4,0.5))^2),0))</f>
        <v>0</v>
      </c>
      <c r="N47" s="10">
        <f>IF($A47="","",IF(AND($A47&gt;=Controls!$B$27,$A47&lt;Controls!$B$27+Controls!$C$27),(Controls!$D$27-1)*EXP(-0.5*(($A47-Controls!$B$27-(Controls!$C$27-1)/2)/MAX(Controls!$C$27/4,0.5))^2),0))</f>
        <v>0</v>
      </c>
      <c r="O47" s="10">
        <f>IF($A47="","",IF(AND($A47&gt;=Controls!$B$28,$A47&lt;Controls!$B$28+Controls!$C$28),(Controls!$D$28-1)*EXP(-0.5*(($A47-Controls!$B$28-(Controls!$C$28-1)/2)/MAX(Controls!$C$28/4,0.5))^2),0))</f>
        <v>0</v>
      </c>
      <c r="P47" s="4" t="str">
        <f t="shared" si="1"/>
        <v>2099-12-17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21.0" customHeight="1">
      <c r="A48" s="7">
        <f>IF(47&lt;=Controls!$B$5,Controls!$B$4+46,"")</f>
        <v>73037</v>
      </c>
      <c r="B48" s="10">
        <f>IF(Random!V48="","",IF(Controls!$B$7="Normal",Controls!$B$8,(Controls!$B$8+Controls!$B$9)/2)+Controls!$B$10*(B47-IF(Controls!$B$7="Normal",Controls!$B$8,(Controls!$B$8+Controls!$B$9)/2))+SQRT(1-Controls!$B$10^2)*(Random!V48-IF(Controls!$B$7="Normal",Controls!$B$8,(Controls!$B$8+Controls!$B$9)/2)))</f>
        <v>53.2653958</v>
      </c>
      <c r="C48" s="10">
        <f>IF(Random!W48="","",IF(Controls!$B$7="Normal",Controls!$B$8,(Controls!$B$8+Controls!$B$9)/2)+Controls!$B$10*(C47-IF(Controls!$B$7="Normal",Controls!$B$8,(Controls!$B$8+Controls!$B$9)/2))+SQRT(1-Controls!$B$10^2)*(Random!W48-IF(Controls!$B$7="Normal",Controls!$B$8,(Controls!$B$8+Controls!$B$9)/2)))</f>
        <v>60.98010817</v>
      </c>
      <c r="D48" s="10">
        <f>IF(Random!X48="","",IF(Controls!$B$7="Normal",Controls!$B$8,(Controls!$B$8+Controls!$B$9)/2)+Controls!$B$10*(D47-IF(Controls!$B$7="Normal",Controls!$B$8,(Controls!$B$8+Controls!$B$9)/2))+SQRT(1-Controls!$B$10^2)*(Random!X48-IF(Controls!$B$7="Normal",Controls!$B$8,(Controls!$B$8+Controls!$B$9)/2)))</f>
        <v>43.70380012</v>
      </c>
      <c r="E48" s="10" t="str">
        <f>IF(Random!Y48="","",IF(Controls!$B$7="Normal",Controls!$B$8,(Controls!$B$8+Controls!$B$9)/2)+Controls!$B$10*(E47-IF(Controls!$B$7="Normal",Controls!$B$8,(Controls!$B$8+Controls!$B$9)/2))+SQRT(1-Controls!$B$10^2)*(Random!Y48-IF(Controls!$B$7="Normal",Controls!$B$8,(Controls!$B$8+Controls!$B$9)/2)))</f>
        <v/>
      </c>
      <c r="F48" s="10" t="str">
        <f>IF(Random!Z48="","",IF(Controls!$B$7="Normal",Controls!$B$8,(Controls!$B$8+Controls!$B$9)/2)+Controls!$B$10*(F47-IF(Controls!$B$7="Normal",Controls!$B$8,(Controls!$B$8+Controls!$B$9)/2))+SQRT(1-Controls!$B$10^2)*(Random!Z48-IF(Controls!$B$7="Normal",Controls!$B$8,(Controls!$B$8+Controls!$B$9)/2)))</f>
        <v/>
      </c>
      <c r="G48" s="10" t="str">
        <f>IF(Random!AA48="","",IF(Controls!$B$7="Normal",Controls!$B$8,(Controls!$B$8+Controls!$B$9)/2)+Controls!$B$10*(G47-IF(Controls!$B$7="Normal",Controls!$B$8,(Controls!$B$8+Controls!$B$9)/2))+SQRT(1-Controls!$B$10^2)*(Random!AA48-IF(Controls!$B$7="Normal",Controls!$B$8,(Controls!$B$8+Controls!$B$9)/2)))</f>
        <v/>
      </c>
      <c r="H48" s="10" t="str">
        <f>IF(Random!AB48="","",IF(Controls!$B$7="Normal",Controls!$B$8,(Controls!$B$8+Controls!$B$9)/2)+Controls!$B$10*(H47-IF(Controls!$B$7="Normal",Controls!$B$8,(Controls!$B$8+Controls!$B$9)/2))+SQRT(1-Controls!$B$10^2)*(Random!AB48-IF(Controls!$B$7="Normal",Controls!$B$8,(Controls!$B$8+Controls!$B$9)/2)))</f>
        <v/>
      </c>
      <c r="I48" s="10" t="str">
        <f>IF(Random!AC48="","",IF(Controls!$B$7="Normal",Controls!$B$8,(Controls!$B$8+Controls!$B$9)/2)+Controls!$B$10*(I47-IF(Controls!$B$7="Normal",Controls!$B$8,(Controls!$B$8+Controls!$B$9)/2))+SQRT(1-Controls!$B$10^2)*(Random!AC48-IF(Controls!$B$7="Normal",Controls!$B$8,(Controls!$B$8+Controls!$B$9)/2)))</f>
        <v/>
      </c>
      <c r="J48" s="10" t="str">
        <f>IF(Random!AD48="","",IF(Controls!$B$7="Normal",Controls!$B$8,(Controls!$B$8+Controls!$B$9)/2)+Controls!$B$10*(J47-IF(Controls!$B$7="Normal",Controls!$B$8,(Controls!$B$8+Controls!$B$9)/2))+SQRT(1-Controls!$B$10^2)*(Random!AD48-IF(Controls!$B$7="Normal",Controls!$B$8,(Controls!$B$8+Controls!$B$9)/2)))</f>
        <v/>
      </c>
      <c r="K48" s="10" t="str">
        <f>IF(Random!AE48="","",IF(Controls!$B$7="Normal",Controls!$B$8,(Controls!$B$8+Controls!$B$9)/2)+Controls!$B$10*(K47-IF(Controls!$B$7="Normal",Controls!$B$8,(Controls!$B$8+Controls!$B$9)/2))+SQRT(1-Controls!$B$10^2)*(Random!AE48-IF(Controls!$B$7="Normal",Controls!$B$8,(Controls!$B$8+Controls!$B$9)/2)))</f>
        <v/>
      </c>
      <c r="L48" s="10">
        <f>IF($A48="","",IF(AND($A48&gt;=Controls!$B$25,$A48&lt;Controls!$B$25+Controls!$C$25),(Controls!$D$25-1)*EXP(-0.5*(($A48-Controls!$B$25-(Controls!$C$25-1)/2)/MAX(Controls!$C$25/4,0.5))^2),0))</f>
        <v>0</v>
      </c>
      <c r="M48" s="10">
        <f>IF($A48="","",IF(AND($A48&gt;=Controls!$B$26,$A48&lt;Controls!$B$26+Controls!$C$26),(Controls!$D$26-1)*EXP(-0.5*(($A48-Controls!$B$26-(Controls!$C$26-1)/2)/MAX(Controls!$C$26/4,0.5))^2),0))</f>
        <v>0</v>
      </c>
      <c r="N48" s="10">
        <f>IF($A48="","",IF(AND($A48&gt;=Controls!$B$27,$A48&lt;Controls!$B$27+Controls!$C$27),(Controls!$D$27-1)*EXP(-0.5*(($A48-Controls!$B$27-(Controls!$C$27-1)/2)/MAX(Controls!$C$27/4,0.5))^2),0))</f>
        <v>-0.95</v>
      </c>
      <c r="O48" s="10">
        <f>IF($A48="","",IF(AND($A48&gt;=Controls!$B$28,$A48&lt;Controls!$B$28+Controls!$C$28),(Controls!$D$28-1)*EXP(-0.5*(($A48-Controls!$B$28-(Controls!$C$28-1)/2)/MAX(Controls!$C$28/4,0.5))^2),0))</f>
        <v>0</v>
      </c>
      <c r="P48" s="4" t="str">
        <f t="shared" si="1"/>
        <v>2099-12-18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21.0" customHeight="1">
      <c r="A49" s="7">
        <f>IF(48&lt;=Controls!$B$5,Controls!$B$4+47,"")</f>
        <v>73038</v>
      </c>
      <c r="B49" s="10">
        <f>IF(Random!V49="","",IF(Controls!$B$7="Normal",Controls!$B$8,(Controls!$B$8+Controls!$B$9)/2)+Controls!$B$10*(B48-IF(Controls!$B$7="Normal",Controls!$B$8,(Controls!$B$8+Controls!$B$9)/2))+SQRT(1-Controls!$B$10^2)*(Random!V49-IF(Controls!$B$7="Normal",Controls!$B$8,(Controls!$B$8+Controls!$B$9)/2)))</f>
        <v>54.94967196</v>
      </c>
      <c r="C49" s="10">
        <f>IF(Random!W49="","",IF(Controls!$B$7="Normal",Controls!$B$8,(Controls!$B$8+Controls!$B$9)/2)+Controls!$B$10*(C48-IF(Controls!$B$7="Normal",Controls!$B$8,(Controls!$B$8+Controls!$B$9)/2))+SQRT(1-Controls!$B$10^2)*(Random!W49-IF(Controls!$B$7="Normal",Controls!$B$8,(Controls!$B$8+Controls!$B$9)/2)))</f>
        <v>47.73214461</v>
      </c>
      <c r="D49" s="10">
        <f>IF(Random!X49="","",IF(Controls!$B$7="Normal",Controls!$B$8,(Controls!$B$8+Controls!$B$9)/2)+Controls!$B$10*(D48-IF(Controls!$B$7="Normal",Controls!$B$8,(Controls!$B$8+Controls!$B$9)/2))+SQRT(1-Controls!$B$10^2)*(Random!X49-IF(Controls!$B$7="Normal",Controls!$B$8,(Controls!$B$8+Controls!$B$9)/2)))</f>
        <v>34.03998478</v>
      </c>
      <c r="E49" s="10" t="str">
        <f>IF(Random!Y49="","",IF(Controls!$B$7="Normal",Controls!$B$8,(Controls!$B$8+Controls!$B$9)/2)+Controls!$B$10*(E48-IF(Controls!$B$7="Normal",Controls!$B$8,(Controls!$B$8+Controls!$B$9)/2))+SQRT(1-Controls!$B$10^2)*(Random!Y49-IF(Controls!$B$7="Normal",Controls!$B$8,(Controls!$B$8+Controls!$B$9)/2)))</f>
        <v/>
      </c>
      <c r="F49" s="10" t="str">
        <f>IF(Random!Z49="","",IF(Controls!$B$7="Normal",Controls!$B$8,(Controls!$B$8+Controls!$B$9)/2)+Controls!$B$10*(F48-IF(Controls!$B$7="Normal",Controls!$B$8,(Controls!$B$8+Controls!$B$9)/2))+SQRT(1-Controls!$B$10^2)*(Random!Z49-IF(Controls!$B$7="Normal",Controls!$B$8,(Controls!$B$8+Controls!$B$9)/2)))</f>
        <v/>
      </c>
      <c r="G49" s="10" t="str">
        <f>IF(Random!AA49="","",IF(Controls!$B$7="Normal",Controls!$B$8,(Controls!$B$8+Controls!$B$9)/2)+Controls!$B$10*(G48-IF(Controls!$B$7="Normal",Controls!$B$8,(Controls!$B$8+Controls!$B$9)/2))+SQRT(1-Controls!$B$10^2)*(Random!AA49-IF(Controls!$B$7="Normal",Controls!$B$8,(Controls!$B$8+Controls!$B$9)/2)))</f>
        <v/>
      </c>
      <c r="H49" s="10" t="str">
        <f>IF(Random!AB49="","",IF(Controls!$B$7="Normal",Controls!$B$8,(Controls!$B$8+Controls!$B$9)/2)+Controls!$B$10*(H48-IF(Controls!$B$7="Normal",Controls!$B$8,(Controls!$B$8+Controls!$B$9)/2))+SQRT(1-Controls!$B$10^2)*(Random!AB49-IF(Controls!$B$7="Normal",Controls!$B$8,(Controls!$B$8+Controls!$B$9)/2)))</f>
        <v/>
      </c>
      <c r="I49" s="10" t="str">
        <f>IF(Random!AC49="","",IF(Controls!$B$7="Normal",Controls!$B$8,(Controls!$B$8+Controls!$B$9)/2)+Controls!$B$10*(I48-IF(Controls!$B$7="Normal",Controls!$B$8,(Controls!$B$8+Controls!$B$9)/2))+SQRT(1-Controls!$B$10^2)*(Random!AC49-IF(Controls!$B$7="Normal",Controls!$B$8,(Controls!$B$8+Controls!$B$9)/2)))</f>
        <v/>
      </c>
      <c r="J49" s="10" t="str">
        <f>IF(Random!AD49="","",IF(Controls!$B$7="Normal",Controls!$B$8,(Controls!$B$8+Controls!$B$9)/2)+Controls!$B$10*(J48-IF(Controls!$B$7="Normal",Controls!$B$8,(Controls!$B$8+Controls!$B$9)/2))+SQRT(1-Controls!$B$10^2)*(Random!AD49-IF(Controls!$B$7="Normal",Controls!$B$8,(Controls!$B$8+Controls!$B$9)/2)))</f>
        <v/>
      </c>
      <c r="K49" s="10" t="str">
        <f>IF(Random!AE49="","",IF(Controls!$B$7="Normal",Controls!$B$8,(Controls!$B$8+Controls!$B$9)/2)+Controls!$B$10*(K48-IF(Controls!$B$7="Normal",Controls!$B$8,(Controls!$B$8+Controls!$B$9)/2))+SQRT(1-Controls!$B$10^2)*(Random!AE49-IF(Controls!$B$7="Normal",Controls!$B$8,(Controls!$B$8+Controls!$B$9)/2)))</f>
        <v/>
      </c>
      <c r="L49" s="10">
        <f>IF($A49="","",IF(AND($A49&gt;=Controls!$B$25,$A49&lt;Controls!$B$25+Controls!$C$25),(Controls!$D$25-1)*EXP(-0.5*(($A49-Controls!$B$25-(Controls!$C$25-1)/2)/MAX(Controls!$C$25/4,0.5))^2),0))</f>
        <v>0</v>
      </c>
      <c r="M49" s="10">
        <f>IF($A49="","",IF(AND($A49&gt;=Controls!$B$26,$A49&lt;Controls!$B$26+Controls!$C$26),(Controls!$D$26-1)*EXP(-0.5*(($A49-Controls!$B$26-(Controls!$C$26-1)/2)/MAX(Controls!$C$26/4,0.5))^2),0))</f>
        <v>0</v>
      </c>
      <c r="N49" s="10">
        <f>IF($A49="","",IF(AND($A49&gt;=Controls!$B$27,$A49&lt;Controls!$B$27+Controls!$C$27),(Controls!$D$27-1)*EXP(-0.5*(($A49-Controls!$B$27-(Controls!$C$27-1)/2)/MAX(Controls!$C$27/4,0.5))^2),0))</f>
        <v>0</v>
      </c>
      <c r="O49" s="10">
        <f>IF($A49="","",IF(AND($A49&gt;=Controls!$B$28,$A49&lt;Controls!$B$28+Controls!$C$28),(Controls!$D$28-1)*EXP(-0.5*(($A49-Controls!$B$28-(Controls!$C$28-1)/2)/MAX(Controls!$C$28/4,0.5))^2),0))</f>
        <v>0</v>
      </c>
      <c r="P49" s="4" t="str">
        <f t="shared" si="1"/>
        <v>2099-12-19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21.0" customHeight="1">
      <c r="A50" s="7">
        <f>IF(49&lt;=Controls!$B$5,Controls!$B$4+48,"")</f>
        <v>73039</v>
      </c>
      <c r="B50" s="10">
        <f>IF(Random!V50="","",IF(Controls!$B$7="Normal",Controls!$B$8,(Controls!$B$8+Controls!$B$9)/2)+Controls!$B$10*(B49-IF(Controls!$B$7="Normal",Controls!$B$8,(Controls!$B$8+Controls!$B$9)/2))+SQRT(1-Controls!$B$10^2)*(Random!V50-IF(Controls!$B$7="Normal",Controls!$B$8,(Controls!$B$8+Controls!$B$9)/2)))</f>
        <v>58.26285242</v>
      </c>
      <c r="C50" s="10">
        <f>IF(Random!W50="","",IF(Controls!$B$7="Normal",Controls!$B$8,(Controls!$B$8+Controls!$B$9)/2)+Controls!$B$10*(C49-IF(Controls!$B$7="Normal",Controls!$B$8,(Controls!$B$8+Controls!$B$9)/2))+SQRT(1-Controls!$B$10^2)*(Random!W50-IF(Controls!$B$7="Normal",Controls!$B$8,(Controls!$B$8+Controls!$B$9)/2)))</f>
        <v>46.57822252</v>
      </c>
      <c r="D50" s="10">
        <f>IF(Random!X50="","",IF(Controls!$B$7="Normal",Controls!$B$8,(Controls!$B$8+Controls!$B$9)/2)+Controls!$B$10*(D49-IF(Controls!$B$7="Normal",Controls!$B$8,(Controls!$B$8+Controls!$B$9)/2))+SQRT(1-Controls!$B$10^2)*(Random!X50-IF(Controls!$B$7="Normal",Controls!$B$8,(Controls!$B$8+Controls!$B$9)/2)))</f>
        <v>38.37308134</v>
      </c>
      <c r="E50" s="10" t="str">
        <f>IF(Random!Y50="","",IF(Controls!$B$7="Normal",Controls!$B$8,(Controls!$B$8+Controls!$B$9)/2)+Controls!$B$10*(E49-IF(Controls!$B$7="Normal",Controls!$B$8,(Controls!$B$8+Controls!$B$9)/2))+SQRT(1-Controls!$B$10^2)*(Random!Y50-IF(Controls!$B$7="Normal",Controls!$B$8,(Controls!$B$8+Controls!$B$9)/2)))</f>
        <v/>
      </c>
      <c r="F50" s="10" t="str">
        <f>IF(Random!Z50="","",IF(Controls!$B$7="Normal",Controls!$B$8,(Controls!$B$8+Controls!$B$9)/2)+Controls!$B$10*(F49-IF(Controls!$B$7="Normal",Controls!$B$8,(Controls!$B$8+Controls!$B$9)/2))+SQRT(1-Controls!$B$10^2)*(Random!Z50-IF(Controls!$B$7="Normal",Controls!$B$8,(Controls!$B$8+Controls!$B$9)/2)))</f>
        <v/>
      </c>
      <c r="G50" s="10" t="str">
        <f>IF(Random!AA50="","",IF(Controls!$B$7="Normal",Controls!$B$8,(Controls!$B$8+Controls!$B$9)/2)+Controls!$B$10*(G49-IF(Controls!$B$7="Normal",Controls!$B$8,(Controls!$B$8+Controls!$B$9)/2))+SQRT(1-Controls!$B$10^2)*(Random!AA50-IF(Controls!$B$7="Normal",Controls!$B$8,(Controls!$B$8+Controls!$B$9)/2)))</f>
        <v/>
      </c>
      <c r="H50" s="10" t="str">
        <f>IF(Random!AB50="","",IF(Controls!$B$7="Normal",Controls!$B$8,(Controls!$B$8+Controls!$B$9)/2)+Controls!$B$10*(H49-IF(Controls!$B$7="Normal",Controls!$B$8,(Controls!$B$8+Controls!$B$9)/2))+SQRT(1-Controls!$B$10^2)*(Random!AB50-IF(Controls!$B$7="Normal",Controls!$B$8,(Controls!$B$8+Controls!$B$9)/2)))</f>
        <v/>
      </c>
      <c r="I50" s="10" t="str">
        <f>IF(Random!AC50="","",IF(Controls!$B$7="Normal",Controls!$B$8,(Controls!$B$8+Controls!$B$9)/2)+Controls!$B$10*(I49-IF(Controls!$B$7="Normal",Controls!$B$8,(Controls!$B$8+Controls!$B$9)/2))+SQRT(1-Controls!$B$10^2)*(Random!AC50-IF(Controls!$B$7="Normal",Controls!$B$8,(Controls!$B$8+Controls!$B$9)/2)))</f>
        <v/>
      </c>
      <c r="J50" s="10" t="str">
        <f>IF(Random!AD50="","",IF(Controls!$B$7="Normal",Controls!$B$8,(Controls!$B$8+Controls!$B$9)/2)+Controls!$B$10*(J49-IF(Controls!$B$7="Normal",Controls!$B$8,(Controls!$B$8+Controls!$B$9)/2))+SQRT(1-Controls!$B$10^2)*(Random!AD50-IF(Controls!$B$7="Normal",Controls!$B$8,(Controls!$B$8+Controls!$B$9)/2)))</f>
        <v/>
      </c>
      <c r="K50" s="10" t="str">
        <f>IF(Random!AE50="","",IF(Controls!$B$7="Normal",Controls!$B$8,(Controls!$B$8+Controls!$B$9)/2)+Controls!$B$10*(K49-IF(Controls!$B$7="Normal",Controls!$B$8,(Controls!$B$8+Controls!$B$9)/2))+SQRT(1-Controls!$B$10^2)*(Random!AE50-IF(Controls!$B$7="Normal",Controls!$B$8,(Controls!$B$8+Controls!$B$9)/2)))</f>
        <v/>
      </c>
      <c r="L50" s="10">
        <f>IF($A50="","",IF(AND($A50&gt;=Controls!$B$25,$A50&lt;Controls!$B$25+Controls!$C$25),(Controls!$D$25-1)*EXP(-0.5*(($A50-Controls!$B$25-(Controls!$C$25-1)/2)/MAX(Controls!$C$25/4,0.5))^2),0))</f>
        <v>0</v>
      </c>
      <c r="M50" s="10">
        <f>IF($A50="","",IF(AND($A50&gt;=Controls!$B$26,$A50&lt;Controls!$B$26+Controls!$C$26),(Controls!$D$26-1)*EXP(-0.5*(($A50-Controls!$B$26-(Controls!$C$26-1)/2)/MAX(Controls!$C$26/4,0.5))^2),0))</f>
        <v>0</v>
      </c>
      <c r="N50" s="10">
        <f>IF($A50="","",IF(AND($A50&gt;=Controls!$B$27,$A50&lt;Controls!$B$27+Controls!$C$27),(Controls!$D$27-1)*EXP(-0.5*(($A50-Controls!$B$27-(Controls!$C$27-1)/2)/MAX(Controls!$C$27/4,0.5))^2),0))</f>
        <v>0</v>
      </c>
      <c r="O50" s="10">
        <f>IF($A50="","",IF(AND($A50&gt;=Controls!$B$28,$A50&lt;Controls!$B$28+Controls!$C$28),(Controls!$D$28-1)*EXP(-0.5*(($A50-Controls!$B$28-(Controls!$C$28-1)/2)/MAX(Controls!$C$28/4,0.5))^2),0))</f>
        <v>0</v>
      </c>
      <c r="P50" s="4" t="str">
        <f t="shared" si="1"/>
        <v>2099-12-20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21.0" customHeight="1">
      <c r="A51" s="7">
        <f>IF(50&lt;=Controls!$B$5,Controls!$B$4+49,"")</f>
        <v>73040</v>
      </c>
      <c r="B51" s="10">
        <f>IF(Random!V51="","",IF(Controls!$B$7="Normal",Controls!$B$8,(Controls!$B$8+Controls!$B$9)/2)+Controls!$B$10*(B50-IF(Controls!$B$7="Normal",Controls!$B$8,(Controls!$B$8+Controls!$B$9)/2))+SQRT(1-Controls!$B$10^2)*(Random!V51-IF(Controls!$B$7="Normal",Controls!$B$8,(Controls!$B$8+Controls!$B$9)/2)))</f>
        <v>58.78382521</v>
      </c>
      <c r="C51" s="10">
        <f>IF(Random!W51="","",IF(Controls!$B$7="Normal",Controls!$B$8,(Controls!$B$8+Controls!$B$9)/2)+Controls!$B$10*(C50-IF(Controls!$B$7="Normal",Controls!$B$8,(Controls!$B$8+Controls!$B$9)/2))+SQRT(1-Controls!$B$10^2)*(Random!W51-IF(Controls!$B$7="Normal",Controls!$B$8,(Controls!$B$8+Controls!$B$9)/2)))</f>
        <v>49.40505655</v>
      </c>
      <c r="D51" s="10">
        <f>IF(Random!X51="","",IF(Controls!$B$7="Normal",Controls!$B$8,(Controls!$B$8+Controls!$B$9)/2)+Controls!$B$10*(D50-IF(Controls!$B$7="Normal",Controls!$B$8,(Controls!$B$8+Controls!$B$9)/2))+SQRT(1-Controls!$B$10^2)*(Random!X51-IF(Controls!$B$7="Normal",Controls!$B$8,(Controls!$B$8+Controls!$B$9)/2)))</f>
        <v>42.64451567</v>
      </c>
      <c r="E51" s="10" t="str">
        <f>IF(Random!Y51="","",IF(Controls!$B$7="Normal",Controls!$B$8,(Controls!$B$8+Controls!$B$9)/2)+Controls!$B$10*(E50-IF(Controls!$B$7="Normal",Controls!$B$8,(Controls!$B$8+Controls!$B$9)/2))+SQRT(1-Controls!$B$10^2)*(Random!Y51-IF(Controls!$B$7="Normal",Controls!$B$8,(Controls!$B$8+Controls!$B$9)/2)))</f>
        <v/>
      </c>
      <c r="F51" s="10" t="str">
        <f>IF(Random!Z51="","",IF(Controls!$B$7="Normal",Controls!$B$8,(Controls!$B$8+Controls!$B$9)/2)+Controls!$B$10*(F50-IF(Controls!$B$7="Normal",Controls!$B$8,(Controls!$B$8+Controls!$B$9)/2))+SQRT(1-Controls!$B$10^2)*(Random!Z51-IF(Controls!$B$7="Normal",Controls!$B$8,(Controls!$B$8+Controls!$B$9)/2)))</f>
        <v/>
      </c>
      <c r="G51" s="10" t="str">
        <f>IF(Random!AA51="","",IF(Controls!$B$7="Normal",Controls!$B$8,(Controls!$B$8+Controls!$B$9)/2)+Controls!$B$10*(G50-IF(Controls!$B$7="Normal",Controls!$B$8,(Controls!$B$8+Controls!$B$9)/2))+SQRT(1-Controls!$B$10^2)*(Random!AA51-IF(Controls!$B$7="Normal",Controls!$B$8,(Controls!$B$8+Controls!$B$9)/2)))</f>
        <v/>
      </c>
      <c r="H51" s="10" t="str">
        <f>IF(Random!AB51="","",IF(Controls!$B$7="Normal",Controls!$B$8,(Controls!$B$8+Controls!$B$9)/2)+Controls!$B$10*(H50-IF(Controls!$B$7="Normal",Controls!$B$8,(Controls!$B$8+Controls!$B$9)/2))+SQRT(1-Controls!$B$10^2)*(Random!AB51-IF(Controls!$B$7="Normal",Controls!$B$8,(Controls!$B$8+Controls!$B$9)/2)))</f>
        <v/>
      </c>
      <c r="I51" s="10" t="str">
        <f>IF(Random!AC51="","",IF(Controls!$B$7="Normal",Controls!$B$8,(Controls!$B$8+Controls!$B$9)/2)+Controls!$B$10*(I50-IF(Controls!$B$7="Normal",Controls!$B$8,(Controls!$B$8+Controls!$B$9)/2))+SQRT(1-Controls!$B$10^2)*(Random!AC51-IF(Controls!$B$7="Normal",Controls!$B$8,(Controls!$B$8+Controls!$B$9)/2)))</f>
        <v/>
      </c>
      <c r="J51" s="10" t="str">
        <f>IF(Random!AD51="","",IF(Controls!$B$7="Normal",Controls!$B$8,(Controls!$B$8+Controls!$B$9)/2)+Controls!$B$10*(J50-IF(Controls!$B$7="Normal",Controls!$B$8,(Controls!$B$8+Controls!$B$9)/2))+SQRT(1-Controls!$B$10^2)*(Random!AD51-IF(Controls!$B$7="Normal",Controls!$B$8,(Controls!$B$8+Controls!$B$9)/2)))</f>
        <v/>
      </c>
      <c r="K51" s="10" t="str">
        <f>IF(Random!AE51="","",IF(Controls!$B$7="Normal",Controls!$B$8,(Controls!$B$8+Controls!$B$9)/2)+Controls!$B$10*(K50-IF(Controls!$B$7="Normal",Controls!$B$8,(Controls!$B$8+Controls!$B$9)/2))+SQRT(1-Controls!$B$10^2)*(Random!AE51-IF(Controls!$B$7="Normal",Controls!$B$8,(Controls!$B$8+Controls!$B$9)/2)))</f>
        <v/>
      </c>
      <c r="L51" s="10">
        <f>IF($A51="","",IF(AND($A51&gt;=Controls!$B$25,$A51&lt;Controls!$B$25+Controls!$C$25),(Controls!$D$25-1)*EXP(-0.5*(($A51-Controls!$B$25-(Controls!$C$25-1)/2)/MAX(Controls!$C$25/4,0.5))^2),0))</f>
        <v>0</v>
      </c>
      <c r="M51" s="10">
        <f>IF($A51="","",IF(AND($A51&gt;=Controls!$B$26,$A51&lt;Controls!$B$26+Controls!$C$26),(Controls!$D$26-1)*EXP(-0.5*(($A51-Controls!$B$26-(Controls!$C$26-1)/2)/MAX(Controls!$C$26/4,0.5))^2),0))</f>
        <v>0</v>
      </c>
      <c r="N51" s="10">
        <f>IF($A51="","",IF(AND($A51&gt;=Controls!$B$27,$A51&lt;Controls!$B$27+Controls!$C$27),(Controls!$D$27-1)*EXP(-0.5*(($A51-Controls!$B$27-(Controls!$C$27-1)/2)/MAX(Controls!$C$27/4,0.5))^2),0))</f>
        <v>0</v>
      </c>
      <c r="O51" s="10">
        <f>IF($A51="","",IF(AND($A51&gt;=Controls!$B$28,$A51&lt;Controls!$B$28+Controls!$C$28),(Controls!$D$28-1)*EXP(-0.5*(($A51-Controls!$B$28-(Controls!$C$28-1)/2)/MAX(Controls!$C$28/4,0.5))^2),0))</f>
        <v>0</v>
      </c>
      <c r="P51" s="4" t="str">
        <f t="shared" si="1"/>
        <v>2099-12-21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21.0" customHeight="1">
      <c r="A52" s="7">
        <f>IF(51&lt;=Controls!$B$5,Controls!$B$4+50,"")</f>
        <v>73041</v>
      </c>
      <c r="B52" s="10">
        <f>IF(Random!V52="","",IF(Controls!$B$7="Normal",Controls!$B$8,(Controls!$B$8+Controls!$B$9)/2)+Controls!$B$10*(B51-IF(Controls!$B$7="Normal",Controls!$B$8,(Controls!$B$8+Controls!$B$9)/2))+SQRT(1-Controls!$B$10^2)*(Random!V52-IF(Controls!$B$7="Normal",Controls!$B$8,(Controls!$B$8+Controls!$B$9)/2)))</f>
        <v>55.30152916</v>
      </c>
      <c r="C52" s="10">
        <f>IF(Random!W52="","",IF(Controls!$B$7="Normal",Controls!$B$8,(Controls!$B$8+Controls!$B$9)/2)+Controls!$B$10*(C51-IF(Controls!$B$7="Normal",Controls!$B$8,(Controls!$B$8+Controls!$B$9)/2))+SQRT(1-Controls!$B$10^2)*(Random!W52-IF(Controls!$B$7="Normal",Controls!$B$8,(Controls!$B$8+Controls!$B$9)/2)))</f>
        <v>59.72122808</v>
      </c>
      <c r="D52" s="10">
        <f>IF(Random!X52="","",IF(Controls!$B$7="Normal",Controls!$B$8,(Controls!$B$8+Controls!$B$9)/2)+Controls!$B$10*(D51-IF(Controls!$B$7="Normal",Controls!$B$8,(Controls!$B$8+Controls!$B$9)/2))+SQRT(1-Controls!$B$10^2)*(Random!X52-IF(Controls!$B$7="Normal",Controls!$B$8,(Controls!$B$8+Controls!$B$9)/2)))</f>
        <v>40.0823315</v>
      </c>
      <c r="E52" s="10" t="str">
        <f>IF(Random!Y52="","",IF(Controls!$B$7="Normal",Controls!$B$8,(Controls!$B$8+Controls!$B$9)/2)+Controls!$B$10*(E51-IF(Controls!$B$7="Normal",Controls!$B$8,(Controls!$B$8+Controls!$B$9)/2))+SQRT(1-Controls!$B$10^2)*(Random!Y52-IF(Controls!$B$7="Normal",Controls!$B$8,(Controls!$B$8+Controls!$B$9)/2)))</f>
        <v/>
      </c>
      <c r="F52" s="10" t="str">
        <f>IF(Random!Z52="","",IF(Controls!$B$7="Normal",Controls!$B$8,(Controls!$B$8+Controls!$B$9)/2)+Controls!$B$10*(F51-IF(Controls!$B$7="Normal",Controls!$B$8,(Controls!$B$8+Controls!$B$9)/2))+SQRT(1-Controls!$B$10^2)*(Random!Z52-IF(Controls!$B$7="Normal",Controls!$B$8,(Controls!$B$8+Controls!$B$9)/2)))</f>
        <v/>
      </c>
      <c r="G52" s="10" t="str">
        <f>IF(Random!AA52="","",IF(Controls!$B$7="Normal",Controls!$B$8,(Controls!$B$8+Controls!$B$9)/2)+Controls!$B$10*(G51-IF(Controls!$B$7="Normal",Controls!$B$8,(Controls!$B$8+Controls!$B$9)/2))+SQRT(1-Controls!$B$10^2)*(Random!AA52-IF(Controls!$B$7="Normal",Controls!$B$8,(Controls!$B$8+Controls!$B$9)/2)))</f>
        <v/>
      </c>
      <c r="H52" s="10" t="str">
        <f>IF(Random!AB52="","",IF(Controls!$B$7="Normal",Controls!$B$8,(Controls!$B$8+Controls!$B$9)/2)+Controls!$B$10*(H51-IF(Controls!$B$7="Normal",Controls!$B$8,(Controls!$B$8+Controls!$B$9)/2))+SQRT(1-Controls!$B$10^2)*(Random!AB52-IF(Controls!$B$7="Normal",Controls!$B$8,(Controls!$B$8+Controls!$B$9)/2)))</f>
        <v/>
      </c>
      <c r="I52" s="10" t="str">
        <f>IF(Random!AC52="","",IF(Controls!$B$7="Normal",Controls!$B$8,(Controls!$B$8+Controls!$B$9)/2)+Controls!$B$10*(I51-IF(Controls!$B$7="Normal",Controls!$B$8,(Controls!$B$8+Controls!$B$9)/2))+SQRT(1-Controls!$B$10^2)*(Random!AC52-IF(Controls!$B$7="Normal",Controls!$B$8,(Controls!$B$8+Controls!$B$9)/2)))</f>
        <v/>
      </c>
      <c r="J52" s="10" t="str">
        <f>IF(Random!AD52="","",IF(Controls!$B$7="Normal",Controls!$B$8,(Controls!$B$8+Controls!$B$9)/2)+Controls!$B$10*(J51-IF(Controls!$B$7="Normal",Controls!$B$8,(Controls!$B$8+Controls!$B$9)/2))+SQRT(1-Controls!$B$10^2)*(Random!AD52-IF(Controls!$B$7="Normal",Controls!$B$8,(Controls!$B$8+Controls!$B$9)/2)))</f>
        <v/>
      </c>
      <c r="K52" s="10" t="str">
        <f>IF(Random!AE52="","",IF(Controls!$B$7="Normal",Controls!$B$8,(Controls!$B$8+Controls!$B$9)/2)+Controls!$B$10*(K51-IF(Controls!$B$7="Normal",Controls!$B$8,(Controls!$B$8+Controls!$B$9)/2))+SQRT(1-Controls!$B$10^2)*(Random!AE52-IF(Controls!$B$7="Normal",Controls!$B$8,(Controls!$B$8+Controls!$B$9)/2)))</f>
        <v/>
      </c>
      <c r="L52" s="10">
        <f>IF($A52="","",IF(AND($A52&gt;=Controls!$B$25,$A52&lt;Controls!$B$25+Controls!$C$25),(Controls!$D$25-1)*EXP(-0.5*(($A52-Controls!$B$25-(Controls!$C$25-1)/2)/MAX(Controls!$C$25/4,0.5))^2),0))</f>
        <v>0</v>
      </c>
      <c r="M52" s="10">
        <f>IF($A52="","",IF(AND($A52&gt;=Controls!$B$26,$A52&lt;Controls!$B$26+Controls!$C$26),(Controls!$D$26-1)*EXP(-0.5*(($A52-Controls!$B$26-(Controls!$C$26-1)/2)/MAX(Controls!$C$26/4,0.5))^2),0))</f>
        <v>0</v>
      </c>
      <c r="N52" s="10">
        <f>IF($A52="","",IF(AND($A52&gt;=Controls!$B$27,$A52&lt;Controls!$B$27+Controls!$C$27),(Controls!$D$27-1)*EXP(-0.5*(($A52-Controls!$B$27-(Controls!$C$27-1)/2)/MAX(Controls!$C$27/4,0.5))^2),0))</f>
        <v>0</v>
      </c>
      <c r="O52" s="10">
        <f>IF($A52="","",IF(AND($A52&gt;=Controls!$B$28,$A52&lt;Controls!$B$28+Controls!$C$28),(Controls!$D$28-1)*EXP(-0.5*(($A52-Controls!$B$28-(Controls!$C$28-1)/2)/MAX(Controls!$C$28/4,0.5))^2),0))</f>
        <v>0</v>
      </c>
      <c r="P52" s="4" t="str">
        <f t="shared" si="1"/>
        <v>2099-12-22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21.0" customHeight="1">
      <c r="A53" s="7">
        <f>IF(52&lt;=Controls!$B$5,Controls!$B$4+51,"")</f>
        <v>73042</v>
      </c>
      <c r="B53" s="10">
        <f>IF(Random!V53="","",IF(Controls!$B$7="Normal",Controls!$B$8,(Controls!$B$8+Controls!$B$9)/2)+Controls!$B$10*(B52-IF(Controls!$B$7="Normal",Controls!$B$8,(Controls!$B$8+Controls!$B$9)/2))+SQRT(1-Controls!$B$10^2)*(Random!V53-IF(Controls!$B$7="Normal",Controls!$B$8,(Controls!$B$8+Controls!$B$9)/2)))</f>
        <v>59.62335261</v>
      </c>
      <c r="C53" s="10">
        <f>IF(Random!W53="","",IF(Controls!$B$7="Normal",Controls!$B$8,(Controls!$B$8+Controls!$B$9)/2)+Controls!$B$10*(C52-IF(Controls!$B$7="Normal",Controls!$B$8,(Controls!$B$8+Controls!$B$9)/2))+SQRT(1-Controls!$B$10^2)*(Random!W53-IF(Controls!$B$7="Normal",Controls!$B$8,(Controls!$B$8+Controls!$B$9)/2)))</f>
        <v>50.59521388</v>
      </c>
      <c r="D53" s="10">
        <f>IF(Random!X53="","",IF(Controls!$B$7="Normal",Controls!$B$8,(Controls!$B$8+Controls!$B$9)/2)+Controls!$B$10*(D52-IF(Controls!$B$7="Normal",Controls!$B$8,(Controls!$B$8+Controls!$B$9)/2))+SQRT(1-Controls!$B$10^2)*(Random!X53-IF(Controls!$B$7="Normal",Controls!$B$8,(Controls!$B$8+Controls!$B$9)/2)))</f>
        <v>46.31369366</v>
      </c>
      <c r="E53" s="10" t="str">
        <f>IF(Random!Y53="","",IF(Controls!$B$7="Normal",Controls!$B$8,(Controls!$B$8+Controls!$B$9)/2)+Controls!$B$10*(E52-IF(Controls!$B$7="Normal",Controls!$B$8,(Controls!$B$8+Controls!$B$9)/2))+SQRT(1-Controls!$B$10^2)*(Random!Y53-IF(Controls!$B$7="Normal",Controls!$B$8,(Controls!$B$8+Controls!$B$9)/2)))</f>
        <v/>
      </c>
      <c r="F53" s="10" t="str">
        <f>IF(Random!Z53="","",IF(Controls!$B$7="Normal",Controls!$B$8,(Controls!$B$8+Controls!$B$9)/2)+Controls!$B$10*(F52-IF(Controls!$B$7="Normal",Controls!$B$8,(Controls!$B$8+Controls!$B$9)/2))+SQRT(1-Controls!$B$10^2)*(Random!Z53-IF(Controls!$B$7="Normal",Controls!$B$8,(Controls!$B$8+Controls!$B$9)/2)))</f>
        <v/>
      </c>
      <c r="G53" s="10" t="str">
        <f>IF(Random!AA53="","",IF(Controls!$B$7="Normal",Controls!$B$8,(Controls!$B$8+Controls!$B$9)/2)+Controls!$B$10*(G52-IF(Controls!$B$7="Normal",Controls!$B$8,(Controls!$B$8+Controls!$B$9)/2))+SQRT(1-Controls!$B$10^2)*(Random!AA53-IF(Controls!$B$7="Normal",Controls!$B$8,(Controls!$B$8+Controls!$B$9)/2)))</f>
        <v/>
      </c>
      <c r="H53" s="10" t="str">
        <f>IF(Random!AB53="","",IF(Controls!$B$7="Normal",Controls!$B$8,(Controls!$B$8+Controls!$B$9)/2)+Controls!$B$10*(H52-IF(Controls!$B$7="Normal",Controls!$B$8,(Controls!$B$8+Controls!$B$9)/2))+SQRT(1-Controls!$B$10^2)*(Random!AB53-IF(Controls!$B$7="Normal",Controls!$B$8,(Controls!$B$8+Controls!$B$9)/2)))</f>
        <v/>
      </c>
      <c r="I53" s="10" t="str">
        <f>IF(Random!AC53="","",IF(Controls!$B$7="Normal",Controls!$B$8,(Controls!$B$8+Controls!$B$9)/2)+Controls!$B$10*(I52-IF(Controls!$B$7="Normal",Controls!$B$8,(Controls!$B$8+Controls!$B$9)/2))+SQRT(1-Controls!$B$10^2)*(Random!AC53-IF(Controls!$B$7="Normal",Controls!$B$8,(Controls!$B$8+Controls!$B$9)/2)))</f>
        <v/>
      </c>
      <c r="J53" s="10" t="str">
        <f>IF(Random!AD53="","",IF(Controls!$B$7="Normal",Controls!$B$8,(Controls!$B$8+Controls!$B$9)/2)+Controls!$B$10*(J52-IF(Controls!$B$7="Normal",Controls!$B$8,(Controls!$B$8+Controls!$B$9)/2))+SQRT(1-Controls!$B$10^2)*(Random!AD53-IF(Controls!$B$7="Normal",Controls!$B$8,(Controls!$B$8+Controls!$B$9)/2)))</f>
        <v/>
      </c>
      <c r="K53" s="10" t="str">
        <f>IF(Random!AE53="","",IF(Controls!$B$7="Normal",Controls!$B$8,(Controls!$B$8+Controls!$B$9)/2)+Controls!$B$10*(K52-IF(Controls!$B$7="Normal",Controls!$B$8,(Controls!$B$8+Controls!$B$9)/2))+SQRT(1-Controls!$B$10^2)*(Random!AE53-IF(Controls!$B$7="Normal",Controls!$B$8,(Controls!$B$8+Controls!$B$9)/2)))</f>
        <v/>
      </c>
      <c r="L53" s="10">
        <f>IF($A53="","",IF(AND($A53&gt;=Controls!$B$25,$A53&lt;Controls!$B$25+Controls!$C$25),(Controls!$D$25-1)*EXP(-0.5*(($A53-Controls!$B$25-(Controls!$C$25-1)/2)/MAX(Controls!$C$25/4,0.5))^2),0))</f>
        <v>0</v>
      </c>
      <c r="M53" s="10">
        <f>IF($A53="","",IF(AND($A53&gt;=Controls!$B$26,$A53&lt;Controls!$B$26+Controls!$C$26),(Controls!$D$26-1)*EXP(-0.5*(($A53-Controls!$B$26-(Controls!$C$26-1)/2)/MAX(Controls!$C$26/4,0.5))^2),0))</f>
        <v>0</v>
      </c>
      <c r="N53" s="10">
        <f>IF($A53="","",IF(AND($A53&gt;=Controls!$B$27,$A53&lt;Controls!$B$27+Controls!$C$27),(Controls!$D$27-1)*EXP(-0.5*(($A53-Controls!$B$27-(Controls!$C$27-1)/2)/MAX(Controls!$C$27/4,0.5))^2),0))</f>
        <v>0</v>
      </c>
      <c r="O53" s="10">
        <f>IF($A53="","",IF(AND($A53&gt;=Controls!$B$28,$A53&lt;Controls!$B$28+Controls!$C$28),(Controls!$D$28-1)*EXP(-0.5*(($A53-Controls!$B$28-(Controls!$C$28-1)/2)/MAX(Controls!$C$28/4,0.5))^2),0))</f>
        <v>0</v>
      </c>
      <c r="P53" s="4" t="str">
        <f t="shared" si="1"/>
        <v>2099-12-23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21.0" customHeight="1">
      <c r="A54" s="7">
        <f>IF(53&lt;=Controls!$B$5,Controls!$B$4+52,"")</f>
        <v>73043</v>
      </c>
      <c r="B54" s="10">
        <f>IF(Random!V54="","",IF(Controls!$B$7="Normal",Controls!$B$8,(Controls!$B$8+Controls!$B$9)/2)+Controls!$B$10*(B53-IF(Controls!$B$7="Normal",Controls!$B$8,(Controls!$B$8+Controls!$B$9)/2))+SQRT(1-Controls!$B$10^2)*(Random!V54-IF(Controls!$B$7="Normal",Controls!$B$8,(Controls!$B$8+Controls!$B$9)/2)))</f>
        <v>59.55774352</v>
      </c>
      <c r="C54" s="10">
        <f>IF(Random!W54="","",IF(Controls!$B$7="Normal",Controls!$B$8,(Controls!$B$8+Controls!$B$9)/2)+Controls!$B$10*(C53-IF(Controls!$B$7="Normal",Controls!$B$8,(Controls!$B$8+Controls!$B$9)/2))+SQRT(1-Controls!$B$10^2)*(Random!W54-IF(Controls!$B$7="Normal",Controls!$B$8,(Controls!$B$8+Controls!$B$9)/2)))</f>
        <v>45.84560452</v>
      </c>
      <c r="D54" s="10">
        <f>IF(Random!X54="","",IF(Controls!$B$7="Normal",Controls!$B$8,(Controls!$B$8+Controls!$B$9)/2)+Controls!$B$10*(D53-IF(Controls!$B$7="Normal",Controls!$B$8,(Controls!$B$8+Controls!$B$9)/2))+SQRT(1-Controls!$B$10^2)*(Random!X54-IF(Controls!$B$7="Normal",Controls!$B$8,(Controls!$B$8+Controls!$B$9)/2)))</f>
        <v>41.2032726</v>
      </c>
      <c r="E54" s="10" t="str">
        <f>IF(Random!Y54="","",IF(Controls!$B$7="Normal",Controls!$B$8,(Controls!$B$8+Controls!$B$9)/2)+Controls!$B$10*(E53-IF(Controls!$B$7="Normal",Controls!$B$8,(Controls!$B$8+Controls!$B$9)/2))+SQRT(1-Controls!$B$10^2)*(Random!Y54-IF(Controls!$B$7="Normal",Controls!$B$8,(Controls!$B$8+Controls!$B$9)/2)))</f>
        <v/>
      </c>
      <c r="F54" s="10" t="str">
        <f>IF(Random!Z54="","",IF(Controls!$B$7="Normal",Controls!$B$8,(Controls!$B$8+Controls!$B$9)/2)+Controls!$B$10*(F53-IF(Controls!$B$7="Normal",Controls!$B$8,(Controls!$B$8+Controls!$B$9)/2))+SQRT(1-Controls!$B$10^2)*(Random!Z54-IF(Controls!$B$7="Normal",Controls!$B$8,(Controls!$B$8+Controls!$B$9)/2)))</f>
        <v/>
      </c>
      <c r="G54" s="10" t="str">
        <f>IF(Random!AA54="","",IF(Controls!$B$7="Normal",Controls!$B$8,(Controls!$B$8+Controls!$B$9)/2)+Controls!$B$10*(G53-IF(Controls!$B$7="Normal",Controls!$B$8,(Controls!$B$8+Controls!$B$9)/2))+SQRT(1-Controls!$B$10^2)*(Random!AA54-IF(Controls!$B$7="Normal",Controls!$B$8,(Controls!$B$8+Controls!$B$9)/2)))</f>
        <v/>
      </c>
      <c r="H54" s="10" t="str">
        <f>IF(Random!AB54="","",IF(Controls!$B$7="Normal",Controls!$B$8,(Controls!$B$8+Controls!$B$9)/2)+Controls!$B$10*(H53-IF(Controls!$B$7="Normal",Controls!$B$8,(Controls!$B$8+Controls!$B$9)/2))+SQRT(1-Controls!$B$10^2)*(Random!AB54-IF(Controls!$B$7="Normal",Controls!$B$8,(Controls!$B$8+Controls!$B$9)/2)))</f>
        <v/>
      </c>
      <c r="I54" s="10" t="str">
        <f>IF(Random!AC54="","",IF(Controls!$B$7="Normal",Controls!$B$8,(Controls!$B$8+Controls!$B$9)/2)+Controls!$B$10*(I53-IF(Controls!$B$7="Normal",Controls!$B$8,(Controls!$B$8+Controls!$B$9)/2))+SQRT(1-Controls!$B$10^2)*(Random!AC54-IF(Controls!$B$7="Normal",Controls!$B$8,(Controls!$B$8+Controls!$B$9)/2)))</f>
        <v/>
      </c>
      <c r="J54" s="10" t="str">
        <f>IF(Random!AD54="","",IF(Controls!$B$7="Normal",Controls!$B$8,(Controls!$B$8+Controls!$B$9)/2)+Controls!$B$10*(J53-IF(Controls!$B$7="Normal",Controls!$B$8,(Controls!$B$8+Controls!$B$9)/2))+SQRT(1-Controls!$B$10^2)*(Random!AD54-IF(Controls!$B$7="Normal",Controls!$B$8,(Controls!$B$8+Controls!$B$9)/2)))</f>
        <v/>
      </c>
      <c r="K54" s="10" t="str">
        <f>IF(Random!AE54="","",IF(Controls!$B$7="Normal",Controls!$B$8,(Controls!$B$8+Controls!$B$9)/2)+Controls!$B$10*(K53-IF(Controls!$B$7="Normal",Controls!$B$8,(Controls!$B$8+Controls!$B$9)/2))+SQRT(1-Controls!$B$10^2)*(Random!AE54-IF(Controls!$B$7="Normal",Controls!$B$8,(Controls!$B$8+Controls!$B$9)/2)))</f>
        <v/>
      </c>
      <c r="L54" s="10">
        <f>IF($A54="","",IF(AND($A54&gt;=Controls!$B$25,$A54&lt;Controls!$B$25+Controls!$C$25),(Controls!$D$25-1)*EXP(-0.5*(($A54-Controls!$B$25-(Controls!$C$25-1)/2)/MAX(Controls!$C$25/4,0.5))^2),0))</f>
        <v>0</v>
      </c>
      <c r="M54" s="10">
        <f>IF($A54="","",IF(AND($A54&gt;=Controls!$B$26,$A54&lt;Controls!$B$26+Controls!$C$26),(Controls!$D$26-1)*EXP(-0.5*(($A54-Controls!$B$26-(Controls!$C$26-1)/2)/MAX(Controls!$C$26/4,0.5))^2),0))</f>
        <v>0</v>
      </c>
      <c r="N54" s="10">
        <f>IF($A54="","",IF(AND($A54&gt;=Controls!$B$27,$A54&lt;Controls!$B$27+Controls!$C$27),(Controls!$D$27-1)*EXP(-0.5*(($A54-Controls!$B$27-(Controls!$C$27-1)/2)/MAX(Controls!$C$27/4,0.5))^2),0))</f>
        <v>0</v>
      </c>
      <c r="O54" s="10">
        <f>IF($A54="","",IF(AND($A54&gt;=Controls!$B$28,$A54&lt;Controls!$B$28+Controls!$C$28),(Controls!$D$28-1)*EXP(-0.5*(($A54-Controls!$B$28-(Controls!$C$28-1)/2)/MAX(Controls!$C$28/4,0.5))^2),0))</f>
        <v>0</v>
      </c>
      <c r="P54" s="4" t="str">
        <f t="shared" si="1"/>
        <v>2099-12-24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21.0" customHeight="1">
      <c r="A55" s="7">
        <f>IF(54&lt;=Controls!$B$5,Controls!$B$4+53,"")</f>
        <v>73044</v>
      </c>
      <c r="B55" s="10">
        <f>IF(Random!V55="","",IF(Controls!$B$7="Normal",Controls!$B$8,(Controls!$B$8+Controls!$B$9)/2)+Controls!$B$10*(B54-IF(Controls!$B$7="Normal",Controls!$B$8,(Controls!$B$8+Controls!$B$9)/2))+SQRT(1-Controls!$B$10^2)*(Random!V55-IF(Controls!$B$7="Normal",Controls!$B$8,(Controls!$B$8+Controls!$B$9)/2)))</f>
        <v>46.08721541</v>
      </c>
      <c r="C55" s="10">
        <f>IF(Random!W55="","",IF(Controls!$B$7="Normal",Controls!$B$8,(Controls!$B$8+Controls!$B$9)/2)+Controls!$B$10*(C54-IF(Controls!$B$7="Normal",Controls!$B$8,(Controls!$B$8+Controls!$B$9)/2))+SQRT(1-Controls!$B$10^2)*(Random!W55-IF(Controls!$B$7="Normal",Controls!$B$8,(Controls!$B$8+Controls!$B$9)/2)))</f>
        <v>40.5410858</v>
      </c>
      <c r="D55" s="10">
        <f>IF(Random!X55="","",IF(Controls!$B$7="Normal",Controls!$B$8,(Controls!$B$8+Controls!$B$9)/2)+Controls!$B$10*(D54-IF(Controls!$B$7="Normal",Controls!$B$8,(Controls!$B$8+Controls!$B$9)/2))+SQRT(1-Controls!$B$10^2)*(Random!X55-IF(Controls!$B$7="Normal",Controls!$B$8,(Controls!$B$8+Controls!$B$9)/2)))</f>
        <v>44.90390021</v>
      </c>
      <c r="E55" s="10" t="str">
        <f>IF(Random!Y55="","",IF(Controls!$B$7="Normal",Controls!$B$8,(Controls!$B$8+Controls!$B$9)/2)+Controls!$B$10*(E54-IF(Controls!$B$7="Normal",Controls!$B$8,(Controls!$B$8+Controls!$B$9)/2))+SQRT(1-Controls!$B$10^2)*(Random!Y55-IF(Controls!$B$7="Normal",Controls!$B$8,(Controls!$B$8+Controls!$B$9)/2)))</f>
        <v/>
      </c>
      <c r="F55" s="10" t="str">
        <f>IF(Random!Z55="","",IF(Controls!$B$7="Normal",Controls!$B$8,(Controls!$B$8+Controls!$B$9)/2)+Controls!$B$10*(F54-IF(Controls!$B$7="Normal",Controls!$B$8,(Controls!$B$8+Controls!$B$9)/2))+SQRT(1-Controls!$B$10^2)*(Random!Z55-IF(Controls!$B$7="Normal",Controls!$B$8,(Controls!$B$8+Controls!$B$9)/2)))</f>
        <v/>
      </c>
      <c r="G55" s="10" t="str">
        <f>IF(Random!AA55="","",IF(Controls!$B$7="Normal",Controls!$B$8,(Controls!$B$8+Controls!$B$9)/2)+Controls!$B$10*(G54-IF(Controls!$B$7="Normal",Controls!$B$8,(Controls!$B$8+Controls!$B$9)/2))+SQRT(1-Controls!$B$10^2)*(Random!AA55-IF(Controls!$B$7="Normal",Controls!$B$8,(Controls!$B$8+Controls!$B$9)/2)))</f>
        <v/>
      </c>
      <c r="H55" s="10" t="str">
        <f>IF(Random!AB55="","",IF(Controls!$B$7="Normal",Controls!$B$8,(Controls!$B$8+Controls!$B$9)/2)+Controls!$B$10*(H54-IF(Controls!$B$7="Normal",Controls!$B$8,(Controls!$B$8+Controls!$B$9)/2))+SQRT(1-Controls!$B$10^2)*(Random!AB55-IF(Controls!$B$7="Normal",Controls!$B$8,(Controls!$B$8+Controls!$B$9)/2)))</f>
        <v/>
      </c>
      <c r="I55" s="10" t="str">
        <f>IF(Random!AC55="","",IF(Controls!$B$7="Normal",Controls!$B$8,(Controls!$B$8+Controls!$B$9)/2)+Controls!$B$10*(I54-IF(Controls!$B$7="Normal",Controls!$B$8,(Controls!$B$8+Controls!$B$9)/2))+SQRT(1-Controls!$B$10^2)*(Random!AC55-IF(Controls!$B$7="Normal",Controls!$B$8,(Controls!$B$8+Controls!$B$9)/2)))</f>
        <v/>
      </c>
      <c r="J55" s="10" t="str">
        <f>IF(Random!AD55="","",IF(Controls!$B$7="Normal",Controls!$B$8,(Controls!$B$8+Controls!$B$9)/2)+Controls!$B$10*(J54-IF(Controls!$B$7="Normal",Controls!$B$8,(Controls!$B$8+Controls!$B$9)/2))+SQRT(1-Controls!$B$10^2)*(Random!AD55-IF(Controls!$B$7="Normal",Controls!$B$8,(Controls!$B$8+Controls!$B$9)/2)))</f>
        <v/>
      </c>
      <c r="K55" s="10" t="str">
        <f>IF(Random!AE55="","",IF(Controls!$B$7="Normal",Controls!$B$8,(Controls!$B$8+Controls!$B$9)/2)+Controls!$B$10*(K54-IF(Controls!$B$7="Normal",Controls!$B$8,(Controls!$B$8+Controls!$B$9)/2))+SQRT(1-Controls!$B$10^2)*(Random!AE55-IF(Controls!$B$7="Normal",Controls!$B$8,(Controls!$B$8+Controls!$B$9)/2)))</f>
        <v/>
      </c>
      <c r="L55" s="10">
        <f>IF($A55="","",IF(AND($A55&gt;=Controls!$B$25,$A55&lt;Controls!$B$25+Controls!$C$25),(Controls!$D$25-1)*EXP(-0.5*(($A55-Controls!$B$25-(Controls!$C$25-1)/2)/MAX(Controls!$C$25/4,0.5))^2),0))</f>
        <v>0</v>
      </c>
      <c r="M55" s="10">
        <f>IF($A55="","",IF(AND($A55&gt;=Controls!$B$26,$A55&lt;Controls!$B$26+Controls!$C$26),(Controls!$D$26-1)*EXP(-0.5*(($A55-Controls!$B$26-(Controls!$C$26-1)/2)/MAX(Controls!$C$26/4,0.5))^2),0))</f>
        <v>0</v>
      </c>
      <c r="N55" s="10">
        <f>IF($A55="","",IF(AND($A55&gt;=Controls!$B$27,$A55&lt;Controls!$B$27+Controls!$C$27),(Controls!$D$27-1)*EXP(-0.5*(($A55-Controls!$B$27-(Controls!$C$27-1)/2)/MAX(Controls!$C$27/4,0.5))^2),0))</f>
        <v>0</v>
      </c>
      <c r="O55" s="10">
        <f>IF($A55="","",IF(AND($A55&gt;=Controls!$B$28,$A55&lt;Controls!$B$28+Controls!$C$28),(Controls!$D$28-1)*EXP(-0.5*(($A55-Controls!$B$28-(Controls!$C$28-1)/2)/MAX(Controls!$C$28/4,0.5))^2),0))</f>
        <v>0</v>
      </c>
      <c r="P55" s="4" t="str">
        <f t="shared" si="1"/>
        <v>2099-12-25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21.0" customHeight="1">
      <c r="A56" s="7">
        <f>IF(55&lt;=Controls!$B$5,Controls!$B$4+54,"")</f>
        <v>73045</v>
      </c>
      <c r="B56" s="10">
        <f>IF(Random!V56="","",IF(Controls!$B$7="Normal",Controls!$B$8,(Controls!$B$8+Controls!$B$9)/2)+Controls!$B$10*(B55-IF(Controls!$B$7="Normal",Controls!$B$8,(Controls!$B$8+Controls!$B$9)/2))+SQRT(1-Controls!$B$10^2)*(Random!V56-IF(Controls!$B$7="Normal",Controls!$B$8,(Controls!$B$8+Controls!$B$9)/2)))</f>
        <v>35.20419433</v>
      </c>
      <c r="C56" s="10">
        <f>IF(Random!W56="","",IF(Controls!$B$7="Normal",Controls!$B$8,(Controls!$B$8+Controls!$B$9)/2)+Controls!$B$10*(C55-IF(Controls!$B$7="Normal",Controls!$B$8,(Controls!$B$8+Controls!$B$9)/2))+SQRT(1-Controls!$B$10^2)*(Random!W56-IF(Controls!$B$7="Normal",Controls!$B$8,(Controls!$B$8+Controls!$B$9)/2)))</f>
        <v>29.87133703</v>
      </c>
      <c r="D56" s="10">
        <f>IF(Random!X56="","",IF(Controls!$B$7="Normal",Controls!$B$8,(Controls!$B$8+Controls!$B$9)/2)+Controls!$B$10*(D55-IF(Controls!$B$7="Normal",Controls!$B$8,(Controls!$B$8+Controls!$B$9)/2))+SQRT(1-Controls!$B$10^2)*(Random!X56-IF(Controls!$B$7="Normal",Controls!$B$8,(Controls!$B$8+Controls!$B$9)/2)))</f>
        <v>30.43937018</v>
      </c>
      <c r="E56" s="10" t="str">
        <f>IF(Random!Y56="","",IF(Controls!$B$7="Normal",Controls!$B$8,(Controls!$B$8+Controls!$B$9)/2)+Controls!$B$10*(E55-IF(Controls!$B$7="Normal",Controls!$B$8,(Controls!$B$8+Controls!$B$9)/2))+SQRT(1-Controls!$B$10^2)*(Random!Y56-IF(Controls!$B$7="Normal",Controls!$B$8,(Controls!$B$8+Controls!$B$9)/2)))</f>
        <v/>
      </c>
      <c r="F56" s="10" t="str">
        <f>IF(Random!Z56="","",IF(Controls!$B$7="Normal",Controls!$B$8,(Controls!$B$8+Controls!$B$9)/2)+Controls!$B$10*(F55-IF(Controls!$B$7="Normal",Controls!$B$8,(Controls!$B$8+Controls!$B$9)/2))+SQRT(1-Controls!$B$10^2)*(Random!Z56-IF(Controls!$B$7="Normal",Controls!$B$8,(Controls!$B$8+Controls!$B$9)/2)))</f>
        <v/>
      </c>
      <c r="G56" s="10" t="str">
        <f>IF(Random!AA56="","",IF(Controls!$B$7="Normal",Controls!$B$8,(Controls!$B$8+Controls!$B$9)/2)+Controls!$B$10*(G55-IF(Controls!$B$7="Normal",Controls!$B$8,(Controls!$B$8+Controls!$B$9)/2))+SQRT(1-Controls!$B$10^2)*(Random!AA56-IF(Controls!$B$7="Normal",Controls!$B$8,(Controls!$B$8+Controls!$B$9)/2)))</f>
        <v/>
      </c>
      <c r="H56" s="10" t="str">
        <f>IF(Random!AB56="","",IF(Controls!$B$7="Normal",Controls!$B$8,(Controls!$B$8+Controls!$B$9)/2)+Controls!$B$10*(H55-IF(Controls!$B$7="Normal",Controls!$B$8,(Controls!$B$8+Controls!$B$9)/2))+SQRT(1-Controls!$B$10^2)*(Random!AB56-IF(Controls!$B$7="Normal",Controls!$B$8,(Controls!$B$8+Controls!$B$9)/2)))</f>
        <v/>
      </c>
      <c r="I56" s="10" t="str">
        <f>IF(Random!AC56="","",IF(Controls!$B$7="Normal",Controls!$B$8,(Controls!$B$8+Controls!$B$9)/2)+Controls!$B$10*(I55-IF(Controls!$B$7="Normal",Controls!$B$8,(Controls!$B$8+Controls!$B$9)/2))+SQRT(1-Controls!$B$10^2)*(Random!AC56-IF(Controls!$B$7="Normal",Controls!$B$8,(Controls!$B$8+Controls!$B$9)/2)))</f>
        <v/>
      </c>
      <c r="J56" s="10" t="str">
        <f>IF(Random!AD56="","",IF(Controls!$B$7="Normal",Controls!$B$8,(Controls!$B$8+Controls!$B$9)/2)+Controls!$B$10*(J55-IF(Controls!$B$7="Normal",Controls!$B$8,(Controls!$B$8+Controls!$B$9)/2))+SQRT(1-Controls!$B$10^2)*(Random!AD56-IF(Controls!$B$7="Normal",Controls!$B$8,(Controls!$B$8+Controls!$B$9)/2)))</f>
        <v/>
      </c>
      <c r="K56" s="10" t="str">
        <f>IF(Random!AE56="","",IF(Controls!$B$7="Normal",Controls!$B$8,(Controls!$B$8+Controls!$B$9)/2)+Controls!$B$10*(K55-IF(Controls!$B$7="Normal",Controls!$B$8,(Controls!$B$8+Controls!$B$9)/2))+SQRT(1-Controls!$B$10^2)*(Random!AE56-IF(Controls!$B$7="Normal",Controls!$B$8,(Controls!$B$8+Controls!$B$9)/2)))</f>
        <v/>
      </c>
      <c r="L56" s="10">
        <f>IF($A56="","",IF(AND($A56&gt;=Controls!$B$25,$A56&lt;Controls!$B$25+Controls!$C$25),(Controls!$D$25-1)*EXP(-0.5*(($A56-Controls!$B$25-(Controls!$C$25-1)/2)/MAX(Controls!$C$25/4,0.5))^2),0))</f>
        <v>0</v>
      </c>
      <c r="M56" s="10">
        <f>IF($A56="","",IF(AND($A56&gt;=Controls!$B$26,$A56&lt;Controls!$B$26+Controls!$C$26),(Controls!$D$26-1)*EXP(-0.5*(($A56-Controls!$B$26-(Controls!$C$26-1)/2)/MAX(Controls!$C$26/4,0.5))^2),0))</f>
        <v>0</v>
      </c>
      <c r="N56" s="10">
        <f>IF($A56="","",IF(AND($A56&gt;=Controls!$B$27,$A56&lt;Controls!$B$27+Controls!$C$27),(Controls!$D$27-1)*EXP(-0.5*(($A56-Controls!$B$27-(Controls!$C$27-1)/2)/MAX(Controls!$C$27/4,0.5))^2),0))</f>
        <v>0</v>
      </c>
      <c r="O56" s="10">
        <f>IF($A56="","",IF(AND($A56&gt;=Controls!$B$28,$A56&lt;Controls!$B$28+Controls!$C$28),(Controls!$D$28-1)*EXP(-0.5*(($A56-Controls!$B$28-(Controls!$C$28-1)/2)/MAX(Controls!$C$28/4,0.5))^2),0))</f>
        <v>0</v>
      </c>
      <c r="P56" s="4" t="str">
        <f t="shared" si="1"/>
        <v>2099-12-26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21.0" customHeight="1">
      <c r="A57" s="7">
        <f>IF(56&lt;=Controls!$B$5,Controls!$B$4+55,"")</f>
        <v>73046</v>
      </c>
      <c r="B57" s="10">
        <f>IF(Random!V57="","",IF(Controls!$B$7="Normal",Controls!$B$8,(Controls!$B$8+Controls!$B$9)/2)+Controls!$B$10*(B56-IF(Controls!$B$7="Normal",Controls!$B$8,(Controls!$B$8+Controls!$B$9)/2))+SQRT(1-Controls!$B$10^2)*(Random!V57-IF(Controls!$B$7="Normal",Controls!$B$8,(Controls!$B$8+Controls!$B$9)/2)))</f>
        <v>48.05670132</v>
      </c>
      <c r="C57" s="10">
        <f>IF(Random!W57="","",IF(Controls!$B$7="Normal",Controls!$B$8,(Controls!$B$8+Controls!$B$9)/2)+Controls!$B$10*(C56-IF(Controls!$B$7="Normal",Controls!$B$8,(Controls!$B$8+Controls!$B$9)/2))+SQRT(1-Controls!$B$10^2)*(Random!W57-IF(Controls!$B$7="Normal",Controls!$B$8,(Controls!$B$8+Controls!$B$9)/2)))</f>
        <v>14.22291177</v>
      </c>
      <c r="D57" s="10">
        <f>IF(Random!X57="","",IF(Controls!$B$7="Normal",Controls!$B$8,(Controls!$B$8+Controls!$B$9)/2)+Controls!$B$10*(D56-IF(Controls!$B$7="Normal",Controls!$B$8,(Controls!$B$8+Controls!$B$9)/2))+SQRT(1-Controls!$B$10^2)*(Random!X57-IF(Controls!$B$7="Normal",Controls!$B$8,(Controls!$B$8+Controls!$B$9)/2)))</f>
        <v>37.63851937</v>
      </c>
      <c r="E57" s="10" t="str">
        <f>IF(Random!Y57="","",IF(Controls!$B$7="Normal",Controls!$B$8,(Controls!$B$8+Controls!$B$9)/2)+Controls!$B$10*(E56-IF(Controls!$B$7="Normal",Controls!$B$8,(Controls!$B$8+Controls!$B$9)/2))+SQRT(1-Controls!$B$10^2)*(Random!Y57-IF(Controls!$B$7="Normal",Controls!$B$8,(Controls!$B$8+Controls!$B$9)/2)))</f>
        <v/>
      </c>
      <c r="F57" s="10" t="str">
        <f>IF(Random!Z57="","",IF(Controls!$B$7="Normal",Controls!$B$8,(Controls!$B$8+Controls!$B$9)/2)+Controls!$B$10*(F56-IF(Controls!$B$7="Normal",Controls!$B$8,(Controls!$B$8+Controls!$B$9)/2))+SQRT(1-Controls!$B$10^2)*(Random!Z57-IF(Controls!$B$7="Normal",Controls!$B$8,(Controls!$B$8+Controls!$B$9)/2)))</f>
        <v/>
      </c>
      <c r="G57" s="10" t="str">
        <f>IF(Random!AA57="","",IF(Controls!$B$7="Normal",Controls!$B$8,(Controls!$B$8+Controls!$B$9)/2)+Controls!$B$10*(G56-IF(Controls!$B$7="Normal",Controls!$B$8,(Controls!$B$8+Controls!$B$9)/2))+SQRT(1-Controls!$B$10^2)*(Random!AA57-IF(Controls!$B$7="Normal",Controls!$B$8,(Controls!$B$8+Controls!$B$9)/2)))</f>
        <v/>
      </c>
      <c r="H57" s="10" t="str">
        <f>IF(Random!AB57="","",IF(Controls!$B$7="Normal",Controls!$B$8,(Controls!$B$8+Controls!$B$9)/2)+Controls!$B$10*(H56-IF(Controls!$B$7="Normal",Controls!$B$8,(Controls!$B$8+Controls!$B$9)/2))+SQRT(1-Controls!$B$10^2)*(Random!AB57-IF(Controls!$B$7="Normal",Controls!$B$8,(Controls!$B$8+Controls!$B$9)/2)))</f>
        <v/>
      </c>
      <c r="I57" s="10" t="str">
        <f>IF(Random!AC57="","",IF(Controls!$B$7="Normal",Controls!$B$8,(Controls!$B$8+Controls!$B$9)/2)+Controls!$B$10*(I56-IF(Controls!$B$7="Normal",Controls!$B$8,(Controls!$B$8+Controls!$B$9)/2))+SQRT(1-Controls!$B$10^2)*(Random!AC57-IF(Controls!$B$7="Normal",Controls!$B$8,(Controls!$B$8+Controls!$B$9)/2)))</f>
        <v/>
      </c>
      <c r="J57" s="10" t="str">
        <f>IF(Random!AD57="","",IF(Controls!$B$7="Normal",Controls!$B$8,(Controls!$B$8+Controls!$B$9)/2)+Controls!$B$10*(J56-IF(Controls!$B$7="Normal",Controls!$B$8,(Controls!$B$8+Controls!$B$9)/2))+SQRT(1-Controls!$B$10^2)*(Random!AD57-IF(Controls!$B$7="Normal",Controls!$B$8,(Controls!$B$8+Controls!$B$9)/2)))</f>
        <v/>
      </c>
      <c r="K57" s="10" t="str">
        <f>IF(Random!AE57="","",IF(Controls!$B$7="Normal",Controls!$B$8,(Controls!$B$8+Controls!$B$9)/2)+Controls!$B$10*(K56-IF(Controls!$B$7="Normal",Controls!$B$8,(Controls!$B$8+Controls!$B$9)/2))+SQRT(1-Controls!$B$10^2)*(Random!AE57-IF(Controls!$B$7="Normal",Controls!$B$8,(Controls!$B$8+Controls!$B$9)/2)))</f>
        <v/>
      </c>
      <c r="L57" s="10">
        <f>IF($A57="","",IF(AND($A57&gt;=Controls!$B$25,$A57&lt;Controls!$B$25+Controls!$C$25),(Controls!$D$25-1)*EXP(-0.5*(($A57-Controls!$B$25-(Controls!$C$25-1)/2)/MAX(Controls!$C$25/4,0.5))^2),0))</f>
        <v>0</v>
      </c>
      <c r="M57" s="10">
        <f>IF($A57="","",IF(AND($A57&gt;=Controls!$B$26,$A57&lt;Controls!$B$26+Controls!$C$26),(Controls!$D$26-1)*EXP(-0.5*(($A57-Controls!$B$26-(Controls!$C$26-1)/2)/MAX(Controls!$C$26/4,0.5))^2),0))</f>
        <v>0</v>
      </c>
      <c r="N57" s="10">
        <f>IF($A57="","",IF(AND($A57&gt;=Controls!$B$27,$A57&lt;Controls!$B$27+Controls!$C$27),(Controls!$D$27-1)*EXP(-0.5*(($A57-Controls!$B$27-(Controls!$C$27-1)/2)/MAX(Controls!$C$27/4,0.5))^2),0))</f>
        <v>0</v>
      </c>
      <c r="O57" s="10">
        <f>IF($A57="","",IF(AND($A57&gt;=Controls!$B$28,$A57&lt;Controls!$B$28+Controls!$C$28),(Controls!$D$28-1)*EXP(-0.5*(($A57-Controls!$B$28-(Controls!$C$28-1)/2)/MAX(Controls!$C$28/4,0.5))^2),0))</f>
        <v>0</v>
      </c>
      <c r="P57" s="4" t="str">
        <f t="shared" si="1"/>
        <v>2099-12-27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1.0" customHeight="1">
      <c r="A58" s="7">
        <f>IF(57&lt;=Controls!$B$5,Controls!$B$4+56,"")</f>
        <v>73047</v>
      </c>
      <c r="B58" s="10">
        <f>IF(Random!V58="","",IF(Controls!$B$7="Normal",Controls!$B$8,(Controls!$B$8+Controls!$B$9)/2)+Controls!$B$10*(B57-IF(Controls!$B$7="Normal",Controls!$B$8,(Controls!$B$8+Controls!$B$9)/2))+SQRT(1-Controls!$B$10^2)*(Random!V58-IF(Controls!$B$7="Normal",Controls!$B$8,(Controls!$B$8+Controls!$B$9)/2)))</f>
        <v>57.57220782</v>
      </c>
      <c r="C58" s="10">
        <f>IF(Random!W58="","",IF(Controls!$B$7="Normal",Controls!$B$8,(Controls!$B$8+Controls!$B$9)/2)+Controls!$B$10*(C57-IF(Controls!$B$7="Normal",Controls!$B$8,(Controls!$B$8+Controls!$B$9)/2))+SQRT(1-Controls!$B$10^2)*(Random!W58-IF(Controls!$B$7="Normal",Controls!$B$8,(Controls!$B$8+Controls!$B$9)/2)))</f>
        <v>32.58456651</v>
      </c>
      <c r="D58" s="10">
        <f>IF(Random!X58="","",IF(Controls!$B$7="Normal",Controls!$B$8,(Controls!$B$8+Controls!$B$9)/2)+Controls!$B$10*(D57-IF(Controls!$B$7="Normal",Controls!$B$8,(Controls!$B$8+Controls!$B$9)/2))+SQRT(1-Controls!$B$10^2)*(Random!X58-IF(Controls!$B$7="Normal",Controls!$B$8,(Controls!$B$8+Controls!$B$9)/2)))</f>
        <v>48.52549863</v>
      </c>
      <c r="E58" s="10" t="str">
        <f>IF(Random!Y58="","",IF(Controls!$B$7="Normal",Controls!$B$8,(Controls!$B$8+Controls!$B$9)/2)+Controls!$B$10*(E57-IF(Controls!$B$7="Normal",Controls!$B$8,(Controls!$B$8+Controls!$B$9)/2))+SQRT(1-Controls!$B$10^2)*(Random!Y58-IF(Controls!$B$7="Normal",Controls!$B$8,(Controls!$B$8+Controls!$B$9)/2)))</f>
        <v/>
      </c>
      <c r="F58" s="10" t="str">
        <f>IF(Random!Z58="","",IF(Controls!$B$7="Normal",Controls!$B$8,(Controls!$B$8+Controls!$B$9)/2)+Controls!$B$10*(F57-IF(Controls!$B$7="Normal",Controls!$B$8,(Controls!$B$8+Controls!$B$9)/2))+SQRT(1-Controls!$B$10^2)*(Random!Z58-IF(Controls!$B$7="Normal",Controls!$B$8,(Controls!$B$8+Controls!$B$9)/2)))</f>
        <v/>
      </c>
      <c r="G58" s="10" t="str">
        <f>IF(Random!AA58="","",IF(Controls!$B$7="Normal",Controls!$B$8,(Controls!$B$8+Controls!$B$9)/2)+Controls!$B$10*(G57-IF(Controls!$B$7="Normal",Controls!$B$8,(Controls!$B$8+Controls!$B$9)/2))+SQRT(1-Controls!$B$10^2)*(Random!AA58-IF(Controls!$B$7="Normal",Controls!$B$8,(Controls!$B$8+Controls!$B$9)/2)))</f>
        <v/>
      </c>
      <c r="H58" s="10" t="str">
        <f>IF(Random!AB58="","",IF(Controls!$B$7="Normal",Controls!$B$8,(Controls!$B$8+Controls!$B$9)/2)+Controls!$B$10*(H57-IF(Controls!$B$7="Normal",Controls!$B$8,(Controls!$B$8+Controls!$B$9)/2))+SQRT(1-Controls!$B$10^2)*(Random!AB58-IF(Controls!$B$7="Normal",Controls!$B$8,(Controls!$B$8+Controls!$B$9)/2)))</f>
        <v/>
      </c>
      <c r="I58" s="10" t="str">
        <f>IF(Random!AC58="","",IF(Controls!$B$7="Normal",Controls!$B$8,(Controls!$B$8+Controls!$B$9)/2)+Controls!$B$10*(I57-IF(Controls!$B$7="Normal",Controls!$B$8,(Controls!$B$8+Controls!$B$9)/2))+SQRT(1-Controls!$B$10^2)*(Random!AC58-IF(Controls!$B$7="Normal",Controls!$B$8,(Controls!$B$8+Controls!$B$9)/2)))</f>
        <v/>
      </c>
      <c r="J58" s="10" t="str">
        <f>IF(Random!AD58="","",IF(Controls!$B$7="Normal",Controls!$B$8,(Controls!$B$8+Controls!$B$9)/2)+Controls!$B$10*(J57-IF(Controls!$B$7="Normal",Controls!$B$8,(Controls!$B$8+Controls!$B$9)/2))+SQRT(1-Controls!$B$10^2)*(Random!AD58-IF(Controls!$B$7="Normal",Controls!$B$8,(Controls!$B$8+Controls!$B$9)/2)))</f>
        <v/>
      </c>
      <c r="K58" s="10" t="str">
        <f>IF(Random!AE58="","",IF(Controls!$B$7="Normal",Controls!$B$8,(Controls!$B$8+Controls!$B$9)/2)+Controls!$B$10*(K57-IF(Controls!$B$7="Normal",Controls!$B$8,(Controls!$B$8+Controls!$B$9)/2))+SQRT(1-Controls!$B$10^2)*(Random!AE58-IF(Controls!$B$7="Normal",Controls!$B$8,(Controls!$B$8+Controls!$B$9)/2)))</f>
        <v/>
      </c>
      <c r="L58" s="10">
        <f>IF($A58="","",IF(AND($A58&gt;=Controls!$B$25,$A58&lt;Controls!$B$25+Controls!$C$25),(Controls!$D$25-1)*EXP(-0.5*(($A58-Controls!$B$25-(Controls!$C$25-1)/2)/MAX(Controls!$C$25/4,0.5))^2),0))</f>
        <v>0</v>
      </c>
      <c r="M58" s="10">
        <f>IF($A58="","",IF(AND($A58&gt;=Controls!$B$26,$A58&lt;Controls!$B$26+Controls!$C$26),(Controls!$D$26-1)*EXP(-0.5*(($A58-Controls!$B$26-(Controls!$C$26-1)/2)/MAX(Controls!$C$26/4,0.5))^2),0))</f>
        <v>0</v>
      </c>
      <c r="N58" s="10">
        <f>IF($A58="","",IF(AND($A58&gt;=Controls!$B$27,$A58&lt;Controls!$B$27+Controls!$C$27),(Controls!$D$27-1)*EXP(-0.5*(($A58-Controls!$B$27-(Controls!$C$27-1)/2)/MAX(Controls!$C$27/4,0.5))^2),0))</f>
        <v>0</v>
      </c>
      <c r="O58" s="10">
        <f>IF($A58="","",IF(AND($A58&gt;=Controls!$B$28,$A58&lt;Controls!$B$28+Controls!$C$28),(Controls!$D$28-1)*EXP(-0.5*(($A58-Controls!$B$28-(Controls!$C$28-1)/2)/MAX(Controls!$C$28/4,0.5))^2),0))</f>
        <v>0</v>
      </c>
      <c r="P58" s="4" t="str">
        <f t="shared" si="1"/>
        <v>2099-12-28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21.0" customHeight="1">
      <c r="A59" s="7">
        <f>IF(58&lt;=Controls!$B$5,Controls!$B$4+57,"")</f>
        <v>73048</v>
      </c>
      <c r="B59" s="10">
        <f>IF(Random!V59="","",IF(Controls!$B$7="Normal",Controls!$B$8,(Controls!$B$8+Controls!$B$9)/2)+Controls!$B$10*(B58-IF(Controls!$B$7="Normal",Controls!$B$8,(Controls!$B$8+Controls!$B$9)/2))+SQRT(1-Controls!$B$10^2)*(Random!V59-IF(Controls!$B$7="Normal",Controls!$B$8,(Controls!$B$8+Controls!$B$9)/2)))</f>
        <v>51.68547236</v>
      </c>
      <c r="C59" s="10">
        <f>IF(Random!W59="","",IF(Controls!$B$7="Normal",Controls!$B$8,(Controls!$B$8+Controls!$B$9)/2)+Controls!$B$10*(C58-IF(Controls!$B$7="Normal",Controls!$B$8,(Controls!$B$8+Controls!$B$9)/2))+SQRT(1-Controls!$B$10^2)*(Random!W59-IF(Controls!$B$7="Normal",Controls!$B$8,(Controls!$B$8+Controls!$B$9)/2)))</f>
        <v>30.87924556</v>
      </c>
      <c r="D59" s="10">
        <f>IF(Random!X59="","",IF(Controls!$B$7="Normal",Controls!$B$8,(Controls!$B$8+Controls!$B$9)/2)+Controls!$B$10*(D58-IF(Controls!$B$7="Normal",Controls!$B$8,(Controls!$B$8+Controls!$B$9)/2))+SQRT(1-Controls!$B$10^2)*(Random!X59-IF(Controls!$B$7="Normal",Controls!$B$8,(Controls!$B$8+Controls!$B$9)/2)))</f>
        <v>40.30036953</v>
      </c>
      <c r="E59" s="10" t="str">
        <f>IF(Random!Y59="","",IF(Controls!$B$7="Normal",Controls!$B$8,(Controls!$B$8+Controls!$B$9)/2)+Controls!$B$10*(E58-IF(Controls!$B$7="Normal",Controls!$B$8,(Controls!$B$8+Controls!$B$9)/2))+SQRT(1-Controls!$B$10^2)*(Random!Y59-IF(Controls!$B$7="Normal",Controls!$B$8,(Controls!$B$8+Controls!$B$9)/2)))</f>
        <v/>
      </c>
      <c r="F59" s="10" t="str">
        <f>IF(Random!Z59="","",IF(Controls!$B$7="Normal",Controls!$B$8,(Controls!$B$8+Controls!$B$9)/2)+Controls!$B$10*(F58-IF(Controls!$B$7="Normal",Controls!$B$8,(Controls!$B$8+Controls!$B$9)/2))+SQRT(1-Controls!$B$10^2)*(Random!Z59-IF(Controls!$B$7="Normal",Controls!$B$8,(Controls!$B$8+Controls!$B$9)/2)))</f>
        <v/>
      </c>
      <c r="G59" s="10" t="str">
        <f>IF(Random!AA59="","",IF(Controls!$B$7="Normal",Controls!$B$8,(Controls!$B$8+Controls!$B$9)/2)+Controls!$B$10*(G58-IF(Controls!$B$7="Normal",Controls!$B$8,(Controls!$B$8+Controls!$B$9)/2))+SQRT(1-Controls!$B$10^2)*(Random!AA59-IF(Controls!$B$7="Normal",Controls!$B$8,(Controls!$B$8+Controls!$B$9)/2)))</f>
        <v/>
      </c>
      <c r="H59" s="10" t="str">
        <f>IF(Random!AB59="","",IF(Controls!$B$7="Normal",Controls!$B$8,(Controls!$B$8+Controls!$B$9)/2)+Controls!$B$10*(H58-IF(Controls!$B$7="Normal",Controls!$B$8,(Controls!$B$8+Controls!$B$9)/2))+SQRT(1-Controls!$B$10^2)*(Random!AB59-IF(Controls!$B$7="Normal",Controls!$B$8,(Controls!$B$8+Controls!$B$9)/2)))</f>
        <v/>
      </c>
      <c r="I59" s="10" t="str">
        <f>IF(Random!AC59="","",IF(Controls!$B$7="Normal",Controls!$B$8,(Controls!$B$8+Controls!$B$9)/2)+Controls!$B$10*(I58-IF(Controls!$B$7="Normal",Controls!$B$8,(Controls!$B$8+Controls!$B$9)/2))+SQRT(1-Controls!$B$10^2)*(Random!AC59-IF(Controls!$B$7="Normal",Controls!$B$8,(Controls!$B$8+Controls!$B$9)/2)))</f>
        <v/>
      </c>
      <c r="J59" s="10" t="str">
        <f>IF(Random!AD59="","",IF(Controls!$B$7="Normal",Controls!$B$8,(Controls!$B$8+Controls!$B$9)/2)+Controls!$B$10*(J58-IF(Controls!$B$7="Normal",Controls!$B$8,(Controls!$B$8+Controls!$B$9)/2))+SQRT(1-Controls!$B$10^2)*(Random!AD59-IF(Controls!$B$7="Normal",Controls!$B$8,(Controls!$B$8+Controls!$B$9)/2)))</f>
        <v/>
      </c>
      <c r="K59" s="10" t="str">
        <f>IF(Random!AE59="","",IF(Controls!$B$7="Normal",Controls!$B$8,(Controls!$B$8+Controls!$B$9)/2)+Controls!$B$10*(K58-IF(Controls!$B$7="Normal",Controls!$B$8,(Controls!$B$8+Controls!$B$9)/2))+SQRT(1-Controls!$B$10^2)*(Random!AE59-IF(Controls!$B$7="Normal",Controls!$B$8,(Controls!$B$8+Controls!$B$9)/2)))</f>
        <v/>
      </c>
      <c r="L59" s="10">
        <f>IF($A59="","",IF(AND($A59&gt;=Controls!$B$25,$A59&lt;Controls!$B$25+Controls!$C$25),(Controls!$D$25-1)*EXP(-0.5*(($A59-Controls!$B$25-(Controls!$C$25-1)/2)/MAX(Controls!$C$25/4,0.5))^2),0))</f>
        <v>0</v>
      </c>
      <c r="M59" s="10">
        <f>IF($A59="","",IF(AND($A59&gt;=Controls!$B$26,$A59&lt;Controls!$B$26+Controls!$C$26),(Controls!$D$26-1)*EXP(-0.5*(($A59-Controls!$B$26-(Controls!$C$26-1)/2)/MAX(Controls!$C$26/4,0.5))^2),0))</f>
        <v>0</v>
      </c>
      <c r="N59" s="10">
        <f>IF($A59="","",IF(AND($A59&gt;=Controls!$B$27,$A59&lt;Controls!$B$27+Controls!$C$27),(Controls!$D$27-1)*EXP(-0.5*(($A59-Controls!$B$27-(Controls!$C$27-1)/2)/MAX(Controls!$C$27/4,0.5))^2),0))</f>
        <v>0</v>
      </c>
      <c r="O59" s="10">
        <f>IF($A59="","",IF(AND($A59&gt;=Controls!$B$28,$A59&lt;Controls!$B$28+Controls!$C$28),(Controls!$D$28-1)*EXP(-0.5*(($A59-Controls!$B$28-(Controls!$C$28-1)/2)/MAX(Controls!$C$28/4,0.5))^2),0))</f>
        <v>0</v>
      </c>
      <c r="P59" s="4" t="str">
        <f t="shared" si="1"/>
        <v>2099-12-29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1.0" customHeight="1">
      <c r="A60" s="7">
        <f>IF(59&lt;=Controls!$B$5,Controls!$B$4+58,"")</f>
        <v>73049</v>
      </c>
      <c r="B60" s="10">
        <f>IF(Random!V60="","",IF(Controls!$B$7="Normal",Controls!$B$8,(Controls!$B$8+Controls!$B$9)/2)+Controls!$B$10*(B59-IF(Controls!$B$7="Normal",Controls!$B$8,(Controls!$B$8+Controls!$B$9)/2))+SQRT(1-Controls!$B$10^2)*(Random!V60-IF(Controls!$B$7="Normal",Controls!$B$8,(Controls!$B$8+Controls!$B$9)/2)))</f>
        <v>50.94089869</v>
      </c>
      <c r="C60" s="10">
        <f>IF(Random!W60="","",IF(Controls!$B$7="Normal",Controls!$B$8,(Controls!$B$8+Controls!$B$9)/2)+Controls!$B$10*(C59-IF(Controls!$B$7="Normal",Controls!$B$8,(Controls!$B$8+Controls!$B$9)/2))+SQRT(1-Controls!$B$10^2)*(Random!W60-IF(Controls!$B$7="Normal",Controls!$B$8,(Controls!$B$8+Controls!$B$9)/2)))</f>
        <v>38.0185446</v>
      </c>
      <c r="D60" s="10">
        <f>IF(Random!X60="","",IF(Controls!$B$7="Normal",Controls!$B$8,(Controls!$B$8+Controls!$B$9)/2)+Controls!$B$10*(D59-IF(Controls!$B$7="Normal",Controls!$B$8,(Controls!$B$8+Controls!$B$9)/2))+SQRT(1-Controls!$B$10^2)*(Random!X60-IF(Controls!$B$7="Normal",Controls!$B$8,(Controls!$B$8+Controls!$B$9)/2)))</f>
        <v>45.74710519</v>
      </c>
      <c r="E60" s="10" t="str">
        <f>IF(Random!Y60="","",IF(Controls!$B$7="Normal",Controls!$B$8,(Controls!$B$8+Controls!$B$9)/2)+Controls!$B$10*(E59-IF(Controls!$B$7="Normal",Controls!$B$8,(Controls!$B$8+Controls!$B$9)/2))+SQRT(1-Controls!$B$10^2)*(Random!Y60-IF(Controls!$B$7="Normal",Controls!$B$8,(Controls!$B$8+Controls!$B$9)/2)))</f>
        <v/>
      </c>
      <c r="F60" s="10" t="str">
        <f>IF(Random!Z60="","",IF(Controls!$B$7="Normal",Controls!$B$8,(Controls!$B$8+Controls!$B$9)/2)+Controls!$B$10*(F59-IF(Controls!$B$7="Normal",Controls!$B$8,(Controls!$B$8+Controls!$B$9)/2))+SQRT(1-Controls!$B$10^2)*(Random!Z60-IF(Controls!$B$7="Normal",Controls!$B$8,(Controls!$B$8+Controls!$B$9)/2)))</f>
        <v/>
      </c>
      <c r="G60" s="10" t="str">
        <f>IF(Random!AA60="","",IF(Controls!$B$7="Normal",Controls!$B$8,(Controls!$B$8+Controls!$B$9)/2)+Controls!$B$10*(G59-IF(Controls!$B$7="Normal",Controls!$B$8,(Controls!$B$8+Controls!$B$9)/2))+SQRT(1-Controls!$B$10^2)*(Random!AA60-IF(Controls!$B$7="Normal",Controls!$B$8,(Controls!$B$8+Controls!$B$9)/2)))</f>
        <v/>
      </c>
      <c r="H60" s="10" t="str">
        <f>IF(Random!AB60="","",IF(Controls!$B$7="Normal",Controls!$B$8,(Controls!$B$8+Controls!$B$9)/2)+Controls!$B$10*(H59-IF(Controls!$B$7="Normal",Controls!$B$8,(Controls!$B$8+Controls!$B$9)/2))+SQRT(1-Controls!$B$10^2)*(Random!AB60-IF(Controls!$B$7="Normal",Controls!$B$8,(Controls!$B$8+Controls!$B$9)/2)))</f>
        <v/>
      </c>
      <c r="I60" s="10" t="str">
        <f>IF(Random!AC60="","",IF(Controls!$B$7="Normal",Controls!$B$8,(Controls!$B$8+Controls!$B$9)/2)+Controls!$B$10*(I59-IF(Controls!$B$7="Normal",Controls!$B$8,(Controls!$B$8+Controls!$B$9)/2))+SQRT(1-Controls!$B$10^2)*(Random!AC60-IF(Controls!$B$7="Normal",Controls!$B$8,(Controls!$B$8+Controls!$B$9)/2)))</f>
        <v/>
      </c>
      <c r="J60" s="10" t="str">
        <f>IF(Random!AD60="","",IF(Controls!$B$7="Normal",Controls!$B$8,(Controls!$B$8+Controls!$B$9)/2)+Controls!$B$10*(J59-IF(Controls!$B$7="Normal",Controls!$B$8,(Controls!$B$8+Controls!$B$9)/2))+SQRT(1-Controls!$B$10^2)*(Random!AD60-IF(Controls!$B$7="Normal",Controls!$B$8,(Controls!$B$8+Controls!$B$9)/2)))</f>
        <v/>
      </c>
      <c r="K60" s="10" t="str">
        <f>IF(Random!AE60="","",IF(Controls!$B$7="Normal",Controls!$B$8,(Controls!$B$8+Controls!$B$9)/2)+Controls!$B$10*(K59-IF(Controls!$B$7="Normal",Controls!$B$8,(Controls!$B$8+Controls!$B$9)/2))+SQRT(1-Controls!$B$10^2)*(Random!AE60-IF(Controls!$B$7="Normal",Controls!$B$8,(Controls!$B$8+Controls!$B$9)/2)))</f>
        <v/>
      </c>
      <c r="L60" s="10">
        <f>IF($A60="","",IF(AND($A60&gt;=Controls!$B$25,$A60&lt;Controls!$B$25+Controls!$C$25),(Controls!$D$25-1)*EXP(-0.5*(($A60-Controls!$B$25-(Controls!$C$25-1)/2)/MAX(Controls!$C$25/4,0.5))^2),0))</f>
        <v>0</v>
      </c>
      <c r="M60" s="10">
        <f>IF($A60="","",IF(AND($A60&gt;=Controls!$B$26,$A60&lt;Controls!$B$26+Controls!$C$26),(Controls!$D$26-1)*EXP(-0.5*(($A60-Controls!$B$26-(Controls!$C$26-1)/2)/MAX(Controls!$C$26/4,0.5))^2),0))</f>
        <v>0</v>
      </c>
      <c r="N60" s="10">
        <f>IF($A60="","",IF(AND($A60&gt;=Controls!$B$27,$A60&lt;Controls!$B$27+Controls!$C$27),(Controls!$D$27-1)*EXP(-0.5*(($A60-Controls!$B$27-(Controls!$C$27-1)/2)/MAX(Controls!$C$27/4,0.5))^2),0))</f>
        <v>0</v>
      </c>
      <c r="O60" s="10">
        <f>IF($A60="","",IF(AND($A60&gt;=Controls!$B$28,$A60&lt;Controls!$B$28+Controls!$C$28),(Controls!$D$28-1)*EXP(-0.5*(($A60-Controls!$B$28-(Controls!$C$28-1)/2)/MAX(Controls!$C$28/4,0.5))^2),0))</f>
        <v>0</v>
      </c>
      <c r="P60" s="4" t="str">
        <f t="shared" si="1"/>
        <v>2099-12-30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21.0" customHeight="1">
      <c r="A61" s="7">
        <f>IF(60&lt;=Controls!$B$5,Controls!$B$4+59,"")</f>
        <v>73050</v>
      </c>
      <c r="B61" s="10">
        <f>IF(Random!V61="","",IF(Controls!$B$7="Normal",Controls!$B$8,(Controls!$B$8+Controls!$B$9)/2)+Controls!$B$10*(B60-IF(Controls!$B$7="Normal",Controls!$B$8,(Controls!$B$8+Controls!$B$9)/2))+SQRT(1-Controls!$B$10^2)*(Random!V61-IF(Controls!$B$7="Normal",Controls!$B$8,(Controls!$B$8+Controls!$B$9)/2)))</f>
        <v>52.27706647</v>
      </c>
      <c r="C61" s="10">
        <f>IF(Random!W61="","",IF(Controls!$B$7="Normal",Controls!$B$8,(Controls!$B$8+Controls!$B$9)/2)+Controls!$B$10*(C60-IF(Controls!$B$7="Normal",Controls!$B$8,(Controls!$B$8+Controls!$B$9)/2))+SQRT(1-Controls!$B$10^2)*(Random!W61-IF(Controls!$B$7="Normal",Controls!$B$8,(Controls!$B$8+Controls!$B$9)/2)))</f>
        <v>54.16975137</v>
      </c>
      <c r="D61" s="10">
        <f>IF(Random!X61="","",IF(Controls!$B$7="Normal",Controls!$B$8,(Controls!$B$8+Controls!$B$9)/2)+Controls!$B$10*(D60-IF(Controls!$B$7="Normal",Controls!$B$8,(Controls!$B$8+Controls!$B$9)/2))+SQRT(1-Controls!$B$10^2)*(Random!X61-IF(Controls!$B$7="Normal",Controls!$B$8,(Controls!$B$8+Controls!$B$9)/2)))</f>
        <v>51.95210631</v>
      </c>
      <c r="E61" s="10" t="str">
        <f>IF(Random!Y61="","",IF(Controls!$B$7="Normal",Controls!$B$8,(Controls!$B$8+Controls!$B$9)/2)+Controls!$B$10*(E60-IF(Controls!$B$7="Normal",Controls!$B$8,(Controls!$B$8+Controls!$B$9)/2))+SQRT(1-Controls!$B$10^2)*(Random!Y61-IF(Controls!$B$7="Normal",Controls!$B$8,(Controls!$B$8+Controls!$B$9)/2)))</f>
        <v/>
      </c>
      <c r="F61" s="10" t="str">
        <f>IF(Random!Z61="","",IF(Controls!$B$7="Normal",Controls!$B$8,(Controls!$B$8+Controls!$B$9)/2)+Controls!$B$10*(F60-IF(Controls!$B$7="Normal",Controls!$B$8,(Controls!$B$8+Controls!$B$9)/2))+SQRT(1-Controls!$B$10^2)*(Random!Z61-IF(Controls!$B$7="Normal",Controls!$B$8,(Controls!$B$8+Controls!$B$9)/2)))</f>
        <v/>
      </c>
      <c r="G61" s="10" t="str">
        <f>IF(Random!AA61="","",IF(Controls!$B$7="Normal",Controls!$B$8,(Controls!$B$8+Controls!$B$9)/2)+Controls!$B$10*(G60-IF(Controls!$B$7="Normal",Controls!$B$8,(Controls!$B$8+Controls!$B$9)/2))+SQRT(1-Controls!$B$10^2)*(Random!AA61-IF(Controls!$B$7="Normal",Controls!$B$8,(Controls!$B$8+Controls!$B$9)/2)))</f>
        <v/>
      </c>
      <c r="H61" s="10" t="str">
        <f>IF(Random!AB61="","",IF(Controls!$B$7="Normal",Controls!$B$8,(Controls!$B$8+Controls!$B$9)/2)+Controls!$B$10*(H60-IF(Controls!$B$7="Normal",Controls!$B$8,(Controls!$B$8+Controls!$B$9)/2))+SQRT(1-Controls!$B$10^2)*(Random!AB61-IF(Controls!$B$7="Normal",Controls!$B$8,(Controls!$B$8+Controls!$B$9)/2)))</f>
        <v/>
      </c>
      <c r="I61" s="10" t="str">
        <f>IF(Random!AC61="","",IF(Controls!$B$7="Normal",Controls!$B$8,(Controls!$B$8+Controls!$B$9)/2)+Controls!$B$10*(I60-IF(Controls!$B$7="Normal",Controls!$B$8,(Controls!$B$8+Controls!$B$9)/2))+SQRT(1-Controls!$B$10^2)*(Random!AC61-IF(Controls!$B$7="Normal",Controls!$B$8,(Controls!$B$8+Controls!$B$9)/2)))</f>
        <v/>
      </c>
      <c r="J61" s="10" t="str">
        <f>IF(Random!AD61="","",IF(Controls!$B$7="Normal",Controls!$B$8,(Controls!$B$8+Controls!$B$9)/2)+Controls!$B$10*(J60-IF(Controls!$B$7="Normal",Controls!$B$8,(Controls!$B$8+Controls!$B$9)/2))+SQRT(1-Controls!$B$10^2)*(Random!AD61-IF(Controls!$B$7="Normal",Controls!$B$8,(Controls!$B$8+Controls!$B$9)/2)))</f>
        <v/>
      </c>
      <c r="K61" s="10" t="str">
        <f>IF(Random!AE61="","",IF(Controls!$B$7="Normal",Controls!$B$8,(Controls!$B$8+Controls!$B$9)/2)+Controls!$B$10*(K60-IF(Controls!$B$7="Normal",Controls!$B$8,(Controls!$B$8+Controls!$B$9)/2))+SQRT(1-Controls!$B$10^2)*(Random!AE61-IF(Controls!$B$7="Normal",Controls!$B$8,(Controls!$B$8+Controls!$B$9)/2)))</f>
        <v/>
      </c>
      <c r="L61" s="10">
        <f>IF($A61="","",IF(AND($A61&gt;=Controls!$B$25,$A61&lt;Controls!$B$25+Controls!$C$25),(Controls!$D$25-1)*EXP(-0.5*(($A61-Controls!$B$25-(Controls!$C$25-1)/2)/MAX(Controls!$C$25/4,0.5))^2),0))</f>
        <v>0</v>
      </c>
      <c r="M61" s="10">
        <f>IF($A61="","",IF(AND($A61&gt;=Controls!$B$26,$A61&lt;Controls!$B$26+Controls!$C$26),(Controls!$D$26-1)*EXP(-0.5*(($A61-Controls!$B$26-(Controls!$C$26-1)/2)/MAX(Controls!$C$26/4,0.5))^2),0))</f>
        <v>0</v>
      </c>
      <c r="N61" s="10">
        <f>IF($A61="","",IF(AND($A61&gt;=Controls!$B$27,$A61&lt;Controls!$B$27+Controls!$C$27),(Controls!$D$27-1)*EXP(-0.5*(($A61-Controls!$B$27-(Controls!$C$27-1)/2)/MAX(Controls!$C$27/4,0.5))^2),0))</f>
        <v>0</v>
      </c>
      <c r="O61" s="10">
        <f>IF($A61="","",IF(AND($A61&gt;=Controls!$B$28,$A61&lt;Controls!$B$28+Controls!$C$28),(Controls!$D$28-1)*EXP(-0.5*(($A61-Controls!$B$28-(Controls!$C$28-1)/2)/MAX(Controls!$C$28/4,0.5))^2),0))</f>
        <v>0</v>
      </c>
      <c r="P61" s="4" t="str">
        <f t="shared" si="1"/>
        <v>2099-12-31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21.0" customHeight="1">
      <c r="A62" s="7">
        <f>IF(61&lt;=Controls!$B$5,Controls!$B$4+60,"")</f>
        <v>73051</v>
      </c>
      <c r="B62" s="10">
        <f>IF(Random!V62="","",IF(Controls!$B$7="Normal",Controls!$B$8,(Controls!$B$8+Controls!$B$9)/2)+Controls!$B$10*(B61-IF(Controls!$B$7="Normal",Controls!$B$8,(Controls!$B$8+Controls!$B$9)/2))+SQRT(1-Controls!$B$10^2)*(Random!V62-IF(Controls!$B$7="Normal",Controls!$B$8,(Controls!$B$8+Controls!$B$9)/2)))</f>
        <v>56.74365088</v>
      </c>
      <c r="C62" s="10">
        <f>IF(Random!W62="","",IF(Controls!$B$7="Normal",Controls!$B$8,(Controls!$B$8+Controls!$B$9)/2)+Controls!$B$10*(C61-IF(Controls!$B$7="Normal",Controls!$B$8,(Controls!$B$8+Controls!$B$9)/2))+SQRT(1-Controls!$B$10^2)*(Random!W62-IF(Controls!$B$7="Normal",Controls!$B$8,(Controls!$B$8+Controls!$B$9)/2)))</f>
        <v>46.42758386</v>
      </c>
      <c r="D62" s="10">
        <f>IF(Random!X62="","",IF(Controls!$B$7="Normal",Controls!$B$8,(Controls!$B$8+Controls!$B$9)/2)+Controls!$B$10*(D61-IF(Controls!$B$7="Normal",Controls!$B$8,(Controls!$B$8+Controls!$B$9)/2))+SQRT(1-Controls!$B$10^2)*(Random!X62-IF(Controls!$B$7="Normal",Controls!$B$8,(Controls!$B$8+Controls!$B$9)/2)))</f>
        <v>57.80955467</v>
      </c>
      <c r="E62" s="10" t="str">
        <f>IF(Random!Y62="","",IF(Controls!$B$7="Normal",Controls!$B$8,(Controls!$B$8+Controls!$B$9)/2)+Controls!$B$10*(E61-IF(Controls!$B$7="Normal",Controls!$B$8,(Controls!$B$8+Controls!$B$9)/2))+SQRT(1-Controls!$B$10^2)*(Random!Y62-IF(Controls!$B$7="Normal",Controls!$B$8,(Controls!$B$8+Controls!$B$9)/2)))</f>
        <v/>
      </c>
      <c r="F62" s="10" t="str">
        <f>IF(Random!Z62="","",IF(Controls!$B$7="Normal",Controls!$B$8,(Controls!$B$8+Controls!$B$9)/2)+Controls!$B$10*(F61-IF(Controls!$B$7="Normal",Controls!$B$8,(Controls!$B$8+Controls!$B$9)/2))+SQRT(1-Controls!$B$10^2)*(Random!Z62-IF(Controls!$B$7="Normal",Controls!$B$8,(Controls!$B$8+Controls!$B$9)/2)))</f>
        <v/>
      </c>
      <c r="G62" s="10" t="str">
        <f>IF(Random!AA62="","",IF(Controls!$B$7="Normal",Controls!$B$8,(Controls!$B$8+Controls!$B$9)/2)+Controls!$B$10*(G61-IF(Controls!$B$7="Normal",Controls!$B$8,(Controls!$B$8+Controls!$B$9)/2))+SQRT(1-Controls!$B$10^2)*(Random!AA62-IF(Controls!$B$7="Normal",Controls!$B$8,(Controls!$B$8+Controls!$B$9)/2)))</f>
        <v/>
      </c>
      <c r="H62" s="10" t="str">
        <f>IF(Random!AB62="","",IF(Controls!$B$7="Normal",Controls!$B$8,(Controls!$B$8+Controls!$B$9)/2)+Controls!$B$10*(H61-IF(Controls!$B$7="Normal",Controls!$B$8,(Controls!$B$8+Controls!$B$9)/2))+SQRT(1-Controls!$B$10^2)*(Random!AB62-IF(Controls!$B$7="Normal",Controls!$B$8,(Controls!$B$8+Controls!$B$9)/2)))</f>
        <v/>
      </c>
      <c r="I62" s="10" t="str">
        <f>IF(Random!AC62="","",IF(Controls!$B$7="Normal",Controls!$B$8,(Controls!$B$8+Controls!$B$9)/2)+Controls!$B$10*(I61-IF(Controls!$B$7="Normal",Controls!$B$8,(Controls!$B$8+Controls!$B$9)/2))+SQRT(1-Controls!$B$10^2)*(Random!AC62-IF(Controls!$B$7="Normal",Controls!$B$8,(Controls!$B$8+Controls!$B$9)/2)))</f>
        <v/>
      </c>
      <c r="J62" s="10" t="str">
        <f>IF(Random!AD62="","",IF(Controls!$B$7="Normal",Controls!$B$8,(Controls!$B$8+Controls!$B$9)/2)+Controls!$B$10*(J61-IF(Controls!$B$7="Normal",Controls!$B$8,(Controls!$B$8+Controls!$B$9)/2))+SQRT(1-Controls!$B$10^2)*(Random!AD62-IF(Controls!$B$7="Normal",Controls!$B$8,(Controls!$B$8+Controls!$B$9)/2)))</f>
        <v/>
      </c>
      <c r="K62" s="10" t="str">
        <f>IF(Random!AE62="","",IF(Controls!$B$7="Normal",Controls!$B$8,(Controls!$B$8+Controls!$B$9)/2)+Controls!$B$10*(K61-IF(Controls!$B$7="Normal",Controls!$B$8,(Controls!$B$8+Controls!$B$9)/2))+SQRT(1-Controls!$B$10^2)*(Random!AE62-IF(Controls!$B$7="Normal",Controls!$B$8,(Controls!$B$8+Controls!$B$9)/2)))</f>
        <v/>
      </c>
      <c r="L62" s="10">
        <f>IF($A62="","",IF(AND($A62&gt;=Controls!$B$25,$A62&lt;Controls!$B$25+Controls!$C$25),(Controls!$D$25-1)*EXP(-0.5*(($A62-Controls!$B$25-(Controls!$C$25-1)/2)/MAX(Controls!$C$25/4,0.5))^2),0))</f>
        <v>0</v>
      </c>
      <c r="M62" s="10">
        <f>IF($A62="","",IF(AND($A62&gt;=Controls!$B$26,$A62&lt;Controls!$B$26+Controls!$C$26),(Controls!$D$26-1)*EXP(-0.5*(($A62-Controls!$B$26-(Controls!$C$26-1)/2)/MAX(Controls!$C$26/4,0.5))^2),0))</f>
        <v>0</v>
      </c>
      <c r="N62" s="10">
        <f>IF($A62="","",IF(AND($A62&gt;=Controls!$B$27,$A62&lt;Controls!$B$27+Controls!$C$27),(Controls!$D$27-1)*EXP(-0.5*(($A62-Controls!$B$27-(Controls!$C$27-1)/2)/MAX(Controls!$C$27/4,0.5))^2),0))</f>
        <v>0</v>
      </c>
      <c r="O62" s="10">
        <f>IF($A62="","",IF(AND($A62&gt;=Controls!$B$28,$A62&lt;Controls!$B$28+Controls!$C$28),(Controls!$D$28-1)*EXP(-0.5*(($A62-Controls!$B$28-(Controls!$C$28-1)/2)/MAX(Controls!$C$28/4,0.5))^2),0))</f>
        <v>0</v>
      </c>
      <c r="P62" s="4" t="str">
        <f t="shared" si="1"/>
        <v>2100-01-01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21.0" customHeight="1">
      <c r="A63" s="7">
        <f>IF(62&lt;=Controls!$B$5,Controls!$B$4+61,"")</f>
        <v>73052</v>
      </c>
      <c r="B63" s="10">
        <f>IF(Random!V63="","",IF(Controls!$B$7="Normal",Controls!$B$8,(Controls!$B$8+Controls!$B$9)/2)+Controls!$B$10*(B62-IF(Controls!$B$7="Normal",Controls!$B$8,(Controls!$B$8+Controls!$B$9)/2))+SQRT(1-Controls!$B$10^2)*(Random!V63-IF(Controls!$B$7="Normal",Controls!$B$8,(Controls!$B$8+Controls!$B$9)/2)))</f>
        <v>52.28455038</v>
      </c>
      <c r="C63" s="10">
        <f>IF(Random!W63="","",IF(Controls!$B$7="Normal",Controls!$B$8,(Controls!$B$8+Controls!$B$9)/2)+Controls!$B$10*(C62-IF(Controls!$B$7="Normal",Controls!$B$8,(Controls!$B$8+Controls!$B$9)/2))+SQRT(1-Controls!$B$10^2)*(Random!W63-IF(Controls!$B$7="Normal",Controls!$B$8,(Controls!$B$8+Controls!$B$9)/2)))</f>
        <v>40.8492658</v>
      </c>
      <c r="D63" s="10">
        <f>IF(Random!X63="","",IF(Controls!$B$7="Normal",Controls!$B$8,(Controls!$B$8+Controls!$B$9)/2)+Controls!$B$10*(D62-IF(Controls!$B$7="Normal",Controls!$B$8,(Controls!$B$8+Controls!$B$9)/2))+SQRT(1-Controls!$B$10^2)*(Random!X63-IF(Controls!$B$7="Normal",Controls!$B$8,(Controls!$B$8+Controls!$B$9)/2)))</f>
        <v>65.69753587</v>
      </c>
      <c r="E63" s="10" t="str">
        <f>IF(Random!Y63="","",IF(Controls!$B$7="Normal",Controls!$B$8,(Controls!$B$8+Controls!$B$9)/2)+Controls!$B$10*(E62-IF(Controls!$B$7="Normal",Controls!$B$8,(Controls!$B$8+Controls!$B$9)/2))+SQRT(1-Controls!$B$10^2)*(Random!Y63-IF(Controls!$B$7="Normal",Controls!$B$8,(Controls!$B$8+Controls!$B$9)/2)))</f>
        <v/>
      </c>
      <c r="F63" s="10" t="str">
        <f>IF(Random!Z63="","",IF(Controls!$B$7="Normal",Controls!$B$8,(Controls!$B$8+Controls!$B$9)/2)+Controls!$B$10*(F62-IF(Controls!$B$7="Normal",Controls!$B$8,(Controls!$B$8+Controls!$B$9)/2))+SQRT(1-Controls!$B$10^2)*(Random!Z63-IF(Controls!$B$7="Normal",Controls!$B$8,(Controls!$B$8+Controls!$B$9)/2)))</f>
        <v/>
      </c>
      <c r="G63" s="10" t="str">
        <f>IF(Random!AA63="","",IF(Controls!$B$7="Normal",Controls!$B$8,(Controls!$B$8+Controls!$B$9)/2)+Controls!$B$10*(G62-IF(Controls!$B$7="Normal",Controls!$B$8,(Controls!$B$8+Controls!$B$9)/2))+SQRT(1-Controls!$B$10^2)*(Random!AA63-IF(Controls!$B$7="Normal",Controls!$B$8,(Controls!$B$8+Controls!$B$9)/2)))</f>
        <v/>
      </c>
      <c r="H63" s="10" t="str">
        <f>IF(Random!AB63="","",IF(Controls!$B$7="Normal",Controls!$B$8,(Controls!$B$8+Controls!$B$9)/2)+Controls!$B$10*(H62-IF(Controls!$B$7="Normal",Controls!$B$8,(Controls!$B$8+Controls!$B$9)/2))+SQRT(1-Controls!$B$10^2)*(Random!AB63-IF(Controls!$B$7="Normal",Controls!$B$8,(Controls!$B$8+Controls!$B$9)/2)))</f>
        <v/>
      </c>
      <c r="I63" s="10" t="str">
        <f>IF(Random!AC63="","",IF(Controls!$B$7="Normal",Controls!$B$8,(Controls!$B$8+Controls!$B$9)/2)+Controls!$B$10*(I62-IF(Controls!$B$7="Normal",Controls!$B$8,(Controls!$B$8+Controls!$B$9)/2))+SQRT(1-Controls!$B$10^2)*(Random!AC63-IF(Controls!$B$7="Normal",Controls!$B$8,(Controls!$B$8+Controls!$B$9)/2)))</f>
        <v/>
      </c>
      <c r="J63" s="10" t="str">
        <f>IF(Random!AD63="","",IF(Controls!$B$7="Normal",Controls!$B$8,(Controls!$B$8+Controls!$B$9)/2)+Controls!$B$10*(J62-IF(Controls!$B$7="Normal",Controls!$B$8,(Controls!$B$8+Controls!$B$9)/2))+SQRT(1-Controls!$B$10^2)*(Random!AD63-IF(Controls!$B$7="Normal",Controls!$B$8,(Controls!$B$8+Controls!$B$9)/2)))</f>
        <v/>
      </c>
      <c r="K63" s="10" t="str">
        <f>IF(Random!AE63="","",IF(Controls!$B$7="Normal",Controls!$B$8,(Controls!$B$8+Controls!$B$9)/2)+Controls!$B$10*(K62-IF(Controls!$B$7="Normal",Controls!$B$8,(Controls!$B$8+Controls!$B$9)/2))+SQRT(1-Controls!$B$10^2)*(Random!AE63-IF(Controls!$B$7="Normal",Controls!$B$8,(Controls!$B$8+Controls!$B$9)/2)))</f>
        <v/>
      </c>
      <c r="L63" s="10">
        <f>IF($A63="","",IF(AND($A63&gt;=Controls!$B$25,$A63&lt;Controls!$B$25+Controls!$C$25),(Controls!$D$25-1)*EXP(-0.5*(($A63-Controls!$B$25-(Controls!$C$25-1)/2)/MAX(Controls!$C$25/4,0.5))^2),0))</f>
        <v>0</v>
      </c>
      <c r="M63" s="10">
        <f>IF($A63="","",IF(AND($A63&gt;=Controls!$B$26,$A63&lt;Controls!$B$26+Controls!$C$26),(Controls!$D$26-1)*EXP(-0.5*(($A63-Controls!$B$26-(Controls!$C$26-1)/2)/MAX(Controls!$C$26/4,0.5))^2),0))</f>
        <v>0</v>
      </c>
      <c r="N63" s="10">
        <f>IF($A63="","",IF(AND($A63&gt;=Controls!$B$27,$A63&lt;Controls!$B$27+Controls!$C$27),(Controls!$D$27-1)*EXP(-0.5*(($A63-Controls!$B$27-(Controls!$C$27-1)/2)/MAX(Controls!$C$27/4,0.5))^2),0))</f>
        <v>0</v>
      </c>
      <c r="O63" s="10">
        <f>IF($A63="","",IF(AND($A63&gt;=Controls!$B$28,$A63&lt;Controls!$B$28+Controls!$C$28),(Controls!$D$28-1)*EXP(-0.5*(($A63-Controls!$B$28-(Controls!$C$28-1)/2)/MAX(Controls!$C$28/4,0.5))^2),0))</f>
        <v>0</v>
      </c>
      <c r="P63" s="4" t="str">
        <f t="shared" si="1"/>
        <v>2100-01-02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21.0" customHeight="1">
      <c r="A64" s="7">
        <f>IF(63&lt;=Controls!$B$5,Controls!$B$4+62,"")</f>
        <v>73053</v>
      </c>
      <c r="B64" s="10">
        <f>IF(Random!V64="","",IF(Controls!$B$7="Normal",Controls!$B$8,(Controls!$B$8+Controls!$B$9)/2)+Controls!$B$10*(B63-IF(Controls!$B$7="Normal",Controls!$B$8,(Controls!$B$8+Controls!$B$9)/2))+SQRT(1-Controls!$B$10^2)*(Random!V64-IF(Controls!$B$7="Normal",Controls!$B$8,(Controls!$B$8+Controls!$B$9)/2)))</f>
        <v>59.10472494</v>
      </c>
      <c r="C64" s="10">
        <f>IF(Random!W64="","",IF(Controls!$B$7="Normal",Controls!$B$8,(Controls!$B$8+Controls!$B$9)/2)+Controls!$B$10*(C63-IF(Controls!$B$7="Normal",Controls!$B$8,(Controls!$B$8+Controls!$B$9)/2))+SQRT(1-Controls!$B$10^2)*(Random!W64-IF(Controls!$B$7="Normal",Controls!$B$8,(Controls!$B$8+Controls!$B$9)/2)))</f>
        <v>43.11091893</v>
      </c>
      <c r="D64" s="10">
        <f>IF(Random!X64="","",IF(Controls!$B$7="Normal",Controls!$B$8,(Controls!$B$8+Controls!$B$9)/2)+Controls!$B$10*(D63-IF(Controls!$B$7="Normal",Controls!$B$8,(Controls!$B$8+Controls!$B$9)/2))+SQRT(1-Controls!$B$10^2)*(Random!X64-IF(Controls!$B$7="Normal",Controls!$B$8,(Controls!$B$8+Controls!$B$9)/2)))</f>
        <v>45.01601484</v>
      </c>
      <c r="E64" s="10" t="str">
        <f>IF(Random!Y64="","",IF(Controls!$B$7="Normal",Controls!$B$8,(Controls!$B$8+Controls!$B$9)/2)+Controls!$B$10*(E63-IF(Controls!$B$7="Normal",Controls!$B$8,(Controls!$B$8+Controls!$B$9)/2))+SQRT(1-Controls!$B$10^2)*(Random!Y64-IF(Controls!$B$7="Normal",Controls!$B$8,(Controls!$B$8+Controls!$B$9)/2)))</f>
        <v/>
      </c>
      <c r="F64" s="10" t="str">
        <f>IF(Random!Z64="","",IF(Controls!$B$7="Normal",Controls!$B$8,(Controls!$B$8+Controls!$B$9)/2)+Controls!$B$10*(F63-IF(Controls!$B$7="Normal",Controls!$B$8,(Controls!$B$8+Controls!$B$9)/2))+SQRT(1-Controls!$B$10^2)*(Random!Z64-IF(Controls!$B$7="Normal",Controls!$B$8,(Controls!$B$8+Controls!$B$9)/2)))</f>
        <v/>
      </c>
      <c r="G64" s="10" t="str">
        <f>IF(Random!AA64="","",IF(Controls!$B$7="Normal",Controls!$B$8,(Controls!$B$8+Controls!$B$9)/2)+Controls!$B$10*(G63-IF(Controls!$B$7="Normal",Controls!$B$8,(Controls!$B$8+Controls!$B$9)/2))+SQRT(1-Controls!$B$10^2)*(Random!AA64-IF(Controls!$B$7="Normal",Controls!$B$8,(Controls!$B$8+Controls!$B$9)/2)))</f>
        <v/>
      </c>
      <c r="H64" s="10" t="str">
        <f>IF(Random!AB64="","",IF(Controls!$B$7="Normal",Controls!$B$8,(Controls!$B$8+Controls!$B$9)/2)+Controls!$B$10*(H63-IF(Controls!$B$7="Normal",Controls!$B$8,(Controls!$B$8+Controls!$B$9)/2))+SQRT(1-Controls!$B$10^2)*(Random!AB64-IF(Controls!$B$7="Normal",Controls!$B$8,(Controls!$B$8+Controls!$B$9)/2)))</f>
        <v/>
      </c>
      <c r="I64" s="10" t="str">
        <f>IF(Random!AC64="","",IF(Controls!$B$7="Normal",Controls!$B$8,(Controls!$B$8+Controls!$B$9)/2)+Controls!$B$10*(I63-IF(Controls!$B$7="Normal",Controls!$B$8,(Controls!$B$8+Controls!$B$9)/2))+SQRT(1-Controls!$B$10^2)*(Random!AC64-IF(Controls!$B$7="Normal",Controls!$B$8,(Controls!$B$8+Controls!$B$9)/2)))</f>
        <v/>
      </c>
      <c r="J64" s="10" t="str">
        <f>IF(Random!AD64="","",IF(Controls!$B$7="Normal",Controls!$B$8,(Controls!$B$8+Controls!$B$9)/2)+Controls!$B$10*(J63-IF(Controls!$B$7="Normal",Controls!$B$8,(Controls!$B$8+Controls!$B$9)/2))+SQRT(1-Controls!$B$10^2)*(Random!AD64-IF(Controls!$B$7="Normal",Controls!$B$8,(Controls!$B$8+Controls!$B$9)/2)))</f>
        <v/>
      </c>
      <c r="K64" s="10" t="str">
        <f>IF(Random!AE64="","",IF(Controls!$B$7="Normal",Controls!$B$8,(Controls!$B$8+Controls!$B$9)/2)+Controls!$B$10*(K63-IF(Controls!$B$7="Normal",Controls!$B$8,(Controls!$B$8+Controls!$B$9)/2))+SQRT(1-Controls!$B$10^2)*(Random!AE64-IF(Controls!$B$7="Normal",Controls!$B$8,(Controls!$B$8+Controls!$B$9)/2)))</f>
        <v/>
      </c>
      <c r="L64" s="10">
        <f>IF($A64="","",IF(AND($A64&gt;=Controls!$B$25,$A64&lt;Controls!$B$25+Controls!$C$25),(Controls!$D$25-1)*EXP(-0.5*(($A64-Controls!$B$25-(Controls!$C$25-1)/2)/MAX(Controls!$C$25/4,0.5))^2),0))</f>
        <v>0</v>
      </c>
      <c r="M64" s="10">
        <f>IF($A64="","",IF(AND($A64&gt;=Controls!$B$26,$A64&lt;Controls!$B$26+Controls!$C$26),(Controls!$D$26-1)*EXP(-0.5*(($A64-Controls!$B$26-(Controls!$C$26-1)/2)/MAX(Controls!$C$26/4,0.5))^2),0))</f>
        <v>0</v>
      </c>
      <c r="N64" s="10">
        <f>IF($A64="","",IF(AND($A64&gt;=Controls!$B$27,$A64&lt;Controls!$B$27+Controls!$C$27),(Controls!$D$27-1)*EXP(-0.5*(($A64-Controls!$B$27-(Controls!$C$27-1)/2)/MAX(Controls!$C$27/4,0.5))^2),0))</f>
        <v>0</v>
      </c>
      <c r="O64" s="10">
        <f>IF($A64="","",IF(AND($A64&gt;=Controls!$B$28,$A64&lt;Controls!$B$28+Controls!$C$28),(Controls!$D$28-1)*EXP(-0.5*(($A64-Controls!$B$28-(Controls!$C$28-1)/2)/MAX(Controls!$C$28/4,0.5))^2),0))</f>
        <v>0</v>
      </c>
      <c r="P64" s="4" t="str">
        <f t="shared" si="1"/>
        <v>2100-01-03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21.0" customHeight="1">
      <c r="A65" s="7">
        <f>IF(64&lt;=Controls!$B$5,Controls!$B$4+63,"")</f>
        <v>73054</v>
      </c>
      <c r="B65" s="10">
        <f>IF(Random!V65="","",IF(Controls!$B$7="Normal",Controls!$B$8,(Controls!$B$8+Controls!$B$9)/2)+Controls!$B$10*(B64-IF(Controls!$B$7="Normal",Controls!$B$8,(Controls!$B$8+Controls!$B$9)/2))+SQRT(1-Controls!$B$10^2)*(Random!V65-IF(Controls!$B$7="Normal",Controls!$B$8,(Controls!$B$8+Controls!$B$9)/2)))</f>
        <v>62.49257549</v>
      </c>
      <c r="C65" s="10">
        <f>IF(Random!W65="","",IF(Controls!$B$7="Normal",Controls!$B$8,(Controls!$B$8+Controls!$B$9)/2)+Controls!$B$10*(C64-IF(Controls!$B$7="Normal",Controls!$B$8,(Controls!$B$8+Controls!$B$9)/2))+SQRT(1-Controls!$B$10^2)*(Random!W65-IF(Controls!$B$7="Normal",Controls!$B$8,(Controls!$B$8+Controls!$B$9)/2)))</f>
        <v>54.70259118</v>
      </c>
      <c r="D65" s="10">
        <f>IF(Random!X65="","",IF(Controls!$B$7="Normal",Controls!$B$8,(Controls!$B$8+Controls!$B$9)/2)+Controls!$B$10*(D64-IF(Controls!$B$7="Normal",Controls!$B$8,(Controls!$B$8+Controls!$B$9)/2))+SQRT(1-Controls!$B$10^2)*(Random!X65-IF(Controls!$B$7="Normal",Controls!$B$8,(Controls!$B$8+Controls!$B$9)/2)))</f>
        <v>48.37486646</v>
      </c>
      <c r="E65" s="10" t="str">
        <f>IF(Random!Y65="","",IF(Controls!$B$7="Normal",Controls!$B$8,(Controls!$B$8+Controls!$B$9)/2)+Controls!$B$10*(E64-IF(Controls!$B$7="Normal",Controls!$B$8,(Controls!$B$8+Controls!$B$9)/2))+SQRT(1-Controls!$B$10^2)*(Random!Y65-IF(Controls!$B$7="Normal",Controls!$B$8,(Controls!$B$8+Controls!$B$9)/2)))</f>
        <v/>
      </c>
      <c r="F65" s="10" t="str">
        <f>IF(Random!Z65="","",IF(Controls!$B$7="Normal",Controls!$B$8,(Controls!$B$8+Controls!$B$9)/2)+Controls!$B$10*(F64-IF(Controls!$B$7="Normal",Controls!$B$8,(Controls!$B$8+Controls!$B$9)/2))+SQRT(1-Controls!$B$10^2)*(Random!Z65-IF(Controls!$B$7="Normal",Controls!$B$8,(Controls!$B$8+Controls!$B$9)/2)))</f>
        <v/>
      </c>
      <c r="G65" s="10" t="str">
        <f>IF(Random!AA65="","",IF(Controls!$B$7="Normal",Controls!$B$8,(Controls!$B$8+Controls!$B$9)/2)+Controls!$B$10*(G64-IF(Controls!$B$7="Normal",Controls!$B$8,(Controls!$B$8+Controls!$B$9)/2))+SQRT(1-Controls!$B$10^2)*(Random!AA65-IF(Controls!$B$7="Normal",Controls!$B$8,(Controls!$B$8+Controls!$B$9)/2)))</f>
        <v/>
      </c>
      <c r="H65" s="10" t="str">
        <f>IF(Random!AB65="","",IF(Controls!$B$7="Normal",Controls!$B$8,(Controls!$B$8+Controls!$B$9)/2)+Controls!$B$10*(H64-IF(Controls!$B$7="Normal",Controls!$B$8,(Controls!$B$8+Controls!$B$9)/2))+SQRT(1-Controls!$B$10^2)*(Random!AB65-IF(Controls!$B$7="Normal",Controls!$B$8,(Controls!$B$8+Controls!$B$9)/2)))</f>
        <v/>
      </c>
      <c r="I65" s="10" t="str">
        <f>IF(Random!AC65="","",IF(Controls!$B$7="Normal",Controls!$B$8,(Controls!$B$8+Controls!$B$9)/2)+Controls!$B$10*(I64-IF(Controls!$B$7="Normal",Controls!$B$8,(Controls!$B$8+Controls!$B$9)/2))+SQRT(1-Controls!$B$10^2)*(Random!AC65-IF(Controls!$B$7="Normal",Controls!$B$8,(Controls!$B$8+Controls!$B$9)/2)))</f>
        <v/>
      </c>
      <c r="J65" s="10" t="str">
        <f>IF(Random!AD65="","",IF(Controls!$B$7="Normal",Controls!$B$8,(Controls!$B$8+Controls!$B$9)/2)+Controls!$B$10*(J64-IF(Controls!$B$7="Normal",Controls!$B$8,(Controls!$B$8+Controls!$B$9)/2))+SQRT(1-Controls!$B$10^2)*(Random!AD65-IF(Controls!$B$7="Normal",Controls!$B$8,(Controls!$B$8+Controls!$B$9)/2)))</f>
        <v/>
      </c>
      <c r="K65" s="10" t="str">
        <f>IF(Random!AE65="","",IF(Controls!$B$7="Normal",Controls!$B$8,(Controls!$B$8+Controls!$B$9)/2)+Controls!$B$10*(K64-IF(Controls!$B$7="Normal",Controls!$B$8,(Controls!$B$8+Controls!$B$9)/2))+SQRT(1-Controls!$B$10^2)*(Random!AE65-IF(Controls!$B$7="Normal",Controls!$B$8,(Controls!$B$8+Controls!$B$9)/2)))</f>
        <v/>
      </c>
      <c r="L65" s="10">
        <f>IF($A65="","",IF(AND($A65&gt;=Controls!$B$25,$A65&lt;Controls!$B$25+Controls!$C$25),(Controls!$D$25-1)*EXP(-0.5*(($A65-Controls!$B$25-(Controls!$C$25-1)/2)/MAX(Controls!$C$25/4,0.5))^2),0))</f>
        <v>0</v>
      </c>
      <c r="M65" s="10">
        <f>IF($A65="","",IF(AND($A65&gt;=Controls!$B$26,$A65&lt;Controls!$B$26+Controls!$C$26),(Controls!$D$26-1)*EXP(-0.5*(($A65-Controls!$B$26-(Controls!$C$26-1)/2)/MAX(Controls!$C$26/4,0.5))^2),0))</f>
        <v>0</v>
      </c>
      <c r="N65" s="10">
        <f>IF($A65="","",IF(AND($A65&gt;=Controls!$B$27,$A65&lt;Controls!$B$27+Controls!$C$27),(Controls!$D$27-1)*EXP(-0.5*(($A65-Controls!$B$27-(Controls!$C$27-1)/2)/MAX(Controls!$C$27/4,0.5))^2),0))</f>
        <v>0</v>
      </c>
      <c r="O65" s="10">
        <f>IF($A65="","",IF(AND($A65&gt;=Controls!$B$28,$A65&lt;Controls!$B$28+Controls!$C$28),(Controls!$D$28-1)*EXP(-0.5*(($A65-Controls!$B$28-(Controls!$C$28-1)/2)/MAX(Controls!$C$28/4,0.5))^2),0))</f>
        <v>0</v>
      </c>
      <c r="P65" s="4" t="str">
        <f t="shared" si="1"/>
        <v>2100-01-04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21.0" customHeight="1">
      <c r="A66" s="7">
        <f>IF(65&lt;=Controls!$B$5,Controls!$B$4+64,"")</f>
        <v>73055</v>
      </c>
      <c r="B66" s="10">
        <f>IF(Random!V66="","",IF(Controls!$B$7="Normal",Controls!$B$8,(Controls!$B$8+Controls!$B$9)/2)+Controls!$B$10*(B65-IF(Controls!$B$7="Normal",Controls!$B$8,(Controls!$B$8+Controls!$B$9)/2))+SQRT(1-Controls!$B$10^2)*(Random!V66-IF(Controls!$B$7="Normal",Controls!$B$8,(Controls!$B$8+Controls!$B$9)/2)))</f>
        <v>59.08981346</v>
      </c>
      <c r="C66" s="10">
        <f>IF(Random!W66="","",IF(Controls!$B$7="Normal",Controls!$B$8,(Controls!$B$8+Controls!$B$9)/2)+Controls!$B$10*(C65-IF(Controls!$B$7="Normal",Controls!$B$8,(Controls!$B$8+Controls!$B$9)/2))+SQRT(1-Controls!$B$10^2)*(Random!W66-IF(Controls!$B$7="Normal",Controls!$B$8,(Controls!$B$8+Controls!$B$9)/2)))</f>
        <v>43.20724864</v>
      </c>
      <c r="D66" s="10">
        <f>IF(Random!X66="","",IF(Controls!$B$7="Normal",Controls!$B$8,(Controls!$B$8+Controls!$B$9)/2)+Controls!$B$10*(D65-IF(Controls!$B$7="Normal",Controls!$B$8,(Controls!$B$8+Controls!$B$9)/2))+SQRT(1-Controls!$B$10^2)*(Random!X66-IF(Controls!$B$7="Normal",Controls!$B$8,(Controls!$B$8+Controls!$B$9)/2)))</f>
        <v>53.86479172</v>
      </c>
      <c r="E66" s="10" t="str">
        <f>IF(Random!Y66="","",IF(Controls!$B$7="Normal",Controls!$B$8,(Controls!$B$8+Controls!$B$9)/2)+Controls!$B$10*(E65-IF(Controls!$B$7="Normal",Controls!$B$8,(Controls!$B$8+Controls!$B$9)/2))+SQRT(1-Controls!$B$10^2)*(Random!Y66-IF(Controls!$B$7="Normal",Controls!$B$8,(Controls!$B$8+Controls!$B$9)/2)))</f>
        <v/>
      </c>
      <c r="F66" s="10" t="str">
        <f>IF(Random!Z66="","",IF(Controls!$B$7="Normal",Controls!$B$8,(Controls!$B$8+Controls!$B$9)/2)+Controls!$B$10*(F65-IF(Controls!$B$7="Normal",Controls!$B$8,(Controls!$B$8+Controls!$B$9)/2))+SQRT(1-Controls!$B$10^2)*(Random!Z66-IF(Controls!$B$7="Normal",Controls!$B$8,(Controls!$B$8+Controls!$B$9)/2)))</f>
        <v/>
      </c>
      <c r="G66" s="10" t="str">
        <f>IF(Random!AA66="","",IF(Controls!$B$7="Normal",Controls!$B$8,(Controls!$B$8+Controls!$B$9)/2)+Controls!$B$10*(G65-IF(Controls!$B$7="Normal",Controls!$B$8,(Controls!$B$8+Controls!$B$9)/2))+SQRT(1-Controls!$B$10^2)*(Random!AA66-IF(Controls!$B$7="Normal",Controls!$B$8,(Controls!$B$8+Controls!$B$9)/2)))</f>
        <v/>
      </c>
      <c r="H66" s="10" t="str">
        <f>IF(Random!AB66="","",IF(Controls!$B$7="Normal",Controls!$B$8,(Controls!$B$8+Controls!$B$9)/2)+Controls!$B$10*(H65-IF(Controls!$B$7="Normal",Controls!$B$8,(Controls!$B$8+Controls!$B$9)/2))+SQRT(1-Controls!$B$10^2)*(Random!AB66-IF(Controls!$B$7="Normal",Controls!$B$8,(Controls!$B$8+Controls!$B$9)/2)))</f>
        <v/>
      </c>
      <c r="I66" s="10" t="str">
        <f>IF(Random!AC66="","",IF(Controls!$B$7="Normal",Controls!$B$8,(Controls!$B$8+Controls!$B$9)/2)+Controls!$B$10*(I65-IF(Controls!$B$7="Normal",Controls!$B$8,(Controls!$B$8+Controls!$B$9)/2))+SQRT(1-Controls!$B$10^2)*(Random!AC66-IF(Controls!$B$7="Normal",Controls!$B$8,(Controls!$B$8+Controls!$B$9)/2)))</f>
        <v/>
      </c>
      <c r="J66" s="10" t="str">
        <f>IF(Random!AD66="","",IF(Controls!$B$7="Normal",Controls!$B$8,(Controls!$B$8+Controls!$B$9)/2)+Controls!$B$10*(J65-IF(Controls!$B$7="Normal",Controls!$B$8,(Controls!$B$8+Controls!$B$9)/2))+SQRT(1-Controls!$B$10^2)*(Random!AD66-IF(Controls!$B$7="Normal",Controls!$B$8,(Controls!$B$8+Controls!$B$9)/2)))</f>
        <v/>
      </c>
      <c r="K66" s="10" t="str">
        <f>IF(Random!AE66="","",IF(Controls!$B$7="Normal",Controls!$B$8,(Controls!$B$8+Controls!$B$9)/2)+Controls!$B$10*(K65-IF(Controls!$B$7="Normal",Controls!$B$8,(Controls!$B$8+Controls!$B$9)/2))+SQRT(1-Controls!$B$10^2)*(Random!AE66-IF(Controls!$B$7="Normal",Controls!$B$8,(Controls!$B$8+Controls!$B$9)/2)))</f>
        <v/>
      </c>
      <c r="L66" s="10">
        <f>IF($A66="","",IF(AND($A66&gt;=Controls!$B$25,$A66&lt;Controls!$B$25+Controls!$C$25),(Controls!$D$25-1)*EXP(-0.5*(($A66-Controls!$B$25-(Controls!$C$25-1)/2)/MAX(Controls!$C$25/4,0.5))^2),0))</f>
        <v>0</v>
      </c>
      <c r="M66" s="10">
        <f>IF($A66="","",IF(AND($A66&gt;=Controls!$B$26,$A66&lt;Controls!$B$26+Controls!$C$26),(Controls!$D$26-1)*EXP(-0.5*(($A66-Controls!$B$26-(Controls!$C$26-1)/2)/MAX(Controls!$C$26/4,0.5))^2),0))</f>
        <v>0</v>
      </c>
      <c r="N66" s="10">
        <f>IF($A66="","",IF(AND($A66&gt;=Controls!$B$27,$A66&lt;Controls!$B$27+Controls!$C$27),(Controls!$D$27-1)*EXP(-0.5*(($A66-Controls!$B$27-(Controls!$C$27-1)/2)/MAX(Controls!$C$27/4,0.5))^2),0))</f>
        <v>0</v>
      </c>
      <c r="O66" s="10">
        <f>IF($A66="","",IF(AND($A66&gt;=Controls!$B$28,$A66&lt;Controls!$B$28+Controls!$C$28),(Controls!$D$28-1)*EXP(-0.5*(($A66-Controls!$B$28-(Controls!$C$28-1)/2)/MAX(Controls!$C$28/4,0.5))^2),0))</f>
        <v>0</v>
      </c>
      <c r="P66" s="4" t="str">
        <f t="shared" si="1"/>
        <v>2100-01-05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21.0" customHeight="1">
      <c r="A67" s="7">
        <f>IF(66&lt;=Controls!$B$5,Controls!$B$4+65,"")</f>
        <v>73056</v>
      </c>
      <c r="B67" s="10">
        <f>IF(Random!V67="","",IF(Controls!$B$7="Normal",Controls!$B$8,(Controls!$B$8+Controls!$B$9)/2)+Controls!$B$10*(B66-IF(Controls!$B$7="Normal",Controls!$B$8,(Controls!$B$8+Controls!$B$9)/2))+SQRT(1-Controls!$B$10^2)*(Random!V67-IF(Controls!$B$7="Normal",Controls!$B$8,(Controls!$B$8+Controls!$B$9)/2)))</f>
        <v>59.01036125</v>
      </c>
      <c r="C67" s="10">
        <f>IF(Random!W67="","",IF(Controls!$B$7="Normal",Controls!$B$8,(Controls!$B$8+Controls!$B$9)/2)+Controls!$B$10*(C66-IF(Controls!$B$7="Normal",Controls!$B$8,(Controls!$B$8+Controls!$B$9)/2))+SQRT(1-Controls!$B$10^2)*(Random!W67-IF(Controls!$B$7="Normal",Controls!$B$8,(Controls!$B$8+Controls!$B$9)/2)))</f>
        <v>36.44690745</v>
      </c>
      <c r="D67" s="10">
        <f>IF(Random!X67="","",IF(Controls!$B$7="Normal",Controls!$B$8,(Controls!$B$8+Controls!$B$9)/2)+Controls!$B$10*(D66-IF(Controls!$B$7="Normal",Controls!$B$8,(Controls!$B$8+Controls!$B$9)/2))+SQRT(1-Controls!$B$10^2)*(Random!X67-IF(Controls!$B$7="Normal",Controls!$B$8,(Controls!$B$8+Controls!$B$9)/2)))</f>
        <v>55.11352409</v>
      </c>
      <c r="E67" s="10" t="str">
        <f>IF(Random!Y67="","",IF(Controls!$B$7="Normal",Controls!$B$8,(Controls!$B$8+Controls!$B$9)/2)+Controls!$B$10*(E66-IF(Controls!$B$7="Normal",Controls!$B$8,(Controls!$B$8+Controls!$B$9)/2))+SQRT(1-Controls!$B$10^2)*(Random!Y67-IF(Controls!$B$7="Normal",Controls!$B$8,(Controls!$B$8+Controls!$B$9)/2)))</f>
        <v/>
      </c>
      <c r="F67" s="10" t="str">
        <f>IF(Random!Z67="","",IF(Controls!$B$7="Normal",Controls!$B$8,(Controls!$B$8+Controls!$B$9)/2)+Controls!$B$10*(F66-IF(Controls!$B$7="Normal",Controls!$B$8,(Controls!$B$8+Controls!$B$9)/2))+SQRT(1-Controls!$B$10^2)*(Random!Z67-IF(Controls!$B$7="Normal",Controls!$B$8,(Controls!$B$8+Controls!$B$9)/2)))</f>
        <v/>
      </c>
      <c r="G67" s="10" t="str">
        <f>IF(Random!AA67="","",IF(Controls!$B$7="Normal",Controls!$B$8,(Controls!$B$8+Controls!$B$9)/2)+Controls!$B$10*(G66-IF(Controls!$B$7="Normal",Controls!$B$8,(Controls!$B$8+Controls!$B$9)/2))+SQRT(1-Controls!$B$10^2)*(Random!AA67-IF(Controls!$B$7="Normal",Controls!$B$8,(Controls!$B$8+Controls!$B$9)/2)))</f>
        <v/>
      </c>
      <c r="H67" s="10" t="str">
        <f>IF(Random!AB67="","",IF(Controls!$B$7="Normal",Controls!$B$8,(Controls!$B$8+Controls!$B$9)/2)+Controls!$B$10*(H66-IF(Controls!$B$7="Normal",Controls!$B$8,(Controls!$B$8+Controls!$B$9)/2))+SQRT(1-Controls!$B$10^2)*(Random!AB67-IF(Controls!$B$7="Normal",Controls!$B$8,(Controls!$B$8+Controls!$B$9)/2)))</f>
        <v/>
      </c>
      <c r="I67" s="10" t="str">
        <f>IF(Random!AC67="","",IF(Controls!$B$7="Normal",Controls!$B$8,(Controls!$B$8+Controls!$B$9)/2)+Controls!$B$10*(I66-IF(Controls!$B$7="Normal",Controls!$B$8,(Controls!$B$8+Controls!$B$9)/2))+SQRT(1-Controls!$B$10^2)*(Random!AC67-IF(Controls!$B$7="Normal",Controls!$B$8,(Controls!$B$8+Controls!$B$9)/2)))</f>
        <v/>
      </c>
      <c r="J67" s="10" t="str">
        <f>IF(Random!AD67="","",IF(Controls!$B$7="Normal",Controls!$B$8,(Controls!$B$8+Controls!$B$9)/2)+Controls!$B$10*(J66-IF(Controls!$B$7="Normal",Controls!$B$8,(Controls!$B$8+Controls!$B$9)/2))+SQRT(1-Controls!$B$10^2)*(Random!AD67-IF(Controls!$B$7="Normal",Controls!$B$8,(Controls!$B$8+Controls!$B$9)/2)))</f>
        <v/>
      </c>
      <c r="K67" s="10" t="str">
        <f>IF(Random!AE67="","",IF(Controls!$B$7="Normal",Controls!$B$8,(Controls!$B$8+Controls!$B$9)/2)+Controls!$B$10*(K66-IF(Controls!$B$7="Normal",Controls!$B$8,(Controls!$B$8+Controls!$B$9)/2))+SQRT(1-Controls!$B$10^2)*(Random!AE67-IF(Controls!$B$7="Normal",Controls!$B$8,(Controls!$B$8+Controls!$B$9)/2)))</f>
        <v/>
      </c>
      <c r="L67" s="10">
        <f>IF($A67="","",IF(AND($A67&gt;=Controls!$B$25,$A67&lt;Controls!$B$25+Controls!$C$25),(Controls!$D$25-1)*EXP(-0.5*(($A67-Controls!$B$25-(Controls!$C$25-1)/2)/MAX(Controls!$C$25/4,0.5))^2),0))</f>
        <v>0</v>
      </c>
      <c r="M67" s="10">
        <f>IF($A67="","",IF(AND($A67&gt;=Controls!$B$26,$A67&lt;Controls!$B$26+Controls!$C$26),(Controls!$D$26-1)*EXP(-0.5*(($A67-Controls!$B$26-(Controls!$C$26-1)/2)/MAX(Controls!$C$26/4,0.5))^2),0))</f>
        <v>0</v>
      </c>
      <c r="N67" s="10">
        <f>IF($A67="","",IF(AND($A67&gt;=Controls!$B$27,$A67&lt;Controls!$B$27+Controls!$C$27),(Controls!$D$27-1)*EXP(-0.5*(($A67-Controls!$B$27-(Controls!$C$27-1)/2)/MAX(Controls!$C$27/4,0.5))^2),0))</f>
        <v>0</v>
      </c>
      <c r="O67" s="10">
        <f>IF($A67="","",IF(AND($A67&gt;=Controls!$B$28,$A67&lt;Controls!$B$28+Controls!$C$28),(Controls!$D$28-1)*EXP(-0.5*(($A67-Controls!$B$28-(Controls!$C$28-1)/2)/MAX(Controls!$C$28/4,0.5))^2),0))</f>
        <v>0</v>
      </c>
      <c r="P67" s="4" t="str">
        <f t="shared" si="1"/>
        <v>2100-01-06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21.0" customHeight="1">
      <c r="A68" s="7">
        <f>IF(67&lt;=Controls!$B$5,Controls!$B$4+66,"")</f>
        <v>73057</v>
      </c>
      <c r="B68" s="10">
        <f>IF(Random!V68="","",IF(Controls!$B$7="Normal",Controls!$B$8,(Controls!$B$8+Controls!$B$9)/2)+Controls!$B$10*(B67-IF(Controls!$B$7="Normal",Controls!$B$8,(Controls!$B$8+Controls!$B$9)/2))+SQRT(1-Controls!$B$10^2)*(Random!V68-IF(Controls!$B$7="Normal",Controls!$B$8,(Controls!$B$8+Controls!$B$9)/2)))</f>
        <v>54.97862836</v>
      </c>
      <c r="C68" s="10">
        <f>IF(Random!W68="","",IF(Controls!$B$7="Normal",Controls!$B$8,(Controls!$B$8+Controls!$B$9)/2)+Controls!$B$10*(C67-IF(Controls!$B$7="Normal",Controls!$B$8,(Controls!$B$8+Controls!$B$9)/2))+SQRT(1-Controls!$B$10^2)*(Random!W68-IF(Controls!$B$7="Normal",Controls!$B$8,(Controls!$B$8+Controls!$B$9)/2)))</f>
        <v>47.74923663</v>
      </c>
      <c r="D68" s="10">
        <f>IF(Random!X68="","",IF(Controls!$B$7="Normal",Controls!$B$8,(Controls!$B$8+Controls!$B$9)/2)+Controls!$B$10*(D67-IF(Controls!$B$7="Normal",Controls!$B$8,(Controls!$B$8+Controls!$B$9)/2))+SQRT(1-Controls!$B$10^2)*(Random!X68-IF(Controls!$B$7="Normal",Controls!$B$8,(Controls!$B$8+Controls!$B$9)/2)))</f>
        <v>56.98846523</v>
      </c>
      <c r="E68" s="10" t="str">
        <f>IF(Random!Y68="","",IF(Controls!$B$7="Normal",Controls!$B$8,(Controls!$B$8+Controls!$B$9)/2)+Controls!$B$10*(E67-IF(Controls!$B$7="Normal",Controls!$B$8,(Controls!$B$8+Controls!$B$9)/2))+SQRT(1-Controls!$B$10^2)*(Random!Y68-IF(Controls!$B$7="Normal",Controls!$B$8,(Controls!$B$8+Controls!$B$9)/2)))</f>
        <v/>
      </c>
      <c r="F68" s="10" t="str">
        <f>IF(Random!Z68="","",IF(Controls!$B$7="Normal",Controls!$B$8,(Controls!$B$8+Controls!$B$9)/2)+Controls!$B$10*(F67-IF(Controls!$B$7="Normal",Controls!$B$8,(Controls!$B$8+Controls!$B$9)/2))+SQRT(1-Controls!$B$10^2)*(Random!Z68-IF(Controls!$B$7="Normal",Controls!$B$8,(Controls!$B$8+Controls!$B$9)/2)))</f>
        <v/>
      </c>
      <c r="G68" s="10" t="str">
        <f>IF(Random!AA68="","",IF(Controls!$B$7="Normal",Controls!$B$8,(Controls!$B$8+Controls!$B$9)/2)+Controls!$B$10*(G67-IF(Controls!$B$7="Normal",Controls!$B$8,(Controls!$B$8+Controls!$B$9)/2))+SQRT(1-Controls!$B$10^2)*(Random!AA68-IF(Controls!$B$7="Normal",Controls!$B$8,(Controls!$B$8+Controls!$B$9)/2)))</f>
        <v/>
      </c>
      <c r="H68" s="10" t="str">
        <f>IF(Random!AB68="","",IF(Controls!$B$7="Normal",Controls!$B$8,(Controls!$B$8+Controls!$B$9)/2)+Controls!$B$10*(H67-IF(Controls!$B$7="Normal",Controls!$B$8,(Controls!$B$8+Controls!$B$9)/2))+SQRT(1-Controls!$B$10^2)*(Random!AB68-IF(Controls!$B$7="Normal",Controls!$B$8,(Controls!$B$8+Controls!$B$9)/2)))</f>
        <v/>
      </c>
      <c r="I68" s="10" t="str">
        <f>IF(Random!AC68="","",IF(Controls!$B$7="Normal",Controls!$B$8,(Controls!$B$8+Controls!$B$9)/2)+Controls!$B$10*(I67-IF(Controls!$B$7="Normal",Controls!$B$8,(Controls!$B$8+Controls!$B$9)/2))+SQRT(1-Controls!$B$10^2)*(Random!AC68-IF(Controls!$B$7="Normal",Controls!$B$8,(Controls!$B$8+Controls!$B$9)/2)))</f>
        <v/>
      </c>
      <c r="J68" s="10" t="str">
        <f>IF(Random!AD68="","",IF(Controls!$B$7="Normal",Controls!$B$8,(Controls!$B$8+Controls!$B$9)/2)+Controls!$B$10*(J67-IF(Controls!$B$7="Normal",Controls!$B$8,(Controls!$B$8+Controls!$B$9)/2))+SQRT(1-Controls!$B$10^2)*(Random!AD68-IF(Controls!$B$7="Normal",Controls!$B$8,(Controls!$B$8+Controls!$B$9)/2)))</f>
        <v/>
      </c>
      <c r="K68" s="10" t="str">
        <f>IF(Random!AE68="","",IF(Controls!$B$7="Normal",Controls!$B$8,(Controls!$B$8+Controls!$B$9)/2)+Controls!$B$10*(K67-IF(Controls!$B$7="Normal",Controls!$B$8,(Controls!$B$8+Controls!$B$9)/2))+SQRT(1-Controls!$B$10^2)*(Random!AE68-IF(Controls!$B$7="Normal",Controls!$B$8,(Controls!$B$8+Controls!$B$9)/2)))</f>
        <v/>
      </c>
      <c r="L68" s="10">
        <f>IF($A68="","",IF(AND($A68&gt;=Controls!$B$25,$A68&lt;Controls!$B$25+Controls!$C$25),(Controls!$D$25-1)*EXP(-0.5*(($A68-Controls!$B$25-(Controls!$C$25-1)/2)/MAX(Controls!$C$25/4,0.5))^2),0))</f>
        <v>0</v>
      </c>
      <c r="M68" s="10">
        <f>IF($A68="","",IF(AND($A68&gt;=Controls!$B$26,$A68&lt;Controls!$B$26+Controls!$C$26),(Controls!$D$26-1)*EXP(-0.5*(($A68-Controls!$B$26-(Controls!$C$26-1)/2)/MAX(Controls!$C$26/4,0.5))^2),0))</f>
        <v>0</v>
      </c>
      <c r="N68" s="10">
        <f>IF($A68="","",IF(AND($A68&gt;=Controls!$B$27,$A68&lt;Controls!$B$27+Controls!$C$27),(Controls!$D$27-1)*EXP(-0.5*(($A68-Controls!$B$27-(Controls!$C$27-1)/2)/MAX(Controls!$C$27/4,0.5))^2),0))</f>
        <v>0</v>
      </c>
      <c r="O68" s="10">
        <f>IF($A68="","",IF(AND($A68&gt;=Controls!$B$28,$A68&lt;Controls!$B$28+Controls!$C$28),(Controls!$D$28-1)*EXP(-0.5*(($A68-Controls!$B$28-(Controls!$C$28-1)/2)/MAX(Controls!$C$28/4,0.5))^2),0))</f>
        <v>0.1807242453</v>
      </c>
      <c r="P68" s="4" t="str">
        <f t="shared" si="1"/>
        <v>2100-01-07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21.0" customHeight="1">
      <c r="A69" s="7">
        <f>IF(68&lt;=Controls!$B$5,Controls!$B$4+67,"")</f>
        <v>73058</v>
      </c>
      <c r="B69" s="10">
        <f>IF(Random!V69="","",IF(Controls!$B$7="Normal",Controls!$B$8,(Controls!$B$8+Controls!$B$9)/2)+Controls!$B$10*(B68-IF(Controls!$B$7="Normal",Controls!$B$8,(Controls!$B$8+Controls!$B$9)/2))+SQRT(1-Controls!$B$10^2)*(Random!V69-IF(Controls!$B$7="Normal",Controls!$B$8,(Controls!$B$8+Controls!$B$9)/2)))</f>
        <v>61.72615663</v>
      </c>
      <c r="C69" s="10">
        <f>IF(Random!W69="","",IF(Controls!$B$7="Normal",Controls!$B$8,(Controls!$B$8+Controls!$B$9)/2)+Controls!$B$10*(C68-IF(Controls!$B$7="Normal",Controls!$B$8,(Controls!$B$8+Controls!$B$9)/2))+SQRT(1-Controls!$B$10^2)*(Random!W69-IF(Controls!$B$7="Normal",Controls!$B$8,(Controls!$B$8+Controls!$B$9)/2)))</f>
        <v>53.55524593</v>
      </c>
      <c r="D69" s="10">
        <f>IF(Random!X69="","",IF(Controls!$B$7="Normal",Controls!$B$8,(Controls!$B$8+Controls!$B$9)/2)+Controls!$B$10*(D68-IF(Controls!$B$7="Normal",Controls!$B$8,(Controls!$B$8+Controls!$B$9)/2))+SQRT(1-Controls!$B$10^2)*(Random!X69-IF(Controls!$B$7="Normal",Controls!$B$8,(Controls!$B$8+Controls!$B$9)/2)))</f>
        <v>54.17781353</v>
      </c>
      <c r="E69" s="10" t="str">
        <f>IF(Random!Y69="","",IF(Controls!$B$7="Normal",Controls!$B$8,(Controls!$B$8+Controls!$B$9)/2)+Controls!$B$10*(E68-IF(Controls!$B$7="Normal",Controls!$B$8,(Controls!$B$8+Controls!$B$9)/2))+SQRT(1-Controls!$B$10^2)*(Random!Y69-IF(Controls!$B$7="Normal",Controls!$B$8,(Controls!$B$8+Controls!$B$9)/2)))</f>
        <v/>
      </c>
      <c r="F69" s="10" t="str">
        <f>IF(Random!Z69="","",IF(Controls!$B$7="Normal",Controls!$B$8,(Controls!$B$8+Controls!$B$9)/2)+Controls!$B$10*(F68-IF(Controls!$B$7="Normal",Controls!$B$8,(Controls!$B$8+Controls!$B$9)/2))+SQRT(1-Controls!$B$10^2)*(Random!Z69-IF(Controls!$B$7="Normal",Controls!$B$8,(Controls!$B$8+Controls!$B$9)/2)))</f>
        <v/>
      </c>
      <c r="G69" s="10" t="str">
        <f>IF(Random!AA69="","",IF(Controls!$B$7="Normal",Controls!$B$8,(Controls!$B$8+Controls!$B$9)/2)+Controls!$B$10*(G68-IF(Controls!$B$7="Normal",Controls!$B$8,(Controls!$B$8+Controls!$B$9)/2))+SQRT(1-Controls!$B$10^2)*(Random!AA69-IF(Controls!$B$7="Normal",Controls!$B$8,(Controls!$B$8+Controls!$B$9)/2)))</f>
        <v/>
      </c>
      <c r="H69" s="10" t="str">
        <f>IF(Random!AB69="","",IF(Controls!$B$7="Normal",Controls!$B$8,(Controls!$B$8+Controls!$B$9)/2)+Controls!$B$10*(H68-IF(Controls!$B$7="Normal",Controls!$B$8,(Controls!$B$8+Controls!$B$9)/2))+SQRT(1-Controls!$B$10^2)*(Random!AB69-IF(Controls!$B$7="Normal",Controls!$B$8,(Controls!$B$8+Controls!$B$9)/2)))</f>
        <v/>
      </c>
      <c r="I69" s="10" t="str">
        <f>IF(Random!AC69="","",IF(Controls!$B$7="Normal",Controls!$B$8,(Controls!$B$8+Controls!$B$9)/2)+Controls!$B$10*(I68-IF(Controls!$B$7="Normal",Controls!$B$8,(Controls!$B$8+Controls!$B$9)/2))+SQRT(1-Controls!$B$10^2)*(Random!AC69-IF(Controls!$B$7="Normal",Controls!$B$8,(Controls!$B$8+Controls!$B$9)/2)))</f>
        <v/>
      </c>
      <c r="J69" s="10" t="str">
        <f>IF(Random!AD69="","",IF(Controls!$B$7="Normal",Controls!$B$8,(Controls!$B$8+Controls!$B$9)/2)+Controls!$B$10*(J68-IF(Controls!$B$7="Normal",Controls!$B$8,(Controls!$B$8+Controls!$B$9)/2))+SQRT(1-Controls!$B$10^2)*(Random!AD69-IF(Controls!$B$7="Normal",Controls!$B$8,(Controls!$B$8+Controls!$B$9)/2)))</f>
        <v/>
      </c>
      <c r="K69" s="10" t="str">
        <f>IF(Random!AE69="","",IF(Controls!$B$7="Normal",Controls!$B$8,(Controls!$B$8+Controls!$B$9)/2)+Controls!$B$10*(K68-IF(Controls!$B$7="Normal",Controls!$B$8,(Controls!$B$8+Controls!$B$9)/2))+SQRT(1-Controls!$B$10^2)*(Random!AE69-IF(Controls!$B$7="Normal",Controls!$B$8,(Controls!$B$8+Controls!$B$9)/2)))</f>
        <v/>
      </c>
      <c r="L69" s="10">
        <f>IF($A69="","",IF(AND($A69&gt;=Controls!$B$25,$A69&lt;Controls!$B$25+Controls!$C$25),(Controls!$D$25-1)*EXP(-0.5*(($A69-Controls!$B$25-(Controls!$C$25-1)/2)/MAX(Controls!$C$25/4,0.5))^2),0))</f>
        <v>0</v>
      </c>
      <c r="M69" s="10">
        <f>IF($A69="","",IF(AND($A69&gt;=Controls!$B$26,$A69&lt;Controls!$B$26+Controls!$C$26),(Controls!$D$26-1)*EXP(-0.5*(($A69-Controls!$B$26-(Controls!$C$26-1)/2)/MAX(Controls!$C$26/4,0.5))^2),0))</f>
        <v>0</v>
      </c>
      <c r="N69" s="10">
        <f>IF($A69="","",IF(AND($A69&gt;=Controls!$B$27,$A69&lt;Controls!$B$27+Controls!$C$27),(Controls!$D$27-1)*EXP(-0.5*(($A69-Controls!$B$27-(Controls!$C$27-1)/2)/MAX(Controls!$C$27/4,0.5))^2),0))</f>
        <v>0</v>
      </c>
      <c r="O69" s="10">
        <f>IF($A69="","",IF(AND($A69&gt;=Controls!$B$28,$A69&lt;Controls!$B$28+Controls!$C$28),(Controls!$D$28-1)*EXP(-0.5*(($A69-Controls!$B$28-(Controls!$C$28-1)/2)/MAX(Controls!$C$28/4,0.5))^2),0))</f>
        <v>0.4719968741</v>
      </c>
      <c r="P69" s="4" t="str">
        <f t="shared" si="1"/>
        <v>2100-01-08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21.0" customHeight="1">
      <c r="A70" s="7">
        <f>IF(69&lt;=Controls!$B$5,Controls!$B$4+68,"")</f>
        <v>73059</v>
      </c>
      <c r="B70" s="10">
        <f>IF(Random!V70="","",IF(Controls!$B$7="Normal",Controls!$B$8,(Controls!$B$8+Controls!$B$9)/2)+Controls!$B$10*(B69-IF(Controls!$B$7="Normal",Controls!$B$8,(Controls!$B$8+Controls!$B$9)/2))+SQRT(1-Controls!$B$10^2)*(Random!V70-IF(Controls!$B$7="Normal",Controls!$B$8,(Controls!$B$8+Controls!$B$9)/2)))</f>
        <v>50.19017949</v>
      </c>
      <c r="C70" s="10">
        <f>IF(Random!W70="","",IF(Controls!$B$7="Normal",Controls!$B$8,(Controls!$B$8+Controls!$B$9)/2)+Controls!$B$10*(C69-IF(Controls!$B$7="Normal",Controls!$B$8,(Controls!$B$8+Controls!$B$9)/2))+SQRT(1-Controls!$B$10^2)*(Random!W70-IF(Controls!$B$7="Normal",Controls!$B$8,(Controls!$B$8+Controls!$B$9)/2)))</f>
        <v>57.87046882</v>
      </c>
      <c r="D70" s="10">
        <f>IF(Random!X70="","",IF(Controls!$B$7="Normal",Controls!$B$8,(Controls!$B$8+Controls!$B$9)/2)+Controls!$B$10*(D69-IF(Controls!$B$7="Normal",Controls!$B$8,(Controls!$B$8+Controls!$B$9)/2))+SQRT(1-Controls!$B$10^2)*(Random!X70-IF(Controls!$B$7="Normal",Controls!$B$8,(Controls!$B$8+Controls!$B$9)/2)))</f>
        <v>38.29394283</v>
      </c>
      <c r="E70" s="10" t="str">
        <f>IF(Random!Y70="","",IF(Controls!$B$7="Normal",Controls!$B$8,(Controls!$B$8+Controls!$B$9)/2)+Controls!$B$10*(E69-IF(Controls!$B$7="Normal",Controls!$B$8,(Controls!$B$8+Controls!$B$9)/2))+SQRT(1-Controls!$B$10^2)*(Random!Y70-IF(Controls!$B$7="Normal",Controls!$B$8,(Controls!$B$8+Controls!$B$9)/2)))</f>
        <v/>
      </c>
      <c r="F70" s="10" t="str">
        <f>IF(Random!Z70="","",IF(Controls!$B$7="Normal",Controls!$B$8,(Controls!$B$8+Controls!$B$9)/2)+Controls!$B$10*(F69-IF(Controls!$B$7="Normal",Controls!$B$8,(Controls!$B$8+Controls!$B$9)/2))+SQRT(1-Controls!$B$10^2)*(Random!Z70-IF(Controls!$B$7="Normal",Controls!$B$8,(Controls!$B$8+Controls!$B$9)/2)))</f>
        <v/>
      </c>
      <c r="G70" s="10" t="str">
        <f>IF(Random!AA70="","",IF(Controls!$B$7="Normal",Controls!$B$8,(Controls!$B$8+Controls!$B$9)/2)+Controls!$B$10*(G69-IF(Controls!$B$7="Normal",Controls!$B$8,(Controls!$B$8+Controls!$B$9)/2))+SQRT(1-Controls!$B$10^2)*(Random!AA70-IF(Controls!$B$7="Normal",Controls!$B$8,(Controls!$B$8+Controls!$B$9)/2)))</f>
        <v/>
      </c>
      <c r="H70" s="10" t="str">
        <f>IF(Random!AB70="","",IF(Controls!$B$7="Normal",Controls!$B$8,(Controls!$B$8+Controls!$B$9)/2)+Controls!$B$10*(H69-IF(Controls!$B$7="Normal",Controls!$B$8,(Controls!$B$8+Controls!$B$9)/2))+SQRT(1-Controls!$B$10^2)*(Random!AB70-IF(Controls!$B$7="Normal",Controls!$B$8,(Controls!$B$8+Controls!$B$9)/2)))</f>
        <v/>
      </c>
      <c r="I70" s="10" t="str">
        <f>IF(Random!AC70="","",IF(Controls!$B$7="Normal",Controls!$B$8,(Controls!$B$8+Controls!$B$9)/2)+Controls!$B$10*(I69-IF(Controls!$B$7="Normal",Controls!$B$8,(Controls!$B$8+Controls!$B$9)/2))+SQRT(1-Controls!$B$10^2)*(Random!AC70-IF(Controls!$B$7="Normal",Controls!$B$8,(Controls!$B$8+Controls!$B$9)/2)))</f>
        <v/>
      </c>
      <c r="J70" s="10" t="str">
        <f>IF(Random!AD70="","",IF(Controls!$B$7="Normal",Controls!$B$8,(Controls!$B$8+Controls!$B$9)/2)+Controls!$B$10*(J69-IF(Controls!$B$7="Normal",Controls!$B$8,(Controls!$B$8+Controls!$B$9)/2))+SQRT(1-Controls!$B$10^2)*(Random!AD70-IF(Controls!$B$7="Normal",Controls!$B$8,(Controls!$B$8+Controls!$B$9)/2)))</f>
        <v/>
      </c>
      <c r="K70" s="10" t="str">
        <f>IF(Random!AE70="","",IF(Controls!$B$7="Normal",Controls!$B$8,(Controls!$B$8+Controls!$B$9)/2)+Controls!$B$10*(K69-IF(Controls!$B$7="Normal",Controls!$B$8,(Controls!$B$8+Controls!$B$9)/2))+SQRT(1-Controls!$B$10^2)*(Random!AE70-IF(Controls!$B$7="Normal",Controls!$B$8,(Controls!$B$8+Controls!$B$9)/2)))</f>
        <v/>
      </c>
      <c r="L70" s="10">
        <f>IF($A70="","",IF(AND($A70&gt;=Controls!$B$25,$A70&lt;Controls!$B$25+Controls!$C$25),(Controls!$D$25-1)*EXP(-0.5*(($A70-Controls!$B$25-(Controls!$C$25-1)/2)/MAX(Controls!$C$25/4,0.5))^2),0))</f>
        <v>0</v>
      </c>
      <c r="M70" s="10">
        <f>IF($A70="","",IF(AND($A70&gt;=Controls!$B$26,$A70&lt;Controls!$B$26+Controls!$C$26),(Controls!$D$26-1)*EXP(-0.5*(($A70-Controls!$B$26-(Controls!$C$26-1)/2)/MAX(Controls!$C$26/4,0.5))^2),0))</f>
        <v>0</v>
      </c>
      <c r="N70" s="10">
        <f>IF($A70="","",IF(AND($A70&gt;=Controls!$B$27,$A70&lt;Controls!$B$27+Controls!$C$27),(Controls!$D$27-1)*EXP(-0.5*(($A70-Controls!$B$27-(Controls!$C$27-1)/2)/MAX(Controls!$C$27/4,0.5))^2),0))</f>
        <v>0</v>
      </c>
      <c r="O70" s="10">
        <f>IF($A70="","",IF(AND($A70&gt;=Controls!$B$28,$A70&lt;Controls!$B$28+Controls!$C$28),(Controls!$D$28-1)*EXP(-0.5*(($A70-Controls!$B$28-(Controls!$C$28-1)/2)/MAX(Controls!$C$28/4,0.5))^2),0))</f>
        <v>0.65</v>
      </c>
      <c r="P70" s="4" t="str">
        <f t="shared" si="1"/>
        <v>2100-01-09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21.0" customHeight="1">
      <c r="A71" s="7">
        <f>IF(70&lt;=Controls!$B$5,Controls!$B$4+69,"")</f>
        <v>73060</v>
      </c>
      <c r="B71" s="10">
        <f>IF(Random!V71="","",IF(Controls!$B$7="Normal",Controls!$B$8,(Controls!$B$8+Controls!$B$9)/2)+Controls!$B$10*(B70-IF(Controls!$B$7="Normal",Controls!$B$8,(Controls!$B$8+Controls!$B$9)/2))+SQRT(1-Controls!$B$10^2)*(Random!V71-IF(Controls!$B$7="Normal",Controls!$B$8,(Controls!$B$8+Controls!$B$9)/2)))</f>
        <v>48.08229029</v>
      </c>
      <c r="C71" s="10">
        <f>IF(Random!W71="","",IF(Controls!$B$7="Normal",Controls!$B$8,(Controls!$B$8+Controls!$B$9)/2)+Controls!$B$10*(C70-IF(Controls!$B$7="Normal",Controls!$B$8,(Controls!$B$8+Controls!$B$9)/2))+SQRT(1-Controls!$B$10^2)*(Random!W71-IF(Controls!$B$7="Normal",Controls!$B$8,(Controls!$B$8+Controls!$B$9)/2)))</f>
        <v>52.41795518</v>
      </c>
      <c r="D71" s="10">
        <f>IF(Random!X71="","",IF(Controls!$B$7="Normal",Controls!$B$8,(Controls!$B$8+Controls!$B$9)/2)+Controls!$B$10*(D70-IF(Controls!$B$7="Normal",Controls!$B$8,(Controls!$B$8+Controls!$B$9)/2))+SQRT(1-Controls!$B$10^2)*(Random!X71-IF(Controls!$B$7="Normal",Controls!$B$8,(Controls!$B$8+Controls!$B$9)/2)))</f>
        <v>48.18796408</v>
      </c>
      <c r="E71" s="10" t="str">
        <f>IF(Random!Y71="","",IF(Controls!$B$7="Normal",Controls!$B$8,(Controls!$B$8+Controls!$B$9)/2)+Controls!$B$10*(E70-IF(Controls!$B$7="Normal",Controls!$B$8,(Controls!$B$8+Controls!$B$9)/2))+SQRT(1-Controls!$B$10^2)*(Random!Y71-IF(Controls!$B$7="Normal",Controls!$B$8,(Controls!$B$8+Controls!$B$9)/2)))</f>
        <v/>
      </c>
      <c r="F71" s="10" t="str">
        <f>IF(Random!Z71="","",IF(Controls!$B$7="Normal",Controls!$B$8,(Controls!$B$8+Controls!$B$9)/2)+Controls!$B$10*(F70-IF(Controls!$B$7="Normal",Controls!$B$8,(Controls!$B$8+Controls!$B$9)/2))+SQRT(1-Controls!$B$10^2)*(Random!Z71-IF(Controls!$B$7="Normal",Controls!$B$8,(Controls!$B$8+Controls!$B$9)/2)))</f>
        <v/>
      </c>
      <c r="G71" s="10" t="str">
        <f>IF(Random!AA71="","",IF(Controls!$B$7="Normal",Controls!$B$8,(Controls!$B$8+Controls!$B$9)/2)+Controls!$B$10*(G70-IF(Controls!$B$7="Normal",Controls!$B$8,(Controls!$B$8+Controls!$B$9)/2))+SQRT(1-Controls!$B$10^2)*(Random!AA71-IF(Controls!$B$7="Normal",Controls!$B$8,(Controls!$B$8+Controls!$B$9)/2)))</f>
        <v/>
      </c>
      <c r="H71" s="10" t="str">
        <f>IF(Random!AB71="","",IF(Controls!$B$7="Normal",Controls!$B$8,(Controls!$B$8+Controls!$B$9)/2)+Controls!$B$10*(H70-IF(Controls!$B$7="Normal",Controls!$B$8,(Controls!$B$8+Controls!$B$9)/2))+SQRT(1-Controls!$B$10^2)*(Random!AB71-IF(Controls!$B$7="Normal",Controls!$B$8,(Controls!$B$8+Controls!$B$9)/2)))</f>
        <v/>
      </c>
      <c r="I71" s="10" t="str">
        <f>IF(Random!AC71="","",IF(Controls!$B$7="Normal",Controls!$B$8,(Controls!$B$8+Controls!$B$9)/2)+Controls!$B$10*(I70-IF(Controls!$B$7="Normal",Controls!$B$8,(Controls!$B$8+Controls!$B$9)/2))+SQRT(1-Controls!$B$10^2)*(Random!AC71-IF(Controls!$B$7="Normal",Controls!$B$8,(Controls!$B$8+Controls!$B$9)/2)))</f>
        <v/>
      </c>
      <c r="J71" s="10" t="str">
        <f>IF(Random!AD71="","",IF(Controls!$B$7="Normal",Controls!$B$8,(Controls!$B$8+Controls!$B$9)/2)+Controls!$B$10*(J70-IF(Controls!$B$7="Normal",Controls!$B$8,(Controls!$B$8+Controls!$B$9)/2))+SQRT(1-Controls!$B$10^2)*(Random!AD71-IF(Controls!$B$7="Normal",Controls!$B$8,(Controls!$B$8+Controls!$B$9)/2)))</f>
        <v/>
      </c>
      <c r="K71" s="10" t="str">
        <f>IF(Random!AE71="","",IF(Controls!$B$7="Normal",Controls!$B$8,(Controls!$B$8+Controls!$B$9)/2)+Controls!$B$10*(K70-IF(Controls!$B$7="Normal",Controls!$B$8,(Controls!$B$8+Controls!$B$9)/2))+SQRT(1-Controls!$B$10^2)*(Random!AE71-IF(Controls!$B$7="Normal",Controls!$B$8,(Controls!$B$8+Controls!$B$9)/2)))</f>
        <v/>
      </c>
      <c r="L71" s="10">
        <f>IF($A71="","",IF(AND($A71&gt;=Controls!$B$25,$A71&lt;Controls!$B$25+Controls!$C$25),(Controls!$D$25-1)*EXP(-0.5*(($A71-Controls!$B$25-(Controls!$C$25-1)/2)/MAX(Controls!$C$25/4,0.5))^2),0))</f>
        <v>0</v>
      </c>
      <c r="M71" s="10">
        <f>IF($A71="","",IF(AND($A71&gt;=Controls!$B$26,$A71&lt;Controls!$B$26+Controls!$C$26),(Controls!$D$26-1)*EXP(-0.5*(($A71-Controls!$B$26-(Controls!$C$26-1)/2)/MAX(Controls!$C$26/4,0.5))^2),0))</f>
        <v>0</v>
      </c>
      <c r="N71" s="10">
        <f>IF($A71="","",IF(AND($A71&gt;=Controls!$B$27,$A71&lt;Controls!$B$27+Controls!$C$27),(Controls!$D$27-1)*EXP(-0.5*(($A71-Controls!$B$27-(Controls!$C$27-1)/2)/MAX(Controls!$C$27/4,0.5))^2),0))</f>
        <v>0</v>
      </c>
      <c r="O71" s="10">
        <f>IF($A71="","",IF(AND($A71&gt;=Controls!$B$28,$A71&lt;Controls!$B$28+Controls!$C$28),(Controls!$D$28-1)*EXP(-0.5*(($A71-Controls!$B$28-(Controls!$C$28-1)/2)/MAX(Controls!$C$28/4,0.5))^2),0))</f>
        <v>0.4719968741</v>
      </c>
      <c r="P71" s="4" t="str">
        <f t="shared" si="1"/>
        <v>2100-01-10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21.0" customHeight="1">
      <c r="A72" s="7">
        <f>IF(71&lt;=Controls!$B$5,Controls!$B$4+70,"")</f>
        <v>73061</v>
      </c>
      <c r="B72" s="10">
        <f>IF(Random!V72="","",IF(Controls!$B$7="Normal",Controls!$B$8,(Controls!$B$8+Controls!$B$9)/2)+Controls!$B$10*(B71-IF(Controls!$B$7="Normal",Controls!$B$8,(Controls!$B$8+Controls!$B$9)/2))+SQRT(1-Controls!$B$10^2)*(Random!V72-IF(Controls!$B$7="Normal",Controls!$B$8,(Controls!$B$8+Controls!$B$9)/2)))</f>
        <v>48.47602089</v>
      </c>
      <c r="C72" s="10">
        <f>IF(Random!W72="","",IF(Controls!$B$7="Normal",Controls!$B$8,(Controls!$B$8+Controls!$B$9)/2)+Controls!$B$10*(C71-IF(Controls!$B$7="Normal",Controls!$B$8,(Controls!$B$8+Controls!$B$9)/2))+SQRT(1-Controls!$B$10^2)*(Random!W72-IF(Controls!$B$7="Normal",Controls!$B$8,(Controls!$B$8+Controls!$B$9)/2)))</f>
        <v>63.57086983</v>
      </c>
      <c r="D72" s="10">
        <f>IF(Random!X72="","",IF(Controls!$B$7="Normal",Controls!$B$8,(Controls!$B$8+Controls!$B$9)/2)+Controls!$B$10*(D71-IF(Controls!$B$7="Normal",Controls!$B$8,(Controls!$B$8+Controls!$B$9)/2))+SQRT(1-Controls!$B$10^2)*(Random!X72-IF(Controls!$B$7="Normal",Controls!$B$8,(Controls!$B$8+Controls!$B$9)/2)))</f>
        <v>43.17496213</v>
      </c>
      <c r="E72" s="10" t="str">
        <f>IF(Random!Y72="","",IF(Controls!$B$7="Normal",Controls!$B$8,(Controls!$B$8+Controls!$B$9)/2)+Controls!$B$10*(E71-IF(Controls!$B$7="Normal",Controls!$B$8,(Controls!$B$8+Controls!$B$9)/2))+SQRT(1-Controls!$B$10^2)*(Random!Y72-IF(Controls!$B$7="Normal",Controls!$B$8,(Controls!$B$8+Controls!$B$9)/2)))</f>
        <v/>
      </c>
      <c r="F72" s="10" t="str">
        <f>IF(Random!Z72="","",IF(Controls!$B$7="Normal",Controls!$B$8,(Controls!$B$8+Controls!$B$9)/2)+Controls!$B$10*(F71-IF(Controls!$B$7="Normal",Controls!$B$8,(Controls!$B$8+Controls!$B$9)/2))+SQRT(1-Controls!$B$10^2)*(Random!Z72-IF(Controls!$B$7="Normal",Controls!$B$8,(Controls!$B$8+Controls!$B$9)/2)))</f>
        <v/>
      </c>
      <c r="G72" s="10" t="str">
        <f>IF(Random!AA72="","",IF(Controls!$B$7="Normal",Controls!$B$8,(Controls!$B$8+Controls!$B$9)/2)+Controls!$B$10*(G71-IF(Controls!$B$7="Normal",Controls!$B$8,(Controls!$B$8+Controls!$B$9)/2))+SQRT(1-Controls!$B$10^2)*(Random!AA72-IF(Controls!$B$7="Normal",Controls!$B$8,(Controls!$B$8+Controls!$B$9)/2)))</f>
        <v/>
      </c>
      <c r="H72" s="10" t="str">
        <f>IF(Random!AB72="","",IF(Controls!$B$7="Normal",Controls!$B$8,(Controls!$B$8+Controls!$B$9)/2)+Controls!$B$10*(H71-IF(Controls!$B$7="Normal",Controls!$B$8,(Controls!$B$8+Controls!$B$9)/2))+SQRT(1-Controls!$B$10^2)*(Random!AB72-IF(Controls!$B$7="Normal",Controls!$B$8,(Controls!$B$8+Controls!$B$9)/2)))</f>
        <v/>
      </c>
      <c r="I72" s="10" t="str">
        <f>IF(Random!AC72="","",IF(Controls!$B$7="Normal",Controls!$B$8,(Controls!$B$8+Controls!$B$9)/2)+Controls!$B$10*(I71-IF(Controls!$B$7="Normal",Controls!$B$8,(Controls!$B$8+Controls!$B$9)/2))+SQRT(1-Controls!$B$10^2)*(Random!AC72-IF(Controls!$B$7="Normal",Controls!$B$8,(Controls!$B$8+Controls!$B$9)/2)))</f>
        <v/>
      </c>
      <c r="J72" s="10" t="str">
        <f>IF(Random!AD72="","",IF(Controls!$B$7="Normal",Controls!$B$8,(Controls!$B$8+Controls!$B$9)/2)+Controls!$B$10*(J71-IF(Controls!$B$7="Normal",Controls!$B$8,(Controls!$B$8+Controls!$B$9)/2))+SQRT(1-Controls!$B$10^2)*(Random!AD72-IF(Controls!$B$7="Normal",Controls!$B$8,(Controls!$B$8+Controls!$B$9)/2)))</f>
        <v/>
      </c>
      <c r="K72" s="10" t="str">
        <f>IF(Random!AE72="","",IF(Controls!$B$7="Normal",Controls!$B$8,(Controls!$B$8+Controls!$B$9)/2)+Controls!$B$10*(K71-IF(Controls!$B$7="Normal",Controls!$B$8,(Controls!$B$8+Controls!$B$9)/2))+SQRT(1-Controls!$B$10^2)*(Random!AE72-IF(Controls!$B$7="Normal",Controls!$B$8,(Controls!$B$8+Controls!$B$9)/2)))</f>
        <v/>
      </c>
      <c r="L72" s="10">
        <f>IF($A72="","",IF(AND($A72&gt;=Controls!$B$25,$A72&lt;Controls!$B$25+Controls!$C$25),(Controls!$D$25-1)*EXP(-0.5*(($A72-Controls!$B$25-(Controls!$C$25-1)/2)/MAX(Controls!$C$25/4,0.5))^2),0))</f>
        <v>0</v>
      </c>
      <c r="M72" s="10">
        <f>IF($A72="","",IF(AND($A72&gt;=Controls!$B$26,$A72&lt;Controls!$B$26+Controls!$C$26),(Controls!$D$26-1)*EXP(-0.5*(($A72-Controls!$B$26-(Controls!$C$26-1)/2)/MAX(Controls!$C$26/4,0.5))^2),0))</f>
        <v>0</v>
      </c>
      <c r="N72" s="10">
        <f>IF($A72="","",IF(AND($A72&gt;=Controls!$B$27,$A72&lt;Controls!$B$27+Controls!$C$27),(Controls!$D$27-1)*EXP(-0.5*(($A72-Controls!$B$27-(Controls!$C$27-1)/2)/MAX(Controls!$C$27/4,0.5))^2),0))</f>
        <v>0</v>
      </c>
      <c r="O72" s="10">
        <f>IF($A72="","",IF(AND($A72&gt;=Controls!$B$28,$A72&lt;Controls!$B$28+Controls!$C$28),(Controls!$D$28-1)*EXP(-0.5*(($A72-Controls!$B$28-(Controls!$C$28-1)/2)/MAX(Controls!$C$28/4,0.5))^2),0))</f>
        <v>0.1807242453</v>
      </c>
      <c r="P72" s="4" t="str">
        <f t="shared" si="1"/>
        <v>2100-01-11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21.0" customHeight="1">
      <c r="A73" s="7">
        <f>IF(72&lt;=Controls!$B$5,Controls!$B$4+71,"")</f>
        <v>73062</v>
      </c>
      <c r="B73" s="10">
        <f>IF(Random!V73="","",IF(Controls!$B$7="Normal",Controls!$B$8,(Controls!$B$8+Controls!$B$9)/2)+Controls!$B$10*(B72-IF(Controls!$B$7="Normal",Controls!$B$8,(Controls!$B$8+Controls!$B$9)/2))+SQRT(1-Controls!$B$10^2)*(Random!V73-IF(Controls!$B$7="Normal",Controls!$B$8,(Controls!$B$8+Controls!$B$9)/2)))</f>
        <v>49.56445162</v>
      </c>
      <c r="C73" s="10">
        <f>IF(Random!W73="","",IF(Controls!$B$7="Normal",Controls!$B$8,(Controls!$B$8+Controls!$B$9)/2)+Controls!$B$10*(C72-IF(Controls!$B$7="Normal",Controls!$B$8,(Controls!$B$8+Controls!$B$9)/2))+SQRT(1-Controls!$B$10^2)*(Random!W73-IF(Controls!$B$7="Normal",Controls!$B$8,(Controls!$B$8+Controls!$B$9)/2)))</f>
        <v>65.14825777</v>
      </c>
      <c r="D73" s="10">
        <f>IF(Random!X73="","",IF(Controls!$B$7="Normal",Controls!$B$8,(Controls!$B$8+Controls!$B$9)/2)+Controls!$B$10*(D72-IF(Controls!$B$7="Normal",Controls!$B$8,(Controls!$B$8+Controls!$B$9)/2))+SQRT(1-Controls!$B$10^2)*(Random!X73-IF(Controls!$B$7="Normal",Controls!$B$8,(Controls!$B$8+Controls!$B$9)/2)))</f>
        <v>39.08115889</v>
      </c>
      <c r="E73" s="10" t="str">
        <f>IF(Random!Y73="","",IF(Controls!$B$7="Normal",Controls!$B$8,(Controls!$B$8+Controls!$B$9)/2)+Controls!$B$10*(E72-IF(Controls!$B$7="Normal",Controls!$B$8,(Controls!$B$8+Controls!$B$9)/2))+SQRT(1-Controls!$B$10^2)*(Random!Y73-IF(Controls!$B$7="Normal",Controls!$B$8,(Controls!$B$8+Controls!$B$9)/2)))</f>
        <v/>
      </c>
      <c r="F73" s="10" t="str">
        <f>IF(Random!Z73="","",IF(Controls!$B$7="Normal",Controls!$B$8,(Controls!$B$8+Controls!$B$9)/2)+Controls!$B$10*(F72-IF(Controls!$B$7="Normal",Controls!$B$8,(Controls!$B$8+Controls!$B$9)/2))+SQRT(1-Controls!$B$10^2)*(Random!Z73-IF(Controls!$B$7="Normal",Controls!$B$8,(Controls!$B$8+Controls!$B$9)/2)))</f>
        <v/>
      </c>
      <c r="G73" s="10" t="str">
        <f>IF(Random!AA73="","",IF(Controls!$B$7="Normal",Controls!$B$8,(Controls!$B$8+Controls!$B$9)/2)+Controls!$B$10*(G72-IF(Controls!$B$7="Normal",Controls!$B$8,(Controls!$B$8+Controls!$B$9)/2))+SQRT(1-Controls!$B$10^2)*(Random!AA73-IF(Controls!$B$7="Normal",Controls!$B$8,(Controls!$B$8+Controls!$B$9)/2)))</f>
        <v/>
      </c>
      <c r="H73" s="10" t="str">
        <f>IF(Random!AB73="","",IF(Controls!$B$7="Normal",Controls!$B$8,(Controls!$B$8+Controls!$B$9)/2)+Controls!$B$10*(H72-IF(Controls!$B$7="Normal",Controls!$B$8,(Controls!$B$8+Controls!$B$9)/2))+SQRT(1-Controls!$B$10^2)*(Random!AB73-IF(Controls!$B$7="Normal",Controls!$B$8,(Controls!$B$8+Controls!$B$9)/2)))</f>
        <v/>
      </c>
      <c r="I73" s="10" t="str">
        <f>IF(Random!AC73="","",IF(Controls!$B$7="Normal",Controls!$B$8,(Controls!$B$8+Controls!$B$9)/2)+Controls!$B$10*(I72-IF(Controls!$B$7="Normal",Controls!$B$8,(Controls!$B$8+Controls!$B$9)/2))+SQRT(1-Controls!$B$10^2)*(Random!AC73-IF(Controls!$B$7="Normal",Controls!$B$8,(Controls!$B$8+Controls!$B$9)/2)))</f>
        <v/>
      </c>
      <c r="J73" s="10" t="str">
        <f>IF(Random!AD73="","",IF(Controls!$B$7="Normal",Controls!$B$8,(Controls!$B$8+Controls!$B$9)/2)+Controls!$B$10*(J72-IF(Controls!$B$7="Normal",Controls!$B$8,(Controls!$B$8+Controls!$B$9)/2))+SQRT(1-Controls!$B$10^2)*(Random!AD73-IF(Controls!$B$7="Normal",Controls!$B$8,(Controls!$B$8+Controls!$B$9)/2)))</f>
        <v/>
      </c>
      <c r="K73" s="10" t="str">
        <f>IF(Random!AE73="","",IF(Controls!$B$7="Normal",Controls!$B$8,(Controls!$B$8+Controls!$B$9)/2)+Controls!$B$10*(K72-IF(Controls!$B$7="Normal",Controls!$B$8,(Controls!$B$8+Controls!$B$9)/2))+SQRT(1-Controls!$B$10^2)*(Random!AE73-IF(Controls!$B$7="Normal",Controls!$B$8,(Controls!$B$8+Controls!$B$9)/2)))</f>
        <v/>
      </c>
      <c r="L73" s="10">
        <f>IF($A73="","",IF(AND($A73&gt;=Controls!$B$25,$A73&lt;Controls!$B$25+Controls!$C$25),(Controls!$D$25-1)*EXP(-0.5*(($A73-Controls!$B$25-(Controls!$C$25-1)/2)/MAX(Controls!$C$25/4,0.5))^2),0))</f>
        <v>0</v>
      </c>
      <c r="M73" s="10">
        <f>IF($A73="","",IF(AND($A73&gt;=Controls!$B$26,$A73&lt;Controls!$B$26+Controls!$C$26),(Controls!$D$26-1)*EXP(-0.5*(($A73-Controls!$B$26-(Controls!$C$26-1)/2)/MAX(Controls!$C$26/4,0.5))^2),0))</f>
        <v>0</v>
      </c>
      <c r="N73" s="10">
        <f>IF($A73="","",IF(AND($A73&gt;=Controls!$B$27,$A73&lt;Controls!$B$27+Controls!$C$27),(Controls!$D$27-1)*EXP(-0.5*(($A73-Controls!$B$27-(Controls!$C$27-1)/2)/MAX(Controls!$C$27/4,0.5))^2),0))</f>
        <v>0</v>
      </c>
      <c r="O73" s="10">
        <f>IF($A73="","",IF(AND($A73&gt;=Controls!$B$28,$A73&lt;Controls!$B$28+Controls!$C$28),(Controls!$D$28-1)*EXP(-0.5*(($A73-Controls!$B$28-(Controls!$C$28-1)/2)/MAX(Controls!$C$28/4,0.5))^2),0))</f>
        <v>0</v>
      </c>
      <c r="P73" s="4" t="str">
        <f t="shared" si="1"/>
        <v>2100-01-12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21.0" customHeight="1">
      <c r="A74" s="7">
        <f>IF(73&lt;=Controls!$B$5,Controls!$B$4+72,"")</f>
        <v>73063</v>
      </c>
      <c r="B74" s="10">
        <f>IF(Random!V74="","",IF(Controls!$B$7="Normal",Controls!$B$8,(Controls!$B$8+Controls!$B$9)/2)+Controls!$B$10*(B73-IF(Controls!$B$7="Normal",Controls!$B$8,(Controls!$B$8+Controls!$B$9)/2))+SQRT(1-Controls!$B$10^2)*(Random!V74-IF(Controls!$B$7="Normal",Controls!$B$8,(Controls!$B$8+Controls!$B$9)/2)))</f>
        <v>50.16781914</v>
      </c>
      <c r="C74" s="10">
        <f>IF(Random!W74="","",IF(Controls!$B$7="Normal",Controls!$B$8,(Controls!$B$8+Controls!$B$9)/2)+Controls!$B$10*(C73-IF(Controls!$B$7="Normal",Controls!$B$8,(Controls!$B$8+Controls!$B$9)/2))+SQRT(1-Controls!$B$10^2)*(Random!W74-IF(Controls!$B$7="Normal",Controls!$B$8,(Controls!$B$8+Controls!$B$9)/2)))</f>
        <v>45.08725616</v>
      </c>
      <c r="D74" s="10">
        <f>IF(Random!X74="","",IF(Controls!$B$7="Normal",Controls!$B$8,(Controls!$B$8+Controls!$B$9)/2)+Controls!$B$10*(D73-IF(Controls!$B$7="Normal",Controls!$B$8,(Controls!$B$8+Controls!$B$9)/2))+SQRT(1-Controls!$B$10^2)*(Random!X74-IF(Controls!$B$7="Normal",Controls!$B$8,(Controls!$B$8+Controls!$B$9)/2)))</f>
        <v>38.46273662</v>
      </c>
      <c r="E74" s="10" t="str">
        <f>IF(Random!Y74="","",IF(Controls!$B$7="Normal",Controls!$B$8,(Controls!$B$8+Controls!$B$9)/2)+Controls!$B$10*(E73-IF(Controls!$B$7="Normal",Controls!$B$8,(Controls!$B$8+Controls!$B$9)/2))+SQRT(1-Controls!$B$10^2)*(Random!Y74-IF(Controls!$B$7="Normal",Controls!$B$8,(Controls!$B$8+Controls!$B$9)/2)))</f>
        <v/>
      </c>
      <c r="F74" s="10" t="str">
        <f>IF(Random!Z74="","",IF(Controls!$B$7="Normal",Controls!$B$8,(Controls!$B$8+Controls!$B$9)/2)+Controls!$B$10*(F73-IF(Controls!$B$7="Normal",Controls!$B$8,(Controls!$B$8+Controls!$B$9)/2))+SQRT(1-Controls!$B$10^2)*(Random!Z74-IF(Controls!$B$7="Normal",Controls!$B$8,(Controls!$B$8+Controls!$B$9)/2)))</f>
        <v/>
      </c>
      <c r="G74" s="10" t="str">
        <f>IF(Random!AA74="","",IF(Controls!$B$7="Normal",Controls!$B$8,(Controls!$B$8+Controls!$B$9)/2)+Controls!$B$10*(G73-IF(Controls!$B$7="Normal",Controls!$B$8,(Controls!$B$8+Controls!$B$9)/2))+SQRT(1-Controls!$B$10^2)*(Random!AA74-IF(Controls!$B$7="Normal",Controls!$B$8,(Controls!$B$8+Controls!$B$9)/2)))</f>
        <v/>
      </c>
      <c r="H74" s="10" t="str">
        <f>IF(Random!AB74="","",IF(Controls!$B$7="Normal",Controls!$B$8,(Controls!$B$8+Controls!$B$9)/2)+Controls!$B$10*(H73-IF(Controls!$B$7="Normal",Controls!$B$8,(Controls!$B$8+Controls!$B$9)/2))+SQRT(1-Controls!$B$10^2)*(Random!AB74-IF(Controls!$B$7="Normal",Controls!$B$8,(Controls!$B$8+Controls!$B$9)/2)))</f>
        <v/>
      </c>
      <c r="I74" s="10" t="str">
        <f>IF(Random!AC74="","",IF(Controls!$B$7="Normal",Controls!$B$8,(Controls!$B$8+Controls!$B$9)/2)+Controls!$B$10*(I73-IF(Controls!$B$7="Normal",Controls!$B$8,(Controls!$B$8+Controls!$B$9)/2))+SQRT(1-Controls!$B$10^2)*(Random!AC74-IF(Controls!$B$7="Normal",Controls!$B$8,(Controls!$B$8+Controls!$B$9)/2)))</f>
        <v/>
      </c>
      <c r="J74" s="10" t="str">
        <f>IF(Random!AD74="","",IF(Controls!$B$7="Normal",Controls!$B$8,(Controls!$B$8+Controls!$B$9)/2)+Controls!$B$10*(J73-IF(Controls!$B$7="Normal",Controls!$B$8,(Controls!$B$8+Controls!$B$9)/2))+SQRT(1-Controls!$B$10^2)*(Random!AD74-IF(Controls!$B$7="Normal",Controls!$B$8,(Controls!$B$8+Controls!$B$9)/2)))</f>
        <v/>
      </c>
      <c r="K74" s="10" t="str">
        <f>IF(Random!AE74="","",IF(Controls!$B$7="Normal",Controls!$B$8,(Controls!$B$8+Controls!$B$9)/2)+Controls!$B$10*(K73-IF(Controls!$B$7="Normal",Controls!$B$8,(Controls!$B$8+Controls!$B$9)/2))+SQRT(1-Controls!$B$10^2)*(Random!AE74-IF(Controls!$B$7="Normal",Controls!$B$8,(Controls!$B$8+Controls!$B$9)/2)))</f>
        <v/>
      </c>
      <c r="L74" s="10">
        <f>IF($A74="","",IF(AND($A74&gt;=Controls!$B$25,$A74&lt;Controls!$B$25+Controls!$C$25),(Controls!$D$25-1)*EXP(-0.5*(($A74-Controls!$B$25-(Controls!$C$25-1)/2)/MAX(Controls!$C$25/4,0.5))^2),0))</f>
        <v>0</v>
      </c>
      <c r="M74" s="10">
        <f>IF($A74="","",IF(AND($A74&gt;=Controls!$B$26,$A74&lt;Controls!$B$26+Controls!$C$26),(Controls!$D$26-1)*EXP(-0.5*(($A74-Controls!$B$26-(Controls!$C$26-1)/2)/MAX(Controls!$C$26/4,0.5))^2),0))</f>
        <v>0</v>
      </c>
      <c r="N74" s="10">
        <f>IF($A74="","",IF(AND($A74&gt;=Controls!$B$27,$A74&lt;Controls!$B$27+Controls!$C$27),(Controls!$D$27-1)*EXP(-0.5*(($A74-Controls!$B$27-(Controls!$C$27-1)/2)/MAX(Controls!$C$27/4,0.5))^2),0))</f>
        <v>0</v>
      </c>
      <c r="O74" s="10">
        <f>IF($A74="","",IF(AND($A74&gt;=Controls!$B$28,$A74&lt;Controls!$B$28+Controls!$C$28),(Controls!$D$28-1)*EXP(-0.5*(($A74-Controls!$B$28-(Controls!$C$28-1)/2)/MAX(Controls!$C$28/4,0.5))^2),0))</f>
        <v>0</v>
      </c>
      <c r="P74" s="4" t="str">
        <f t="shared" si="1"/>
        <v>2100-01-13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21.0" customHeight="1">
      <c r="A75" s="7">
        <f>IF(74&lt;=Controls!$B$5,Controls!$B$4+73,"")</f>
        <v>73064</v>
      </c>
      <c r="B75" s="10">
        <f>IF(Random!V75="","",IF(Controls!$B$7="Normal",Controls!$B$8,(Controls!$B$8+Controls!$B$9)/2)+Controls!$B$10*(B74-IF(Controls!$B$7="Normal",Controls!$B$8,(Controls!$B$8+Controls!$B$9)/2))+SQRT(1-Controls!$B$10^2)*(Random!V75-IF(Controls!$B$7="Normal",Controls!$B$8,(Controls!$B$8+Controls!$B$9)/2)))</f>
        <v>45.2274826</v>
      </c>
      <c r="C75" s="10">
        <f>IF(Random!W75="","",IF(Controls!$B$7="Normal",Controls!$B$8,(Controls!$B$8+Controls!$B$9)/2)+Controls!$B$10*(C74-IF(Controls!$B$7="Normal",Controls!$B$8,(Controls!$B$8+Controls!$B$9)/2))+SQRT(1-Controls!$B$10^2)*(Random!W75-IF(Controls!$B$7="Normal",Controls!$B$8,(Controls!$B$8+Controls!$B$9)/2)))</f>
        <v>49.17075352</v>
      </c>
      <c r="D75" s="10">
        <f>IF(Random!X75="","",IF(Controls!$B$7="Normal",Controls!$B$8,(Controls!$B$8+Controls!$B$9)/2)+Controls!$B$10*(D74-IF(Controls!$B$7="Normal",Controls!$B$8,(Controls!$B$8+Controls!$B$9)/2))+SQRT(1-Controls!$B$10^2)*(Random!X75-IF(Controls!$B$7="Normal",Controls!$B$8,(Controls!$B$8+Controls!$B$9)/2)))</f>
        <v>56.51961998</v>
      </c>
      <c r="E75" s="10" t="str">
        <f>IF(Random!Y75="","",IF(Controls!$B$7="Normal",Controls!$B$8,(Controls!$B$8+Controls!$B$9)/2)+Controls!$B$10*(E74-IF(Controls!$B$7="Normal",Controls!$B$8,(Controls!$B$8+Controls!$B$9)/2))+SQRT(1-Controls!$B$10^2)*(Random!Y75-IF(Controls!$B$7="Normal",Controls!$B$8,(Controls!$B$8+Controls!$B$9)/2)))</f>
        <v/>
      </c>
      <c r="F75" s="10" t="str">
        <f>IF(Random!Z75="","",IF(Controls!$B$7="Normal",Controls!$B$8,(Controls!$B$8+Controls!$B$9)/2)+Controls!$B$10*(F74-IF(Controls!$B$7="Normal",Controls!$B$8,(Controls!$B$8+Controls!$B$9)/2))+SQRT(1-Controls!$B$10^2)*(Random!Z75-IF(Controls!$B$7="Normal",Controls!$B$8,(Controls!$B$8+Controls!$B$9)/2)))</f>
        <v/>
      </c>
      <c r="G75" s="10" t="str">
        <f>IF(Random!AA75="","",IF(Controls!$B$7="Normal",Controls!$B$8,(Controls!$B$8+Controls!$B$9)/2)+Controls!$B$10*(G74-IF(Controls!$B$7="Normal",Controls!$B$8,(Controls!$B$8+Controls!$B$9)/2))+SQRT(1-Controls!$B$10^2)*(Random!AA75-IF(Controls!$B$7="Normal",Controls!$B$8,(Controls!$B$8+Controls!$B$9)/2)))</f>
        <v/>
      </c>
      <c r="H75" s="10" t="str">
        <f>IF(Random!AB75="","",IF(Controls!$B$7="Normal",Controls!$B$8,(Controls!$B$8+Controls!$B$9)/2)+Controls!$B$10*(H74-IF(Controls!$B$7="Normal",Controls!$B$8,(Controls!$B$8+Controls!$B$9)/2))+SQRT(1-Controls!$B$10^2)*(Random!AB75-IF(Controls!$B$7="Normal",Controls!$B$8,(Controls!$B$8+Controls!$B$9)/2)))</f>
        <v/>
      </c>
      <c r="I75" s="10" t="str">
        <f>IF(Random!AC75="","",IF(Controls!$B$7="Normal",Controls!$B$8,(Controls!$B$8+Controls!$B$9)/2)+Controls!$B$10*(I74-IF(Controls!$B$7="Normal",Controls!$B$8,(Controls!$B$8+Controls!$B$9)/2))+SQRT(1-Controls!$B$10^2)*(Random!AC75-IF(Controls!$B$7="Normal",Controls!$B$8,(Controls!$B$8+Controls!$B$9)/2)))</f>
        <v/>
      </c>
      <c r="J75" s="10" t="str">
        <f>IF(Random!AD75="","",IF(Controls!$B$7="Normal",Controls!$B$8,(Controls!$B$8+Controls!$B$9)/2)+Controls!$B$10*(J74-IF(Controls!$B$7="Normal",Controls!$B$8,(Controls!$B$8+Controls!$B$9)/2))+SQRT(1-Controls!$B$10^2)*(Random!AD75-IF(Controls!$B$7="Normal",Controls!$B$8,(Controls!$B$8+Controls!$B$9)/2)))</f>
        <v/>
      </c>
      <c r="K75" s="10" t="str">
        <f>IF(Random!AE75="","",IF(Controls!$B$7="Normal",Controls!$B$8,(Controls!$B$8+Controls!$B$9)/2)+Controls!$B$10*(K74-IF(Controls!$B$7="Normal",Controls!$B$8,(Controls!$B$8+Controls!$B$9)/2))+SQRT(1-Controls!$B$10^2)*(Random!AE75-IF(Controls!$B$7="Normal",Controls!$B$8,(Controls!$B$8+Controls!$B$9)/2)))</f>
        <v/>
      </c>
      <c r="L75" s="10">
        <f>IF($A75="","",IF(AND($A75&gt;=Controls!$B$25,$A75&lt;Controls!$B$25+Controls!$C$25),(Controls!$D$25-1)*EXP(-0.5*(($A75-Controls!$B$25-(Controls!$C$25-1)/2)/MAX(Controls!$C$25/4,0.5))^2),0))</f>
        <v>0</v>
      </c>
      <c r="M75" s="10">
        <f>IF($A75="","",IF(AND($A75&gt;=Controls!$B$26,$A75&lt;Controls!$B$26+Controls!$C$26),(Controls!$D$26-1)*EXP(-0.5*(($A75-Controls!$B$26-(Controls!$C$26-1)/2)/MAX(Controls!$C$26/4,0.5))^2),0))</f>
        <v>0</v>
      </c>
      <c r="N75" s="10">
        <f>IF($A75="","",IF(AND($A75&gt;=Controls!$B$27,$A75&lt;Controls!$B$27+Controls!$C$27),(Controls!$D$27-1)*EXP(-0.5*(($A75-Controls!$B$27-(Controls!$C$27-1)/2)/MAX(Controls!$C$27/4,0.5))^2),0))</f>
        <v>0</v>
      </c>
      <c r="O75" s="10">
        <f>IF($A75="","",IF(AND($A75&gt;=Controls!$B$28,$A75&lt;Controls!$B$28+Controls!$C$28),(Controls!$D$28-1)*EXP(-0.5*(($A75-Controls!$B$28-(Controls!$C$28-1)/2)/MAX(Controls!$C$28/4,0.5))^2),0))</f>
        <v>0</v>
      </c>
      <c r="P75" s="4" t="str">
        <f t="shared" si="1"/>
        <v>2100-01-14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21.0" customHeight="1">
      <c r="A76" s="7">
        <f>IF(75&lt;=Controls!$B$5,Controls!$B$4+74,"")</f>
        <v>73065</v>
      </c>
      <c r="B76" s="10">
        <f>IF(Random!V76="","",IF(Controls!$B$7="Normal",Controls!$B$8,(Controls!$B$8+Controls!$B$9)/2)+Controls!$B$10*(B75-IF(Controls!$B$7="Normal",Controls!$B$8,(Controls!$B$8+Controls!$B$9)/2))+SQRT(1-Controls!$B$10^2)*(Random!V76-IF(Controls!$B$7="Normal",Controls!$B$8,(Controls!$B$8+Controls!$B$9)/2)))</f>
        <v>43.53910206</v>
      </c>
      <c r="C76" s="10">
        <f>IF(Random!W76="","",IF(Controls!$B$7="Normal",Controls!$B$8,(Controls!$B$8+Controls!$B$9)/2)+Controls!$B$10*(C75-IF(Controls!$B$7="Normal",Controls!$B$8,(Controls!$B$8+Controls!$B$9)/2))+SQRT(1-Controls!$B$10^2)*(Random!W76-IF(Controls!$B$7="Normal",Controls!$B$8,(Controls!$B$8+Controls!$B$9)/2)))</f>
        <v>58.29939585</v>
      </c>
      <c r="D76" s="10">
        <f>IF(Random!X76="","",IF(Controls!$B$7="Normal",Controls!$B$8,(Controls!$B$8+Controls!$B$9)/2)+Controls!$B$10*(D75-IF(Controls!$B$7="Normal",Controls!$B$8,(Controls!$B$8+Controls!$B$9)/2))+SQRT(1-Controls!$B$10^2)*(Random!X76-IF(Controls!$B$7="Normal",Controls!$B$8,(Controls!$B$8+Controls!$B$9)/2)))</f>
        <v>49.24161941</v>
      </c>
      <c r="E76" s="10" t="str">
        <f>IF(Random!Y76="","",IF(Controls!$B$7="Normal",Controls!$B$8,(Controls!$B$8+Controls!$B$9)/2)+Controls!$B$10*(E75-IF(Controls!$B$7="Normal",Controls!$B$8,(Controls!$B$8+Controls!$B$9)/2))+SQRT(1-Controls!$B$10^2)*(Random!Y76-IF(Controls!$B$7="Normal",Controls!$B$8,(Controls!$B$8+Controls!$B$9)/2)))</f>
        <v/>
      </c>
      <c r="F76" s="10" t="str">
        <f>IF(Random!Z76="","",IF(Controls!$B$7="Normal",Controls!$B$8,(Controls!$B$8+Controls!$B$9)/2)+Controls!$B$10*(F75-IF(Controls!$B$7="Normal",Controls!$B$8,(Controls!$B$8+Controls!$B$9)/2))+SQRT(1-Controls!$B$10^2)*(Random!Z76-IF(Controls!$B$7="Normal",Controls!$B$8,(Controls!$B$8+Controls!$B$9)/2)))</f>
        <v/>
      </c>
      <c r="G76" s="10" t="str">
        <f>IF(Random!AA76="","",IF(Controls!$B$7="Normal",Controls!$B$8,(Controls!$B$8+Controls!$B$9)/2)+Controls!$B$10*(G75-IF(Controls!$B$7="Normal",Controls!$B$8,(Controls!$B$8+Controls!$B$9)/2))+SQRT(1-Controls!$B$10^2)*(Random!AA76-IF(Controls!$B$7="Normal",Controls!$B$8,(Controls!$B$8+Controls!$B$9)/2)))</f>
        <v/>
      </c>
      <c r="H76" s="10" t="str">
        <f>IF(Random!AB76="","",IF(Controls!$B$7="Normal",Controls!$B$8,(Controls!$B$8+Controls!$B$9)/2)+Controls!$B$10*(H75-IF(Controls!$B$7="Normal",Controls!$B$8,(Controls!$B$8+Controls!$B$9)/2))+SQRT(1-Controls!$B$10^2)*(Random!AB76-IF(Controls!$B$7="Normal",Controls!$B$8,(Controls!$B$8+Controls!$B$9)/2)))</f>
        <v/>
      </c>
      <c r="I76" s="10" t="str">
        <f>IF(Random!AC76="","",IF(Controls!$B$7="Normal",Controls!$B$8,(Controls!$B$8+Controls!$B$9)/2)+Controls!$B$10*(I75-IF(Controls!$B$7="Normal",Controls!$B$8,(Controls!$B$8+Controls!$B$9)/2))+SQRT(1-Controls!$B$10^2)*(Random!AC76-IF(Controls!$B$7="Normal",Controls!$B$8,(Controls!$B$8+Controls!$B$9)/2)))</f>
        <v/>
      </c>
      <c r="J76" s="10" t="str">
        <f>IF(Random!AD76="","",IF(Controls!$B$7="Normal",Controls!$B$8,(Controls!$B$8+Controls!$B$9)/2)+Controls!$B$10*(J75-IF(Controls!$B$7="Normal",Controls!$B$8,(Controls!$B$8+Controls!$B$9)/2))+SQRT(1-Controls!$B$10^2)*(Random!AD76-IF(Controls!$B$7="Normal",Controls!$B$8,(Controls!$B$8+Controls!$B$9)/2)))</f>
        <v/>
      </c>
      <c r="K76" s="10" t="str">
        <f>IF(Random!AE76="","",IF(Controls!$B$7="Normal",Controls!$B$8,(Controls!$B$8+Controls!$B$9)/2)+Controls!$B$10*(K75-IF(Controls!$B$7="Normal",Controls!$B$8,(Controls!$B$8+Controls!$B$9)/2))+SQRT(1-Controls!$B$10^2)*(Random!AE76-IF(Controls!$B$7="Normal",Controls!$B$8,(Controls!$B$8+Controls!$B$9)/2)))</f>
        <v/>
      </c>
      <c r="L76" s="10">
        <f>IF($A76="","",IF(AND($A76&gt;=Controls!$B$25,$A76&lt;Controls!$B$25+Controls!$C$25),(Controls!$D$25-1)*EXP(-0.5*(($A76-Controls!$B$25-(Controls!$C$25-1)/2)/MAX(Controls!$C$25/4,0.5))^2),0))</f>
        <v>0</v>
      </c>
      <c r="M76" s="10">
        <f>IF($A76="","",IF(AND($A76&gt;=Controls!$B$26,$A76&lt;Controls!$B$26+Controls!$C$26),(Controls!$D$26-1)*EXP(-0.5*(($A76-Controls!$B$26-(Controls!$C$26-1)/2)/MAX(Controls!$C$26/4,0.5))^2),0))</f>
        <v>0</v>
      </c>
      <c r="N76" s="10">
        <f>IF($A76="","",IF(AND($A76&gt;=Controls!$B$27,$A76&lt;Controls!$B$27+Controls!$C$27),(Controls!$D$27-1)*EXP(-0.5*(($A76-Controls!$B$27-(Controls!$C$27-1)/2)/MAX(Controls!$C$27/4,0.5))^2),0))</f>
        <v>0</v>
      </c>
      <c r="O76" s="10">
        <f>IF($A76="","",IF(AND($A76&gt;=Controls!$B$28,$A76&lt;Controls!$B$28+Controls!$C$28),(Controls!$D$28-1)*EXP(-0.5*(($A76-Controls!$B$28-(Controls!$C$28-1)/2)/MAX(Controls!$C$28/4,0.5))^2),0))</f>
        <v>0</v>
      </c>
      <c r="P76" s="4" t="str">
        <f t="shared" si="1"/>
        <v>2100-01-15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21.0" customHeight="1">
      <c r="A77" s="7">
        <f>IF(76&lt;=Controls!$B$5,Controls!$B$4+75,"")</f>
        <v>73066</v>
      </c>
      <c r="B77" s="10">
        <f>IF(Random!V77="","",IF(Controls!$B$7="Normal",Controls!$B$8,(Controls!$B$8+Controls!$B$9)/2)+Controls!$B$10*(B76-IF(Controls!$B$7="Normal",Controls!$B$8,(Controls!$B$8+Controls!$B$9)/2))+SQRT(1-Controls!$B$10^2)*(Random!V77-IF(Controls!$B$7="Normal",Controls!$B$8,(Controls!$B$8+Controls!$B$9)/2)))</f>
        <v>42.59257977</v>
      </c>
      <c r="C77" s="10">
        <f>IF(Random!W77="","",IF(Controls!$B$7="Normal",Controls!$B$8,(Controls!$B$8+Controls!$B$9)/2)+Controls!$B$10*(C76-IF(Controls!$B$7="Normal",Controls!$B$8,(Controls!$B$8+Controls!$B$9)/2))+SQRT(1-Controls!$B$10^2)*(Random!W77-IF(Controls!$B$7="Normal",Controls!$B$8,(Controls!$B$8+Controls!$B$9)/2)))</f>
        <v>66.27334283</v>
      </c>
      <c r="D77" s="10">
        <f>IF(Random!X77="","",IF(Controls!$B$7="Normal",Controls!$B$8,(Controls!$B$8+Controls!$B$9)/2)+Controls!$B$10*(D76-IF(Controls!$B$7="Normal",Controls!$B$8,(Controls!$B$8+Controls!$B$9)/2))+SQRT(1-Controls!$B$10^2)*(Random!X77-IF(Controls!$B$7="Normal",Controls!$B$8,(Controls!$B$8+Controls!$B$9)/2)))</f>
        <v>48.84009268</v>
      </c>
      <c r="E77" s="10" t="str">
        <f>IF(Random!Y77="","",IF(Controls!$B$7="Normal",Controls!$B$8,(Controls!$B$8+Controls!$B$9)/2)+Controls!$B$10*(E76-IF(Controls!$B$7="Normal",Controls!$B$8,(Controls!$B$8+Controls!$B$9)/2))+SQRT(1-Controls!$B$10^2)*(Random!Y77-IF(Controls!$B$7="Normal",Controls!$B$8,(Controls!$B$8+Controls!$B$9)/2)))</f>
        <v/>
      </c>
      <c r="F77" s="10" t="str">
        <f>IF(Random!Z77="","",IF(Controls!$B$7="Normal",Controls!$B$8,(Controls!$B$8+Controls!$B$9)/2)+Controls!$B$10*(F76-IF(Controls!$B$7="Normal",Controls!$B$8,(Controls!$B$8+Controls!$B$9)/2))+SQRT(1-Controls!$B$10^2)*(Random!Z77-IF(Controls!$B$7="Normal",Controls!$B$8,(Controls!$B$8+Controls!$B$9)/2)))</f>
        <v/>
      </c>
      <c r="G77" s="10" t="str">
        <f>IF(Random!AA77="","",IF(Controls!$B$7="Normal",Controls!$B$8,(Controls!$B$8+Controls!$B$9)/2)+Controls!$B$10*(G76-IF(Controls!$B$7="Normal",Controls!$B$8,(Controls!$B$8+Controls!$B$9)/2))+SQRT(1-Controls!$B$10^2)*(Random!AA77-IF(Controls!$B$7="Normal",Controls!$B$8,(Controls!$B$8+Controls!$B$9)/2)))</f>
        <v/>
      </c>
      <c r="H77" s="10" t="str">
        <f>IF(Random!AB77="","",IF(Controls!$B$7="Normal",Controls!$B$8,(Controls!$B$8+Controls!$B$9)/2)+Controls!$B$10*(H76-IF(Controls!$B$7="Normal",Controls!$B$8,(Controls!$B$8+Controls!$B$9)/2))+SQRT(1-Controls!$B$10^2)*(Random!AB77-IF(Controls!$B$7="Normal",Controls!$B$8,(Controls!$B$8+Controls!$B$9)/2)))</f>
        <v/>
      </c>
      <c r="I77" s="10" t="str">
        <f>IF(Random!AC77="","",IF(Controls!$B$7="Normal",Controls!$B$8,(Controls!$B$8+Controls!$B$9)/2)+Controls!$B$10*(I76-IF(Controls!$B$7="Normal",Controls!$B$8,(Controls!$B$8+Controls!$B$9)/2))+SQRT(1-Controls!$B$10^2)*(Random!AC77-IF(Controls!$B$7="Normal",Controls!$B$8,(Controls!$B$8+Controls!$B$9)/2)))</f>
        <v/>
      </c>
      <c r="J77" s="10" t="str">
        <f>IF(Random!AD77="","",IF(Controls!$B$7="Normal",Controls!$B$8,(Controls!$B$8+Controls!$B$9)/2)+Controls!$B$10*(J76-IF(Controls!$B$7="Normal",Controls!$B$8,(Controls!$B$8+Controls!$B$9)/2))+SQRT(1-Controls!$B$10^2)*(Random!AD77-IF(Controls!$B$7="Normal",Controls!$B$8,(Controls!$B$8+Controls!$B$9)/2)))</f>
        <v/>
      </c>
      <c r="K77" s="10" t="str">
        <f>IF(Random!AE77="","",IF(Controls!$B$7="Normal",Controls!$B$8,(Controls!$B$8+Controls!$B$9)/2)+Controls!$B$10*(K76-IF(Controls!$B$7="Normal",Controls!$B$8,(Controls!$B$8+Controls!$B$9)/2))+SQRT(1-Controls!$B$10^2)*(Random!AE77-IF(Controls!$B$7="Normal",Controls!$B$8,(Controls!$B$8+Controls!$B$9)/2)))</f>
        <v/>
      </c>
      <c r="L77" s="10">
        <f>IF($A77="","",IF(AND($A77&gt;=Controls!$B$25,$A77&lt;Controls!$B$25+Controls!$C$25),(Controls!$D$25-1)*EXP(-0.5*(($A77-Controls!$B$25-(Controls!$C$25-1)/2)/MAX(Controls!$C$25/4,0.5))^2),0))</f>
        <v>0</v>
      </c>
      <c r="M77" s="10">
        <f>IF($A77="","",IF(AND($A77&gt;=Controls!$B$26,$A77&lt;Controls!$B$26+Controls!$C$26),(Controls!$D$26-1)*EXP(-0.5*(($A77-Controls!$B$26-(Controls!$C$26-1)/2)/MAX(Controls!$C$26/4,0.5))^2),0))</f>
        <v>0</v>
      </c>
      <c r="N77" s="10">
        <f>IF($A77="","",IF(AND($A77&gt;=Controls!$B$27,$A77&lt;Controls!$B$27+Controls!$C$27),(Controls!$D$27-1)*EXP(-0.5*(($A77-Controls!$B$27-(Controls!$C$27-1)/2)/MAX(Controls!$C$27/4,0.5))^2),0))</f>
        <v>0</v>
      </c>
      <c r="O77" s="10">
        <f>IF($A77="","",IF(AND($A77&gt;=Controls!$B$28,$A77&lt;Controls!$B$28+Controls!$C$28),(Controls!$D$28-1)*EXP(-0.5*(($A77-Controls!$B$28-(Controls!$C$28-1)/2)/MAX(Controls!$C$28/4,0.5))^2),0))</f>
        <v>0</v>
      </c>
      <c r="P77" s="4" t="str">
        <f t="shared" si="1"/>
        <v>2100-01-16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21.0" customHeight="1">
      <c r="A78" s="7">
        <f>IF(77&lt;=Controls!$B$5,Controls!$B$4+76,"")</f>
        <v>73067</v>
      </c>
      <c r="B78" s="10">
        <f>IF(Random!V78="","",IF(Controls!$B$7="Normal",Controls!$B$8,(Controls!$B$8+Controls!$B$9)/2)+Controls!$B$10*(B77-IF(Controls!$B$7="Normal",Controls!$B$8,(Controls!$B$8+Controls!$B$9)/2))+SQRT(1-Controls!$B$10^2)*(Random!V78-IF(Controls!$B$7="Normal",Controls!$B$8,(Controls!$B$8+Controls!$B$9)/2)))</f>
        <v>43.09464873</v>
      </c>
      <c r="C78" s="10">
        <f>IF(Random!W78="","",IF(Controls!$B$7="Normal",Controls!$B$8,(Controls!$B$8+Controls!$B$9)/2)+Controls!$B$10*(C77-IF(Controls!$B$7="Normal",Controls!$B$8,(Controls!$B$8+Controls!$B$9)/2))+SQRT(1-Controls!$B$10^2)*(Random!W78-IF(Controls!$B$7="Normal",Controls!$B$8,(Controls!$B$8+Controls!$B$9)/2)))</f>
        <v>62.86172093</v>
      </c>
      <c r="D78" s="10">
        <f>IF(Random!X78="","",IF(Controls!$B$7="Normal",Controls!$B$8,(Controls!$B$8+Controls!$B$9)/2)+Controls!$B$10*(D77-IF(Controls!$B$7="Normal",Controls!$B$8,(Controls!$B$8+Controls!$B$9)/2))+SQRT(1-Controls!$B$10^2)*(Random!X78-IF(Controls!$B$7="Normal",Controls!$B$8,(Controls!$B$8+Controls!$B$9)/2)))</f>
        <v>48.27780707</v>
      </c>
      <c r="E78" s="10" t="str">
        <f>IF(Random!Y78="","",IF(Controls!$B$7="Normal",Controls!$B$8,(Controls!$B$8+Controls!$B$9)/2)+Controls!$B$10*(E77-IF(Controls!$B$7="Normal",Controls!$B$8,(Controls!$B$8+Controls!$B$9)/2))+SQRT(1-Controls!$B$10^2)*(Random!Y78-IF(Controls!$B$7="Normal",Controls!$B$8,(Controls!$B$8+Controls!$B$9)/2)))</f>
        <v/>
      </c>
      <c r="F78" s="10" t="str">
        <f>IF(Random!Z78="","",IF(Controls!$B$7="Normal",Controls!$B$8,(Controls!$B$8+Controls!$B$9)/2)+Controls!$B$10*(F77-IF(Controls!$B$7="Normal",Controls!$B$8,(Controls!$B$8+Controls!$B$9)/2))+SQRT(1-Controls!$B$10^2)*(Random!Z78-IF(Controls!$B$7="Normal",Controls!$B$8,(Controls!$B$8+Controls!$B$9)/2)))</f>
        <v/>
      </c>
      <c r="G78" s="10" t="str">
        <f>IF(Random!AA78="","",IF(Controls!$B$7="Normal",Controls!$B$8,(Controls!$B$8+Controls!$B$9)/2)+Controls!$B$10*(G77-IF(Controls!$B$7="Normal",Controls!$B$8,(Controls!$B$8+Controls!$B$9)/2))+SQRT(1-Controls!$B$10^2)*(Random!AA78-IF(Controls!$B$7="Normal",Controls!$B$8,(Controls!$B$8+Controls!$B$9)/2)))</f>
        <v/>
      </c>
      <c r="H78" s="10" t="str">
        <f>IF(Random!AB78="","",IF(Controls!$B$7="Normal",Controls!$B$8,(Controls!$B$8+Controls!$B$9)/2)+Controls!$B$10*(H77-IF(Controls!$B$7="Normal",Controls!$B$8,(Controls!$B$8+Controls!$B$9)/2))+SQRT(1-Controls!$B$10^2)*(Random!AB78-IF(Controls!$B$7="Normal",Controls!$B$8,(Controls!$B$8+Controls!$B$9)/2)))</f>
        <v/>
      </c>
      <c r="I78" s="10" t="str">
        <f>IF(Random!AC78="","",IF(Controls!$B$7="Normal",Controls!$B$8,(Controls!$B$8+Controls!$B$9)/2)+Controls!$B$10*(I77-IF(Controls!$B$7="Normal",Controls!$B$8,(Controls!$B$8+Controls!$B$9)/2))+SQRT(1-Controls!$B$10^2)*(Random!AC78-IF(Controls!$B$7="Normal",Controls!$B$8,(Controls!$B$8+Controls!$B$9)/2)))</f>
        <v/>
      </c>
      <c r="J78" s="10" t="str">
        <f>IF(Random!AD78="","",IF(Controls!$B$7="Normal",Controls!$B$8,(Controls!$B$8+Controls!$B$9)/2)+Controls!$B$10*(J77-IF(Controls!$B$7="Normal",Controls!$B$8,(Controls!$B$8+Controls!$B$9)/2))+SQRT(1-Controls!$B$10^2)*(Random!AD78-IF(Controls!$B$7="Normal",Controls!$B$8,(Controls!$B$8+Controls!$B$9)/2)))</f>
        <v/>
      </c>
      <c r="K78" s="10" t="str">
        <f>IF(Random!AE78="","",IF(Controls!$B$7="Normal",Controls!$B$8,(Controls!$B$8+Controls!$B$9)/2)+Controls!$B$10*(K77-IF(Controls!$B$7="Normal",Controls!$B$8,(Controls!$B$8+Controls!$B$9)/2))+SQRT(1-Controls!$B$10^2)*(Random!AE78-IF(Controls!$B$7="Normal",Controls!$B$8,(Controls!$B$8+Controls!$B$9)/2)))</f>
        <v/>
      </c>
      <c r="L78" s="10">
        <f>IF($A78="","",IF(AND($A78&gt;=Controls!$B$25,$A78&lt;Controls!$B$25+Controls!$C$25),(Controls!$D$25-1)*EXP(-0.5*(($A78-Controls!$B$25-(Controls!$C$25-1)/2)/MAX(Controls!$C$25/4,0.5))^2),0))</f>
        <v>0</v>
      </c>
      <c r="M78" s="10">
        <f>IF($A78="","",IF(AND($A78&gt;=Controls!$B$26,$A78&lt;Controls!$B$26+Controls!$C$26),(Controls!$D$26-1)*EXP(-0.5*(($A78-Controls!$B$26-(Controls!$C$26-1)/2)/MAX(Controls!$C$26/4,0.5))^2),0))</f>
        <v>0</v>
      </c>
      <c r="N78" s="10">
        <f>IF($A78="","",IF(AND($A78&gt;=Controls!$B$27,$A78&lt;Controls!$B$27+Controls!$C$27),(Controls!$D$27-1)*EXP(-0.5*(($A78-Controls!$B$27-(Controls!$C$27-1)/2)/MAX(Controls!$C$27/4,0.5))^2),0))</f>
        <v>0</v>
      </c>
      <c r="O78" s="10">
        <f>IF($A78="","",IF(AND($A78&gt;=Controls!$B$28,$A78&lt;Controls!$B$28+Controls!$C$28),(Controls!$D$28-1)*EXP(-0.5*(($A78-Controls!$B$28-(Controls!$C$28-1)/2)/MAX(Controls!$C$28/4,0.5))^2),0))</f>
        <v>0</v>
      </c>
      <c r="P78" s="4" t="str">
        <f t="shared" si="1"/>
        <v>2100-01-17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21.0" customHeight="1">
      <c r="A79" s="7">
        <f>IF(78&lt;=Controls!$B$5,Controls!$B$4+77,"")</f>
        <v>73068</v>
      </c>
      <c r="B79" s="10">
        <f>IF(Random!V79="","",IF(Controls!$B$7="Normal",Controls!$B$8,(Controls!$B$8+Controls!$B$9)/2)+Controls!$B$10*(B78-IF(Controls!$B$7="Normal",Controls!$B$8,(Controls!$B$8+Controls!$B$9)/2))+SQRT(1-Controls!$B$10^2)*(Random!V79-IF(Controls!$B$7="Normal",Controls!$B$8,(Controls!$B$8+Controls!$B$9)/2)))</f>
        <v>48.78046556</v>
      </c>
      <c r="C79" s="10">
        <f>IF(Random!W79="","",IF(Controls!$B$7="Normal",Controls!$B$8,(Controls!$B$8+Controls!$B$9)/2)+Controls!$B$10*(C78-IF(Controls!$B$7="Normal",Controls!$B$8,(Controls!$B$8+Controls!$B$9)/2))+SQRT(1-Controls!$B$10^2)*(Random!W79-IF(Controls!$B$7="Normal",Controls!$B$8,(Controls!$B$8+Controls!$B$9)/2)))</f>
        <v>56.88875763</v>
      </c>
      <c r="D79" s="10">
        <f>IF(Random!X79="","",IF(Controls!$B$7="Normal",Controls!$B$8,(Controls!$B$8+Controls!$B$9)/2)+Controls!$B$10*(D78-IF(Controls!$B$7="Normal",Controls!$B$8,(Controls!$B$8+Controls!$B$9)/2))+SQRT(1-Controls!$B$10^2)*(Random!X79-IF(Controls!$B$7="Normal",Controls!$B$8,(Controls!$B$8+Controls!$B$9)/2)))</f>
        <v>49.00990085</v>
      </c>
      <c r="E79" s="10" t="str">
        <f>IF(Random!Y79="","",IF(Controls!$B$7="Normal",Controls!$B$8,(Controls!$B$8+Controls!$B$9)/2)+Controls!$B$10*(E78-IF(Controls!$B$7="Normal",Controls!$B$8,(Controls!$B$8+Controls!$B$9)/2))+SQRT(1-Controls!$B$10^2)*(Random!Y79-IF(Controls!$B$7="Normal",Controls!$B$8,(Controls!$B$8+Controls!$B$9)/2)))</f>
        <v/>
      </c>
      <c r="F79" s="10" t="str">
        <f>IF(Random!Z79="","",IF(Controls!$B$7="Normal",Controls!$B$8,(Controls!$B$8+Controls!$B$9)/2)+Controls!$B$10*(F78-IF(Controls!$B$7="Normal",Controls!$B$8,(Controls!$B$8+Controls!$B$9)/2))+SQRT(1-Controls!$B$10^2)*(Random!Z79-IF(Controls!$B$7="Normal",Controls!$B$8,(Controls!$B$8+Controls!$B$9)/2)))</f>
        <v/>
      </c>
      <c r="G79" s="10" t="str">
        <f>IF(Random!AA79="","",IF(Controls!$B$7="Normal",Controls!$B$8,(Controls!$B$8+Controls!$B$9)/2)+Controls!$B$10*(G78-IF(Controls!$B$7="Normal",Controls!$B$8,(Controls!$B$8+Controls!$B$9)/2))+SQRT(1-Controls!$B$10^2)*(Random!AA79-IF(Controls!$B$7="Normal",Controls!$B$8,(Controls!$B$8+Controls!$B$9)/2)))</f>
        <v/>
      </c>
      <c r="H79" s="10" t="str">
        <f>IF(Random!AB79="","",IF(Controls!$B$7="Normal",Controls!$B$8,(Controls!$B$8+Controls!$B$9)/2)+Controls!$B$10*(H78-IF(Controls!$B$7="Normal",Controls!$B$8,(Controls!$B$8+Controls!$B$9)/2))+SQRT(1-Controls!$B$10^2)*(Random!AB79-IF(Controls!$B$7="Normal",Controls!$B$8,(Controls!$B$8+Controls!$B$9)/2)))</f>
        <v/>
      </c>
      <c r="I79" s="10" t="str">
        <f>IF(Random!AC79="","",IF(Controls!$B$7="Normal",Controls!$B$8,(Controls!$B$8+Controls!$B$9)/2)+Controls!$B$10*(I78-IF(Controls!$B$7="Normal",Controls!$B$8,(Controls!$B$8+Controls!$B$9)/2))+SQRT(1-Controls!$B$10^2)*(Random!AC79-IF(Controls!$B$7="Normal",Controls!$B$8,(Controls!$B$8+Controls!$B$9)/2)))</f>
        <v/>
      </c>
      <c r="J79" s="10" t="str">
        <f>IF(Random!AD79="","",IF(Controls!$B$7="Normal",Controls!$B$8,(Controls!$B$8+Controls!$B$9)/2)+Controls!$B$10*(J78-IF(Controls!$B$7="Normal",Controls!$B$8,(Controls!$B$8+Controls!$B$9)/2))+SQRT(1-Controls!$B$10^2)*(Random!AD79-IF(Controls!$B$7="Normal",Controls!$B$8,(Controls!$B$8+Controls!$B$9)/2)))</f>
        <v/>
      </c>
      <c r="K79" s="10" t="str">
        <f>IF(Random!AE79="","",IF(Controls!$B$7="Normal",Controls!$B$8,(Controls!$B$8+Controls!$B$9)/2)+Controls!$B$10*(K78-IF(Controls!$B$7="Normal",Controls!$B$8,(Controls!$B$8+Controls!$B$9)/2))+SQRT(1-Controls!$B$10^2)*(Random!AE79-IF(Controls!$B$7="Normal",Controls!$B$8,(Controls!$B$8+Controls!$B$9)/2)))</f>
        <v/>
      </c>
      <c r="L79" s="10">
        <f>IF($A79="","",IF(AND($A79&gt;=Controls!$B$25,$A79&lt;Controls!$B$25+Controls!$C$25),(Controls!$D$25-1)*EXP(-0.5*(($A79-Controls!$B$25-(Controls!$C$25-1)/2)/MAX(Controls!$C$25/4,0.5))^2),0))</f>
        <v>0</v>
      </c>
      <c r="M79" s="10">
        <f>IF($A79="","",IF(AND($A79&gt;=Controls!$B$26,$A79&lt;Controls!$B$26+Controls!$C$26),(Controls!$D$26-1)*EXP(-0.5*(($A79-Controls!$B$26-(Controls!$C$26-1)/2)/MAX(Controls!$C$26/4,0.5))^2),0))</f>
        <v>0</v>
      </c>
      <c r="N79" s="10">
        <f>IF($A79="","",IF(AND($A79&gt;=Controls!$B$27,$A79&lt;Controls!$B$27+Controls!$C$27),(Controls!$D$27-1)*EXP(-0.5*(($A79-Controls!$B$27-(Controls!$C$27-1)/2)/MAX(Controls!$C$27/4,0.5))^2),0))</f>
        <v>0</v>
      </c>
      <c r="O79" s="10">
        <f>IF($A79="","",IF(AND($A79&gt;=Controls!$B$28,$A79&lt;Controls!$B$28+Controls!$C$28),(Controls!$D$28-1)*EXP(-0.5*(($A79-Controls!$B$28-(Controls!$C$28-1)/2)/MAX(Controls!$C$28/4,0.5))^2),0))</f>
        <v>0</v>
      </c>
      <c r="P79" s="4" t="str">
        <f t="shared" si="1"/>
        <v>2100-01-18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21.0" customHeight="1">
      <c r="A80" s="7">
        <f>IF(79&lt;=Controls!$B$5,Controls!$B$4+78,"")</f>
        <v>73069</v>
      </c>
      <c r="B80" s="10">
        <f>IF(Random!V80="","",IF(Controls!$B$7="Normal",Controls!$B$8,(Controls!$B$8+Controls!$B$9)/2)+Controls!$B$10*(B79-IF(Controls!$B$7="Normal",Controls!$B$8,(Controls!$B$8+Controls!$B$9)/2))+SQRT(1-Controls!$B$10^2)*(Random!V80-IF(Controls!$B$7="Normal",Controls!$B$8,(Controls!$B$8+Controls!$B$9)/2)))</f>
        <v>47.54467612</v>
      </c>
      <c r="C80" s="10">
        <f>IF(Random!W80="","",IF(Controls!$B$7="Normal",Controls!$B$8,(Controls!$B$8+Controls!$B$9)/2)+Controls!$B$10*(C79-IF(Controls!$B$7="Normal",Controls!$B$8,(Controls!$B$8+Controls!$B$9)/2))+SQRT(1-Controls!$B$10^2)*(Random!W80-IF(Controls!$B$7="Normal",Controls!$B$8,(Controls!$B$8+Controls!$B$9)/2)))</f>
        <v>69.99846643</v>
      </c>
      <c r="D80" s="10">
        <f>IF(Random!X80="","",IF(Controls!$B$7="Normal",Controls!$B$8,(Controls!$B$8+Controls!$B$9)/2)+Controls!$B$10*(D79-IF(Controls!$B$7="Normal",Controls!$B$8,(Controls!$B$8+Controls!$B$9)/2))+SQRT(1-Controls!$B$10^2)*(Random!X80-IF(Controls!$B$7="Normal",Controls!$B$8,(Controls!$B$8+Controls!$B$9)/2)))</f>
        <v>39.46561254</v>
      </c>
      <c r="E80" s="10" t="str">
        <f>IF(Random!Y80="","",IF(Controls!$B$7="Normal",Controls!$B$8,(Controls!$B$8+Controls!$B$9)/2)+Controls!$B$10*(E79-IF(Controls!$B$7="Normal",Controls!$B$8,(Controls!$B$8+Controls!$B$9)/2))+SQRT(1-Controls!$B$10^2)*(Random!Y80-IF(Controls!$B$7="Normal",Controls!$B$8,(Controls!$B$8+Controls!$B$9)/2)))</f>
        <v/>
      </c>
      <c r="F80" s="10" t="str">
        <f>IF(Random!Z80="","",IF(Controls!$B$7="Normal",Controls!$B$8,(Controls!$B$8+Controls!$B$9)/2)+Controls!$B$10*(F79-IF(Controls!$B$7="Normal",Controls!$B$8,(Controls!$B$8+Controls!$B$9)/2))+SQRT(1-Controls!$B$10^2)*(Random!Z80-IF(Controls!$B$7="Normal",Controls!$B$8,(Controls!$B$8+Controls!$B$9)/2)))</f>
        <v/>
      </c>
      <c r="G80" s="10" t="str">
        <f>IF(Random!AA80="","",IF(Controls!$B$7="Normal",Controls!$B$8,(Controls!$B$8+Controls!$B$9)/2)+Controls!$B$10*(G79-IF(Controls!$B$7="Normal",Controls!$B$8,(Controls!$B$8+Controls!$B$9)/2))+SQRT(1-Controls!$B$10^2)*(Random!AA80-IF(Controls!$B$7="Normal",Controls!$B$8,(Controls!$B$8+Controls!$B$9)/2)))</f>
        <v/>
      </c>
      <c r="H80" s="10" t="str">
        <f>IF(Random!AB80="","",IF(Controls!$B$7="Normal",Controls!$B$8,(Controls!$B$8+Controls!$B$9)/2)+Controls!$B$10*(H79-IF(Controls!$B$7="Normal",Controls!$B$8,(Controls!$B$8+Controls!$B$9)/2))+SQRT(1-Controls!$B$10^2)*(Random!AB80-IF(Controls!$B$7="Normal",Controls!$B$8,(Controls!$B$8+Controls!$B$9)/2)))</f>
        <v/>
      </c>
      <c r="I80" s="10" t="str">
        <f>IF(Random!AC80="","",IF(Controls!$B$7="Normal",Controls!$B$8,(Controls!$B$8+Controls!$B$9)/2)+Controls!$B$10*(I79-IF(Controls!$B$7="Normal",Controls!$B$8,(Controls!$B$8+Controls!$B$9)/2))+SQRT(1-Controls!$B$10^2)*(Random!AC80-IF(Controls!$B$7="Normal",Controls!$B$8,(Controls!$B$8+Controls!$B$9)/2)))</f>
        <v/>
      </c>
      <c r="J80" s="10" t="str">
        <f>IF(Random!AD80="","",IF(Controls!$B$7="Normal",Controls!$B$8,(Controls!$B$8+Controls!$B$9)/2)+Controls!$B$10*(J79-IF(Controls!$B$7="Normal",Controls!$B$8,(Controls!$B$8+Controls!$B$9)/2))+SQRT(1-Controls!$B$10^2)*(Random!AD80-IF(Controls!$B$7="Normal",Controls!$B$8,(Controls!$B$8+Controls!$B$9)/2)))</f>
        <v/>
      </c>
      <c r="K80" s="10" t="str">
        <f>IF(Random!AE80="","",IF(Controls!$B$7="Normal",Controls!$B$8,(Controls!$B$8+Controls!$B$9)/2)+Controls!$B$10*(K79-IF(Controls!$B$7="Normal",Controls!$B$8,(Controls!$B$8+Controls!$B$9)/2))+SQRT(1-Controls!$B$10^2)*(Random!AE80-IF(Controls!$B$7="Normal",Controls!$B$8,(Controls!$B$8+Controls!$B$9)/2)))</f>
        <v/>
      </c>
      <c r="L80" s="10">
        <f>IF($A80="","",IF(AND($A80&gt;=Controls!$B$25,$A80&lt;Controls!$B$25+Controls!$C$25),(Controls!$D$25-1)*EXP(-0.5*(($A80-Controls!$B$25-(Controls!$C$25-1)/2)/MAX(Controls!$C$25/4,0.5))^2),0))</f>
        <v>0</v>
      </c>
      <c r="M80" s="10">
        <f>IF($A80="","",IF(AND($A80&gt;=Controls!$B$26,$A80&lt;Controls!$B$26+Controls!$C$26),(Controls!$D$26-1)*EXP(-0.5*(($A80-Controls!$B$26-(Controls!$C$26-1)/2)/MAX(Controls!$C$26/4,0.5))^2),0))</f>
        <v>0</v>
      </c>
      <c r="N80" s="10">
        <f>IF($A80="","",IF(AND($A80&gt;=Controls!$B$27,$A80&lt;Controls!$B$27+Controls!$C$27),(Controls!$D$27-1)*EXP(-0.5*(($A80-Controls!$B$27-(Controls!$C$27-1)/2)/MAX(Controls!$C$27/4,0.5))^2),0))</f>
        <v>0</v>
      </c>
      <c r="O80" s="10">
        <f>IF($A80="","",IF(AND($A80&gt;=Controls!$B$28,$A80&lt;Controls!$B$28+Controls!$C$28),(Controls!$D$28-1)*EXP(-0.5*(($A80-Controls!$B$28-(Controls!$C$28-1)/2)/MAX(Controls!$C$28/4,0.5))^2),0))</f>
        <v>0</v>
      </c>
      <c r="P80" s="4" t="str">
        <f t="shared" si="1"/>
        <v>2100-01-19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21.0" customHeight="1">
      <c r="A81" s="7">
        <f>IF(80&lt;=Controls!$B$5,Controls!$B$4+79,"")</f>
        <v>73070</v>
      </c>
      <c r="B81" s="10">
        <f>IF(Random!V81="","",IF(Controls!$B$7="Normal",Controls!$B$8,(Controls!$B$8+Controls!$B$9)/2)+Controls!$B$10*(B80-IF(Controls!$B$7="Normal",Controls!$B$8,(Controls!$B$8+Controls!$B$9)/2))+SQRT(1-Controls!$B$10^2)*(Random!V81-IF(Controls!$B$7="Normal",Controls!$B$8,(Controls!$B$8+Controls!$B$9)/2)))</f>
        <v>53.48979648</v>
      </c>
      <c r="C81" s="10">
        <f>IF(Random!W81="","",IF(Controls!$B$7="Normal",Controls!$B$8,(Controls!$B$8+Controls!$B$9)/2)+Controls!$B$10*(C80-IF(Controls!$B$7="Normal",Controls!$B$8,(Controls!$B$8+Controls!$B$9)/2))+SQRT(1-Controls!$B$10^2)*(Random!W81-IF(Controls!$B$7="Normal",Controls!$B$8,(Controls!$B$8+Controls!$B$9)/2)))</f>
        <v>64.97921416</v>
      </c>
      <c r="D81" s="10">
        <f>IF(Random!X81="","",IF(Controls!$B$7="Normal",Controls!$B$8,(Controls!$B$8+Controls!$B$9)/2)+Controls!$B$10*(D80-IF(Controls!$B$7="Normal",Controls!$B$8,(Controls!$B$8+Controls!$B$9)/2))+SQRT(1-Controls!$B$10^2)*(Random!X81-IF(Controls!$B$7="Normal",Controls!$B$8,(Controls!$B$8+Controls!$B$9)/2)))</f>
        <v>29.20445996</v>
      </c>
      <c r="E81" s="10" t="str">
        <f>IF(Random!Y81="","",IF(Controls!$B$7="Normal",Controls!$B$8,(Controls!$B$8+Controls!$B$9)/2)+Controls!$B$10*(E80-IF(Controls!$B$7="Normal",Controls!$B$8,(Controls!$B$8+Controls!$B$9)/2))+SQRT(1-Controls!$B$10^2)*(Random!Y81-IF(Controls!$B$7="Normal",Controls!$B$8,(Controls!$B$8+Controls!$B$9)/2)))</f>
        <v/>
      </c>
      <c r="F81" s="10" t="str">
        <f>IF(Random!Z81="","",IF(Controls!$B$7="Normal",Controls!$B$8,(Controls!$B$8+Controls!$B$9)/2)+Controls!$B$10*(F80-IF(Controls!$B$7="Normal",Controls!$B$8,(Controls!$B$8+Controls!$B$9)/2))+SQRT(1-Controls!$B$10^2)*(Random!Z81-IF(Controls!$B$7="Normal",Controls!$B$8,(Controls!$B$8+Controls!$B$9)/2)))</f>
        <v/>
      </c>
      <c r="G81" s="10" t="str">
        <f>IF(Random!AA81="","",IF(Controls!$B$7="Normal",Controls!$B$8,(Controls!$B$8+Controls!$B$9)/2)+Controls!$B$10*(G80-IF(Controls!$B$7="Normal",Controls!$B$8,(Controls!$B$8+Controls!$B$9)/2))+SQRT(1-Controls!$B$10^2)*(Random!AA81-IF(Controls!$B$7="Normal",Controls!$B$8,(Controls!$B$8+Controls!$B$9)/2)))</f>
        <v/>
      </c>
      <c r="H81" s="10" t="str">
        <f>IF(Random!AB81="","",IF(Controls!$B$7="Normal",Controls!$B$8,(Controls!$B$8+Controls!$B$9)/2)+Controls!$B$10*(H80-IF(Controls!$B$7="Normal",Controls!$B$8,(Controls!$B$8+Controls!$B$9)/2))+SQRT(1-Controls!$B$10^2)*(Random!AB81-IF(Controls!$B$7="Normal",Controls!$B$8,(Controls!$B$8+Controls!$B$9)/2)))</f>
        <v/>
      </c>
      <c r="I81" s="10" t="str">
        <f>IF(Random!AC81="","",IF(Controls!$B$7="Normal",Controls!$B$8,(Controls!$B$8+Controls!$B$9)/2)+Controls!$B$10*(I80-IF(Controls!$B$7="Normal",Controls!$B$8,(Controls!$B$8+Controls!$B$9)/2))+SQRT(1-Controls!$B$10^2)*(Random!AC81-IF(Controls!$B$7="Normal",Controls!$B$8,(Controls!$B$8+Controls!$B$9)/2)))</f>
        <v/>
      </c>
      <c r="J81" s="10" t="str">
        <f>IF(Random!AD81="","",IF(Controls!$B$7="Normal",Controls!$B$8,(Controls!$B$8+Controls!$B$9)/2)+Controls!$B$10*(J80-IF(Controls!$B$7="Normal",Controls!$B$8,(Controls!$B$8+Controls!$B$9)/2))+SQRT(1-Controls!$B$10^2)*(Random!AD81-IF(Controls!$B$7="Normal",Controls!$B$8,(Controls!$B$8+Controls!$B$9)/2)))</f>
        <v/>
      </c>
      <c r="K81" s="10" t="str">
        <f>IF(Random!AE81="","",IF(Controls!$B$7="Normal",Controls!$B$8,(Controls!$B$8+Controls!$B$9)/2)+Controls!$B$10*(K80-IF(Controls!$B$7="Normal",Controls!$B$8,(Controls!$B$8+Controls!$B$9)/2))+SQRT(1-Controls!$B$10^2)*(Random!AE81-IF(Controls!$B$7="Normal",Controls!$B$8,(Controls!$B$8+Controls!$B$9)/2)))</f>
        <v/>
      </c>
      <c r="L81" s="10">
        <f>IF($A81="","",IF(AND($A81&gt;=Controls!$B$25,$A81&lt;Controls!$B$25+Controls!$C$25),(Controls!$D$25-1)*EXP(-0.5*(($A81-Controls!$B$25-(Controls!$C$25-1)/2)/MAX(Controls!$C$25/4,0.5))^2),0))</f>
        <v>0</v>
      </c>
      <c r="M81" s="10">
        <f>IF($A81="","",IF(AND($A81&gt;=Controls!$B$26,$A81&lt;Controls!$B$26+Controls!$C$26),(Controls!$D$26-1)*EXP(-0.5*(($A81-Controls!$B$26-(Controls!$C$26-1)/2)/MAX(Controls!$C$26/4,0.5))^2),0))</f>
        <v>0</v>
      </c>
      <c r="N81" s="10">
        <f>IF($A81="","",IF(AND($A81&gt;=Controls!$B$27,$A81&lt;Controls!$B$27+Controls!$C$27),(Controls!$D$27-1)*EXP(-0.5*(($A81-Controls!$B$27-(Controls!$C$27-1)/2)/MAX(Controls!$C$27/4,0.5))^2),0))</f>
        <v>0</v>
      </c>
      <c r="O81" s="10">
        <f>IF($A81="","",IF(AND($A81&gt;=Controls!$B$28,$A81&lt;Controls!$B$28+Controls!$C$28),(Controls!$D$28-1)*EXP(-0.5*(($A81-Controls!$B$28-(Controls!$C$28-1)/2)/MAX(Controls!$C$28/4,0.5))^2),0))</f>
        <v>0</v>
      </c>
      <c r="P81" s="4" t="str">
        <f t="shared" si="1"/>
        <v>2100-01-20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21.0" customHeight="1">
      <c r="A82" s="7">
        <f>IF(81&lt;=Controls!$B$5,Controls!$B$4+80,"")</f>
        <v>73071</v>
      </c>
      <c r="B82" s="10">
        <f>IF(Random!V82="","",IF(Controls!$B$7="Normal",Controls!$B$8,(Controls!$B$8+Controls!$B$9)/2)+Controls!$B$10*(B81-IF(Controls!$B$7="Normal",Controls!$B$8,(Controls!$B$8+Controls!$B$9)/2))+SQRT(1-Controls!$B$10^2)*(Random!V82-IF(Controls!$B$7="Normal",Controls!$B$8,(Controls!$B$8+Controls!$B$9)/2)))</f>
        <v>57.40754542</v>
      </c>
      <c r="C82" s="10">
        <f>IF(Random!W82="","",IF(Controls!$B$7="Normal",Controls!$B$8,(Controls!$B$8+Controls!$B$9)/2)+Controls!$B$10*(C81-IF(Controls!$B$7="Normal",Controls!$B$8,(Controls!$B$8+Controls!$B$9)/2))+SQRT(1-Controls!$B$10^2)*(Random!W82-IF(Controls!$B$7="Normal",Controls!$B$8,(Controls!$B$8+Controls!$B$9)/2)))</f>
        <v>61.35005277</v>
      </c>
      <c r="D82" s="10">
        <f>IF(Random!X82="","",IF(Controls!$B$7="Normal",Controls!$B$8,(Controls!$B$8+Controls!$B$9)/2)+Controls!$B$10*(D81-IF(Controls!$B$7="Normal",Controls!$B$8,(Controls!$B$8+Controls!$B$9)/2))+SQRT(1-Controls!$B$10^2)*(Random!X82-IF(Controls!$B$7="Normal",Controls!$B$8,(Controls!$B$8+Controls!$B$9)/2)))</f>
        <v>21.98308209</v>
      </c>
      <c r="E82" s="10" t="str">
        <f>IF(Random!Y82="","",IF(Controls!$B$7="Normal",Controls!$B$8,(Controls!$B$8+Controls!$B$9)/2)+Controls!$B$10*(E81-IF(Controls!$B$7="Normal",Controls!$B$8,(Controls!$B$8+Controls!$B$9)/2))+SQRT(1-Controls!$B$10^2)*(Random!Y82-IF(Controls!$B$7="Normal",Controls!$B$8,(Controls!$B$8+Controls!$B$9)/2)))</f>
        <v/>
      </c>
      <c r="F82" s="10" t="str">
        <f>IF(Random!Z82="","",IF(Controls!$B$7="Normal",Controls!$B$8,(Controls!$B$8+Controls!$B$9)/2)+Controls!$B$10*(F81-IF(Controls!$B$7="Normal",Controls!$B$8,(Controls!$B$8+Controls!$B$9)/2))+SQRT(1-Controls!$B$10^2)*(Random!Z82-IF(Controls!$B$7="Normal",Controls!$B$8,(Controls!$B$8+Controls!$B$9)/2)))</f>
        <v/>
      </c>
      <c r="G82" s="10" t="str">
        <f>IF(Random!AA82="","",IF(Controls!$B$7="Normal",Controls!$B$8,(Controls!$B$8+Controls!$B$9)/2)+Controls!$B$10*(G81-IF(Controls!$B$7="Normal",Controls!$B$8,(Controls!$B$8+Controls!$B$9)/2))+SQRT(1-Controls!$B$10^2)*(Random!AA82-IF(Controls!$B$7="Normal",Controls!$B$8,(Controls!$B$8+Controls!$B$9)/2)))</f>
        <v/>
      </c>
      <c r="H82" s="10" t="str">
        <f>IF(Random!AB82="","",IF(Controls!$B$7="Normal",Controls!$B$8,(Controls!$B$8+Controls!$B$9)/2)+Controls!$B$10*(H81-IF(Controls!$B$7="Normal",Controls!$B$8,(Controls!$B$8+Controls!$B$9)/2))+SQRT(1-Controls!$B$10^2)*(Random!AB82-IF(Controls!$B$7="Normal",Controls!$B$8,(Controls!$B$8+Controls!$B$9)/2)))</f>
        <v/>
      </c>
      <c r="I82" s="10" t="str">
        <f>IF(Random!AC82="","",IF(Controls!$B$7="Normal",Controls!$B$8,(Controls!$B$8+Controls!$B$9)/2)+Controls!$B$10*(I81-IF(Controls!$B$7="Normal",Controls!$B$8,(Controls!$B$8+Controls!$B$9)/2))+SQRT(1-Controls!$B$10^2)*(Random!AC82-IF(Controls!$B$7="Normal",Controls!$B$8,(Controls!$B$8+Controls!$B$9)/2)))</f>
        <v/>
      </c>
      <c r="J82" s="10" t="str">
        <f>IF(Random!AD82="","",IF(Controls!$B$7="Normal",Controls!$B$8,(Controls!$B$8+Controls!$B$9)/2)+Controls!$B$10*(J81-IF(Controls!$B$7="Normal",Controls!$B$8,(Controls!$B$8+Controls!$B$9)/2))+SQRT(1-Controls!$B$10^2)*(Random!AD82-IF(Controls!$B$7="Normal",Controls!$B$8,(Controls!$B$8+Controls!$B$9)/2)))</f>
        <v/>
      </c>
      <c r="K82" s="10" t="str">
        <f>IF(Random!AE82="","",IF(Controls!$B$7="Normal",Controls!$B$8,(Controls!$B$8+Controls!$B$9)/2)+Controls!$B$10*(K81-IF(Controls!$B$7="Normal",Controls!$B$8,(Controls!$B$8+Controls!$B$9)/2))+SQRT(1-Controls!$B$10^2)*(Random!AE82-IF(Controls!$B$7="Normal",Controls!$B$8,(Controls!$B$8+Controls!$B$9)/2)))</f>
        <v/>
      </c>
      <c r="L82" s="10">
        <f>IF($A82="","",IF(AND($A82&gt;=Controls!$B$25,$A82&lt;Controls!$B$25+Controls!$C$25),(Controls!$D$25-1)*EXP(-0.5*(($A82-Controls!$B$25-(Controls!$C$25-1)/2)/MAX(Controls!$C$25/4,0.5))^2),0))</f>
        <v>0</v>
      </c>
      <c r="M82" s="10">
        <f>IF($A82="","",IF(AND($A82&gt;=Controls!$B$26,$A82&lt;Controls!$B$26+Controls!$C$26),(Controls!$D$26-1)*EXP(-0.5*(($A82-Controls!$B$26-(Controls!$C$26-1)/2)/MAX(Controls!$C$26/4,0.5))^2),0))</f>
        <v>0</v>
      </c>
      <c r="N82" s="10">
        <f>IF($A82="","",IF(AND($A82&gt;=Controls!$B$27,$A82&lt;Controls!$B$27+Controls!$C$27),(Controls!$D$27-1)*EXP(-0.5*(($A82-Controls!$B$27-(Controls!$C$27-1)/2)/MAX(Controls!$C$27/4,0.5))^2),0))</f>
        <v>0</v>
      </c>
      <c r="O82" s="10">
        <f>IF($A82="","",IF(AND($A82&gt;=Controls!$B$28,$A82&lt;Controls!$B$28+Controls!$C$28),(Controls!$D$28-1)*EXP(-0.5*(($A82-Controls!$B$28-(Controls!$C$28-1)/2)/MAX(Controls!$C$28/4,0.5))^2),0))</f>
        <v>0</v>
      </c>
      <c r="P82" s="4" t="str">
        <f t="shared" si="1"/>
        <v>2100-01-21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21.0" customHeight="1">
      <c r="A83" s="7">
        <f>IF(82&lt;=Controls!$B$5,Controls!$B$4+81,"")</f>
        <v>73072</v>
      </c>
      <c r="B83" s="10">
        <f>IF(Random!V83="","",IF(Controls!$B$7="Normal",Controls!$B$8,(Controls!$B$8+Controls!$B$9)/2)+Controls!$B$10*(B82-IF(Controls!$B$7="Normal",Controls!$B$8,(Controls!$B$8+Controls!$B$9)/2))+SQRT(1-Controls!$B$10^2)*(Random!V83-IF(Controls!$B$7="Normal",Controls!$B$8,(Controls!$B$8+Controls!$B$9)/2)))</f>
        <v>44.22671213</v>
      </c>
      <c r="C83" s="10">
        <f>IF(Random!W83="","",IF(Controls!$B$7="Normal",Controls!$B$8,(Controls!$B$8+Controls!$B$9)/2)+Controls!$B$10*(C82-IF(Controls!$B$7="Normal",Controls!$B$8,(Controls!$B$8+Controls!$B$9)/2))+SQRT(1-Controls!$B$10^2)*(Random!W83-IF(Controls!$B$7="Normal",Controls!$B$8,(Controls!$B$8+Controls!$B$9)/2)))</f>
        <v>50.3425904</v>
      </c>
      <c r="D83" s="10">
        <f>IF(Random!X83="","",IF(Controls!$B$7="Normal",Controls!$B$8,(Controls!$B$8+Controls!$B$9)/2)+Controls!$B$10*(D82-IF(Controls!$B$7="Normal",Controls!$B$8,(Controls!$B$8+Controls!$B$9)/2))+SQRT(1-Controls!$B$10^2)*(Random!X83-IF(Controls!$B$7="Normal",Controls!$B$8,(Controls!$B$8+Controls!$B$9)/2)))</f>
        <v>39.7819971</v>
      </c>
      <c r="E83" s="10" t="str">
        <f>IF(Random!Y83="","",IF(Controls!$B$7="Normal",Controls!$B$8,(Controls!$B$8+Controls!$B$9)/2)+Controls!$B$10*(E82-IF(Controls!$B$7="Normal",Controls!$B$8,(Controls!$B$8+Controls!$B$9)/2))+SQRT(1-Controls!$B$10^2)*(Random!Y83-IF(Controls!$B$7="Normal",Controls!$B$8,(Controls!$B$8+Controls!$B$9)/2)))</f>
        <v/>
      </c>
      <c r="F83" s="10" t="str">
        <f>IF(Random!Z83="","",IF(Controls!$B$7="Normal",Controls!$B$8,(Controls!$B$8+Controls!$B$9)/2)+Controls!$B$10*(F82-IF(Controls!$B$7="Normal",Controls!$B$8,(Controls!$B$8+Controls!$B$9)/2))+SQRT(1-Controls!$B$10^2)*(Random!Z83-IF(Controls!$B$7="Normal",Controls!$B$8,(Controls!$B$8+Controls!$B$9)/2)))</f>
        <v/>
      </c>
      <c r="G83" s="10" t="str">
        <f>IF(Random!AA83="","",IF(Controls!$B$7="Normal",Controls!$B$8,(Controls!$B$8+Controls!$B$9)/2)+Controls!$B$10*(G82-IF(Controls!$B$7="Normal",Controls!$B$8,(Controls!$B$8+Controls!$B$9)/2))+SQRT(1-Controls!$B$10^2)*(Random!AA83-IF(Controls!$B$7="Normal",Controls!$B$8,(Controls!$B$8+Controls!$B$9)/2)))</f>
        <v/>
      </c>
      <c r="H83" s="10" t="str">
        <f>IF(Random!AB83="","",IF(Controls!$B$7="Normal",Controls!$B$8,(Controls!$B$8+Controls!$B$9)/2)+Controls!$B$10*(H82-IF(Controls!$B$7="Normal",Controls!$B$8,(Controls!$B$8+Controls!$B$9)/2))+SQRT(1-Controls!$B$10^2)*(Random!AB83-IF(Controls!$B$7="Normal",Controls!$B$8,(Controls!$B$8+Controls!$B$9)/2)))</f>
        <v/>
      </c>
      <c r="I83" s="10" t="str">
        <f>IF(Random!AC83="","",IF(Controls!$B$7="Normal",Controls!$B$8,(Controls!$B$8+Controls!$B$9)/2)+Controls!$B$10*(I82-IF(Controls!$B$7="Normal",Controls!$B$8,(Controls!$B$8+Controls!$B$9)/2))+SQRT(1-Controls!$B$10^2)*(Random!AC83-IF(Controls!$B$7="Normal",Controls!$B$8,(Controls!$B$8+Controls!$B$9)/2)))</f>
        <v/>
      </c>
      <c r="J83" s="10" t="str">
        <f>IF(Random!AD83="","",IF(Controls!$B$7="Normal",Controls!$B$8,(Controls!$B$8+Controls!$B$9)/2)+Controls!$B$10*(J82-IF(Controls!$B$7="Normal",Controls!$B$8,(Controls!$B$8+Controls!$B$9)/2))+SQRT(1-Controls!$B$10^2)*(Random!AD83-IF(Controls!$B$7="Normal",Controls!$B$8,(Controls!$B$8+Controls!$B$9)/2)))</f>
        <v/>
      </c>
      <c r="K83" s="10" t="str">
        <f>IF(Random!AE83="","",IF(Controls!$B$7="Normal",Controls!$B$8,(Controls!$B$8+Controls!$B$9)/2)+Controls!$B$10*(K82-IF(Controls!$B$7="Normal",Controls!$B$8,(Controls!$B$8+Controls!$B$9)/2))+SQRT(1-Controls!$B$10^2)*(Random!AE83-IF(Controls!$B$7="Normal",Controls!$B$8,(Controls!$B$8+Controls!$B$9)/2)))</f>
        <v/>
      </c>
      <c r="L83" s="10">
        <f>IF($A83="","",IF(AND($A83&gt;=Controls!$B$25,$A83&lt;Controls!$B$25+Controls!$C$25),(Controls!$D$25-1)*EXP(-0.5*(($A83-Controls!$B$25-(Controls!$C$25-1)/2)/MAX(Controls!$C$25/4,0.5))^2),0))</f>
        <v>0</v>
      </c>
      <c r="M83" s="10">
        <f>IF($A83="","",IF(AND($A83&gt;=Controls!$B$26,$A83&lt;Controls!$B$26+Controls!$C$26),(Controls!$D$26-1)*EXP(-0.5*(($A83-Controls!$B$26-(Controls!$C$26-1)/2)/MAX(Controls!$C$26/4,0.5))^2),0))</f>
        <v>0</v>
      </c>
      <c r="N83" s="10">
        <f>IF($A83="","",IF(AND($A83&gt;=Controls!$B$27,$A83&lt;Controls!$B$27+Controls!$C$27),(Controls!$D$27-1)*EXP(-0.5*(($A83-Controls!$B$27-(Controls!$C$27-1)/2)/MAX(Controls!$C$27/4,0.5))^2),0))</f>
        <v>0</v>
      </c>
      <c r="O83" s="10">
        <f>IF($A83="","",IF(AND($A83&gt;=Controls!$B$28,$A83&lt;Controls!$B$28+Controls!$C$28),(Controls!$D$28-1)*EXP(-0.5*(($A83-Controls!$B$28-(Controls!$C$28-1)/2)/MAX(Controls!$C$28/4,0.5))^2),0))</f>
        <v>0</v>
      </c>
      <c r="P83" s="4" t="str">
        <f t="shared" si="1"/>
        <v>2100-01-22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21.0" customHeight="1">
      <c r="A84" s="7">
        <f>IF(83&lt;=Controls!$B$5,Controls!$B$4+82,"")</f>
        <v>73073</v>
      </c>
      <c r="B84" s="10">
        <f>IF(Random!V84="","",IF(Controls!$B$7="Normal",Controls!$B$8,(Controls!$B$8+Controls!$B$9)/2)+Controls!$B$10*(B83-IF(Controls!$B$7="Normal",Controls!$B$8,(Controls!$B$8+Controls!$B$9)/2))+SQRT(1-Controls!$B$10^2)*(Random!V84-IF(Controls!$B$7="Normal",Controls!$B$8,(Controls!$B$8+Controls!$B$9)/2)))</f>
        <v>53.37647968</v>
      </c>
      <c r="C84" s="10">
        <f>IF(Random!W84="","",IF(Controls!$B$7="Normal",Controls!$B$8,(Controls!$B$8+Controls!$B$9)/2)+Controls!$B$10*(C83-IF(Controls!$B$7="Normal",Controls!$B$8,(Controls!$B$8+Controls!$B$9)/2))+SQRT(1-Controls!$B$10^2)*(Random!W84-IF(Controls!$B$7="Normal",Controls!$B$8,(Controls!$B$8+Controls!$B$9)/2)))</f>
        <v>49.09947551</v>
      </c>
      <c r="D84" s="10">
        <f>IF(Random!X84="","",IF(Controls!$B$7="Normal",Controls!$B$8,(Controls!$B$8+Controls!$B$9)/2)+Controls!$B$10*(D83-IF(Controls!$B$7="Normal",Controls!$B$8,(Controls!$B$8+Controls!$B$9)/2))+SQRT(1-Controls!$B$10^2)*(Random!X84-IF(Controls!$B$7="Normal",Controls!$B$8,(Controls!$B$8+Controls!$B$9)/2)))</f>
        <v>33.88490189</v>
      </c>
      <c r="E84" s="10" t="str">
        <f>IF(Random!Y84="","",IF(Controls!$B$7="Normal",Controls!$B$8,(Controls!$B$8+Controls!$B$9)/2)+Controls!$B$10*(E83-IF(Controls!$B$7="Normal",Controls!$B$8,(Controls!$B$8+Controls!$B$9)/2))+SQRT(1-Controls!$B$10^2)*(Random!Y84-IF(Controls!$B$7="Normal",Controls!$B$8,(Controls!$B$8+Controls!$B$9)/2)))</f>
        <v/>
      </c>
      <c r="F84" s="10" t="str">
        <f>IF(Random!Z84="","",IF(Controls!$B$7="Normal",Controls!$B$8,(Controls!$B$8+Controls!$B$9)/2)+Controls!$B$10*(F83-IF(Controls!$B$7="Normal",Controls!$B$8,(Controls!$B$8+Controls!$B$9)/2))+SQRT(1-Controls!$B$10^2)*(Random!Z84-IF(Controls!$B$7="Normal",Controls!$B$8,(Controls!$B$8+Controls!$B$9)/2)))</f>
        <v/>
      </c>
      <c r="G84" s="10" t="str">
        <f>IF(Random!AA84="","",IF(Controls!$B$7="Normal",Controls!$B$8,(Controls!$B$8+Controls!$B$9)/2)+Controls!$B$10*(G83-IF(Controls!$B$7="Normal",Controls!$B$8,(Controls!$B$8+Controls!$B$9)/2))+SQRT(1-Controls!$B$10^2)*(Random!AA84-IF(Controls!$B$7="Normal",Controls!$B$8,(Controls!$B$8+Controls!$B$9)/2)))</f>
        <v/>
      </c>
      <c r="H84" s="10" t="str">
        <f>IF(Random!AB84="","",IF(Controls!$B$7="Normal",Controls!$B$8,(Controls!$B$8+Controls!$B$9)/2)+Controls!$B$10*(H83-IF(Controls!$B$7="Normal",Controls!$B$8,(Controls!$B$8+Controls!$B$9)/2))+SQRT(1-Controls!$B$10^2)*(Random!AB84-IF(Controls!$B$7="Normal",Controls!$B$8,(Controls!$B$8+Controls!$B$9)/2)))</f>
        <v/>
      </c>
      <c r="I84" s="10" t="str">
        <f>IF(Random!AC84="","",IF(Controls!$B$7="Normal",Controls!$B$8,(Controls!$B$8+Controls!$B$9)/2)+Controls!$B$10*(I83-IF(Controls!$B$7="Normal",Controls!$B$8,(Controls!$B$8+Controls!$B$9)/2))+SQRT(1-Controls!$B$10^2)*(Random!AC84-IF(Controls!$B$7="Normal",Controls!$B$8,(Controls!$B$8+Controls!$B$9)/2)))</f>
        <v/>
      </c>
      <c r="J84" s="10" t="str">
        <f>IF(Random!AD84="","",IF(Controls!$B$7="Normal",Controls!$B$8,(Controls!$B$8+Controls!$B$9)/2)+Controls!$B$10*(J83-IF(Controls!$B$7="Normal",Controls!$B$8,(Controls!$B$8+Controls!$B$9)/2))+SQRT(1-Controls!$B$10^2)*(Random!AD84-IF(Controls!$B$7="Normal",Controls!$B$8,(Controls!$B$8+Controls!$B$9)/2)))</f>
        <v/>
      </c>
      <c r="K84" s="10" t="str">
        <f>IF(Random!AE84="","",IF(Controls!$B$7="Normal",Controls!$B$8,(Controls!$B$8+Controls!$B$9)/2)+Controls!$B$10*(K83-IF(Controls!$B$7="Normal",Controls!$B$8,(Controls!$B$8+Controls!$B$9)/2))+SQRT(1-Controls!$B$10^2)*(Random!AE84-IF(Controls!$B$7="Normal",Controls!$B$8,(Controls!$B$8+Controls!$B$9)/2)))</f>
        <v/>
      </c>
      <c r="L84" s="10">
        <f>IF($A84="","",IF(AND($A84&gt;=Controls!$B$25,$A84&lt;Controls!$B$25+Controls!$C$25),(Controls!$D$25-1)*EXP(-0.5*(($A84-Controls!$B$25-(Controls!$C$25-1)/2)/MAX(Controls!$C$25/4,0.5))^2),0))</f>
        <v>0</v>
      </c>
      <c r="M84" s="10">
        <f>IF($A84="","",IF(AND($A84&gt;=Controls!$B$26,$A84&lt;Controls!$B$26+Controls!$C$26),(Controls!$D$26-1)*EXP(-0.5*(($A84-Controls!$B$26-(Controls!$C$26-1)/2)/MAX(Controls!$C$26/4,0.5))^2),0))</f>
        <v>0</v>
      </c>
      <c r="N84" s="10">
        <f>IF($A84="","",IF(AND($A84&gt;=Controls!$B$27,$A84&lt;Controls!$B$27+Controls!$C$27),(Controls!$D$27-1)*EXP(-0.5*(($A84-Controls!$B$27-(Controls!$C$27-1)/2)/MAX(Controls!$C$27/4,0.5))^2),0))</f>
        <v>0</v>
      </c>
      <c r="O84" s="10">
        <f>IF($A84="","",IF(AND($A84&gt;=Controls!$B$28,$A84&lt;Controls!$B$28+Controls!$C$28),(Controls!$D$28-1)*EXP(-0.5*(($A84-Controls!$B$28-(Controls!$C$28-1)/2)/MAX(Controls!$C$28/4,0.5))^2),0))</f>
        <v>0</v>
      </c>
      <c r="P84" s="4" t="str">
        <f t="shared" si="1"/>
        <v>2100-01-23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21.0" customHeight="1">
      <c r="A85" s="7">
        <f>IF(84&lt;=Controls!$B$5,Controls!$B$4+83,"")</f>
        <v>73074</v>
      </c>
      <c r="B85" s="10">
        <f>IF(Random!V85="","",IF(Controls!$B$7="Normal",Controls!$B$8,(Controls!$B$8+Controls!$B$9)/2)+Controls!$B$10*(B84-IF(Controls!$B$7="Normal",Controls!$B$8,(Controls!$B$8+Controls!$B$9)/2))+SQRT(1-Controls!$B$10^2)*(Random!V85-IF(Controls!$B$7="Normal",Controls!$B$8,(Controls!$B$8+Controls!$B$9)/2)))</f>
        <v>62.49721704</v>
      </c>
      <c r="C85" s="10">
        <f>IF(Random!W85="","",IF(Controls!$B$7="Normal",Controls!$B$8,(Controls!$B$8+Controls!$B$9)/2)+Controls!$B$10*(C84-IF(Controls!$B$7="Normal",Controls!$B$8,(Controls!$B$8+Controls!$B$9)/2))+SQRT(1-Controls!$B$10^2)*(Random!W85-IF(Controls!$B$7="Normal",Controls!$B$8,(Controls!$B$8+Controls!$B$9)/2)))</f>
        <v>47.89880028</v>
      </c>
      <c r="D85" s="10">
        <f>IF(Random!X85="","",IF(Controls!$B$7="Normal",Controls!$B$8,(Controls!$B$8+Controls!$B$9)/2)+Controls!$B$10*(D84-IF(Controls!$B$7="Normal",Controls!$B$8,(Controls!$B$8+Controls!$B$9)/2))+SQRT(1-Controls!$B$10^2)*(Random!X85-IF(Controls!$B$7="Normal",Controls!$B$8,(Controls!$B$8+Controls!$B$9)/2)))</f>
        <v>19.35337252</v>
      </c>
      <c r="E85" s="10" t="str">
        <f>IF(Random!Y85="","",IF(Controls!$B$7="Normal",Controls!$B$8,(Controls!$B$8+Controls!$B$9)/2)+Controls!$B$10*(E84-IF(Controls!$B$7="Normal",Controls!$B$8,(Controls!$B$8+Controls!$B$9)/2))+SQRT(1-Controls!$B$10^2)*(Random!Y85-IF(Controls!$B$7="Normal",Controls!$B$8,(Controls!$B$8+Controls!$B$9)/2)))</f>
        <v/>
      </c>
      <c r="F85" s="10" t="str">
        <f>IF(Random!Z85="","",IF(Controls!$B$7="Normal",Controls!$B$8,(Controls!$B$8+Controls!$B$9)/2)+Controls!$B$10*(F84-IF(Controls!$B$7="Normal",Controls!$B$8,(Controls!$B$8+Controls!$B$9)/2))+SQRT(1-Controls!$B$10^2)*(Random!Z85-IF(Controls!$B$7="Normal",Controls!$B$8,(Controls!$B$8+Controls!$B$9)/2)))</f>
        <v/>
      </c>
      <c r="G85" s="10" t="str">
        <f>IF(Random!AA85="","",IF(Controls!$B$7="Normal",Controls!$B$8,(Controls!$B$8+Controls!$B$9)/2)+Controls!$B$10*(G84-IF(Controls!$B$7="Normal",Controls!$B$8,(Controls!$B$8+Controls!$B$9)/2))+SQRT(1-Controls!$B$10^2)*(Random!AA85-IF(Controls!$B$7="Normal",Controls!$B$8,(Controls!$B$8+Controls!$B$9)/2)))</f>
        <v/>
      </c>
      <c r="H85" s="10" t="str">
        <f>IF(Random!AB85="","",IF(Controls!$B$7="Normal",Controls!$B$8,(Controls!$B$8+Controls!$B$9)/2)+Controls!$B$10*(H84-IF(Controls!$B$7="Normal",Controls!$B$8,(Controls!$B$8+Controls!$B$9)/2))+SQRT(1-Controls!$B$10^2)*(Random!AB85-IF(Controls!$B$7="Normal",Controls!$B$8,(Controls!$B$8+Controls!$B$9)/2)))</f>
        <v/>
      </c>
      <c r="I85" s="10" t="str">
        <f>IF(Random!AC85="","",IF(Controls!$B$7="Normal",Controls!$B$8,(Controls!$B$8+Controls!$B$9)/2)+Controls!$B$10*(I84-IF(Controls!$B$7="Normal",Controls!$B$8,(Controls!$B$8+Controls!$B$9)/2))+SQRT(1-Controls!$B$10^2)*(Random!AC85-IF(Controls!$B$7="Normal",Controls!$B$8,(Controls!$B$8+Controls!$B$9)/2)))</f>
        <v/>
      </c>
      <c r="J85" s="10" t="str">
        <f>IF(Random!AD85="","",IF(Controls!$B$7="Normal",Controls!$B$8,(Controls!$B$8+Controls!$B$9)/2)+Controls!$B$10*(J84-IF(Controls!$B$7="Normal",Controls!$B$8,(Controls!$B$8+Controls!$B$9)/2))+SQRT(1-Controls!$B$10^2)*(Random!AD85-IF(Controls!$B$7="Normal",Controls!$B$8,(Controls!$B$8+Controls!$B$9)/2)))</f>
        <v/>
      </c>
      <c r="K85" s="10" t="str">
        <f>IF(Random!AE85="","",IF(Controls!$B$7="Normal",Controls!$B$8,(Controls!$B$8+Controls!$B$9)/2)+Controls!$B$10*(K84-IF(Controls!$B$7="Normal",Controls!$B$8,(Controls!$B$8+Controls!$B$9)/2))+SQRT(1-Controls!$B$10^2)*(Random!AE85-IF(Controls!$B$7="Normal",Controls!$B$8,(Controls!$B$8+Controls!$B$9)/2)))</f>
        <v/>
      </c>
      <c r="L85" s="10">
        <f>IF($A85="","",IF(AND($A85&gt;=Controls!$B$25,$A85&lt;Controls!$B$25+Controls!$C$25),(Controls!$D$25-1)*EXP(-0.5*(($A85-Controls!$B$25-(Controls!$C$25-1)/2)/MAX(Controls!$C$25/4,0.5))^2),0))</f>
        <v>0</v>
      </c>
      <c r="M85" s="10">
        <f>IF($A85="","",IF(AND($A85&gt;=Controls!$B$26,$A85&lt;Controls!$B$26+Controls!$C$26),(Controls!$D$26-1)*EXP(-0.5*(($A85-Controls!$B$26-(Controls!$C$26-1)/2)/MAX(Controls!$C$26/4,0.5))^2),0))</f>
        <v>0</v>
      </c>
      <c r="N85" s="10">
        <f>IF($A85="","",IF(AND($A85&gt;=Controls!$B$27,$A85&lt;Controls!$B$27+Controls!$C$27),(Controls!$D$27-1)*EXP(-0.5*(($A85-Controls!$B$27-(Controls!$C$27-1)/2)/MAX(Controls!$C$27/4,0.5))^2),0))</f>
        <v>0</v>
      </c>
      <c r="O85" s="10">
        <f>IF($A85="","",IF(AND($A85&gt;=Controls!$B$28,$A85&lt;Controls!$B$28+Controls!$C$28),(Controls!$D$28-1)*EXP(-0.5*(($A85-Controls!$B$28-(Controls!$C$28-1)/2)/MAX(Controls!$C$28/4,0.5))^2),0))</f>
        <v>0</v>
      </c>
      <c r="P85" s="4" t="str">
        <f t="shared" si="1"/>
        <v>2100-01-24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21.0" customHeight="1">
      <c r="A86" s="7">
        <f>IF(85&lt;=Controls!$B$5,Controls!$B$4+84,"")</f>
        <v>73075</v>
      </c>
      <c r="B86" s="10">
        <f>IF(Random!V86="","",IF(Controls!$B$7="Normal",Controls!$B$8,(Controls!$B$8+Controls!$B$9)/2)+Controls!$B$10*(B85-IF(Controls!$B$7="Normal",Controls!$B$8,(Controls!$B$8+Controls!$B$9)/2))+SQRT(1-Controls!$B$10^2)*(Random!V86-IF(Controls!$B$7="Normal",Controls!$B$8,(Controls!$B$8+Controls!$B$9)/2)))</f>
        <v>63.69548383</v>
      </c>
      <c r="C86" s="10">
        <f>IF(Random!W86="","",IF(Controls!$B$7="Normal",Controls!$B$8,(Controls!$B$8+Controls!$B$9)/2)+Controls!$B$10*(C85-IF(Controls!$B$7="Normal",Controls!$B$8,(Controls!$B$8+Controls!$B$9)/2))+SQRT(1-Controls!$B$10^2)*(Random!W86-IF(Controls!$B$7="Normal",Controls!$B$8,(Controls!$B$8+Controls!$B$9)/2)))</f>
        <v>45.75738709</v>
      </c>
      <c r="D86" s="10">
        <f>IF(Random!X86="","",IF(Controls!$B$7="Normal",Controls!$B$8,(Controls!$B$8+Controls!$B$9)/2)+Controls!$B$10*(D85-IF(Controls!$B$7="Normal",Controls!$B$8,(Controls!$B$8+Controls!$B$9)/2))+SQRT(1-Controls!$B$10^2)*(Random!X86-IF(Controls!$B$7="Normal",Controls!$B$8,(Controls!$B$8+Controls!$B$9)/2)))</f>
        <v>22.39396638</v>
      </c>
      <c r="E86" s="10" t="str">
        <f>IF(Random!Y86="","",IF(Controls!$B$7="Normal",Controls!$B$8,(Controls!$B$8+Controls!$B$9)/2)+Controls!$B$10*(E85-IF(Controls!$B$7="Normal",Controls!$B$8,(Controls!$B$8+Controls!$B$9)/2))+SQRT(1-Controls!$B$10^2)*(Random!Y86-IF(Controls!$B$7="Normal",Controls!$B$8,(Controls!$B$8+Controls!$B$9)/2)))</f>
        <v/>
      </c>
      <c r="F86" s="10" t="str">
        <f>IF(Random!Z86="","",IF(Controls!$B$7="Normal",Controls!$B$8,(Controls!$B$8+Controls!$B$9)/2)+Controls!$B$10*(F85-IF(Controls!$B$7="Normal",Controls!$B$8,(Controls!$B$8+Controls!$B$9)/2))+SQRT(1-Controls!$B$10^2)*(Random!Z86-IF(Controls!$B$7="Normal",Controls!$B$8,(Controls!$B$8+Controls!$B$9)/2)))</f>
        <v/>
      </c>
      <c r="G86" s="10" t="str">
        <f>IF(Random!AA86="","",IF(Controls!$B$7="Normal",Controls!$B$8,(Controls!$B$8+Controls!$B$9)/2)+Controls!$B$10*(G85-IF(Controls!$B$7="Normal",Controls!$B$8,(Controls!$B$8+Controls!$B$9)/2))+SQRT(1-Controls!$B$10^2)*(Random!AA86-IF(Controls!$B$7="Normal",Controls!$B$8,(Controls!$B$8+Controls!$B$9)/2)))</f>
        <v/>
      </c>
      <c r="H86" s="10" t="str">
        <f>IF(Random!AB86="","",IF(Controls!$B$7="Normal",Controls!$B$8,(Controls!$B$8+Controls!$B$9)/2)+Controls!$B$10*(H85-IF(Controls!$B$7="Normal",Controls!$B$8,(Controls!$B$8+Controls!$B$9)/2))+SQRT(1-Controls!$B$10^2)*(Random!AB86-IF(Controls!$B$7="Normal",Controls!$B$8,(Controls!$B$8+Controls!$B$9)/2)))</f>
        <v/>
      </c>
      <c r="I86" s="10" t="str">
        <f>IF(Random!AC86="","",IF(Controls!$B$7="Normal",Controls!$B$8,(Controls!$B$8+Controls!$B$9)/2)+Controls!$B$10*(I85-IF(Controls!$B$7="Normal",Controls!$B$8,(Controls!$B$8+Controls!$B$9)/2))+SQRT(1-Controls!$B$10^2)*(Random!AC86-IF(Controls!$B$7="Normal",Controls!$B$8,(Controls!$B$8+Controls!$B$9)/2)))</f>
        <v/>
      </c>
      <c r="J86" s="10" t="str">
        <f>IF(Random!AD86="","",IF(Controls!$B$7="Normal",Controls!$B$8,(Controls!$B$8+Controls!$B$9)/2)+Controls!$B$10*(J85-IF(Controls!$B$7="Normal",Controls!$B$8,(Controls!$B$8+Controls!$B$9)/2))+SQRT(1-Controls!$B$10^2)*(Random!AD86-IF(Controls!$B$7="Normal",Controls!$B$8,(Controls!$B$8+Controls!$B$9)/2)))</f>
        <v/>
      </c>
      <c r="K86" s="10" t="str">
        <f>IF(Random!AE86="","",IF(Controls!$B$7="Normal",Controls!$B$8,(Controls!$B$8+Controls!$B$9)/2)+Controls!$B$10*(K85-IF(Controls!$B$7="Normal",Controls!$B$8,(Controls!$B$8+Controls!$B$9)/2))+SQRT(1-Controls!$B$10^2)*(Random!AE86-IF(Controls!$B$7="Normal",Controls!$B$8,(Controls!$B$8+Controls!$B$9)/2)))</f>
        <v/>
      </c>
      <c r="L86" s="10">
        <f>IF($A86="","",IF(AND($A86&gt;=Controls!$B$25,$A86&lt;Controls!$B$25+Controls!$C$25),(Controls!$D$25-1)*EXP(-0.5*(($A86-Controls!$B$25-(Controls!$C$25-1)/2)/MAX(Controls!$C$25/4,0.5))^2),0))</f>
        <v>0</v>
      </c>
      <c r="M86" s="10">
        <f>IF($A86="","",IF(AND($A86&gt;=Controls!$B$26,$A86&lt;Controls!$B$26+Controls!$C$26),(Controls!$D$26-1)*EXP(-0.5*(($A86-Controls!$B$26-(Controls!$C$26-1)/2)/MAX(Controls!$C$26/4,0.5))^2),0))</f>
        <v>0</v>
      </c>
      <c r="N86" s="10">
        <f>IF($A86="","",IF(AND($A86&gt;=Controls!$B$27,$A86&lt;Controls!$B$27+Controls!$C$27),(Controls!$D$27-1)*EXP(-0.5*(($A86-Controls!$B$27-(Controls!$C$27-1)/2)/MAX(Controls!$C$27/4,0.5))^2),0))</f>
        <v>0</v>
      </c>
      <c r="O86" s="10">
        <f>IF($A86="","",IF(AND($A86&gt;=Controls!$B$28,$A86&lt;Controls!$B$28+Controls!$C$28),(Controls!$D$28-1)*EXP(-0.5*(($A86-Controls!$B$28-(Controls!$C$28-1)/2)/MAX(Controls!$C$28/4,0.5))^2),0))</f>
        <v>0</v>
      </c>
      <c r="P86" s="4" t="str">
        <f t="shared" si="1"/>
        <v>2100-01-25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21.0" customHeight="1">
      <c r="A87" s="7">
        <f>IF(86&lt;=Controls!$B$5,Controls!$B$4+85,"")</f>
        <v>73076</v>
      </c>
      <c r="B87" s="10">
        <f>IF(Random!V87="","",IF(Controls!$B$7="Normal",Controls!$B$8,(Controls!$B$8+Controls!$B$9)/2)+Controls!$B$10*(B86-IF(Controls!$B$7="Normal",Controls!$B$8,(Controls!$B$8+Controls!$B$9)/2))+SQRT(1-Controls!$B$10^2)*(Random!V87-IF(Controls!$B$7="Normal",Controls!$B$8,(Controls!$B$8+Controls!$B$9)/2)))</f>
        <v>58.19998535</v>
      </c>
      <c r="C87" s="10">
        <f>IF(Random!W87="","",IF(Controls!$B$7="Normal",Controls!$B$8,(Controls!$B$8+Controls!$B$9)/2)+Controls!$B$10*(C86-IF(Controls!$B$7="Normal",Controls!$B$8,(Controls!$B$8+Controls!$B$9)/2))+SQRT(1-Controls!$B$10^2)*(Random!W87-IF(Controls!$B$7="Normal",Controls!$B$8,(Controls!$B$8+Controls!$B$9)/2)))</f>
        <v>47.0960256</v>
      </c>
      <c r="D87" s="10">
        <f>IF(Random!X87="","",IF(Controls!$B$7="Normal",Controls!$B$8,(Controls!$B$8+Controls!$B$9)/2)+Controls!$B$10*(D86-IF(Controls!$B$7="Normal",Controls!$B$8,(Controls!$B$8+Controls!$B$9)/2))+SQRT(1-Controls!$B$10^2)*(Random!X87-IF(Controls!$B$7="Normal",Controls!$B$8,(Controls!$B$8+Controls!$B$9)/2)))</f>
        <v>30.9543</v>
      </c>
      <c r="E87" s="10" t="str">
        <f>IF(Random!Y87="","",IF(Controls!$B$7="Normal",Controls!$B$8,(Controls!$B$8+Controls!$B$9)/2)+Controls!$B$10*(E86-IF(Controls!$B$7="Normal",Controls!$B$8,(Controls!$B$8+Controls!$B$9)/2))+SQRT(1-Controls!$B$10^2)*(Random!Y87-IF(Controls!$B$7="Normal",Controls!$B$8,(Controls!$B$8+Controls!$B$9)/2)))</f>
        <v/>
      </c>
      <c r="F87" s="10" t="str">
        <f>IF(Random!Z87="","",IF(Controls!$B$7="Normal",Controls!$B$8,(Controls!$B$8+Controls!$B$9)/2)+Controls!$B$10*(F86-IF(Controls!$B$7="Normal",Controls!$B$8,(Controls!$B$8+Controls!$B$9)/2))+SQRT(1-Controls!$B$10^2)*(Random!Z87-IF(Controls!$B$7="Normal",Controls!$B$8,(Controls!$B$8+Controls!$B$9)/2)))</f>
        <v/>
      </c>
      <c r="G87" s="10" t="str">
        <f>IF(Random!AA87="","",IF(Controls!$B$7="Normal",Controls!$B$8,(Controls!$B$8+Controls!$B$9)/2)+Controls!$B$10*(G86-IF(Controls!$B$7="Normal",Controls!$B$8,(Controls!$B$8+Controls!$B$9)/2))+SQRT(1-Controls!$B$10^2)*(Random!AA87-IF(Controls!$B$7="Normal",Controls!$B$8,(Controls!$B$8+Controls!$B$9)/2)))</f>
        <v/>
      </c>
      <c r="H87" s="10" t="str">
        <f>IF(Random!AB87="","",IF(Controls!$B$7="Normal",Controls!$B$8,(Controls!$B$8+Controls!$B$9)/2)+Controls!$B$10*(H86-IF(Controls!$B$7="Normal",Controls!$B$8,(Controls!$B$8+Controls!$B$9)/2))+SQRT(1-Controls!$B$10^2)*(Random!AB87-IF(Controls!$B$7="Normal",Controls!$B$8,(Controls!$B$8+Controls!$B$9)/2)))</f>
        <v/>
      </c>
      <c r="I87" s="10" t="str">
        <f>IF(Random!AC87="","",IF(Controls!$B$7="Normal",Controls!$B$8,(Controls!$B$8+Controls!$B$9)/2)+Controls!$B$10*(I86-IF(Controls!$B$7="Normal",Controls!$B$8,(Controls!$B$8+Controls!$B$9)/2))+SQRT(1-Controls!$B$10^2)*(Random!AC87-IF(Controls!$B$7="Normal",Controls!$B$8,(Controls!$B$8+Controls!$B$9)/2)))</f>
        <v/>
      </c>
      <c r="J87" s="10" t="str">
        <f>IF(Random!AD87="","",IF(Controls!$B$7="Normal",Controls!$B$8,(Controls!$B$8+Controls!$B$9)/2)+Controls!$B$10*(J86-IF(Controls!$B$7="Normal",Controls!$B$8,(Controls!$B$8+Controls!$B$9)/2))+SQRT(1-Controls!$B$10^2)*(Random!AD87-IF(Controls!$B$7="Normal",Controls!$B$8,(Controls!$B$8+Controls!$B$9)/2)))</f>
        <v/>
      </c>
      <c r="K87" s="10" t="str">
        <f>IF(Random!AE87="","",IF(Controls!$B$7="Normal",Controls!$B$8,(Controls!$B$8+Controls!$B$9)/2)+Controls!$B$10*(K86-IF(Controls!$B$7="Normal",Controls!$B$8,(Controls!$B$8+Controls!$B$9)/2))+SQRT(1-Controls!$B$10^2)*(Random!AE87-IF(Controls!$B$7="Normal",Controls!$B$8,(Controls!$B$8+Controls!$B$9)/2)))</f>
        <v/>
      </c>
      <c r="L87" s="10">
        <f>IF($A87="","",IF(AND($A87&gt;=Controls!$B$25,$A87&lt;Controls!$B$25+Controls!$C$25),(Controls!$D$25-1)*EXP(-0.5*(($A87-Controls!$B$25-(Controls!$C$25-1)/2)/MAX(Controls!$C$25/4,0.5))^2),0))</f>
        <v>0</v>
      </c>
      <c r="M87" s="10">
        <f>IF($A87="","",IF(AND($A87&gt;=Controls!$B$26,$A87&lt;Controls!$B$26+Controls!$C$26),(Controls!$D$26-1)*EXP(-0.5*(($A87-Controls!$B$26-(Controls!$C$26-1)/2)/MAX(Controls!$C$26/4,0.5))^2),0))</f>
        <v>0</v>
      </c>
      <c r="N87" s="10">
        <f>IF($A87="","",IF(AND($A87&gt;=Controls!$B$27,$A87&lt;Controls!$B$27+Controls!$C$27),(Controls!$D$27-1)*EXP(-0.5*(($A87-Controls!$B$27-(Controls!$C$27-1)/2)/MAX(Controls!$C$27/4,0.5))^2),0))</f>
        <v>0</v>
      </c>
      <c r="O87" s="10">
        <f>IF($A87="","",IF(AND($A87&gt;=Controls!$B$28,$A87&lt;Controls!$B$28+Controls!$C$28),(Controls!$D$28-1)*EXP(-0.5*(($A87-Controls!$B$28-(Controls!$C$28-1)/2)/MAX(Controls!$C$28/4,0.5))^2),0))</f>
        <v>0</v>
      </c>
      <c r="P87" s="4" t="str">
        <f t="shared" si="1"/>
        <v>2100-01-26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21.0" customHeight="1">
      <c r="A88" s="7">
        <f>IF(87&lt;=Controls!$B$5,Controls!$B$4+86,"")</f>
        <v>73077</v>
      </c>
      <c r="B88" s="10">
        <f>IF(Random!V88="","",IF(Controls!$B$7="Normal",Controls!$B$8,(Controls!$B$8+Controls!$B$9)/2)+Controls!$B$10*(B87-IF(Controls!$B$7="Normal",Controls!$B$8,(Controls!$B$8+Controls!$B$9)/2))+SQRT(1-Controls!$B$10^2)*(Random!V88-IF(Controls!$B$7="Normal",Controls!$B$8,(Controls!$B$8+Controls!$B$9)/2)))</f>
        <v>53.56690589</v>
      </c>
      <c r="C88" s="10">
        <f>IF(Random!W88="","",IF(Controls!$B$7="Normal",Controls!$B$8,(Controls!$B$8+Controls!$B$9)/2)+Controls!$B$10*(C87-IF(Controls!$B$7="Normal",Controls!$B$8,(Controls!$B$8+Controls!$B$9)/2))+SQRT(1-Controls!$B$10^2)*(Random!W88-IF(Controls!$B$7="Normal",Controls!$B$8,(Controls!$B$8+Controls!$B$9)/2)))</f>
        <v>58.61771001</v>
      </c>
      <c r="D88" s="10">
        <f>IF(Random!X88="","",IF(Controls!$B$7="Normal",Controls!$B$8,(Controls!$B$8+Controls!$B$9)/2)+Controls!$B$10*(D87-IF(Controls!$B$7="Normal",Controls!$B$8,(Controls!$B$8+Controls!$B$9)/2))+SQRT(1-Controls!$B$10^2)*(Random!X88-IF(Controls!$B$7="Normal",Controls!$B$8,(Controls!$B$8+Controls!$B$9)/2)))</f>
        <v>36.24766841</v>
      </c>
      <c r="E88" s="10" t="str">
        <f>IF(Random!Y88="","",IF(Controls!$B$7="Normal",Controls!$B$8,(Controls!$B$8+Controls!$B$9)/2)+Controls!$B$10*(E87-IF(Controls!$B$7="Normal",Controls!$B$8,(Controls!$B$8+Controls!$B$9)/2))+SQRT(1-Controls!$B$10^2)*(Random!Y88-IF(Controls!$B$7="Normal",Controls!$B$8,(Controls!$B$8+Controls!$B$9)/2)))</f>
        <v/>
      </c>
      <c r="F88" s="10" t="str">
        <f>IF(Random!Z88="","",IF(Controls!$B$7="Normal",Controls!$B$8,(Controls!$B$8+Controls!$B$9)/2)+Controls!$B$10*(F87-IF(Controls!$B$7="Normal",Controls!$B$8,(Controls!$B$8+Controls!$B$9)/2))+SQRT(1-Controls!$B$10^2)*(Random!Z88-IF(Controls!$B$7="Normal",Controls!$B$8,(Controls!$B$8+Controls!$B$9)/2)))</f>
        <v/>
      </c>
      <c r="G88" s="10" t="str">
        <f>IF(Random!AA88="","",IF(Controls!$B$7="Normal",Controls!$B$8,(Controls!$B$8+Controls!$B$9)/2)+Controls!$B$10*(G87-IF(Controls!$B$7="Normal",Controls!$B$8,(Controls!$B$8+Controls!$B$9)/2))+SQRT(1-Controls!$B$10^2)*(Random!AA88-IF(Controls!$B$7="Normal",Controls!$B$8,(Controls!$B$8+Controls!$B$9)/2)))</f>
        <v/>
      </c>
      <c r="H88" s="10" t="str">
        <f>IF(Random!AB88="","",IF(Controls!$B$7="Normal",Controls!$B$8,(Controls!$B$8+Controls!$B$9)/2)+Controls!$B$10*(H87-IF(Controls!$B$7="Normal",Controls!$B$8,(Controls!$B$8+Controls!$B$9)/2))+SQRT(1-Controls!$B$10^2)*(Random!AB88-IF(Controls!$B$7="Normal",Controls!$B$8,(Controls!$B$8+Controls!$B$9)/2)))</f>
        <v/>
      </c>
      <c r="I88" s="10" t="str">
        <f>IF(Random!AC88="","",IF(Controls!$B$7="Normal",Controls!$B$8,(Controls!$B$8+Controls!$B$9)/2)+Controls!$B$10*(I87-IF(Controls!$B$7="Normal",Controls!$B$8,(Controls!$B$8+Controls!$B$9)/2))+SQRT(1-Controls!$B$10^2)*(Random!AC88-IF(Controls!$B$7="Normal",Controls!$B$8,(Controls!$B$8+Controls!$B$9)/2)))</f>
        <v/>
      </c>
      <c r="J88" s="10" t="str">
        <f>IF(Random!AD88="","",IF(Controls!$B$7="Normal",Controls!$B$8,(Controls!$B$8+Controls!$B$9)/2)+Controls!$B$10*(J87-IF(Controls!$B$7="Normal",Controls!$B$8,(Controls!$B$8+Controls!$B$9)/2))+SQRT(1-Controls!$B$10^2)*(Random!AD88-IF(Controls!$B$7="Normal",Controls!$B$8,(Controls!$B$8+Controls!$B$9)/2)))</f>
        <v/>
      </c>
      <c r="K88" s="10" t="str">
        <f>IF(Random!AE88="","",IF(Controls!$B$7="Normal",Controls!$B$8,(Controls!$B$8+Controls!$B$9)/2)+Controls!$B$10*(K87-IF(Controls!$B$7="Normal",Controls!$B$8,(Controls!$B$8+Controls!$B$9)/2))+SQRT(1-Controls!$B$10^2)*(Random!AE88-IF(Controls!$B$7="Normal",Controls!$B$8,(Controls!$B$8+Controls!$B$9)/2)))</f>
        <v/>
      </c>
      <c r="L88" s="10">
        <f>IF($A88="","",IF(AND($A88&gt;=Controls!$B$25,$A88&lt;Controls!$B$25+Controls!$C$25),(Controls!$D$25-1)*EXP(-0.5*(($A88-Controls!$B$25-(Controls!$C$25-1)/2)/MAX(Controls!$C$25/4,0.5))^2),0))</f>
        <v>0</v>
      </c>
      <c r="M88" s="10">
        <f>IF($A88="","",IF(AND($A88&gt;=Controls!$B$26,$A88&lt;Controls!$B$26+Controls!$C$26),(Controls!$D$26-1)*EXP(-0.5*(($A88-Controls!$B$26-(Controls!$C$26-1)/2)/MAX(Controls!$C$26/4,0.5))^2),0))</f>
        <v>0</v>
      </c>
      <c r="N88" s="10">
        <f>IF($A88="","",IF(AND($A88&gt;=Controls!$B$27,$A88&lt;Controls!$B$27+Controls!$C$27),(Controls!$D$27-1)*EXP(-0.5*(($A88-Controls!$B$27-(Controls!$C$27-1)/2)/MAX(Controls!$C$27/4,0.5))^2),0))</f>
        <v>0</v>
      </c>
      <c r="O88" s="10">
        <f>IF($A88="","",IF(AND($A88&gt;=Controls!$B$28,$A88&lt;Controls!$B$28+Controls!$C$28),(Controls!$D$28-1)*EXP(-0.5*(($A88-Controls!$B$28-(Controls!$C$28-1)/2)/MAX(Controls!$C$28/4,0.5))^2),0))</f>
        <v>0</v>
      </c>
      <c r="P88" s="4" t="str">
        <f t="shared" si="1"/>
        <v>2100-01-27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21.0" customHeight="1">
      <c r="A89" s="7">
        <f>IF(88&lt;=Controls!$B$5,Controls!$B$4+87,"")</f>
        <v>73078</v>
      </c>
      <c r="B89" s="10">
        <f>IF(Random!V89="","",IF(Controls!$B$7="Normal",Controls!$B$8,(Controls!$B$8+Controls!$B$9)/2)+Controls!$B$10*(B88-IF(Controls!$B$7="Normal",Controls!$B$8,(Controls!$B$8+Controls!$B$9)/2))+SQRT(1-Controls!$B$10^2)*(Random!V89-IF(Controls!$B$7="Normal",Controls!$B$8,(Controls!$B$8+Controls!$B$9)/2)))</f>
        <v>47.08222011</v>
      </c>
      <c r="C89" s="10">
        <f>IF(Random!W89="","",IF(Controls!$B$7="Normal",Controls!$B$8,(Controls!$B$8+Controls!$B$9)/2)+Controls!$B$10*(C88-IF(Controls!$B$7="Normal",Controls!$B$8,(Controls!$B$8+Controls!$B$9)/2))+SQRT(1-Controls!$B$10^2)*(Random!W89-IF(Controls!$B$7="Normal",Controls!$B$8,(Controls!$B$8+Controls!$B$9)/2)))</f>
        <v>60.25773187</v>
      </c>
      <c r="D89" s="10">
        <f>IF(Random!X89="","",IF(Controls!$B$7="Normal",Controls!$B$8,(Controls!$B$8+Controls!$B$9)/2)+Controls!$B$10*(D88-IF(Controls!$B$7="Normal",Controls!$B$8,(Controls!$B$8+Controls!$B$9)/2))+SQRT(1-Controls!$B$10^2)*(Random!X89-IF(Controls!$B$7="Normal",Controls!$B$8,(Controls!$B$8+Controls!$B$9)/2)))</f>
        <v>40.6572984</v>
      </c>
      <c r="E89" s="10" t="str">
        <f>IF(Random!Y89="","",IF(Controls!$B$7="Normal",Controls!$B$8,(Controls!$B$8+Controls!$B$9)/2)+Controls!$B$10*(E88-IF(Controls!$B$7="Normal",Controls!$B$8,(Controls!$B$8+Controls!$B$9)/2))+SQRT(1-Controls!$B$10^2)*(Random!Y89-IF(Controls!$B$7="Normal",Controls!$B$8,(Controls!$B$8+Controls!$B$9)/2)))</f>
        <v/>
      </c>
      <c r="F89" s="10" t="str">
        <f>IF(Random!Z89="","",IF(Controls!$B$7="Normal",Controls!$B$8,(Controls!$B$8+Controls!$B$9)/2)+Controls!$B$10*(F88-IF(Controls!$B$7="Normal",Controls!$B$8,(Controls!$B$8+Controls!$B$9)/2))+SQRT(1-Controls!$B$10^2)*(Random!Z89-IF(Controls!$B$7="Normal",Controls!$B$8,(Controls!$B$8+Controls!$B$9)/2)))</f>
        <v/>
      </c>
      <c r="G89" s="10" t="str">
        <f>IF(Random!AA89="","",IF(Controls!$B$7="Normal",Controls!$B$8,(Controls!$B$8+Controls!$B$9)/2)+Controls!$B$10*(G88-IF(Controls!$B$7="Normal",Controls!$B$8,(Controls!$B$8+Controls!$B$9)/2))+SQRT(1-Controls!$B$10^2)*(Random!AA89-IF(Controls!$B$7="Normal",Controls!$B$8,(Controls!$B$8+Controls!$B$9)/2)))</f>
        <v/>
      </c>
      <c r="H89" s="10" t="str">
        <f>IF(Random!AB89="","",IF(Controls!$B$7="Normal",Controls!$B$8,(Controls!$B$8+Controls!$B$9)/2)+Controls!$B$10*(H88-IF(Controls!$B$7="Normal",Controls!$B$8,(Controls!$B$8+Controls!$B$9)/2))+SQRT(1-Controls!$B$10^2)*(Random!AB89-IF(Controls!$B$7="Normal",Controls!$B$8,(Controls!$B$8+Controls!$B$9)/2)))</f>
        <v/>
      </c>
      <c r="I89" s="10" t="str">
        <f>IF(Random!AC89="","",IF(Controls!$B$7="Normal",Controls!$B$8,(Controls!$B$8+Controls!$B$9)/2)+Controls!$B$10*(I88-IF(Controls!$B$7="Normal",Controls!$B$8,(Controls!$B$8+Controls!$B$9)/2))+SQRT(1-Controls!$B$10^2)*(Random!AC89-IF(Controls!$B$7="Normal",Controls!$B$8,(Controls!$B$8+Controls!$B$9)/2)))</f>
        <v/>
      </c>
      <c r="J89" s="10" t="str">
        <f>IF(Random!AD89="","",IF(Controls!$B$7="Normal",Controls!$B$8,(Controls!$B$8+Controls!$B$9)/2)+Controls!$B$10*(J88-IF(Controls!$B$7="Normal",Controls!$B$8,(Controls!$B$8+Controls!$B$9)/2))+SQRT(1-Controls!$B$10^2)*(Random!AD89-IF(Controls!$B$7="Normal",Controls!$B$8,(Controls!$B$8+Controls!$B$9)/2)))</f>
        <v/>
      </c>
      <c r="K89" s="10" t="str">
        <f>IF(Random!AE89="","",IF(Controls!$B$7="Normal",Controls!$B$8,(Controls!$B$8+Controls!$B$9)/2)+Controls!$B$10*(K88-IF(Controls!$B$7="Normal",Controls!$B$8,(Controls!$B$8+Controls!$B$9)/2))+SQRT(1-Controls!$B$10^2)*(Random!AE89-IF(Controls!$B$7="Normal",Controls!$B$8,(Controls!$B$8+Controls!$B$9)/2)))</f>
        <v/>
      </c>
      <c r="L89" s="10">
        <f>IF($A89="","",IF(AND($A89&gt;=Controls!$B$25,$A89&lt;Controls!$B$25+Controls!$C$25),(Controls!$D$25-1)*EXP(-0.5*(($A89-Controls!$B$25-(Controls!$C$25-1)/2)/MAX(Controls!$C$25/4,0.5))^2),0))</f>
        <v>0</v>
      </c>
      <c r="M89" s="10">
        <f>IF($A89="","",IF(AND($A89&gt;=Controls!$B$26,$A89&lt;Controls!$B$26+Controls!$C$26),(Controls!$D$26-1)*EXP(-0.5*(($A89-Controls!$B$26-(Controls!$C$26-1)/2)/MAX(Controls!$C$26/4,0.5))^2),0))</f>
        <v>0</v>
      </c>
      <c r="N89" s="10">
        <f>IF($A89="","",IF(AND($A89&gt;=Controls!$B$27,$A89&lt;Controls!$B$27+Controls!$C$27),(Controls!$D$27-1)*EXP(-0.5*(($A89-Controls!$B$27-(Controls!$C$27-1)/2)/MAX(Controls!$C$27/4,0.5))^2),0))</f>
        <v>0</v>
      </c>
      <c r="O89" s="10">
        <f>IF($A89="","",IF(AND($A89&gt;=Controls!$B$28,$A89&lt;Controls!$B$28+Controls!$C$28),(Controls!$D$28-1)*EXP(-0.5*(($A89-Controls!$B$28-(Controls!$C$28-1)/2)/MAX(Controls!$C$28/4,0.5))^2),0))</f>
        <v>0</v>
      </c>
      <c r="P89" s="4" t="str">
        <f t="shared" si="1"/>
        <v>2100-01-28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21.0" customHeight="1">
      <c r="A90" s="7">
        <f>IF(89&lt;=Controls!$B$5,Controls!$B$4+88,"")</f>
        <v>73079</v>
      </c>
      <c r="B90" s="10">
        <f>IF(Random!V90="","",IF(Controls!$B$7="Normal",Controls!$B$8,(Controls!$B$8+Controls!$B$9)/2)+Controls!$B$10*(B89-IF(Controls!$B$7="Normal",Controls!$B$8,(Controls!$B$8+Controls!$B$9)/2))+SQRT(1-Controls!$B$10^2)*(Random!V90-IF(Controls!$B$7="Normal",Controls!$B$8,(Controls!$B$8+Controls!$B$9)/2)))</f>
        <v>58.56057255</v>
      </c>
      <c r="C90" s="10">
        <f>IF(Random!W90="","",IF(Controls!$B$7="Normal",Controls!$B$8,(Controls!$B$8+Controls!$B$9)/2)+Controls!$B$10*(C89-IF(Controls!$B$7="Normal",Controls!$B$8,(Controls!$B$8+Controls!$B$9)/2))+SQRT(1-Controls!$B$10^2)*(Random!W90-IF(Controls!$B$7="Normal",Controls!$B$8,(Controls!$B$8+Controls!$B$9)/2)))</f>
        <v>54.06836474</v>
      </c>
      <c r="D90" s="10">
        <f>IF(Random!X90="","",IF(Controls!$B$7="Normal",Controls!$B$8,(Controls!$B$8+Controls!$B$9)/2)+Controls!$B$10*(D89-IF(Controls!$B$7="Normal",Controls!$B$8,(Controls!$B$8+Controls!$B$9)/2))+SQRT(1-Controls!$B$10^2)*(Random!X90-IF(Controls!$B$7="Normal",Controls!$B$8,(Controls!$B$8+Controls!$B$9)/2)))</f>
        <v>45.77769002</v>
      </c>
      <c r="E90" s="10" t="str">
        <f>IF(Random!Y90="","",IF(Controls!$B$7="Normal",Controls!$B$8,(Controls!$B$8+Controls!$B$9)/2)+Controls!$B$10*(E89-IF(Controls!$B$7="Normal",Controls!$B$8,(Controls!$B$8+Controls!$B$9)/2))+SQRT(1-Controls!$B$10^2)*(Random!Y90-IF(Controls!$B$7="Normal",Controls!$B$8,(Controls!$B$8+Controls!$B$9)/2)))</f>
        <v/>
      </c>
      <c r="F90" s="10" t="str">
        <f>IF(Random!Z90="","",IF(Controls!$B$7="Normal",Controls!$B$8,(Controls!$B$8+Controls!$B$9)/2)+Controls!$B$10*(F89-IF(Controls!$B$7="Normal",Controls!$B$8,(Controls!$B$8+Controls!$B$9)/2))+SQRT(1-Controls!$B$10^2)*(Random!Z90-IF(Controls!$B$7="Normal",Controls!$B$8,(Controls!$B$8+Controls!$B$9)/2)))</f>
        <v/>
      </c>
      <c r="G90" s="10" t="str">
        <f>IF(Random!AA90="","",IF(Controls!$B$7="Normal",Controls!$B$8,(Controls!$B$8+Controls!$B$9)/2)+Controls!$B$10*(G89-IF(Controls!$B$7="Normal",Controls!$B$8,(Controls!$B$8+Controls!$B$9)/2))+SQRT(1-Controls!$B$10^2)*(Random!AA90-IF(Controls!$B$7="Normal",Controls!$B$8,(Controls!$B$8+Controls!$B$9)/2)))</f>
        <v/>
      </c>
      <c r="H90" s="10" t="str">
        <f>IF(Random!AB90="","",IF(Controls!$B$7="Normal",Controls!$B$8,(Controls!$B$8+Controls!$B$9)/2)+Controls!$B$10*(H89-IF(Controls!$B$7="Normal",Controls!$B$8,(Controls!$B$8+Controls!$B$9)/2))+SQRT(1-Controls!$B$10^2)*(Random!AB90-IF(Controls!$B$7="Normal",Controls!$B$8,(Controls!$B$8+Controls!$B$9)/2)))</f>
        <v/>
      </c>
      <c r="I90" s="10" t="str">
        <f>IF(Random!AC90="","",IF(Controls!$B$7="Normal",Controls!$B$8,(Controls!$B$8+Controls!$B$9)/2)+Controls!$B$10*(I89-IF(Controls!$B$7="Normal",Controls!$B$8,(Controls!$B$8+Controls!$B$9)/2))+SQRT(1-Controls!$B$10^2)*(Random!AC90-IF(Controls!$B$7="Normal",Controls!$B$8,(Controls!$B$8+Controls!$B$9)/2)))</f>
        <v/>
      </c>
      <c r="J90" s="10" t="str">
        <f>IF(Random!AD90="","",IF(Controls!$B$7="Normal",Controls!$B$8,(Controls!$B$8+Controls!$B$9)/2)+Controls!$B$10*(J89-IF(Controls!$B$7="Normal",Controls!$B$8,(Controls!$B$8+Controls!$B$9)/2))+SQRT(1-Controls!$B$10^2)*(Random!AD90-IF(Controls!$B$7="Normal",Controls!$B$8,(Controls!$B$8+Controls!$B$9)/2)))</f>
        <v/>
      </c>
      <c r="K90" s="10" t="str">
        <f>IF(Random!AE90="","",IF(Controls!$B$7="Normal",Controls!$B$8,(Controls!$B$8+Controls!$B$9)/2)+Controls!$B$10*(K89-IF(Controls!$B$7="Normal",Controls!$B$8,(Controls!$B$8+Controls!$B$9)/2))+SQRT(1-Controls!$B$10^2)*(Random!AE90-IF(Controls!$B$7="Normal",Controls!$B$8,(Controls!$B$8+Controls!$B$9)/2)))</f>
        <v/>
      </c>
      <c r="L90" s="10">
        <f>IF($A90="","",IF(AND($A90&gt;=Controls!$B$25,$A90&lt;Controls!$B$25+Controls!$C$25),(Controls!$D$25-1)*EXP(-0.5*(($A90-Controls!$B$25-(Controls!$C$25-1)/2)/MAX(Controls!$C$25/4,0.5))^2),0))</f>
        <v>0</v>
      </c>
      <c r="M90" s="10">
        <f>IF($A90="","",IF(AND($A90&gt;=Controls!$B$26,$A90&lt;Controls!$B$26+Controls!$C$26),(Controls!$D$26-1)*EXP(-0.5*(($A90-Controls!$B$26-(Controls!$C$26-1)/2)/MAX(Controls!$C$26/4,0.5))^2),0))</f>
        <v>0</v>
      </c>
      <c r="N90" s="10">
        <f>IF($A90="","",IF(AND($A90&gt;=Controls!$B$27,$A90&lt;Controls!$B$27+Controls!$C$27),(Controls!$D$27-1)*EXP(-0.5*(($A90-Controls!$B$27-(Controls!$C$27-1)/2)/MAX(Controls!$C$27/4,0.5))^2),0))</f>
        <v>0</v>
      </c>
      <c r="O90" s="10">
        <f>IF($A90="","",IF(AND($A90&gt;=Controls!$B$28,$A90&lt;Controls!$B$28+Controls!$C$28),(Controls!$D$28-1)*EXP(-0.5*(($A90-Controls!$B$28-(Controls!$C$28-1)/2)/MAX(Controls!$C$28/4,0.5))^2),0))</f>
        <v>0</v>
      </c>
      <c r="P90" s="4" t="str">
        <f t="shared" si="1"/>
        <v>2100-01-29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21.0" customHeight="1">
      <c r="A91" s="7">
        <f>IF(90&lt;=Controls!$B$5,Controls!$B$4+89,"")</f>
        <v>73080</v>
      </c>
      <c r="B91" s="10">
        <f>IF(Random!V91="","",IF(Controls!$B$7="Normal",Controls!$B$8,(Controls!$B$8+Controls!$B$9)/2)+Controls!$B$10*(B90-IF(Controls!$B$7="Normal",Controls!$B$8,(Controls!$B$8+Controls!$B$9)/2))+SQRT(1-Controls!$B$10^2)*(Random!V91-IF(Controls!$B$7="Normal",Controls!$B$8,(Controls!$B$8+Controls!$B$9)/2)))</f>
        <v>66.93628795</v>
      </c>
      <c r="C91" s="10">
        <f>IF(Random!W91="","",IF(Controls!$B$7="Normal",Controls!$B$8,(Controls!$B$8+Controls!$B$9)/2)+Controls!$B$10*(C90-IF(Controls!$B$7="Normal",Controls!$B$8,(Controls!$B$8+Controls!$B$9)/2))+SQRT(1-Controls!$B$10^2)*(Random!W91-IF(Controls!$B$7="Normal",Controls!$B$8,(Controls!$B$8+Controls!$B$9)/2)))</f>
        <v>54.00474302</v>
      </c>
      <c r="D91" s="10">
        <f>IF(Random!X91="","",IF(Controls!$B$7="Normal",Controls!$B$8,(Controls!$B$8+Controls!$B$9)/2)+Controls!$B$10*(D90-IF(Controls!$B$7="Normal",Controls!$B$8,(Controls!$B$8+Controls!$B$9)/2))+SQRT(1-Controls!$B$10^2)*(Random!X91-IF(Controls!$B$7="Normal",Controls!$B$8,(Controls!$B$8+Controls!$B$9)/2)))</f>
        <v>46.1565421</v>
      </c>
      <c r="E91" s="10" t="str">
        <f>IF(Random!Y91="","",IF(Controls!$B$7="Normal",Controls!$B$8,(Controls!$B$8+Controls!$B$9)/2)+Controls!$B$10*(E90-IF(Controls!$B$7="Normal",Controls!$B$8,(Controls!$B$8+Controls!$B$9)/2))+SQRT(1-Controls!$B$10^2)*(Random!Y91-IF(Controls!$B$7="Normal",Controls!$B$8,(Controls!$B$8+Controls!$B$9)/2)))</f>
        <v/>
      </c>
      <c r="F91" s="10" t="str">
        <f>IF(Random!Z91="","",IF(Controls!$B$7="Normal",Controls!$B$8,(Controls!$B$8+Controls!$B$9)/2)+Controls!$B$10*(F90-IF(Controls!$B$7="Normal",Controls!$B$8,(Controls!$B$8+Controls!$B$9)/2))+SQRT(1-Controls!$B$10^2)*(Random!Z91-IF(Controls!$B$7="Normal",Controls!$B$8,(Controls!$B$8+Controls!$B$9)/2)))</f>
        <v/>
      </c>
      <c r="G91" s="10" t="str">
        <f>IF(Random!AA91="","",IF(Controls!$B$7="Normal",Controls!$B$8,(Controls!$B$8+Controls!$B$9)/2)+Controls!$B$10*(G90-IF(Controls!$B$7="Normal",Controls!$B$8,(Controls!$B$8+Controls!$B$9)/2))+SQRT(1-Controls!$B$10^2)*(Random!AA91-IF(Controls!$B$7="Normal",Controls!$B$8,(Controls!$B$8+Controls!$B$9)/2)))</f>
        <v/>
      </c>
      <c r="H91" s="10" t="str">
        <f>IF(Random!AB91="","",IF(Controls!$B$7="Normal",Controls!$B$8,(Controls!$B$8+Controls!$B$9)/2)+Controls!$B$10*(H90-IF(Controls!$B$7="Normal",Controls!$B$8,(Controls!$B$8+Controls!$B$9)/2))+SQRT(1-Controls!$B$10^2)*(Random!AB91-IF(Controls!$B$7="Normal",Controls!$B$8,(Controls!$B$8+Controls!$B$9)/2)))</f>
        <v/>
      </c>
      <c r="I91" s="10" t="str">
        <f>IF(Random!AC91="","",IF(Controls!$B$7="Normal",Controls!$B$8,(Controls!$B$8+Controls!$B$9)/2)+Controls!$B$10*(I90-IF(Controls!$B$7="Normal",Controls!$B$8,(Controls!$B$8+Controls!$B$9)/2))+SQRT(1-Controls!$B$10^2)*(Random!AC91-IF(Controls!$B$7="Normal",Controls!$B$8,(Controls!$B$8+Controls!$B$9)/2)))</f>
        <v/>
      </c>
      <c r="J91" s="10" t="str">
        <f>IF(Random!AD91="","",IF(Controls!$B$7="Normal",Controls!$B$8,(Controls!$B$8+Controls!$B$9)/2)+Controls!$B$10*(J90-IF(Controls!$B$7="Normal",Controls!$B$8,(Controls!$B$8+Controls!$B$9)/2))+SQRT(1-Controls!$B$10^2)*(Random!AD91-IF(Controls!$B$7="Normal",Controls!$B$8,(Controls!$B$8+Controls!$B$9)/2)))</f>
        <v/>
      </c>
      <c r="K91" s="10" t="str">
        <f>IF(Random!AE91="","",IF(Controls!$B$7="Normal",Controls!$B$8,(Controls!$B$8+Controls!$B$9)/2)+Controls!$B$10*(K90-IF(Controls!$B$7="Normal",Controls!$B$8,(Controls!$B$8+Controls!$B$9)/2))+SQRT(1-Controls!$B$10^2)*(Random!AE91-IF(Controls!$B$7="Normal",Controls!$B$8,(Controls!$B$8+Controls!$B$9)/2)))</f>
        <v/>
      </c>
      <c r="L91" s="10">
        <f>IF($A91="","",IF(AND($A91&gt;=Controls!$B$25,$A91&lt;Controls!$B$25+Controls!$C$25),(Controls!$D$25-1)*EXP(-0.5*(($A91-Controls!$B$25-(Controls!$C$25-1)/2)/MAX(Controls!$C$25/4,0.5))^2),0))</f>
        <v>0</v>
      </c>
      <c r="M91" s="10">
        <f>IF($A91="","",IF(AND($A91&gt;=Controls!$B$26,$A91&lt;Controls!$B$26+Controls!$C$26),(Controls!$D$26-1)*EXP(-0.5*(($A91-Controls!$B$26-(Controls!$C$26-1)/2)/MAX(Controls!$C$26/4,0.5))^2),0))</f>
        <v>0</v>
      </c>
      <c r="N91" s="10">
        <f>IF($A91="","",IF(AND($A91&gt;=Controls!$B$27,$A91&lt;Controls!$B$27+Controls!$C$27),(Controls!$D$27-1)*EXP(-0.5*(($A91-Controls!$B$27-(Controls!$C$27-1)/2)/MAX(Controls!$C$27/4,0.5))^2),0))</f>
        <v>0</v>
      </c>
      <c r="O91" s="10">
        <f>IF($A91="","",IF(AND($A91&gt;=Controls!$B$28,$A91&lt;Controls!$B$28+Controls!$C$28),(Controls!$D$28-1)*EXP(-0.5*(($A91-Controls!$B$28-(Controls!$C$28-1)/2)/MAX(Controls!$C$28/4,0.5))^2),0))</f>
        <v>0</v>
      </c>
      <c r="P91" s="4" t="str">
        <f t="shared" si="1"/>
        <v>2100-01-30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21.0" customHeight="1">
      <c r="A92" s="7" t="str">
        <f>IF(91&lt;=Controls!$B$5,Controls!$B$4+90,"")</f>
        <v/>
      </c>
      <c r="B92" s="10" t="str">
        <f>IF(Random!V92="","",IF(Controls!$B$7="Normal",Controls!$B$8,(Controls!$B$8+Controls!$B$9)/2)+Controls!$B$10*(B91-IF(Controls!$B$7="Normal",Controls!$B$8,(Controls!$B$8+Controls!$B$9)/2))+SQRT(1-Controls!$B$10^2)*(Random!V92-IF(Controls!$B$7="Normal",Controls!$B$8,(Controls!$B$8+Controls!$B$9)/2)))</f>
        <v/>
      </c>
      <c r="C92" s="10" t="str">
        <f>IF(Random!W92="","",IF(Controls!$B$7="Normal",Controls!$B$8,(Controls!$B$8+Controls!$B$9)/2)+Controls!$B$10*(C91-IF(Controls!$B$7="Normal",Controls!$B$8,(Controls!$B$8+Controls!$B$9)/2))+SQRT(1-Controls!$B$10^2)*(Random!W92-IF(Controls!$B$7="Normal",Controls!$B$8,(Controls!$B$8+Controls!$B$9)/2)))</f>
        <v/>
      </c>
      <c r="D92" s="10" t="str">
        <f>IF(Random!X92="","",IF(Controls!$B$7="Normal",Controls!$B$8,(Controls!$B$8+Controls!$B$9)/2)+Controls!$B$10*(D91-IF(Controls!$B$7="Normal",Controls!$B$8,(Controls!$B$8+Controls!$B$9)/2))+SQRT(1-Controls!$B$10^2)*(Random!X92-IF(Controls!$B$7="Normal",Controls!$B$8,(Controls!$B$8+Controls!$B$9)/2)))</f>
        <v/>
      </c>
      <c r="E92" s="10" t="str">
        <f>IF(Random!Y92="","",IF(Controls!$B$7="Normal",Controls!$B$8,(Controls!$B$8+Controls!$B$9)/2)+Controls!$B$10*(E91-IF(Controls!$B$7="Normal",Controls!$B$8,(Controls!$B$8+Controls!$B$9)/2))+SQRT(1-Controls!$B$10^2)*(Random!Y92-IF(Controls!$B$7="Normal",Controls!$B$8,(Controls!$B$8+Controls!$B$9)/2)))</f>
        <v/>
      </c>
      <c r="F92" s="10" t="str">
        <f>IF(Random!Z92="","",IF(Controls!$B$7="Normal",Controls!$B$8,(Controls!$B$8+Controls!$B$9)/2)+Controls!$B$10*(F91-IF(Controls!$B$7="Normal",Controls!$B$8,(Controls!$B$8+Controls!$B$9)/2))+SQRT(1-Controls!$B$10^2)*(Random!Z92-IF(Controls!$B$7="Normal",Controls!$B$8,(Controls!$B$8+Controls!$B$9)/2)))</f>
        <v/>
      </c>
      <c r="G92" s="10" t="str">
        <f>IF(Random!AA92="","",IF(Controls!$B$7="Normal",Controls!$B$8,(Controls!$B$8+Controls!$B$9)/2)+Controls!$B$10*(G91-IF(Controls!$B$7="Normal",Controls!$B$8,(Controls!$B$8+Controls!$B$9)/2))+SQRT(1-Controls!$B$10^2)*(Random!AA92-IF(Controls!$B$7="Normal",Controls!$B$8,(Controls!$B$8+Controls!$B$9)/2)))</f>
        <v/>
      </c>
      <c r="H92" s="10" t="str">
        <f>IF(Random!AB92="","",IF(Controls!$B$7="Normal",Controls!$B$8,(Controls!$B$8+Controls!$B$9)/2)+Controls!$B$10*(H91-IF(Controls!$B$7="Normal",Controls!$B$8,(Controls!$B$8+Controls!$B$9)/2))+SQRT(1-Controls!$B$10^2)*(Random!AB92-IF(Controls!$B$7="Normal",Controls!$B$8,(Controls!$B$8+Controls!$B$9)/2)))</f>
        <v/>
      </c>
      <c r="I92" s="10" t="str">
        <f>IF(Random!AC92="","",IF(Controls!$B$7="Normal",Controls!$B$8,(Controls!$B$8+Controls!$B$9)/2)+Controls!$B$10*(I91-IF(Controls!$B$7="Normal",Controls!$B$8,(Controls!$B$8+Controls!$B$9)/2))+SQRT(1-Controls!$B$10^2)*(Random!AC92-IF(Controls!$B$7="Normal",Controls!$B$8,(Controls!$B$8+Controls!$B$9)/2)))</f>
        <v/>
      </c>
      <c r="J92" s="10" t="str">
        <f>IF(Random!AD92="","",IF(Controls!$B$7="Normal",Controls!$B$8,(Controls!$B$8+Controls!$B$9)/2)+Controls!$B$10*(J91-IF(Controls!$B$7="Normal",Controls!$B$8,(Controls!$B$8+Controls!$B$9)/2))+SQRT(1-Controls!$B$10^2)*(Random!AD92-IF(Controls!$B$7="Normal",Controls!$B$8,(Controls!$B$8+Controls!$B$9)/2)))</f>
        <v/>
      </c>
      <c r="K92" s="10" t="str">
        <f>IF(Random!AE92="","",IF(Controls!$B$7="Normal",Controls!$B$8,(Controls!$B$8+Controls!$B$9)/2)+Controls!$B$10*(K91-IF(Controls!$B$7="Normal",Controls!$B$8,(Controls!$B$8+Controls!$B$9)/2))+SQRT(1-Controls!$B$10^2)*(Random!AE92-IF(Controls!$B$7="Normal",Controls!$B$8,(Controls!$B$8+Controls!$B$9)/2)))</f>
        <v/>
      </c>
      <c r="L92" s="10" t="str">
        <f>IF($A92="","",IF(AND($A92&gt;=Controls!$B$25,$A92&lt;Controls!$B$25+Controls!$C$25),(Controls!$D$25-1)*EXP(-0.5*(($A92-Controls!$B$25-(Controls!$C$25-1)/2)/MAX(Controls!$C$25/4,0.5))^2),0))</f>
        <v/>
      </c>
      <c r="M92" s="10" t="str">
        <f>IF($A92="","",IF(AND($A92&gt;=Controls!$B$26,$A92&lt;Controls!$B$26+Controls!$C$26),(Controls!$D$26-1)*EXP(-0.5*(($A92-Controls!$B$26-(Controls!$C$26-1)/2)/MAX(Controls!$C$26/4,0.5))^2),0))</f>
        <v/>
      </c>
      <c r="N92" s="10" t="str">
        <f>IF($A92="","",IF(AND($A92&gt;=Controls!$B$27,$A92&lt;Controls!$B$27+Controls!$C$27),(Controls!$D$27-1)*EXP(-0.5*(($A92-Controls!$B$27-(Controls!$C$27-1)/2)/MAX(Controls!$C$27/4,0.5))^2),0))</f>
        <v/>
      </c>
      <c r="O92" s="10" t="str">
        <f>IF($A92="","",IF(AND($A92&gt;=Controls!$B$28,$A92&lt;Controls!$B$28+Controls!$C$28),(Controls!$D$28-1)*EXP(-0.5*(($A92-Controls!$B$28-(Controls!$C$28-1)/2)/MAX(Controls!$C$28/4,0.5))^2),0))</f>
        <v/>
      </c>
      <c r="P92" s="4" t="str">
        <f t="shared" si="1"/>
        <v/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21.0" customHeight="1">
      <c r="A93" s="7" t="str">
        <f>IF(92&lt;=Controls!$B$5,Controls!$B$4+91,"")</f>
        <v/>
      </c>
      <c r="B93" s="10" t="str">
        <f>IF(Random!V93="","",IF(Controls!$B$7="Normal",Controls!$B$8,(Controls!$B$8+Controls!$B$9)/2)+Controls!$B$10*(B92-IF(Controls!$B$7="Normal",Controls!$B$8,(Controls!$B$8+Controls!$B$9)/2))+SQRT(1-Controls!$B$10^2)*(Random!V93-IF(Controls!$B$7="Normal",Controls!$B$8,(Controls!$B$8+Controls!$B$9)/2)))</f>
        <v/>
      </c>
      <c r="C93" s="10" t="str">
        <f>IF(Random!W93="","",IF(Controls!$B$7="Normal",Controls!$B$8,(Controls!$B$8+Controls!$B$9)/2)+Controls!$B$10*(C92-IF(Controls!$B$7="Normal",Controls!$B$8,(Controls!$B$8+Controls!$B$9)/2))+SQRT(1-Controls!$B$10^2)*(Random!W93-IF(Controls!$B$7="Normal",Controls!$B$8,(Controls!$B$8+Controls!$B$9)/2)))</f>
        <v/>
      </c>
      <c r="D93" s="10" t="str">
        <f>IF(Random!X93="","",IF(Controls!$B$7="Normal",Controls!$B$8,(Controls!$B$8+Controls!$B$9)/2)+Controls!$B$10*(D92-IF(Controls!$B$7="Normal",Controls!$B$8,(Controls!$B$8+Controls!$B$9)/2))+SQRT(1-Controls!$B$10^2)*(Random!X93-IF(Controls!$B$7="Normal",Controls!$B$8,(Controls!$B$8+Controls!$B$9)/2)))</f>
        <v/>
      </c>
      <c r="E93" s="10" t="str">
        <f>IF(Random!Y93="","",IF(Controls!$B$7="Normal",Controls!$B$8,(Controls!$B$8+Controls!$B$9)/2)+Controls!$B$10*(E92-IF(Controls!$B$7="Normal",Controls!$B$8,(Controls!$B$8+Controls!$B$9)/2))+SQRT(1-Controls!$B$10^2)*(Random!Y93-IF(Controls!$B$7="Normal",Controls!$B$8,(Controls!$B$8+Controls!$B$9)/2)))</f>
        <v/>
      </c>
      <c r="F93" s="10" t="str">
        <f>IF(Random!Z93="","",IF(Controls!$B$7="Normal",Controls!$B$8,(Controls!$B$8+Controls!$B$9)/2)+Controls!$B$10*(F92-IF(Controls!$B$7="Normal",Controls!$B$8,(Controls!$B$8+Controls!$B$9)/2))+SQRT(1-Controls!$B$10^2)*(Random!Z93-IF(Controls!$B$7="Normal",Controls!$B$8,(Controls!$B$8+Controls!$B$9)/2)))</f>
        <v/>
      </c>
      <c r="G93" s="10" t="str">
        <f>IF(Random!AA93="","",IF(Controls!$B$7="Normal",Controls!$B$8,(Controls!$B$8+Controls!$B$9)/2)+Controls!$B$10*(G92-IF(Controls!$B$7="Normal",Controls!$B$8,(Controls!$B$8+Controls!$B$9)/2))+SQRT(1-Controls!$B$10^2)*(Random!AA93-IF(Controls!$B$7="Normal",Controls!$B$8,(Controls!$B$8+Controls!$B$9)/2)))</f>
        <v/>
      </c>
      <c r="H93" s="10" t="str">
        <f>IF(Random!AB93="","",IF(Controls!$B$7="Normal",Controls!$B$8,(Controls!$B$8+Controls!$B$9)/2)+Controls!$B$10*(H92-IF(Controls!$B$7="Normal",Controls!$B$8,(Controls!$B$8+Controls!$B$9)/2))+SQRT(1-Controls!$B$10^2)*(Random!AB93-IF(Controls!$B$7="Normal",Controls!$B$8,(Controls!$B$8+Controls!$B$9)/2)))</f>
        <v/>
      </c>
      <c r="I93" s="10" t="str">
        <f>IF(Random!AC93="","",IF(Controls!$B$7="Normal",Controls!$B$8,(Controls!$B$8+Controls!$B$9)/2)+Controls!$B$10*(I92-IF(Controls!$B$7="Normal",Controls!$B$8,(Controls!$B$8+Controls!$B$9)/2))+SQRT(1-Controls!$B$10^2)*(Random!AC93-IF(Controls!$B$7="Normal",Controls!$B$8,(Controls!$B$8+Controls!$B$9)/2)))</f>
        <v/>
      </c>
      <c r="J93" s="10" t="str">
        <f>IF(Random!AD93="","",IF(Controls!$B$7="Normal",Controls!$B$8,(Controls!$B$8+Controls!$B$9)/2)+Controls!$B$10*(J92-IF(Controls!$B$7="Normal",Controls!$B$8,(Controls!$B$8+Controls!$B$9)/2))+SQRT(1-Controls!$B$10^2)*(Random!AD93-IF(Controls!$B$7="Normal",Controls!$B$8,(Controls!$B$8+Controls!$B$9)/2)))</f>
        <v/>
      </c>
      <c r="K93" s="10" t="str">
        <f>IF(Random!AE93="","",IF(Controls!$B$7="Normal",Controls!$B$8,(Controls!$B$8+Controls!$B$9)/2)+Controls!$B$10*(K92-IF(Controls!$B$7="Normal",Controls!$B$8,(Controls!$B$8+Controls!$B$9)/2))+SQRT(1-Controls!$B$10^2)*(Random!AE93-IF(Controls!$B$7="Normal",Controls!$B$8,(Controls!$B$8+Controls!$B$9)/2)))</f>
        <v/>
      </c>
      <c r="L93" s="10" t="str">
        <f>IF($A93="","",IF(AND($A93&gt;=Controls!$B$25,$A93&lt;Controls!$B$25+Controls!$C$25),(Controls!$D$25-1)*EXP(-0.5*(($A93-Controls!$B$25-(Controls!$C$25-1)/2)/MAX(Controls!$C$25/4,0.5))^2),0))</f>
        <v/>
      </c>
      <c r="M93" s="10" t="str">
        <f>IF($A93="","",IF(AND($A93&gt;=Controls!$B$26,$A93&lt;Controls!$B$26+Controls!$C$26),(Controls!$D$26-1)*EXP(-0.5*(($A93-Controls!$B$26-(Controls!$C$26-1)/2)/MAX(Controls!$C$26/4,0.5))^2),0))</f>
        <v/>
      </c>
      <c r="N93" s="10" t="str">
        <f>IF($A93="","",IF(AND($A93&gt;=Controls!$B$27,$A93&lt;Controls!$B$27+Controls!$C$27),(Controls!$D$27-1)*EXP(-0.5*(($A93-Controls!$B$27-(Controls!$C$27-1)/2)/MAX(Controls!$C$27/4,0.5))^2),0))</f>
        <v/>
      </c>
      <c r="O93" s="10" t="str">
        <f>IF($A93="","",IF(AND($A93&gt;=Controls!$B$28,$A93&lt;Controls!$B$28+Controls!$C$28),(Controls!$D$28-1)*EXP(-0.5*(($A93-Controls!$B$28-(Controls!$C$28-1)/2)/MAX(Controls!$C$28/4,0.5))^2),0))</f>
        <v/>
      </c>
      <c r="P93" s="4" t="str">
        <f t="shared" si="1"/>
        <v/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21.0" customHeight="1">
      <c r="A94" s="7" t="str">
        <f>IF(93&lt;=Controls!$B$5,Controls!$B$4+92,"")</f>
        <v/>
      </c>
      <c r="B94" s="10" t="str">
        <f>IF(Random!V94="","",IF(Controls!$B$7="Normal",Controls!$B$8,(Controls!$B$8+Controls!$B$9)/2)+Controls!$B$10*(B93-IF(Controls!$B$7="Normal",Controls!$B$8,(Controls!$B$8+Controls!$B$9)/2))+SQRT(1-Controls!$B$10^2)*(Random!V94-IF(Controls!$B$7="Normal",Controls!$B$8,(Controls!$B$8+Controls!$B$9)/2)))</f>
        <v/>
      </c>
      <c r="C94" s="10" t="str">
        <f>IF(Random!W94="","",IF(Controls!$B$7="Normal",Controls!$B$8,(Controls!$B$8+Controls!$B$9)/2)+Controls!$B$10*(C93-IF(Controls!$B$7="Normal",Controls!$B$8,(Controls!$B$8+Controls!$B$9)/2))+SQRT(1-Controls!$B$10^2)*(Random!W94-IF(Controls!$B$7="Normal",Controls!$B$8,(Controls!$B$8+Controls!$B$9)/2)))</f>
        <v/>
      </c>
      <c r="D94" s="10" t="str">
        <f>IF(Random!X94="","",IF(Controls!$B$7="Normal",Controls!$B$8,(Controls!$B$8+Controls!$B$9)/2)+Controls!$B$10*(D93-IF(Controls!$B$7="Normal",Controls!$B$8,(Controls!$B$8+Controls!$B$9)/2))+SQRT(1-Controls!$B$10^2)*(Random!X94-IF(Controls!$B$7="Normal",Controls!$B$8,(Controls!$B$8+Controls!$B$9)/2)))</f>
        <v/>
      </c>
      <c r="E94" s="10" t="str">
        <f>IF(Random!Y94="","",IF(Controls!$B$7="Normal",Controls!$B$8,(Controls!$B$8+Controls!$B$9)/2)+Controls!$B$10*(E93-IF(Controls!$B$7="Normal",Controls!$B$8,(Controls!$B$8+Controls!$B$9)/2))+SQRT(1-Controls!$B$10^2)*(Random!Y94-IF(Controls!$B$7="Normal",Controls!$B$8,(Controls!$B$8+Controls!$B$9)/2)))</f>
        <v/>
      </c>
      <c r="F94" s="10" t="str">
        <f>IF(Random!Z94="","",IF(Controls!$B$7="Normal",Controls!$B$8,(Controls!$B$8+Controls!$B$9)/2)+Controls!$B$10*(F93-IF(Controls!$B$7="Normal",Controls!$B$8,(Controls!$B$8+Controls!$B$9)/2))+SQRT(1-Controls!$B$10^2)*(Random!Z94-IF(Controls!$B$7="Normal",Controls!$B$8,(Controls!$B$8+Controls!$B$9)/2)))</f>
        <v/>
      </c>
      <c r="G94" s="10" t="str">
        <f>IF(Random!AA94="","",IF(Controls!$B$7="Normal",Controls!$B$8,(Controls!$B$8+Controls!$B$9)/2)+Controls!$B$10*(G93-IF(Controls!$B$7="Normal",Controls!$B$8,(Controls!$B$8+Controls!$B$9)/2))+SQRT(1-Controls!$B$10^2)*(Random!AA94-IF(Controls!$B$7="Normal",Controls!$B$8,(Controls!$B$8+Controls!$B$9)/2)))</f>
        <v/>
      </c>
      <c r="H94" s="10" t="str">
        <f>IF(Random!AB94="","",IF(Controls!$B$7="Normal",Controls!$B$8,(Controls!$B$8+Controls!$B$9)/2)+Controls!$B$10*(H93-IF(Controls!$B$7="Normal",Controls!$B$8,(Controls!$B$8+Controls!$B$9)/2))+SQRT(1-Controls!$B$10^2)*(Random!AB94-IF(Controls!$B$7="Normal",Controls!$B$8,(Controls!$B$8+Controls!$B$9)/2)))</f>
        <v/>
      </c>
      <c r="I94" s="10" t="str">
        <f>IF(Random!AC94="","",IF(Controls!$B$7="Normal",Controls!$B$8,(Controls!$B$8+Controls!$B$9)/2)+Controls!$B$10*(I93-IF(Controls!$B$7="Normal",Controls!$B$8,(Controls!$B$8+Controls!$B$9)/2))+SQRT(1-Controls!$B$10^2)*(Random!AC94-IF(Controls!$B$7="Normal",Controls!$B$8,(Controls!$B$8+Controls!$B$9)/2)))</f>
        <v/>
      </c>
      <c r="J94" s="10" t="str">
        <f>IF(Random!AD94="","",IF(Controls!$B$7="Normal",Controls!$B$8,(Controls!$B$8+Controls!$B$9)/2)+Controls!$B$10*(J93-IF(Controls!$B$7="Normal",Controls!$B$8,(Controls!$B$8+Controls!$B$9)/2))+SQRT(1-Controls!$B$10^2)*(Random!AD94-IF(Controls!$B$7="Normal",Controls!$B$8,(Controls!$B$8+Controls!$B$9)/2)))</f>
        <v/>
      </c>
      <c r="K94" s="10" t="str">
        <f>IF(Random!AE94="","",IF(Controls!$B$7="Normal",Controls!$B$8,(Controls!$B$8+Controls!$B$9)/2)+Controls!$B$10*(K93-IF(Controls!$B$7="Normal",Controls!$B$8,(Controls!$B$8+Controls!$B$9)/2))+SQRT(1-Controls!$B$10^2)*(Random!AE94-IF(Controls!$B$7="Normal",Controls!$B$8,(Controls!$B$8+Controls!$B$9)/2)))</f>
        <v/>
      </c>
      <c r="L94" s="10" t="str">
        <f>IF($A94="","",IF(AND($A94&gt;=Controls!$B$25,$A94&lt;Controls!$B$25+Controls!$C$25),(Controls!$D$25-1)*EXP(-0.5*(($A94-Controls!$B$25-(Controls!$C$25-1)/2)/MAX(Controls!$C$25/4,0.5))^2),0))</f>
        <v/>
      </c>
      <c r="M94" s="10" t="str">
        <f>IF($A94="","",IF(AND($A94&gt;=Controls!$B$26,$A94&lt;Controls!$B$26+Controls!$C$26),(Controls!$D$26-1)*EXP(-0.5*(($A94-Controls!$B$26-(Controls!$C$26-1)/2)/MAX(Controls!$C$26/4,0.5))^2),0))</f>
        <v/>
      </c>
      <c r="N94" s="10" t="str">
        <f>IF($A94="","",IF(AND($A94&gt;=Controls!$B$27,$A94&lt;Controls!$B$27+Controls!$C$27),(Controls!$D$27-1)*EXP(-0.5*(($A94-Controls!$B$27-(Controls!$C$27-1)/2)/MAX(Controls!$C$27/4,0.5))^2),0))</f>
        <v/>
      </c>
      <c r="O94" s="10" t="str">
        <f>IF($A94="","",IF(AND($A94&gt;=Controls!$B$28,$A94&lt;Controls!$B$28+Controls!$C$28),(Controls!$D$28-1)*EXP(-0.5*(($A94-Controls!$B$28-(Controls!$C$28-1)/2)/MAX(Controls!$C$28/4,0.5))^2),0))</f>
        <v/>
      </c>
      <c r="P94" s="4" t="str">
        <f t="shared" si="1"/>
        <v/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21.0" customHeight="1">
      <c r="A95" s="7" t="str">
        <f>IF(94&lt;=Controls!$B$5,Controls!$B$4+93,"")</f>
        <v/>
      </c>
      <c r="B95" s="10" t="str">
        <f>IF(Random!V95="","",IF(Controls!$B$7="Normal",Controls!$B$8,(Controls!$B$8+Controls!$B$9)/2)+Controls!$B$10*(B94-IF(Controls!$B$7="Normal",Controls!$B$8,(Controls!$B$8+Controls!$B$9)/2))+SQRT(1-Controls!$B$10^2)*(Random!V95-IF(Controls!$B$7="Normal",Controls!$B$8,(Controls!$B$8+Controls!$B$9)/2)))</f>
        <v/>
      </c>
      <c r="C95" s="10" t="str">
        <f>IF(Random!W95="","",IF(Controls!$B$7="Normal",Controls!$B$8,(Controls!$B$8+Controls!$B$9)/2)+Controls!$B$10*(C94-IF(Controls!$B$7="Normal",Controls!$B$8,(Controls!$B$8+Controls!$B$9)/2))+SQRT(1-Controls!$B$10^2)*(Random!W95-IF(Controls!$B$7="Normal",Controls!$B$8,(Controls!$B$8+Controls!$B$9)/2)))</f>
        <v/>
      </c>
      <c r="D95" s="10" t="str">
        <f>IF(Random!X95="","",IF(Controls!$B$7="Normal",Controls!$B$8,(Controls!$B$8+Controls!$B$9)/2)+Controls!$B$10*(D94-IF(Controls!$B$7="Normal",Controls!$B$8,(Controls!$B$8+Controls!$B$9)/2))+SQRT(1-Controls!$B$10^2)*(Random!X95-IF(Controls!$B$7="Normal",Controls!$B$8,(Controls!$B$8+Controls!$B$9)/2)))</f>
        <v/>
      </c>
      <c r="E95" s="10" t="str">
        <f>IF(Random!Y95="","",IF(Controls!$B$7="Normal",Controls!$B$8,(Controls!$B$8+Controls!$B$9)/2)+Controls!$B$10*(E94-IF(Controls!$B$7="Normal",Controls!$B$8,(Controls!$B$8+Controls!$B$9)/2))+SQRT(1-Controls!$B$10^2)*(Random!Y95-IF(Controls!$B$7="Normal",Controls!$B$8,(Controls!$B$8+Controls!$B$9)/2)))</f>
        <v/>
      </c>
      <c r="F95" s="10" t="str">
        <f>IF(Random!Z95="","",IF(Controls!$B$7="Normal",Controls!$B$8,(Controls!$B$8+Controls!$B$9)/2)+Controls!$B$10*(F94-IF(Controls!$B$7="Normal",Controls!$B$8,(Controls!$B$8+Controls!$B$9)/2))+SQRT(1-Controls!$B$10^2)*(Random!Z95-IF(Controls!$B$7="Normal",Controls!$B$8,(Controls!$B$8+Controls!$B$9)/2)))</f>
        <v/>
      </c>
      <c r="G95" s="10" t="str">
        <f>IF(Random!AA95="","",IF(Controls!$B$7="Normal",Controls!$B$8,(Controls!$B$8+Controls!$B$9)/2)+Controls!$B$10*(G94-IF(Controls!$B$7="Normal",Controls!$B$8,(Controls!$B$8+Controls!$B$9)/2))+SQRT(1-Controls!$B$10^2)*(Random!AA95-IF(Controls!$B$7="Normal",Controls!$B$8,(Controls!$B$8+Controls!$B$9)/2)))</f>
        <v/>
      </c>
      <c r="H95" s="10" t="str">
        <f>IF(Random!AB95="","",IF(Controls!$B$7="Normal",Controls!$B$8,(Controls!$B$8+Controls!$B$9)/2)+Controls!$B$10*(H94-IF(Controls!$B$7="Normal",Controls!$B$8,(Controls!$B$8+Controls!$B$9)/2))+SQRT(1-Controls!$B$10^2)*(Random!AB95-IF(Controls!$B$7="Normal",Controls!$B$8,(Controls!$B$8+Controls!$B$9)/2)))</f>
        <v/>
      </c>
      <c r="I95" s="10" t="str">
        <f>IF(Random!AC95="","",IF(Controls!$B$7="Normal",Controls!$B$8,(Controls!$B$8+Controls!$B$9)/2)+Controls!$B$10*(I94-IF(Controls!$B$7="Normal",Controls!$B$8,(Controls!$B$8+Controls!$B$9)/2))+SQRT(1-Controls!$B$10^2)*(Random!AC95-IF(Controls!$B$7="Normal",Controls!$B$8,(Controls!$B$8+Controls!$B$9)/2)))</f>
        <v/>
      </c>
      <c r="J95" s="10" t="str">
        <f>IF(Random!AD95="","",IF(Controls!$B$7="Normal",Controls!$B$8,(Controls!$B$8+Controls!$B$9)/2)+Controls!$B$10*(J94-IF(Controls!$B$7="Normal",Controls!$B$8,(Controls!$B$8+Controls!$B$9)/2))+SQRT(1-Controls!$B$10^2)*(Random!AD95-IF(Controls!$B$7="Normal",Controls!$B$8,(Controls!$B$8+Controls!$B$9)/2)))</f>
        <v/>
      </c>
      <c r="K95" s="10" t="str">
        <f>IF(Random!AE95="","",IF(Controls!$B$7="Normal",Controls!$B$8,(Controls!$B$8+Controls!$B$9)/2)+Controls!$B$10*(K94-IF(Controls!$B$7="Normal",Controls!$B$8,(Controls!$B$8+Controls!$B$9)/2))+SQRT(1-Controls!$B$10^2)*(Random!AE95-IF(Controls!$B$7="Normal",Controls!$B$8,(Controls!$B$8+Controls!$B$9)/2)))</f>
        <v/>
      </c>
      <c r="L95" s="10" t="str">
        <f>IF($A95="","",IF(AND($A95&gt;=Controls!$B$25,$A95&lt;Controls!$B$25+Controls!$C$25),(Controls!$D$25-1)*EXP(-0.5*(($A95-Controls!$B$25-(Controls!$C$25-1)/2)/MAX(Controls!$C$25/4,0.5))^2),0))</f>
        <v/>
      </c>
      <c r="M95" s="10" t="str">
        <f>IF($A95="","",IF(AND($A95&gt;=Controls!$B$26,$A95&lt;Controls!$B$26+Controls!$C$26),(Controls!$D$26-1)*EXP(-0.5*(($A95-Controls!$B$26-(Controls!$C$26-1)/2)/MAX(Controls!$C$26/4,0.5))^2),0))</f>
        <v/>
      </c>
      <c r="N95" s="10" t="str">
        <f>IF($A95="","",IF(AND($A95&gt;=Controls!$B$27,$A95&lt;Controls!$B$27+Controls!$C$27),(Controls!$D$27-1)*EXP(-0.5*(($A95-Controls!$B$27-(Controls!$C$27-1)/2)/MAX(Controls!$C$27/4,0.5))^2),0))</f>
        <v/>
      </c>
      <c r="O95" s="10" t="str">
        <f>IF($A95="","",IF(AND($A95&gt;=Controls!$B$28,$A95&lt;Controls!$B$28+Controls!$C$28),(Controls!$D$28-1)*EXP(-0.5*(($A95-Controls!$B$28-(Controls!$C$28-1)/2)/MAX(Controls!$C$28/4,0.5))^2),0))</f>
        <v/>
      </c>
      <c r="P95" s="4" t="str">
        <f t="shared" si="1"/>
        <v/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21.0" customHeight="1">
      <c r="A96" s="7" t="str">
        <f>IF(95&lt;=Controls!$B$5,Controls!$B$4+94,"")</f>
        <v/>
      </c>
      <c r="B96" s="10" t="str">
        <f>IF(Random!V96="","",IF(Controls!$B$7="Normal",Controls!$B$8,(Controls!$B$8+Controls!$B$9)/2)+Controls!$B$10*(B95-IF(Controls!$B$7="Normal",Controls!$B$8,(Controls!$B$8+Controls!$B$9)/2))+SQRT(1-Controls!$B$10^2)*(Random!V96-IF(Controls!$B$7="Normal",Controls!$B$8,(Controls!$B$8+Controls!$B$9)/2)))</f>
        <v/>
      </c>
      <c r="C96" s="10" t="str">
        <f>IF(Random!W96="","",IF(Controls!$B$7="Normal",Controls!$B$8,(Controls!$B$8+Controls!$B$9)/2)+Controls!$B$10*(C95-IF(Controls!$B$7="Normal",Controls!$B$8,(Controls!$B$8+Controls!$B$9)/2))+SQRT(1-Controls!$B$10^2)*(Random!W96-IF(Controls!$B$7="Normal",Controls!$B$8,(Controls!$B$8+Controls!$B$9)/2)))</f>
        <v/>
      </c>
      <c r="D96" s="10" t="str">
        <f>IF(Random!X96="","",IF(Controls!$B$7="Normal",Controls!$B$8,(Controls!$B$8+Controls!$B$9)/2)+Controls!$B$10*(D95-IF(Controls!$B$7="Normal",Controls!$B$8,(Controls!$B$8+Controls!$B$9)/2))+SQRT(1-Controls!$B$10^2)*(Random!X96-IF(Controls!$B$7="Normal",Controls!$B$8,(Controls!$B$8+Controls!$B$9)/2)))</f>
        <v/>
      </c>
      <c r="E96" s="10" t="str">
        <f>IF(Random!Y96="","",IF(Controls!$B$7="Normal",Controls!$B$8,(Controls!$B$8+Controls!$B$9)/2)+Controls!$B$10*(E95-IF(Controls!$B$7="Normal",Controls!$B$8,(Controls!$B$8+Controls!$B$9)/2))+SQRT(1-Controls!$B$10^2)*(Random!Y96-IF(Controls!$B$7="Normal",Controls!$B$8,(Controls!$B$8+Controls!$B$9)/2)))</f>
        <v/>
      </c>
      <c r="F96" s="10" t="str">
        <f>IF(Random!Z96="","",IF(Controls!$B$7="Normal",Controls!$B$8,(Controls!$B$8+Controls!$B$9)/2)+Controls!$B$10*(F95-IF(Controls!$B$7="Normal",Controls!$B$8,(Controls!$B$8+Controls!$B$9)/2))+SQRT(1-Controls!$B$10^2)*(Random!Z96-IF(Controls!$B$7="Normal",Controls!$B$8,(Controls!$B$8+Controls!$B$9)/2)))</f>
        <v/>
      </c>
      <c r="G96" s="10" t="str">
        <f>IF(Random!AA96="","",IF(Controls!$B$7="Normal",Controls!$B$8,(Controls!$B$8+Controls!$B$9)/2)+Controls!$B$10*(G95-IF(Controls!$B$7="Normal",Controls!$B$8,(Controls!$B$8+Controls!$B$9)/2))+SQRT(1-Controls!$B$10^2)*(Random!AA96-IF(Controls!$B$7="Normal",Controls!$B$8,(Controls!$B$8+Controls!$B$9)/2)))</f>
        <v/>
      </c>
      <c r="H96" s="10" t="str">
        <f>IF(Random!AB96="","",IF(Controls!$B$7="Normal",Controls!$B$8,(Controls!$B$8+Controls!$B$9)/2)+Controls!$B$10*(H95-IF(Controls!$B$7="Normal",Controls!$B$8,(Controls!$B$8+Controls!$B$9)/2))+SQRT(1-Controls!$B$10^2)*(Random!AB96-IF(Controls!$B$7="Normal",Controls!$B$8,(Controls!$B$8+Controls!$B$9)/2)))</f>
        <v/>
      </c>
      <c r="I96" s="10" t="str">
        <f>IF(Random!AC96="","",IF(Controls!$B$7="Normal",Controls!$B$8,(Controls!$B$8+Controls!$B$9)/2)+Controls!$B$10*(I95-IF(Controls!$B$7="Normal",Controls!$B$8,(Controls!$B$8+Controls!$B$9)/2))+SQRT(1-Controls!$B$10^2)*(Random!AC96-IF(Controls!$B$7="Normal",Controls!$B$8,(Controls!$B$8+Controls!$B$9)/2)))</f>
        <v/>
      </c>
      <c r="J96" s="10" t="str">
        <f>IF(Random!AD96="","",IF(Controls!$B$7="Normal",Controls!$B$8,(Controls!$B$8+Controls!$B$9)/2)+Controls!$B$10*(J95-IF(Controls!$B$7="Normal",Controls!$B$8,(Controls!$B$8+Controls!$B$9)/2))+SQRT(1-Controls!$B$10^2)*(Random!AD96-IF(Controls!$B$7="Normal",Controls!$B$8,(Controls!$B$8+Controls!$B$9)/2)))</f>
        <v/>
      </c>
      <c r="K96" s="10" t="str">
        <f>IF(Random!AE96="","",IF(Controls!$B$7="Normal",Controls!$B$8,(Controls!$B$8+Controls!$B$9)/2)+Controls!$B$10*(K95-IF(Controls!$B$7="Normal",Controls!$B$8,(Controls!$B$8+Controls!$B$9)/2))+SQRT(1-Controls!$B$10^2)*(Random!AE96-IF(Controls!$B$7="Normal",Controls!$B$8,(Controls!$B$8+Controls!$B$9)/2)))</f>
        <v/>
      </c>
      <c r="L96" s="10" t="str">
        <f>IF($A96="","",IF(AND($A96&gt;=Controls!$B$25,$A96&lt;Controls!$B$25+Controls!$C$25),(Controls!$D$25-1)*EXP(-0.5*(($A96-Controls!$B$25-(Controls!$C$25-1)/2)/MAX(Controls!$C$25/4,0.5))^2),0))</f>
        <v/>
      </c>
      <c r="M96" s="10" t="str">
        <f>IF($A96="","",IF(AND($A96&gt;=Controls!$B$26,$A96&lt;Controls!$B$26+Controls!$C$26),(Controls!$D$26-1)*EXP(-0.5*(($A96-Controls!$B$26-(Controls!$C$26-1)/2)/MAX(Controls!$C$26/4,0.5))^2),0))</f>
        <v/>
      </c>
      <c r="N96" s="10" t="str">
        <f>IF($A96="","",IF(AND($A96&gt;=Controls!$B$27,$A96&lt;Controls!$B$27+Controls!$C$27),(Controls!$D$27-1)*EXP(-0.5*(($A96-Controls!$B$27-(Controls!$C$27-1)/2)/MAX(Controls!$C$27/4,0.5))^2),0))</f>
        <v/>
      </c>
      <c r="O96" s="10" t="str">
        <f>IF($A96="","",IF(AND($A96&gt;=Controls!$B$28,$A96&lt;Controls!$B$28+Controls!$C$28),(Controls!$D$28-1)*EXP(-0.5*(($A96-Controls!$B$28-(Controls!$C$28-1)/2)/MAX(Controls!$C$28/4,0.5))^2),0))</f>
        <v/>
      </c>
      <c r="P96" s="4" t="str">
        <f t="shared" si="1"/>
        <v/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21.0" customHeight="1">
      <c r="A97" s="7" t="str">
        <f>IF(96&lt;=Controls!$B$5,Controls!$B$4+95,"")</f>
        <v/>
      </c>
      <c r="B97" s="10" t="str">
        <f>IF(Random!V97="","",IF(Controls!$B$7="Normal",Controls!$B$8,(Controls!$B$8+Controls!$B$9)/2)+Controls!$B$10*(B96-IF(Controls!$B$7="Normal",Controls!$B$8,(Controls!$B$8+Controls!$B$9)/2))+SQRT(1-Controls!$B$10^2)*(Random!V97-IF(Controls!$B$7="Normal",Controls!$B$8,(Controls!$B$8+Controls!$B$9)/2)))</f>
        <v/>
      </c>
      <c r="C97" s="10" t="str">
        <f>IF(Random!W97="","",IF(Controls!$B$7="Normal",Controls!$B$8,(Controls!$B$8+Controls!$B$9)/2)+Controls!$B$10*(C96-IF(Controls!$B$7="Normal",Controls!$B$8,(Controls!$B$8+Controls!$B$9)/2))+SQRT(1-Controls!$B$10^2)*(Random!W97-IF(Controls!$B$7="Normal",Controls!$B$8,(Controls!$B$8+Controls!$B$9)/2)))</f>
        <v/>
      </c>
      <c r="D97" s="10" t="str">
        <f>IF(Random!X97="","",IF(Controls!$B$7="Normal",Controls!$B$8,(Controls!$B$8+Controls!$B$9)/2)+Controls!$B$10*(D96-IF(Controls!$B$7="Normal",Controls!$B$8,(Controls!$B$8+Controls!$B$9)/2))+SQRT(1-Controls!$B$10^2)*(Random!X97-IF(Controls!$B$7="Normal",Controls!$B$8,(Controls!$B$8+Controls!$B$9)/2)))</f>
        <v/>
      </c>
      <c r="E97" s="10" t="str">
        <f>IF(Random!Y97="","",IF(Controls!$B$7="Normal",Controls!$B$8,(Controls!$B$8+Controls!$B$9)/2)+Controls!$B$10*(E96-IF(Controls!$B$7="Normal",Controls!$B$8,(Controls!$B$8+Controls!$B$9)/2))+SQRT(1-Controls!$B$10^2)*(Random!Y97-IF(Controls!$B$7="Normal",Controls!$B$8,(Controls!$B$8+Controls!$B$9)/2)))</f>
        <v/>
      </c>
      <c r="F97" s="10" t="str">
        <f>IF(Random!Z97="","",IF(Controls!$B$7="Normal",Controls!$B$8,(Controls!$B$8+Controls!$B$9)/2)+Controls!$B$10*(F96-IF(Controls!$B$7="Normal",Controls!$B$8,(Controls!$B$8+Controls!$B$9)/2))+SQRT(1-Controls!$B$10^2)*(Random!Z97-IF(Controls!$B$7="Normal",Controls!$B$8,(Controls!$B$8+Controls!$B$9)/2)))</f>
        <v/>
      </c>
      <c r="G97" s="10" t="str">
        <f>IF(Random!AA97="","",IF(Controls!$B$7="Normal",Controls!$B$8,(Controls!$B$8+Controls!$B$9)/2)+Controls!$B$10*(G96-IF(Controls!$B$7="Normal",Controls!$B$8,(Controls!$B$8+Controls!$B$9)/2))+SQRT(1-Controls!$B$10^2)*(Random!AA97-IF(Controls!$B$7="Normal",Controls!$B$8,(Controls!$B$8+Controls!$B$9)/2)))</f>
        <v/>
      </c>
      <c r="H97" s="10" t="str">
        <f>IF(Random!AB97="","",IF(Controls!$B$7="Normal",Controls!$B$8,(Controls!$B$8+Controls!$B$9)/2)+Controls!$B$10*(H96-IF(Controls!$B$7="Normal",Controls!$B$8,(Controls!$B$8+Controls!$B$9)/2))+SQRT(1-Controls!$B$10^2)*(Random!AB97-IF(Controls!$B$7="Normal",Controls!$B$8,(Controls!$B$8+Controls!$B$9)/2)))</f>
        <v/>
      </c>
      <c r="I97" s="10" t="str">
        <f>IF(Random!AC97="","",IF(Controls!$B$7="Normal",Controls!$B$8,(Controls!$B$8+Controls!$B$9)/2)+Controls!$B$10*(I96-IF(Controls!$B$7="Normal",Controls!$B$8,(Controls!$B$8+Controls!$B$9)/2))+SQRT(1-Controls!$B$10^2)*(Random!AC97-IF(Controls!$B$7="Normal",Controls!$B$8,(Controls!$B$8+Controls!$B$9)/2)))</f>
        <v/>
      </c>
      <c r="J97" s="10" t="str">
        <f>IF(Random!AD97="","",IF(Controls!$B$7="Normal",Controls!$B$8,(Controls!$B$8+Controls!$B$9)/2)+Controls!$B$10*(J96-IF(Controls!$B$7="Normal",Controls!$B$8,(Controls!$B$8+Controls!$B$9)/2))+SQRT(1-Controls!$B$10^2)*(Random!AD97-IF(Controls!$B$7="Normal",Controls!$B$8,(Controls!$B$8+Controls!$B$9)/2)))</f>
        <v/>
      </c>
      <c r="K97" s="10" t="str">
        <f>IF(Random!AE97="","",IF(Controls!$B$7="Normal",Controls!$B$8,(Controls!$B$8+Controls!$B$9)/2)+Controls!$B$10*(K96-IF(Controls!$B$7="Normal",Controls!$B$8,(Controls!$B$8+Controls!$B$9)/2))+SQRT(1-Controls!$B$10^2)*(Random!AE97-IF(Controls!$B$7="Normal",Controls!$B$8,(Controls!$B$8+Controls!$B$9)/2)))</f>
        <v/>
      </c>
      <c r="L97" s="10" t="str">
        <f>IF($A97="","",IF(AND($A97&gt;=Controls!$B$25,$A97&lt;Controls!$B$25+Controls!$C$25),(Controls!$D$25-1)*EXP(-0.5*(($A97-Controls!$B$25-(Controls!$C$25-1)/2)/MAX(Controls!$C$25/4,0.5))^2),0))</f>
        <v/>
      </c>
      <c r="M97" s="10" t="str">
        <f>IF($A97="","",IF(AND($A97&gt;=Controls!$B$26,$A97&lt;Controls!$B$26+Controls!$C$26),(Controls!$D$26-1)*EXP(-0.5*(($A97-Controls!$B$26-(Controls!$C$26-1)/2)/MAX(Controls!$C$26/4,0.5))^2),0))</f>
        <v/>
      </c>
      <c r="N97" s="10" t="str">
        <f>IF($A97="","",IF(AND($A97&gt;=Controls!$B$27,$A97&lt;Controls!$B$27+Controls!$C$27),(Controls!$D$27-1)*EXP(-0.5*(($A97-Controls!$B$27-(Controls!$C$27-1)/2)/MAX(Controls!$C$27/4,0.5))^2),0))</f>
        <v/>
      </c>
      <c r="O97" s="10" t="str">
        <f>IF($A97="","",IF(AND($A97&gt;=Controls!$B$28,$A97&lt;Controls!$B$28+Controls!$C$28),(Controls!$D$28-1)*EXP(-0.5*(($A97-Controls!$B$28-(Controls!$C$28-1)/2)/MAX(Controls!$C$28/4,0.5))^2),0))</f>
        <v/>
      </c>
      <c r="P97" s="4" t="str">
        <f t="shared" si="1"/>
        <v/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21.0" customHeight="1">
      <c r="A98" s="7" t="str">
        <f>IF(97&lt;=Controls!$B$5,Controls!$B$4+96,"")</f>
        <v/>
      </c>
      <c r="B98" s="10" t="str">
        <f>IF(Random!V98="","",IF(Controls!$B$7="Normal",Controls!$B$8,(Controls!$B$8+Controls!$B$9)/2)+Controls!$B$10*(B97-IF(Controls!$B$7="Normal",Controls!$B$8,(Controls!$B$8+Controls!$B$9)/2))+SQRT(1-Controls!$B$10^2)*(Random!V98-IF(Controls!$B$7="Normal",Controls!$B$8,(Controls!$B$8+Controls!$B$9)/2)))</f>
        <v/>
      </c>
      <c r="C98" s="10" t="str">
        <f>IF(Random!W98="","",IF(Controls!$B$7="Normal",Controls!$B$8,(Controls!$B$8+Controls!$B$9)/2)+Controls!$B$10*(C97-IF(Controls!$B$7="Normal",Controls!$B$8,(Controls!$B$8+Controls!$B$9)/2))+SQRT(1-Controls!$B$10^2)*(Random!W98-IF(Controls!$B$7="Normal",Controls!$B$8,(Controls!$B$8+Controls!$B$9)/2)))</f>
        <v/>
      </c>
      <c r="D98" s="10" t="str">
        <f>IF(Random!X98="","",IF(Controls!$B$7="Normal",Controls!$B$8,(Controls!$B$8+Controls!$B$9)/2)+Controls!$B$10*(D97-IF(Controls!$B$7="Normal",Controls!$B$8,(Controls!$B$8+Controls!$B$9)/2))+SQRT(1-Controls!$B$10^2)*(Random!X98-IF(Controls!$B$7="Normal",Controls!$B$8,(Controls!$B$8+Controls!$B$9)/2)))</f>
        <v/>
      </c>
      <c r="E98" s="10" t="str">
        <f>IF(Random!Y98="","",IF(Controls!$B$7="Normal",Controls!$B$8,(Controls!$B$8+Controls!$B$9)/2)+Controls!$B$10*(E97-IF(Controls!$B$7="Normal",Controls!$B$8,(Controls!$B$8+Controls!$B$9)/2))+SQRT(1-Controls!$B$10^2)*(Random!Y98-IF(Controls!$B$7="Normal",Controls!$B$8,(Controls!$B$8+Controls!$B$9)/2)))</f>
        <v/>
      </c>
      <c r="F98" s="10" t="str">
        <f>IF(Random!Z98="","",IF(Controls!$B$7="Normal",Controls!$B$8,(Controls!$B$8+Controls!$B$9)/2)+Controls!$B$10*(F97-IF(Controls!$B$7="Normal",Controls!$B$8,(Controls!$B$8+Controls!$B$9)/2))+SQRT(1-Controls!$B$10^2)*(Random!Z98-IF(Controls!$B$7="Normal",Controls!$B$8,(Controls!$B$8+Controls!$B$9)/2)))</f>
        <v/>
      </c>
      <c r="G98" s="10" t="str">
        <f>IF(Random!AA98="","",IF(Controls!$B$7="Normal",Controls!$B$8,(Controls!$B$8+Controls!$B$9)/2)+Controls!$B$10*(G97-IF(Controls!$B$7="Normal",Controls!$B$8,(Controls!$B$8+Controls!$B$9)/2))+SQRT(1-Controls!$B$10^2)*(Random!AA98-IF(Controls!$B$7="Normal",Controls!$B$8,(Controls!$B$8+Controls!$B$9)/2)))</f>
        <v/>
      </c>
      <c r="H98" s="10" t="str">
        <f>IF(Random!AB98="","",IF(Controls!$B$7="Normal",Controls!$B$8,(Controls!$B$8+Controls!$B$9)/2)+Controls!$B$10*(H97-IF(Controls!$B$7="Normal",Controls!$B$8,(Controls!$B$8+Controls!$B$9)/2))+SQRT(1-Controls!$B$10^2)*(Random!AB98-IF(Controls!$B$7="Normal",Controls!$B$8,(Controls!$B$8+Controls!$B$9)/2)))</f>
        <v/>
      </c>
      <c r="I98" s="10" t="str">
        <f>IF(Random!AC98="","",IF(Controls!$B$7="Normal",Controls!$B$8,(Controls!$B$8+Controls!$B$9)/2)+Controls!$B$10*(I97-IF(Controls!$B$7="Normal",Controls!$B$8,(Controls!$B$8+Controls!$B$9)/2))+SQRT(1-Controls!$B$10^2)*(Random!AC98-IF(Controls!$B$7="Normal",Controls!$B$8,(Controls!$B$8+Controls!$B$9)/2)))</f>
        <v/>
      </c>
      <c r="J98" s="10" t="str">
        <f>IF(Random!AD98="","",IF(Controls!$B$7="Normal",Controls!$B$8,(Controls!$B$8+Controls!$B$9)/2)+Controls!$B$10*(J97-IF(Controls!$B$7="Normal",Controls!$B$8,(Controls!$B$8+Controls!$B$9)/2))+SQRT(1-Controls!$B$10^2)*(Random!AD98-IF(Controls!$B$7="Normal",Controls!$B$8,(Controls!$B$8+Controls!$B$9)/2)))</f>
        <v/>
      </c>
      <c r="K98" s="10" t="str">
        <f>IF(Random!AE98="","",IF(Controls!$B$7="Normal",Controls!$B$8,(Controls!$B$8+Controls!$B$9)/2)+Controls!$B$10*(K97-IF(Controls!$B$7="Normal",Controls!$B$8,(Controls!$B$8+Controls!$B$9)/2))+SQRT(1-Controls!$B$10^2)*(Random!AE98-IF(Controls!$B$7="Normal",Controls!$B$8,(Controls!$B$8+Controls!$B$9)/2)))</f>
        <v/>
      </c>
      <c r="L98" s="10" t="str">
        <f>IF($A98="","",IF(AND($A98&gt;=Controls!$B$25,$A98&lt;Controls!$B$25+Controls!$C$25),(Controls!$D$25-1)*EXP(-0.5*(($A98-Controls!$B$25-(Controls!$C$25-1)/2)/MAX(Controls!$C$25/4,0.5))^2),0))</f>
        <v/>
      </c>
      <c r="M98" s="10" t="str">
        <f>IF($A98="","",IF(AND($A98&gt;=Controls!$B$26,$A98&lt;Controls!$B$26+Controls!$C$26),(Controls!$D$26-1)*EXP(-0.5*(($A98-Controls!$B$26-(Controls!$C$26-1)/2)/MAX(Controls!$C$26/4,0.5))^2),0))</f>
        <v/>
      </c>
      <c r="N98" s="10" t="str">
        <f>IF($A98="","",IF(AND($A98&gt;=Controls!$B$27,$A98&lt;Controls!$B$27+Controls!$C$27),(Controls!$D$27-1)*EXP(-0.5*(($A98-Controls!$B$27-(Controls!$C$27-1)/2)/MAX(Controls!$C$27/4,0.5))^2),0))</f>
        <v/>
      </c>
      <c r="O98" s="10" t="str">
        <f>IF($A98="","",IF(AND($A98&gt;=Controls!$B$28,$A98&lt;Controls!$B$28+Controls!$C$28),(Controls!$D$28-1)*EXP(-0.5*(($A98-Controls!$B$28-(Controls!$C$28-1)/2)/MAX(Controls!$C$28/4,0.5))^2),0))</f>
        <v/>
      </c>
      <c r="P98" s="4" t="str">
        <f t="shared" si="1"/>
        <v/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21.0" customHeight="1">
      <c r="A99" s="7" t="str">
        <f>IF(98&lt;=Controls!$B$5,Controls!$B$4+97,"")</f>
        <v/>
      </c>
      <c r="B99" s="10" t="str">
        <f>IF(Random!V99="","",IF(Controls!$B$7="Normal",Controls!$B$8,(Controls!$B$8+Controls!$B$9)/2)+Controls!$B$10*(B98-IF(Controls!$B$7="Normal",Controls!$B$8,(Controls!$B$8+Controls!$B$9)/2))+SQRT(1-Controls!$B$10^2)*(Random!V99-IF(Controls!$B$7="Normal",Controls!$B$8,(Controls!$B$8+Controls!$B$9)/2)))</f>
        <v/>
      </c>
      <c r="C99" s="10" t="str">
        <f>IF(Random!W99="","",IF(Controls!$B$7="Normal",Controls!$B$8,(Controls!$B$8+Controls!$B$9)/2)+Controls!$B$10*(C98-IF(Controls!$B$7="Normal",Controls!$B$8,(Controls!$B$8+Controls!$B$9)/2))+SQRT(1-Controls!$B$10^2)*(Random!W99-IF(Controls!$B$7="Normal",Controls!$B$8,(Controls!$B$8+Controls!$B$9)/2)))</f>
        <v/>
      </c>
      <c r="D99" s="10" t="str">
        <f>IF(Random!X99="","",IF(Controls!$B$7="Normal",Controls!$B$8,(Controls!$B$8+Controls!$B$9)/2)+Controls!$B$10*(D98-IF(Controls!$B$7="Normal",Controls!$B$8,(Controls!$B$8+Controls!$B$9)/2))+SQRT(1-Controls!$B$10^2)*(Random!X99-IF(Controls!$B$7="Normal",Controls!$B$8,(Controls!$B$8+Controls!$B$9)/2)))</f>
        <v/>
      </c>
      <c r="E99" s="10" t="str">
        <f>IF(Random!Y99="","",IF(Controls!$B$7="Normal",Controls!$B$8,(Controls!$B$8+Controls!$B$9)/2)+Controls!$B$10*(E98-IF(Controls!$B$7="Normal",Controls!$B$8,(Controls!$B$8+Controls!$B$9)/2))+SQRT(1-Controls!$B$10^2)*(Random!Y99-IF(Controls!$B$7="Normal",Controls!$B$8,(Controls!$B$8+Controls!$B$9)/2)))</f>
        <v/>
      </c>
      <c r="F99" s="10" t="str">
        <f>IF(Random!Z99="","",IF(Controls!$B$7="Normal",Controls!$B$8,(Controls!$B$8+Controls!$B$9)/2)+Controls!$B$10*(F98-IF(Controls!$B$7="Normal",Controls!$B$8,(Controls!$B$8+Controls!$B$9)/2))+SQRT(1-Controls!$B$10^2)*(Random!Z99-IF(Controls!$B$7="Normal",Controls!$B$8,(Controls!$B$8+Controls!$B$9)/2)))</f>
        <v/>
      </c>
      <c r="G99" s="10" t="str">
        <f>IF(Random!AA99="","",IF(Controls!$B$7="Normal",Controls!$B$8,(Controls!$B$8+Controls!$B$9)/2)+Controls!$B$10*(G98-IF(Controls!$B$7="Normal",Controls!$B$8,(Controls!$B$8+Controls!$B$9)/2))+SQRT(1-Controls!$B$10^2)*(Random!AA99-IF(Controls!$B$7="Normal",Controls!$B$8,(Controls!$B$8+Controls!$B$9)/2)))</f>
        <v/>
      </c>
      <c r="H99" s="10" t="str">
        <f>IF(Random!AB99="","",IF(Controls!$B$7="Normal",Controls!$B$8,(Controls!$B$8+Controls!$B$9)/2)+Controls!$B$10*(H98-IF(Controls!$B$7="Normal",Controls!$B$8,(Controls!$B$8+Controls!$B$9)/2))+SQRT(1-Controls!$B$10^2)*(Random!AB99-IF(Controls!$B$7="Normal",Controls!$B$8,(Controls!$B$8+Controls!$B$9)/2)))</f>
        <v/>
      </c>
      <c r="I99" s="10" t="str">
        <f>IF(Random!AC99="","",IF(Controls!$B$7="Normal",Controls!$B$8,(Controls!$B$8+Controls!$B$9)/2)+Controls!$B$10*(I98-IF(Controls!$B$7="Normal",Controls!$B$8,(Controls!$B$8+Controls!$B$9)/2))+SQRT(1-Controls!$B$10^2)*(Random!AC99-IF(Controls!$B$7="Normal",Controls!$B$8,(Controls!$B$8+Controls!$B$9)/2)))</f>
        <v/>
      </c>
      <c r="J99" s="10" t="str">
        <f>IF(Random!AD99="","",IF(Controls!$B$7="Normal",Controls!$B$8,(Controls!$B$8+Controls!$B$9)/2)+Controls!$B$10*(J98-IF(Controls!$B$7="Normal",Controls!$B$8,(Controls!$B$8+Controls!$B$9)/2))+SQRT(1-Controls!$B$10^2)*(Random!AD99-IF(Controls!$B$7="Normal",Controls!$B$8,(Controls!$B$8+Controls!$B$9)/2)))</f>
        <v/>
      </c>
      <c r="K99" s="10" t="str">
        <f>IF(Random!AE99="","",IF(Controls!$B$7="Normal",Controls!$B$8,(Controls!$B$8+Controls!$B$9)/2)+Controls!$B$10*(K98-IF(Controls!$B$7="Normal",Controls!$B$8,(Controls!$B$8+Controls!$B$9)/2))+SQRT(1-Controls!$B$10^2)*(Random!AE99-IF(Controls!$B$7="Normal",Controls!$B$8,(Controls!$B$8+Controls!$B$9)/2)))</f>
        <v/>
      </c>
      <c r="L99" s="10" t="str">
        <f>IF($A99="","",IF(AND($A99&gt;=Controls!$B$25,$A99&lt;Controls!$B$25+Controls!$C$25),(Controls!$D$25-1)*EXP(-0.5*(($A99-Controls!$B$25-(Controls!$C$25-1)/2)/MAX(Controls!$C$25/4,0.5))^2),0))</f>
        <v/>
      </c>
      <c r="M99" s="10" t="str">
        <f>IF($A99="","",IF(AND($A99&gt;=Controls!$B$26,$A99&lt;Controls!$B$26+Controls!$C$26),(Controls!$D$26-1)*EXP(-0.5*(($A99-Controls!$B$26-(Controls!$C$26-1)/2)/MAX(Controls!$C$26/4,0.5))^2),0))</f>
        <v/>
      </c>
      <c r="N99" s="10" t="str">
        <f>IF($A99="","",IF(AND($A99&gt;=Controls!$B$27,$A99&lt;Controls!$B$27+Controls!$C$27),(Controls!$D$27-1)*EXP(-0.5*(($A99-Controls!$B$27-(Controls!$C$27-1)/2)/MAX(Controls!$C$27/4,0.5))^2),0))</f>
        <v/>
      </c>
      <c r="O99" s="10" t="str">
        <f>IF($A99="","",IF(AND($A99&gt;=Controls!$B$28,$A99&lt;Controls!$B$28+Controls!$C$28),(Controls!$D$28-1)*EXP(-0.5*(($A99-Controls!$B$28-(Controls!$C$28-1)/2)/MAX(Controls!$C$28/4,0.5))^2),0))</f>
        <v/>
      </c>
      <c r="P99" s="4" t="str">
        <f t="shared" si="1"/>
        <v/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21.0" customHeight="1">
      <c r="A100" s="7" t="str">
        <f>IF(99&lt;=Controls!$B$5,Controls!$B$4+98,"")</f>
        <v/>
      </c>
      <c r="B100" s="10" t="str">
        <f>IF(Random!V100="","",IF(Controls!$B$7="Normal",Controls!$B$8,(Controls!$B$8+Controls!$B$9)/2)+Controls!$B$10*(B99-IF(Controls!$B$7="Normal",Controls!$B$8,(Controls!$B$8+Controls!$B$9)/2))+SQRT(1-Controls!$B$10^2)*(Random!V100-IF(Controls!$B$7="Normal",Controls!$B$8,(Controls!$B$8+Controls!$B$9)/2)))</f>
        <v/>
      </c>
      <c r="C100" s="10" t="str">
        <f>IF(Random!W100="","",IF(Controls!$B$7="Normal",Controls!$B$8,(Controls!$B$8+Controls!$B$9)/2)+Controls!$B$10*(C99-IF(Controls!$B$7="Normal",Controls!$B$8,(Controls!$B$8+Controls!$B$9)/2))+SQRT(1-Controls!$B$10^2)*(Random!W100-IF(Controls!$B$7="Normal",Controls!$B$8,(Controls!$B$8+Controls!$B$9)/2)))</f>
        <v/>
      </c>
      <c r="D100" s="10" t="str">
        <f>IF(Random!X100="","",IF(Controls!$B$7="Normal",Controls!$B$8,(Controls!$B$8+Controls!$B$9)/2)+Controls!$B$10*(D99-IF(Controls!$B$7="Normal",Controls!$B$8,(Controls!$B$8+Controls!$B$9)/2))+SQRT(1-Controls!$B$10^2)*(Random!X100-IF(Controls!$B$7="Normal",Controls!$B$8,(Controls!$B$8+Controls!$B$9)/2)))</f>
        <v/>
      </c>
      <c r="E100" s="10" t="str">
        <f>IF(Random!Y100="","",IF(Controls!$B$7="Normal",Controls!$B$8,(Controls!$B$8+Controls!$B$9)/2)+Controls!$B$10*(E99-IF(Controls!$B$7="Normal",Controls!$B$8,(Controls!$B$8+Controls!$B$9)/2))+SQRT(1-Controls!$B$10^2)*(Random!Y100-IF(Controls!$B$7="Normal",Controls!$B$8,(Controls!$B$8+Controls!$B$9)/2)))</f>
        <v/>
      </c>
      <c r="F100" s="10" t="str">
        <f>IF(Random!Z100="","",IF(Controls!$B$7="Normal",Controls!$B$8,(Controls!$B$8+Controls!$B$9)/2)+Controls!$B$10*(F99-IF(Controls!$B$7="Normal",Controls!$B$8,(Controls!$B$8+Controls!$B$9)/2))+SQRT(1-Controls!$B$10^2)*(Random!Z100-IF(Controls!$B$7="Normal",Controls!$B$8,(Controls!$B$8+Controls!$B$9)/2)))</f>
        <v/>
      </c>
      <c r="G100" s="10" t="str">
        <f>IF(Random!AA100="","",IF(Controls!$B$7="Normal",Controls!$B$8,(Controls!$B$8+Controls!$B$9)/2)+Controls!$B$10*(G99-IF(Controls!$B$7="Normal",Controls!$B$8,(Controls!$B$8+Controls!$B$9)/2))+SQRT(1-Controls!$B$10^2)*(Random!AA100-IF(Controls!$B$7="Normal",Controls!$B$8,(Controls!$B$8+Controls!$B$9)/2)))</f>
        <v/>
      </c>
      <c r="H100" s="10" t="str">
        <f>IF(Random!AB100="","",IF(Controls!$B$7="Normal",Controls!$B$8,(Controls!$B$8+Controls!$B$9)/2)+Controls!$B$10*(H99-IF(Controls!$B$7="Normal",Controls!$B$8,(Controls!$B$8+Controls!$B$9)/2))+SQRT(1-Controls!$B$10^2)*(Random!AB100-IF(Controls!$B$7="Normal",Controls!$B$8,(Controls!$B$8+Controls!$B$9)/2)))</f>
        <v/>
      </c>
      <c r="I100" s="10" t="str">
        <f>IF(Random!AC100="","",IF(Controls!$B$7="Normal",Controls!$B$8,(Controls!$B$8+Controls!$B$9)/2)+Controls!$B$10*(I99-IF(Controls!$B$7="Normal",Controls!$B$8,(Controls!$B$8+Controls!$B$9)/2))+SQRT(1-Controls!$B$10^2)*(Random!AC100-IF(Controls!$B$7="Normal",Controls!$B$8,(Controls!$B$8+Controls!$B$9)/2)))</f>
        <v/>
      </c>
      <c r="J100" s="10" t="str">
        <f>IF(Random!AD100="","",IF(Controls!$B$7="Normal",Controls!$B$8,(Controls!$B$8+Controls!$B$9)/2)+Controls!$B$10*(J99-IF(Controls!$B$7="Normal",Controls!$B$8,(Controls!$B$8+Controls!$B$9)/2))+SQRT(1-Controls!$B$10^2)*(Random!AD100-IF(Controls!$B$7="Normal",Controls!$B$8,(Controls!$B$8+Controls!$B$9)/2)))</f>
        <v/>
      </c>
      <c r="K100" s="10" t="str">
        <f>IF(Random!AE100="","",IF(Controls!$B$7="Normal",Controls!$B$8,(Controls!$B$8+Controls!$B$9)/2)+Controls!$B$10*(K99-IF(Controls!$B$7="Normal",Controls!$B$8,(Controls!$B$8+Controls!$B$9)/2))+SQRT(1-Controls!$B$10^2)*(Random!AE100-IF(Controls!$B$7="Normal",Controls!$B$8,(Controls!$B$8+Controls!$B$9)/2)))</f>
        <v/>
      </c>
      <c r="L100" s="10" t="str">
        <f>IF($A100="","",IF(AND($A100&gt;=Controls!$B$25,$A100&lt;Controls!$B$25+Controls!$C$25),(Controls!$D$25-1)*EXP(-0.5*(($A100-Controls!$B$25-(Controls!$C$25-1)/2)/MAX(Controls!$C$25/4,0.5))^2),0))</f>
        <v/>
      </c>
      <c r="M100" s="10" t="str">
        <f>IF($A100="","",IF(AND($A100&gt;=Controls!$B$26,$A100&lt;Controls!$B$26+Controls!$C$26),(Controls!$D$26-1)*EXP(-0.5*(($A100-Controls!$B$26-(Controls!$C$26-1)/2)/MAX(Controls!$C$26/4,0.5))^2),0))</f>
        <v/>
      </c>
      <c r="N100" s="10" t="str">
        <f>IF($A100="","",IF(AND($A100&gt;=Controls!$B$27,$A100&lt;Controls!$B$27+Controls!$C$27),(Controls!$D$27-1)*EXP(-0.5*(($A100-Controls!$B$27-(Controls!$C$27-1)/2)/MAX(Controls!$C$27/4,0.5))^2),0))</f>
        <v/>
      </c>
      <c r="O100" s="10" t="str">
        <f>IF($A100="","",IF(AND($A100&gt;=Controls!$B$28,$A100&lt;Controls!$B$28+Controls!$C$28),(Controls!$D$28-1)*EXP(-0.5*(($A100-Controls!$B$28-(Controls!$C$28-1)/2)/MAX(Controls!$C$28/4,0.5))^2),0))</f>
        <v/>
      </c>
      <c r="P100" s="4" t="str">
        <f t="shared" si="1"/>
        <v/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21.0" customHeight="1">
      <c r="A101" s="7" t="str">
        <f>IF(100&lt;=Controls!$B$5,Controls!$B$4+99,"")</f>
        <v/>
      </c>
      <c r="B101" s="10" t="str">
        <f>IF(Random!V101="","",IF(Controls!$B$7="Normal",Controls!$B$8,(Controls!$B$8+Controls!$B$9)/2)+Controls!$B$10*(B100-IF(Controls!$B$7="Normal",Controls!$B$8,(Controls!$B$8+Controls!$B$9)/2))+SQRT(1-Controls!$B$10^2)*(Random!V101-IF(Controls!$B$7="Normal",Controls!$B$8,(Controls!$B$8+Controls!$B$9)/2)))</f>
        <v/>
      </c>
      <c r="C101" s="10" t="str">
        <f>IF(Random!W101="","",IF(Controls!$B$7="Normal",Controls!$B$8,(Controls!$B$8+Controls!$B$9)/2)+Controls!$B$10*(C100-IF(Controls!$B$7="Normal",Controls!$B$8,(Controls!$B$8+Controls!$B$9)/2))+SQRT(1-Controls!$B$10^2)*(Random!W101-IF(Controls!$B$7="Normal",Controls!$B$8,(Controls!$B$8+Controls!$B$9)/2)))</f>
        <v/>
      </c>
      <c r="D101" s="10" t="str">
        <f>IF(Random!X101="","",IF(Controls!$B$7="Normal",Controls!$B$8,(Controls!$B$8+Controls!$B$9)/2)+Controls!$B$10*(D100-IF(Controls!$B$7="Normal",Controls!$B$8,(Controls!$B$8+Controls!$B$9)/2))+SQRT(1-Controls!$B$10^2)*(Random!X101-IF(Controls!$B$7="Normal",Controls!$B$8,(Controls!$B$8+Controls!$B$9)/2)))</f>
        <v/>
      </c>
      <c r="E101" s="10" t="str">
        <f>IF(Random!Y101="","",IF(Controls!$B$7="Normal",Controls!$B$8,(Controls!$B$8+Controls!$B$9)/2)+Controls!$B$10*(E100-IF(Controls!$B$7="Normal",Controls!$B$8,(Controls!$B$8+Controls!$B$9)/2))+SQRT(1-Controls!$B$10^2)*(Random!Y101-IF(Controls!$B$7="Normal",Controls!$B$8,(Controls!$B$8+Controls!$B$9)/2)))</f>
        <v/>
      </c>
      <c r="F101" s="10" t="str">
        <f>IF(Random!Z101="","",IF(Controls!$B$7="Normal",Controls!$B$8,(Controls!$B$8+Controls!$B$9)/2)+Controls!$B$10*(F100-IF(Controls!$B$7="Normal",Controls!$B$8,(Controls!$B$8+Controls!$B$9)/2))+SQRT(1-Controls!$B$10^2)*(Random!Z101-IF(Controls!$B$7="Normal",Controls!$B$8,(Controls!$B$8+Controls!$B$9)/2)))</f>
        <v/>
      </c>
      <c r="G101" s="10" t="str">
        <f>IF(Random!AA101="","",IF(Controls!$B$7="Normal",Controls!$B$8,(Controls!$B$8+Controls!$B$9)/2)+Controls!$B$10*(G100-IF(Controls!$B$7="Normal",Controls!$B$8,(Controls!$B$8+Controls!$B$9)/2))+SQRT(1-Controls!$B$10^2)*(Random!AA101-IF(Controls!$B$7="Normal",Controls!$B$8,(Controls!$B$8+Controls!$B$9)/2)))</f>
        <v/>
      </c>
      <c r="H101" s="10" t="str">
        <f>IF(Random!AB101="","",IF(Controls!$B$7="Normal",Controls!$B$8,(Controls!$B$8+Controls!$B$9)/2)+Controls!$B$10*(H100-IF(Controls!$B$7="Normal",Controls!$B$8,(Controls!$B$8+Controls!$B$9)/2))+SQRT(1-Controls!$B$10^2)*(Random!AB101-IF(Controls!$B$7="Normal",Controls!$B$8,(Controls!$B$8+Controls!$B$9)/2)))</f>
        <v/>
      </c>
      <c r="I101" s="10" t="str">
        <f>IF(Random!AC101="","",IF(Controls!$B$7="Normal",Controls!$B$8,(Controls!$B$8+Controls!$B$9)/2)+Controls!$B$10*(I100-IF(Controls!$B$7="Normal",Controls!$B$8,(Controls!$B$8+Controls!$B$9)/2))+SQRT(1-Controls!$B$10^2)*(Random!AC101-IF(Controls!$B$7="Normal",Controls!$B$8,(Controls!$B$8+Controls!$B$9)/2)))</f>
        <v/>
      </c>
      <c r="J101" s="10" t="str">
        <f>IF(Random!AD101="","",IF(Controls!$B$7="Normal",Controls!$B$8,(Controls!$B$8+Controls!$B$9)/2)+Controls!$B$10*(J100-IF(Controls!$B$7="Normal",Controls!$B$8,(Controls!$B$8+Controls!$B$9)/2))+SQRT(1-Controls!$B$10^2)*(Random!AD101-IF(Controls!$B$7="Normal",Controls!$B$8,(Controls!$B$8+Controls!$B$9)/2)))</f>
        <v/>
      </c>
      <c r="K101" s="10" t="str">
        <f>IF(Random!AE101="","",IF(Controls!$B$7="Normal",Controls!$B$8,(Controls!$B$8+Controls!$B$9)/2)+Controls!$B$10*(K100-IF(Controls!$B$7="Normal",Controls!$B$8,(Controls!$B$8+Controls!$B$9)/2))+SQRT(1-Controls!$B$10^2)*(Random!AE101-IF(Controls!$B$7="Normal",Controls!$B$8,(Controls!$B$8+Controls!$B$9)/2)))</f>
        <v/>
      </c>
      <c r="L101" s="10" t="str">
        <f>IF($A101="","",IF(AND($A101&gt;=Controls!$B$25,$A101&lt;Controls!$B$25+Controls!$C$25),(Controls!$D$25-1)*EXP(-0.5*(($A101-Controls!$B$25-(Controls!$C$25-1)/2)/MAX(Controls!$C$25/4,0.5))^2),0))</f>
        <v/>
      </c>
      <c r="M101" s="10" t="str">
        <f>IF($A101="","",IF(AND($A101&gt;=Controls!$B$26,$A101&lt;Controls!$B$26+Controls!$C$26),(Controls!$D$26-1)*EXP(-0.5*(($A101-Controls!$B$26-(Controls!$C$26-1)/2)/MAX(Controls!$C$26/4,0.5))^2),0))</f>
        <v/>
      </c>
      <c r="N101" s="10" t="str">
        <f>IF($A101="","",IF(AND($A101&gt;=Controls!$B$27,$A101&lt;Controls!$B$27+Controls!$C$27),(Controls!$D$27-1)*EXP(-0.5*(($A101-Controls!$B$27-(Controls!$C$27-1)/2)/MAX(Controls!$C$27/4,0.5))^2),0))</f>
        <v/>
      </c>
      <c r="O101" s="10" t="str">
        <f>IF($A101="","",IF(AND($A101&gt;=Controls!$B$28,$A101&lt;Controls!$B$28+Controls!$C$28),(Controls!$D$28-1)*EXP(-0.5*(($A101-Controls!$B$28-(Controls!$C$28-1)/2)/MAX(Controls!$C$28/4,0.5))^2),0))</f>
        <v/>
      </c>
      <c r="P101" s="4" t="str">
        <f t="shared" si="1"/>
        <v/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21.0" customHeight="1">
      <c r="A102" s="7" t="str">
        <f>IF(101&lt;=Controls!$B$5,Controls!$B$4+100,"")</f>
        <v/>
      </c>
      <c r="B102" s="10" t="str">
        <f>IF(Random!V102="","",IF(Controls!$B$7="Normal",Controls!$B$8,(Controls!$B$8+Controls!$B$9)/2)+Controls!$B$10*(B101-IF(Controls!$B$7="Normal",Controls!$B$8,(Controls!$B$8+Controls!$B$9)/2))+SQRT(1-Controls!$B$10^2)*(Random!V102-IF(Controls!$B$7="Normal",Controls!$B$8,(Controls!$B$8+Controls!$B$9)/2)))</f>
        <v/>
      </c>
      <c r="C102" s="10" t="str">
        <f>IF(Random!W102="","",IF(Controls!$B$7="Normal",Controls!$B$8,(Controls!$B$8+Controls!$B$9)/2)+Controls!$B$10*(C101-IF(Controls!$B$7="Normal",Controls!$B$8,(Controls!$B$8+Controls!$B$9)/2))+SQRT(1-Controls!$B$10^2)*(Random!W102-IF(Controls!$B$7="Normal",Controls!$B$8,(Controls!$B$8+Controls!$B$9)/2)))</f>
        <v/>
      </c>
      <c r="D102" s="10" t="str">
        <f>IF(Random!X102="","",IF(Controls!$B$7="Normal",Controls!$B$8,(Controls!$B$8+Controls!$B$9)/2)+Controls!$B$10*(D101-IF(Controls!$B$7="Normal",Controls!$B$8,(Controls!$B$8+Controls!$B$9)/2))+SQRT(1-Controls!$B$10^2)*(Random!X102-IF(Controls!$B$7="Normal",Controls!$B$8,(Controls!$B$8+Controls!$B$9)/2)))</f>
        <v/>
      </c>
      <c r="E102" s="10" t="str">
        <f>IF(Random!Y102="","",IF(Controls!$B$7="Normal",Controls!$B$8,(Controls!$B$8+Controls!$B$9)/2)+Controls!$B$10*(E101-IF(Controls!$B$7="Normal",Controls!$B$8,(Controls!$B$8+Controls!$B$9)/2))+SQRT(1-Controls!$B$10^2)*(Random!Y102-IF(Controls!$B$7="Normal",Controls!$B$8,(Controls!$B$8+Controls!$B$9)/2)))</f>
        <v/>
      </c>
      <c r="F102" s="10" t="str">
        <f>IF(Random!Z102="","",IF(Controls!$B$7="Normal",Controls!$B$8,(Controls!$B$8+Controls!$B$9)/2)+Controls!$B$10*(F101-IF(Controls!$B$7="Normal",Controls!$B$8,(Controls!$B$8+Controls!$B$9)/2))+SQRT(1-Controls!$B$10^2)*(Random!Z102-IF(Controls!$B$7="Normal",Controls!$B$8,(Controls!$B$8+Controls!$B$9)/2)))</f>
        <v/>
      </c>
      <c r="G102" s="10" t="str">
        <f>IF(Random!AA102="","",IF(Controls!$B$7="Normal",Controls!$B$8,(Controls!$B$8+Controls!$B$9)/2)+Controls!$B$10*(G101-IF(Controls!$B$7="Normal",Controls!$B$8,(Controls!$B$8+Controls!$B$9)/2))+SQRT(1-Controls!$B$10^2)*(Random!AA102-IF(Controls!$B$7="Normal",Controls!$B$8,(Controls!$B$8+Controls!$B$9)/2)))</f>
        <v/>
      </c>
      <c r="H102" s="10" t="str">
        <f>IF(Random!AB102="","",IF(Controls!$B$7="Normal",Controls!$B$8,(Controls!$B$8+Controls!$B$9)/2)+Controls!$B$10*(H101-IF(Controls!$B$7="Normal",Controls!$B$8,(Controls!$B$8+Controls!$B$9)/2))+SQRT(1-Controls!$B$10^2)*(Random!AB102-IF(Controls!$B$7="Normal",Controls!$B$8,(Controls!$B$8+Controls!$B$9)/2)))</f>
        <v/>
      </c>
      <c r="I102" s="10" t="str">
        <f>IF(Random!AC102="","",IF(Controls!$B$7="Normal",Controls!$B$8,(Controls!$B$8+Controls!$B$9)/2)+Controls!$B$10*(I101-IF(Controls!$B$7="Normal",Controls!$B$8,(Controls!$B$8+Controls!$B$9)/2))+SQRT(1-Controls!$B$10^2)*(Random!AC102-IF(Controls!$B$7="Normal",Controls!$B$8,(Controls!$B$8+Controls!$B$9)/2)))</f>
        <v/>
      </c>
      <c r="J102" s="10" t="str">
        <f>IF(Random!AD102="","",IF(Controls!$B$7="Normal",Controls!$B$8,(Controls!$B$8+Controls!$B$9)/2)+Controls!$B$10*(J101-IF(Controls!$B$7="Normal",Controls!$B$8,(Controls!$B$8+Controls!$B$9)/2))+SQRT(1-Controls!$B$10^2)*(Random!AD102-IF(Controls!$B$7="Normal",Controls!$B$8,(Controls!$B$8+Controls!$B$9)/2)))</f>
        <v/>
      </c>
      <c r="K102" s="10" t="str">
        <f>IF(Random!AE102="","",IF(Controls!$B$7="Normal",Controls!$B$8,(Controls!$B$8+Controls!$B$9)/2)+Controls!$B$10*(K101-IF(Controls!$B$7="Normal",Controls!$B$8,(Controls!$B$8+Controls!$B$9)/2))+SQRT(1-Controls!$B$10^2)*(Random!AE102-IF(Controls!$B$7="Normal",Controls!$B$8,(Controls!$B$8+Controls!$B$9)/2)))</f>
        <v/>
      </c>
      <c r="L102" s="10" t="str">
        <f>IF($A102="","",IF(AND($A102&gt;=Controls!$B$25,$A102&lt;Controls!$B$25+Controls!$C$25),(Controls!$D$25-1)*EXP(-0.5*(($A102-Controls!$B$25-(Controls!$C$25-1)/2)/MAX(Controls!$C$25/4,0.5))^2),0))</f>
        <v/>
      </c>
      <c r="M102" s="10" t="str">
        <f>IF($A102="","",IF(AND($A102&gt;=Controls!$B$26,$A102&lt;Controls!$B$26+Controls!$C$26),(Controls!$D$26-1)*EXP(-0.5*(($A102-Controls!$B$26-(Controls!$C$26-1)/2)/MAX(Controls!$C$26/4,0.5))^2),0))</f>
        <v/>
      </c>
      <c r="N102" s="10" t="str">
        <f>IF($A102="","",IF(AND($A102&gt;=Controls!$B$27,$A102&lt;Controls!$B$27+Controls!$C$27),(Controls!$D$27-1)*EXP(-0.5*(($A102-Controls!$B$27-(Controls!$C$27-1)/2)/MAX(Controls!$C$27/4,0.5))^2),0))</f>
        <v/>
      </c>
      <c r="O102" s="10" t="str">
        <f>IF($A102="","",IF(AND($A102&gt;=Controls!$B$28,$A102&lt;Controls!$B$28+Controls!$C$28),(Controls!$D$28-1)*EXP(-0.5*(($A102-Controls!$B$28-(Controls!$C$28-1)/2)/MAX(Controls!$C$28/4,0.5))^2),0))</f>
        <v/>
      </c>
      <c r="P102" s="4" t="str">
        <f t="shared" si="1"/>
        <v/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21.0" customHeight="1">
      <c r="A103" s="7" t="str">
        <f>IF(102&lt;=Controls!$B$5,Controls!$B$4+101,"")</f>
        <v/>
      </c>
      <c r="B103" s="10" t="str">
        <f>IF(Random!V103="","",IF(Controls!$B$7="Normal",Controls!$B$8,(Controls!$B$8+Controls!$B$9)/2)+Controls!$B$10*(B102-IF(Controls!$B$7="Normal",Controls!$B$8,(Controls!$B$8+Controls!$B$9)/2))+SQRT(1-Controls!$B$10^2)*(Random!V103-IF(Controls!$B$7="Normal",Controls!$B$8,(Controls!$B$8+Controls!$B$9)/2)))</f>
        <v/>
      </c>
      <c r="C103" s="10" t="str">
        <f>IF(Random!W103="","",IF(Controls!$B$7="Normal",Controls!$B$8,(Controls!$B$8+Controls!$B$9)/2)+Controls!$B$10*(C102-IF(Controls!$B$7="Normal",Controls!$B$8,(Controls!$B$8+Controls!$B$9)/2))+SQRT(1-Controls!$B$10^2)*(Random!W103-IF(Controls!$B$7="Normal",Controls!$B$8,(Controls!$B$8+Controls!$B$9)/2)))</f>
        <v/>
      </c>
      <c r="D103" s="10" t="str">
        <f>IF(Random!X103="","",IF(Controls!$B$7="Normal",Controls!$B$8,(Controls!$B$8+Controls!$B$9)/2)+Controls!$B$10*(D102-IF(Controls!$B$7="Normal",Controls!$B$8,(Controls!$B$8+Controls!$B$9)/2))+SQRT(1-Controls!$B$10^2)*(Random!X103-IF(Controls!$B$7="Normal",Controls!$B$8,(Controls!$B$8+Controls!$B$9)/2)))</f>
        <v/>
      </c>
      <c r="E103" s="10" t="str">
        <f>IF(Random!Y103="","",IF(Controls!$B$7="Normal",Controls!$B$8,(Controls!$B$8+Controls!$B$9)/2)+Controls!$B$10*(E102-IF(Controls!$B$7="Normal",Controls!$B$8,(Controls!$B$8+Controls!$B$9)/2))+SQRT(1-Controls!$B$10^2)*(Random!Y103-IF(Controls!$B$7="Normal",Controls!$B$8,(Controls!$B$8+Controls!$B$9)/2)))</f>
        <v/>
      </c>
      <c r="F103" s="10" t="str">
        <f>IF(Random!Z103="","",IF(Controls!$B$7="Normal",Controls!$B$8,(Controls!$B$8+Controls!$B$9)/2)+Controls!$B$10*(F102-IF(Controls!$B$7="Normal",Controls!$B$8,(Controls!$B$8+Controls!$B$9)/2))+SQRT(1-Controls!$B$10^2)*(Random!Z103-IF(Controls!$B$7="Normal",Controls!$B$8,(Controls!$B$8+Controls!$B$9)/2)))</f>
        <v/>
      </c>
      <c r="G103" s="10" t="str">
        <f>IF(Random!AA103="","",IF(Controls!$B$7="Normal",Controls!$B$8,(Controls!$B$8+Controls!$B$9)/2)+Controls!$B$10*(G102-IF(Controls!$B$7="Normal",Controls!$B$8,(Controls!$B$8+Controls!$B$9)/2))+SQRT(1-Controls!$B$10^2)*(Random!AA103-IF(Controls!$B$7="Normal",Controls!$B$8,(Controls!$B$8+Controls!$B$9)/2)))</f>
        <v/>
      </c>
      <c r="H103" s="10" t="str">
        <f>IF(Random!AB103="","",IF(Controls!$B$7="Normal",Controls!$B$8,(Controls!$B$8+Controls!$B$9)/2)+Controls!$B$10*(H102-IF(Controls!$B$7="Normal",Controls!$B$8,(Controls!$B$8+Controls!$B$9)/2))+SQRT(1-Controls!$B$10^2)*(Random!AB103-IF(Controls!$B$7="Normal",Controls!$B$8,(Controls!$B$8+Controls!$B$9)/2)))</f>
        <v/>
      </c>
      <c r="I103" s="10" t="str">
        <f>IF(Random!AC103="","",IF(Controls!$B$7="Normal",Controls!$B$8,(Controls!$B$8+Controls!$B$9)/2)+Controls!$B$10*(I102-IF(Controls!$B$7="Normal",Controls!$B$8,(Controls!$B$8+Controls!$B$9)/2))+SQRT(1-Controls!$B$10^2)*(Random!AC103-IF(Controls!$B$7="Normal",Controls!$B$8,(Controls!$B$8+Controls!$B$9)/2)))</f>
        <v/>
      </c>
      <c r="J103" s="10" t="str">
        <f>IF(Random!AD103="","",IF(Controls!$B$7="Normal",Controls!$B$8,(Controls!$B$8+Controls!$B$9)/2)+Controls!$B$10*(J102-IF(Controls!$B$7="Normal",Controls!$B$8,(Controls!$B$8+Controls!$B$9)/2))+SQRT(1-Controls!$B$10^2)*(Random!AD103-IF(Controls!$B$7="Normal",Controls!$B$8,(Controls!$B$8+Controls!$B$9)/2)))</f>
        <v/>
      </c>
      <c r="K103" s="10" t="str">
        <f>IF(Random!AE103="","",IF(Controls!$B$7="Normal",Controls!$B$8,(Controls!$B$8+Controls!$B$9)/2)+Controls!$B$10*(K102-IF(Controls!$B$7="Normal",Controls!$B$8,(Controls!$B$8+Controls!$B$9)/2))+SQRT(1-Controls!$B$10^2)*(Random!AE103-IF(Controls!$B$7="Normal",Controls!$B$8,(Controls!$B$8+Controls!$B$9)/2)))</f>
        <v/>
      </c>
      <c r="L103" s="10" t="str">
        <f>IF($A103="","",IF(AND($A103&gt;=Controls!$B$25,$A103&lt;Controls!$B$25+Controls!$C$25),(Controls!$D$25-1)*EXP(-0.5*(($A103-Controls!$B$25-(Controls!$C$25-1)/2)/MAX(Controls!$C$25/4,0.5))^2),0))</f>
        <v/>
      </c>
      <c r="M103" s="10" t="str">
        <f>IF($A103="","",IF(AND($A103&gt;=Controls!$B$26,$A103&lt;Controls!$B$26+Controls!$C$26),(Controls!$D$26-1)*EXP(-0.5*(($A103-Controls!$B$26-(Controls!$C$26-1)/2)/MAX(Controls!$C$26/4,0.5))^2),0))</f>
        <v/>
      </c>
      <c r="N103" s="10" t="str">
        <f>IF($A103="","",IF(AND($A103&gt;=Controls!$B$27,$A103&lt;Controls!$B$27+Controls!$C$27),(Controls!$D$27-1)*EXP(-0.5*(($A103-Controls!$B$27-(Controls!$C$27-1)/2)/MAX(Controls!$C$27/4,0.5))^2),0))</f>
        <v/>
      </c>
      <c r="O103" s="10" t="str">
        <f>IF($A103="","",IF(AND($A103&gt;=Controls!$B$28,$A103&lt;Controls!$B$28+Controls!$C$28),(Controls!$D$28-1)*EXP(-0.5*(($A103-Controls!$B$28-(Controls!$C$28-1)/2)/MAX(Controls!$C$28/4,0.5))^2),0))</f>
        <v/>
      </c>
      <c r="P103" s="4" t="str">
        <f t="shared" si="1"/>
        <v/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21.0" customHeight="1">
      <c r="A104" s="7" t="str">
        <f>IF(103&lt;=Controls!$B$5,Controls!$B$4+102,"")</f>
        <v/>
      </c>
      <c r="B104" s="10" t="str">
        <f>IF(Random!V104="","",IF(Controls!$B$7="Normal",Controls!$B$8,(Controls!$B$8+Controls!$B$9)/2)+Controls!$B$10*(B103-IF(Controls!$B$7="Normal",Controls!$B$8,(Controls!$B$8+Controls!$B$9)/2))+SQRT(1-Controls!$B$10^2)*(Random!V104-IF(Controls!$B$7="Normal",Controls!$B$8,(Controls!$B$8+Controls!$B$9)/2)))</f>
        <v/>
      </c>
      <c r="C104" s="10" t="str">
        <f>IF(Random!W104="","",IF(Controls!$B$7="Normal",Controls!$B$8,(Controls!$B$8+Controls!$B$9)/2)+Controls!$B$10*(C103-IF(Controls!$B$7="Normal",Controls!$B$8,(Controls!$B$8+Controls!$B$9)/2))+SQRT(1-Controls!$B$10^2)*(Random!W104-IF(Controls!$B$7="Normal",Controls!$B$8,(Controls!$B$8+Controls!$B$9)/2)))</f>
        <v/>
      </c>
      <c r="D104" s="10" t="str">
        <f>IF(Random!X104="","",IF(Controls!$B$7="Normal",Controls!$B$8,(Controls!$B$8+Controls!$B$9)/2)+Controls!$B$10*(D103-IF(Controls!$B$7="Normal",Controls!$B$8,(Controls!$B$8+Controls!$B$9)/2))+SQRT(1-Controls!$B$10^2)*(Random!X104-IF(Controls!$B$7="Normal",Controls!$B$8,(Controls!$B$8+Controls!$B$9)/2)))</f>
        <v/>
      </c>
      <c r="E104" s="10" t="str">
        <f>IF(Random!Y104="","",IF(Controls!$B$7="Normal",Controls!$B$8,(Controls!$B$8+Controls!$B$9)/2)+Controls!$B$10*(E103-IF(Controls!$B$7="Normal",Controls!$B$8,(Controls!$B$8+Controls!$B$9)/2))+SQRT(1-Controls!$B$10^2)*(Random!Y104-IF(Controls!$B$7="Normal",Controls!$B$8,(Controls!$B$8+Controls!$B$9)/2)))</f>
        <v/>
      </c>
      <c r="F104" s="10" t="str">
        <f>IF(Random!Z104="","",IF(Controls!$B$7="Normal",Controls!$B$8,(Controls!$B$8+Controls!$B$9)/2)+Controls!$B$10*(F103-IF(Controls!$B$7="Normal",Controls!$B$8,(Controls!$B$8+Controls!$B$9)/2))+SQRT(1-Controls!$B$10^2)*(Random!Z104-IF(Controls!$B$7="Normal",Controls!$B$8,(Controls!$B$8+Controls!$B$9)/2)))</f>
        <v/>
      </c>
      <c r="G104" s="10" t="str">
        <f>IF(Random!AA104="","",IF(Controls!$B$7="Normal",Controls!$B$8,(Controls!$B$8+Controls!$B$9)/2)+Controls!$B$10*(G103-IF(Controls!$B$7="Normal",Controls!$B$8,(Controls!$B$8+Controls!$B$9)/2))+SQRT(1-Controls!$B$10^2)*(Random!AA104-IF(Controls!$B$7="Normal",Controls!$B$8,(Controls!$B$8+Controls!$B$9)/2)))</f>
        <v/>
      </c>
      <c r="H104" s="10" t="str">
        <f>IF(Random!AB104="","",IF(Controls!$B$7="Normal",Controls!$B$8,(Controls!$B$8+Controls!$B$9)/2)+Controls!$B$10*(H103-IF(Controls!$B$7="Normal",Controls!$B$8,(Controls!$B$8+Controls!$B$9)/2))+SQRT(1-Controls!$B$10^2)*(Random!AB104-IF(Controls!$B$7="Normal",Controls!$B$8,(Controls!$B$8+Controls!$B$9)/2)))</f>
        <v/>
      </c>
      <c r="I104" s="10" t="str">
        <f>IF(Random!AC104="","",IF(Controls!$B$7="Normal",Controls!$B$8,(Controls!$B$8+Controls!$B$9)/2)+Controls!$B$10*(I103-IF(Controls!$B$7="Normal",Controls!$B$8,(Controls!$B$8+Controls!$B$9)/2))+SQRT(1-Controls!$B$10^2)*(Random!AC104-IF(Controls!$B$7="Normal",Controls!$B$8,(Controls!$B$8+Controls!$B$9)/2)))</f>
        <v/>
      </c>
      <c r="J104" s="10" t="str">
        <f>IF(Random!AD104="","",IF(Controls!$B$7="Normal",Controls!$B$8,(Controls!$B$8+Controls!$B$9)/2)+Controls!$B$10*(J103-IF(Controls!$B$7="Normal",Controls!$B$8,(Controls!$B$8+Controls!$B$9)/2))+SQRT(1-Controls!$B$10^2)*(Random!AD104-IF(Controls!$B$7="Normal",Controls!$B$8,(Controls!$B$8+Controls!$B$9)/2)))</f>
        <v/>
      </c>
      <c r="K104" s="10" t="str">
        <f>IF(Random!AE104="","",IF(Controls!$B$7="Normal",Controls!$B$8,(Controls!$B$8+Controls!$B$9)/2)+Controls!$B$10*(K103-IF(Controls!$B$7="Normal",Controls!$B$8,(Controls!$B$8+Controls!$B$9)/2))+SQRT(1-Controls!$B$10^2)*(Random!AE104-IF(Controls!$B$7="Normal",Controls!$B$8,(Controls!$B$8+Controls!$B$9)/2)))</f>
        <v/>
      </c>
      <c r="L104" s="10" t="str">
        <f>IF($A104="","",IF(AND($A104&gt;=Controls!$B$25,$A104&lt;Controls!$B$25+Controls!$C$25),(Controls!$D$25-1)*EXP(-0.5*(($A104-Controls!$B$25-(Controls!$C$25-1)/2)/MAX(Controls!$C$25/4,0.5))^2),0))</f>
        <v/>
      </c>
      <c r="M104" s="10" t="str">
        <f>IF($A104="","",IF(AND($A104&gt;=Controls!$B$26,$A104&lt;Controls!$B$26+Controls!$C$26),(Controls!$D$26-1)*EXP(-0.5*(($A104-Controls!$B$26-(Controls!$C$26-1)/2)/MAX(Controls!$C$26/4,0.5))^2),0))</f>
        <v/>
      </c>
      <c r="N104" s="10" t="str">
        <f>IF($A104="","",IF(AND($A104&gt;=Controls!$B$27,$A104&lt;Controls!$B$27+Controls!$C$27),(Controls!$D$27-1)*EXP(-0.5*(($A104-Controls!$B$27-(Controls!$C$27-1)/2)/MAX(Controls!$C$27/4,0.5))^2),0))</f>
        <v/>
      </c>
      <c r="O104" s="10" t="str">
        <f>IF($A104="","",IF(AND($A104&gt;=Controls!$B$28,$A104&lt;Controls!$B$28+Controls!$C$28),(Controls!$D$28-1)*EXP(-0.5*(($A104-Controls!$B$28-(Controls!$C$28-1)/2)/MAX(Controls!$C$28/4,0.5))^2),0))</f>
        <v/>
      </c>
      <c r="P104" s="4" t="str">
        <f t="shared" si="1"/>
        <v/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21.0" customHeight="1">
      <c r="A105" s="7" t="str">
        <f>IF(104&lt;=Controls!$B$5,Controls!$B$4+103,"")</f>
        <v/>
      </c>
      <c r="B105" s="10" t="str">
        <f>IF(Random!V105="","",IF(Controls!$B$7="Normal",Controls!$B$8,(Controls!$B$8+Controls!$B$9)/2)+Controls!$B$10*(B104-IF(Controls!$B$7="Normal",Controls!$B$8,(Controls!$B$8+Controls!$B$9)/2))+SQRT(1-Controls!$B$10^2)*(Random!V105-IF(Controls!$B$7="Normal",Controls!$B$8,(Controls!$B$8+Controls!$B$9)/2)))</f>
        <v/>
      </c>
      <c r="C105" s="10" t="str">
        <f>IF(Random!W105="","",IF(Controls!$B$7="Normal",Controls!$B$8,(Controls!$B$8+Controls!$B$9)/2)+Controls!$B$10*(C104-IF(Controls!$B$7="Normal",Controls!$B$8,(Controls!$B$8+Controls!$B$9)/2))+SQRT(1-Controls!$B$10^2)*(Random!W105-IF(Controls!$B$7="Normal",Controls!$B$8,(Controls!$B$8+Controls!$B$9)/2)))</f>
        <v/>
      </c>
      <c r="D105" s="10" t="str">
        <f>IF(Random!X105="","",IF(Controls!$B$7="Normal",Controls!$B$8,(Controls!$B$8+Controls!$B$9)/2)+Controls!$B$10*(D104-IF(Controls!$B$7="Normal",Controls!$B$8,(Controls!$B$8+Controls!$B$9)/2))+SQRT(1-Controls!$B$10^2)*(Random!X105-IF(Controls!$B$7="Normal",Controls!$B$8,(Controls!$B$8+Controls!$B$9)/2)))</f>
        <v/>
      </c>
      <c r="E105" s="10" t="str">
        <f>IF(Random!Y105="","",IF(Controls!$B$7="Normal",Controls!$B$8,(Controls!$B$8+Controls!$B$9)/2)+Controls!$B$10*(E104-IF(Controls!$B$7="Normal",Controls!$B$8,(Controls!$B$8+Controls!$B$9)/2))+SQRT(1-Controls!$B$10^2)*(Random!Y105-IF(Controls!$B$7="Normal",Controls!$B$8,(Controls!$B$8+Controls!$B$9)/2)))</f>
        <v/>
      </c>
      <c r="F105" s="10" t="str">
        <f>IF(Random!Z105="","",IF(Controls!$B$7="Normal",Controls!$B$8,(Controls!$B$8+Controls!$B$9)/2)+Controls!$B$10*(F104-IF(Controls!$B$7="Normal",Controls!$B$8,(Controls!$B$8+Controls!$B$9)/2))+SQRT(1-Controls!$B$10^2)*(Random!Z105-IF(Controls!$B$7="Normal",Controls!$B$8,(Controls!$B$8+Controls!$B$9)/2)))</f>
        <v/>
      </c>
      <c r="G105" s="10" t="str">
        <f>IF(Random!AA105="","",IF(Controls!$B$7="Normal",Controls!$B$8,(Controls!$B$8+Controls!$B$9)/2)+Controls!$B$10*(G104-IF(Controls!$B$7="Normal",Controls!$B$8,(Controls!$B$8+Controls!$B$9)/2))+SQRT(1-Controls!$B$10^2)*(Random!AA105-IF(Controls!$B$7="Normal",Controls!$B$8,(Controls!$B$8+Controls!$B$9)/2)))</f>
        <v/>
      </c>
      <c r="H105" s="10" t="str">
        <f>IF(Random!AB105="","",IF(Controls!$B$7="Normal",Controls!$B$8,(Controls!$B$8+Controls!$B$9)/2)+Controls!$B$10*(H104-IF(Controls!$B$7="Normal",Controls!$B$8,(Controls!$B$8+Controls!$B$9)/2))+SQRT(1-Controls!$B$10^2)*(Random!AB105-IF(Controls!$B$7="Normal",Controls!$B$8,(Controls!$B$8+Controls!$B$9)/2)))</f>
        <v/>
      </c>
      <c r="I105" s="10" t="str">
        <f>IF(Random!AC105="","",IF(Controls!$B$7="Normal",Controls!$B$8,(Controls!$B$8+Controls!$B$9)/2)+Controls!$B$10*(I104-IF(Controls!$B$7="Normal",Controls!$B$8,(Controls!$B$8+Controls!$B$9)/2))+SQRT(1-Controls!$B$10^2)*(Random!AC105-IF(Controls!$B$7="Normal",Controls!$B$8,(Controls!$B$8+Controls!$B$9)/2)))</f>
        <v/>
      </c>
      <c r="J105" s="10" t="str">
        <f>IF(Random!AD105="","",IF(Controls!$B$7="Normal",Controls!$B$8,(Controls!$B$8+Controls!$B$9)/2)+Controls!$B$10*(J104-IF(Controls!$B$7="Normal",Controls!$B$8,(Controls!$B$8+Controls!$B$9)/2))+SQRT(1-Controls!$B$10^2)*(Random!AD105-IF(Controls!$B$7="Normal",Controls!$B$8,(Controls!$B$8+Controls!$B$9)/2)))</f>
        <v/>
      </c>
      <c r="K105" s="10" t="str">
        <f>IF(Random!AE105="","",IF(Controls!$B$7="Normal",Controls!$B$8,(Controls!$B$8+Controls!$B$9)/2)+Controls!$B$10*(K104-IF(Controls!$B$7="Normal",Controls!$B$8,(Controls!$B$8+Controls!$B$9)/2))+SQRT(1-Controls!$B$10^2)*(Random!AE105-IF(Controls!$B$7="Normal",Controls!$B$8,(Controls!$B$8+Controls!$B$9)/2)))</f>
        <v/>
      </c>
      <c r="L105" s="10" t="str">
        <f>IF($A105="","",IF(AND($A105&gt;=Controls!$B$25,$A105&lt;Controls!$B$25+Controls!$C$25),(Controls!$D$25-1)*EXP(-0.5*(($A105-Controls!$B$25-(Controls!$C$25-1)/2)/MAX(Controls!$C$25/4,0.5))^2),0))</f>
        <v/>
      </c>
      <c r="M105" s="10" t="str">
        <f>IF($A105="","",IF(AND($A105&gt;=Controls!$B$26,$A105&lt;Controls!$B$26+Controls!$C$26),(Controls!$D$26-1)*EXP(-0.5*(($A105-Controls!$B$26-(Controls!$C$26-1)/2)/MAX(Controls!$C$26/4,0.5))^2),0))</f>
        <v/>
      </c>
      <c r="N105" s="10" t="str">
        <f>IF($A105="","",IF(AND($A105&gt;=Controls!$B$27,$A105&lt;Controls!$B$27+Controls!$C$27),(Controls!$D$27-1)*EXP(-0.5*(($A105-Controls!$B$27-(Controls!$C$27-1)/2)/MAX(Controls!$C$27/4,0.5))^2),0))</f>
        <v/>
      </c>
      <c r="O105" s="10" t="str">
        <f>IF($A105="","",IF(AND($A105&gt;=Controls!$B$28,$A105&lt;Controls!$B$28+Controls!$C$28),(Controls!$D$28-1)*EXP(-0.5*(($A105-Controls!$B$28-(Controls!$C$28-1)/2)/MAX(Controls!$C$28/4,0.5))^2),0))</f>
        <v/>
      </c>
      <c r="P105" s="4" t="str">
        <f t="shared" si="1"/>
        <v/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21.0" customHeight="1">
      <c r="A106" s="7" t="str">
        <f>IF(105&lt;=Controls!$B$5,Controls!$B$4+104,"")</f>
        <v/>
      </c>
      <c r="B106" s="10" t="str">
        <f>IF(Random!V106="","",IF(Controls!$B$7="Normal",Controls!$B$8,(Controls!$B$8+Controls!$B$9)/2)+Controls!$B$10*(B105-IF(Controls!$B$7="Normal",Controls!$B$8,(Controls!$B$8+Controls!$B$9)/2))+SQRT(1-Controls!$B$10^2)*(Random!V106-IF(Controls!$B$7="Normal",Controls!$B$8,(Controls!$B$8+Controls!$B$9)/2)))</f>
        <v/>
      </c>
      <c r="C106" s="10" t="str">
        <f>IF(Random!W106="","",IF(Controls!$B$7="Normal",Controls!$B$8,(Controls!$B$8+Controls!$B$9)/2)+Controls!$B$10*(C105-IF(Controls!$B$7="Normal",Controls!$B$8,(Controls!$B$8+Controls!$B$9)/2))+SQRT(1-Controls!$B$10^2)*(Random!W106-IF(Controls!$B$7="Normal",Controls!$B$8,(Controls!$B$8+Controls!$B$9)/2)))</f>
        <v/>
      </c>
      <c r="D106" s="10" t="str">
        <f>IF(Random!X106="","",IF(Controls!$B$7="Normal",Controls!$B$8,(Controls!$B$8+Controls!$B$9)/2)+Controls!$B$10*(D105-IF(Controls!$B$7="Normal",Controls!$B$8,(Controls!$B$8+Controls!$B$9)/2))+SQRT(1-Controls!$B$10^2)*(Random!X106-IF(Controls!$B$7="Normal",Controls!$B$8,(Controls!$B$8+Controls!$B$9)/2)))</f>
        <v/>
      </c>
      <c r="E106" s="10" t="str">
        <f>IF(Random!Y106="","",IF(Controls!$B$7="Normal",Controls!$B$8,(Controls!$B$8+Controls!$B$9)/2)+Controls!$B$10*(E105-IF(Controls!$B$7="Normal",Controls!$B$8,(Controls!$B$8+Controls!$B$9)/2))+SQRT(1-Controls!$B$10^2)*(Random!Y106-IF(Controls!$B$7="Normal",Controls!$B$8,(Controls!$B$8+Controls!$B$9)/2)))</f>
        <v/>
      </c>
      <c r="F106" s="10" t="str">
        <f>IF(Random!Z106="","",IF(Controls!$B$7="Normal",Controls!$B$8,(Controls!$B$8+Controls!$B$9)/2)+Controls!$B$10*(F105-IF(Controls!$B$7="Normal",Controls!$B$8,(Controls!$B$8+Controls!$B$9)/2))+SQRT(1-Controls!$B$10^2)*(Random!Z106-IF(Controls!$B$7="Normal",Controls!$B$8,(Controls!$B$8+Controls!$B$9)/2)))</f>
        <v/>
      </c>
      <c r="G106" s="10" t="str">
        <f>IF(Random!AA106="","",IF(Controls!$B$7="Normal",Controls!$B$8,(Controls!$B$8+Controls!$B$9)/2)+Controls!$B$10*(G105-IF(Controls!$B$7="Normal",Controls!$B$8,(Controls!$B$8+Controls!$B$9)/2))+SQRT(1-Controls!$B$10^2)*(Random!AA106-IF(Controls!$B$7="Normal",Controls!$B$8,(Controls!$B$8+Controls!$B$9)/2)))</f>
        <v/>
      </c>
      <c r="H106" s="10" t="str">
        <f>IF(Random!AB106="","",IF(Controls!$B$7="Normal",Controls!$B$8,(Controls!$B$8+Controls!$B$9)/2)+Controls!$B$10*(H105-IF(Controls!$B$7="Normal",Controls!$B$8,(Controls!$B$8+Controls!$B$9)/2))+SQRT(1-Controls!$B$10^2)*(Random!AB106-IF(Controls!$B$7="Normal",Controls!$B$8,(Controls!$B$8+Controls!$B$9)/2)))</f>
        <v/>
      </c>
      <c r="I106" s="10" t="str">
        <f>IF(Random!AC106="","",IF(Controls!$B$7="Normal",Controls!$B$8,(Controls!$B$8+Controls!$B$9)/2)+Controls!$B$10*(I105-IF(Controls!$B$7="Normal",Controls!$B$8,(Controls!$B$8+Controls!$B$9)/2))+SQRT(1-Controls!$B$10^2)*(Random!AC106-IF(Controls!$B$7="Normal",Controls!$B$8,(Controls!$B$8+Controls!$B$9)/2)))</f>
        <v/>
      </c>
      <c r="J106" s="10" t="str">
        <f>IF(Random!AD106="","",IF(Controls!$B$7="Normal",Controls!$B$8,(Controls!$B$8+Controls!$B$9)/2)+Controls!$B$10*(J105-IF(Controls!$B$7="Normal",Controls!$B$8,(Controls!$B$8+Controls!$B$9)/2))+SQRT(1-Controls!$B$10^2)*(Random!AD106-IF(Controls!$B$7="Normal",Controls!$B$8,(Controls!$B$8+Controls!$B$9)/2)))</f>
        <v/>
      </c>
      <c r="K106" s="10" t="str">
        <f>IF(Random!AE106="","",IF(Controls!$B$7="Normal",Controls!$B$8,(Controls!$B$8+Controls!$B$9)/2)+Controls!$B$10*(K105-IF(Controls!$B$7="Normal",Controls!$B$8,(Controls!$B$8+Controls!$B$9)/2))+SQRT(1-Controls!$B$10^2)*(Random!AE106-IF(Controls!$B$7="Normal",Controls!$B$8,(Controls!$B$8+Controls!$B$9)/2)))</f>
        <v/>
      </c>
      <c r="L106" s="10" t="str">
        <f>IF($A106="","",IF(AND($A106&gt;=Controls!$B$25,$A106&lt;Controls!$B$25+Controls!$C$25),(Controls!$D$25-1)*EXP(-0.5*(($A106-Controls!$B$25-(Controls!$C$25-1)/2)/MAX(Controls!$C$25/4,0.5))^2),0))</f>
        <v/>
      </c>
      <c r="M106" s="10" t="str">
        <f>IF($A106="","",IF(AND($A106&gt;=Controls!$B$26,$A106&lt;Controls!$B$26+Controls!$C$26),(Controls!$D$26-1)*EXP(-0.5*(($A106-Controls!$B$26-(Controls!$C$26-1)/2)/MAX(Controls!$C$26/4,0.5))^2),0))</f>
        <v/>
      </c>
      <c r="N106" s="10" t="str">
        <f>IF($A106="","",IF(AND($A106&gt;=Controls!$B$27,$A106&lt;Controls!$B$27+Controls!$C$27),(Controls!$D$27-1)*EXP(-0.5*(($A106-Controls!$B$27-(Controls!$C$27-1)/2)/MAX(Controls!$C$27/4,0.5))^2),0))</f>
        <v/>
      </c>
      <c r="O106" s="10" t="str">
        <f>IF($A106="","",IF(AND($A106&gt;=Controls!$B$28,$A106&lt;Controls!$B$28+Controls!$C$28),(Controls!$D$28-1)*EXP(-0.5*(($A106-Controls!$B$28-(Controls!$C$28-1)/2)/MAX(Controls!$C$28/4,0.5))^2),0))</f>
        <v/>
      </c>
      <c r="P106" s="4" t="str">
        <f t="shared" si="1"/>
        <v/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21.0" customHeight="1">
      <c r="A107" s="7" t="str">
        <f>IF(106&lt;=Controls!$B$5,Controls!$B$4+105,"")</f>
        <v/>
      </c>
      <c r="B107" s="10" t="str">
        <f>IF(Random!V107="","",IF(Controls!$B$7="Normal",Controls!$B$8,(Controls!$B$8+Controls!$B$9)/2)+Controls!$B$10*(B106-IF(Controls!$B$7="Normal",Controls!$B$8,(Controls!$B$8+Controls!$B$9)/2))+SQRT(1-Controls!$B$10^2)*(Random!V107-IF(Controls!$B$7="Normal",Controls!$B$8,(Controls!$B$8+Controls!$B$9)/2)))</f>
        <v/>
      </c>
      <c r="C107" s="10" t="str">
        <f>IF(Random!W107="","",IF(Controls!$B$7="Normal",Controls!$B$8,(Controls!$B$8+Controls!$B$9)/2)+Controls!$B$10*(C106-IF(Controls!$B$7="Normal",Controls!$B$8,(Controls!$B$8+Controls!$B$9)/2))+SQRT(1-Controls!$B$10^2)*(Random!W107-IF(Controls!$B$7="Normal",Controls!$B$8,(Controls!$B$8+Controls!$B$9)/2)))</f>
        <v/>
      </c>
      <c r="D107" s="10" t="str">
        <f>IF(Random!X107="","",IF(Controls!$B$7="Normal",Controls!$B$8,(Controls!$B$8+Controls!$B$9)/2)+Controls!$B$10*(D106-IF(Controls!$B$7="Normal",Controls!$B$8,(Controls!$B$8+Controls!$B$9)/2))+SQRT(1-Controls!$B$10^2)*(Random!X107-IF(Controls!$B$7="Normal",Controls!$B$8,(Controls!$B$8+Controls!$B$9)/2)))</f>
        <v/>
      </c>
      <c r="E107" s="10" t="str">
        <f>IF(Random!Y107="","",IF(Controls!$B$7="Normal",Controls!$B$8,(Controls!$B$8+Controls!$B$9)/2)+Controls!$B$10*(E106-IF(Controls!$B$7="Normal",Controls!$B$8,(Controls!$B$8+Controls!$B$9)/2))+SQRT(1-Controls!$B$10^2)*(Random!Y107-IF(Controls!$B$7="Normal",Controls!$B$8,(Controls!$B$8+Controls!$B$9)/2)))</f>
        <v/>
      </c>
      <c r="F107" s="10" t="str">
        <f>IF(Random!Z107="","",IF(Controls!$B$7="Normal",Controls!$B$8,(Controls!$B$8+Controls!$B$9)/2)+Controls!$B$10*(F106-IF(Controls!$B$7="Normal",Controls!$B$8,(Controls!$B$8+Controls!$B$9)/2))+SQRT(1-Controls!$B$10^2)*(Random!Z107-IF(Controls!$B$7="Normal",Controls!$B$8,(Controls!$B$8+Controls!$B$9)/2)))</f>
        <v/>
      </c>
      <c r="G107" s="10" t="str">
        <f>IF(Random!AA107="","",IF(Controls!$B$7="Normal",Controls!$B$8,(Controls!$B$8+Controls!$B$9)/2)+Controls!$B$10*(G106-IF(Controls!$B$7="Normal",Controls!$B$8,(Controls!$B$8+Controls!$B$9)/2))+SQRT(1-Controls!$B$10^2)*(Random!AA107-IF(Controls!$B$7="Normal",Controls!$B$8,(Controls!$B$8+Controls!$B$9)/2)))</f>
        <v/>
      </c>
      <c r="H107" s="10" t="str">
        <f>IF(Random!AB107="","",IF(Controls!$B$7="Normal",Controls!$B$8,(Controls!$B$8+Controls!$B$9)/2)+Controls!$B$10*(H106-IF(Controls!$B$7="Normal",Controls!$B$8,(Controls!$B$8+Controls!$B$9)/2))+SQRT(1-Controls!$B$10^2)*(Random!AB107-IF(Controls!$B$7="Normal",Controls!$B$8,(Controls!$B$8+Controls!$B$9)/2)))</f>
        <v/>
      </c>
      <c r="I107" s="10" t="str">
        <f>IF(Random!AC107="","",IF(Controls!$B$7="Normal",Controls!$B$8,(Controls!$B$8+Controls!$B$9)/2)+Controls!$B$10*(I106-IF(Controls!$B$7="Normal",Controls!$B$8,(Controls!$B$8+Controls!$B$9)/2))+SQRT(1-Controls!$B$10^2)*(Random!AC107-IF(Controls!$B$7="Normal",Controls!$B$8,(Controls!$B$8+Controls!$B$9)/2)))</f>
        <v/>
      </c>
      <c r="J107" s="10" t="str">
        <f>IF(Random!AD107="","",IF(Controls!$B$7="Normal",Controls!$B$8,(Controls!$B$8+Controls!$B$9)/2)+Controls!$B$10*(J106-IF(Controls!$B$7="Normal",Controls!$B$8,(Controls!$B$8+Controls!$B$9)/2))+SQRT(1-Controls!$B$10^2)*(Random!AD107-IF(Controls!$B$7="Normal",Controls!$B$8,(Controls!$B$8+Controls!$B$9)/2)))</f>
        <v/>
      </c>
      <c r="K107" s="10" t="str">
        <f>IF(Random!AE107="","",IF(Controls!$B$7="Normal",Controls!$B$8,(Controls!$B$8+Controls!$B$9)/2)+Controls!$B$10*(K106-IF(Controls!$B$7="Normal",Controls!$B$8,(Controls!$B$8+Controls!$B$9)/2))+SQRT(1-Controls!$B$10^2)*(Random!AE107-IF(Controls!$B$7="Normal",Controls!$B$8,(Controls!$B$8+Controls!$B$9)/2)))</f>
        <v/>
      </c>
      <c r="L107" s="10" t="str">
        <f>IF($A107="","",IF(AND($A107&gt;=Controls!$B$25,$A107&lt;Controls!$B$25+Controls!$C$25),(Controls!$D$25-1)*EXP(-0.5*(($A107-Controls!$B$25-(Controls!$C$25-1)/2)/MAX(Controls!$C$25/4,0.5))^2),0))</f>
        <v/>
      </c>
      <c r="M107" s="10" t="str">
        <f>IF($A107="","",IF(AND($A107&gt;=Controls!$B$26,$A107&lt;Controls!$B$26+Controls!$C$26),(Controls!$D$26-1)*EXP(-0.5*(($A107-Controls!$B$26-(Controls!$C$26-1)/2)/MAX(Controls!$C$26/4,0.5))^2),0))</f>
        <v/>
      </c>
      <c r="N107" s="10" t="str">
        <f>IF($A107="","",IF(AND($A107&gt;=Controls!$B$27,$A107&lt;Controls!$B$27+Controls!$C$27),(Controls!$D$27-1)*EXP(-0.5*(($A107-Controls!$B$27-(Controls!$C$27-1)/2)/MAX(Controls!$C$27/4,0.5))^2),0))</f>
        <v/>
      </c>
      <c r="O107" s="10" t="str">
        <f>IF($A107="","",IF(AND($A107&gt;=Controls!$B$28,$A107&lt;Controls!$B$28+Controls!$C$28),(Controls!$D$28-1)*EXP(-0.5*(($A107-Controls!$B$28-(Controls!$C$28-1)/2)/MAX(Controls!$C$28/4,0.5))^2),0))</f>
        <v/>
      </c>
      <c r="P107" s="4" t="str">
        <f t="shared" si="1"/>
        <v/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21.0" customHeight="1">
      <c r="A108" s="7" t="str">
        <f>IF(107&lt;=Controls!$B$5,Controls!$B$4+106,"")</f>
        <v/>
      </c>
      <c r="B108" s="10" t="str">
        <f>IF(Random!V108="","",IF(Controls!$B$7="Normal",Controls!$B$8,(Controls!$B$8+Controls!$B$9)/2)+Controls!$B$10*(B107-IF(Controls!$B$7="Normal",Controls!$B$8,(Controls!$B$8+Controls!$B$9)/2))+SQRT(1-Controls!$B$10^2)*(Random!V108-IF(Controls!$B$7="Normal",Controls!$B$8,(Controls!$B$8+Controls!$B$9)/2)))</f>
        <v/>
      </c>
      <c r="C108" s="10" t="str">
        <f>IF(Random!W108="","",IF(Controls!$B$7="Normal",Controls!$B$8,(Controls!$B$8+Controls!$B$9)/2)+Controls!$B$10*(C107-IF(Controls!$B$7="Normal",Controls!$B$8,(Controls!$B$8+Controls!$B$9)/2))+SQRT(1-Controls!$B$10^2)*(Random!W108-IF(Controls!$B$7="Normal",Controls!$B$8,(Controls!$B$8+Controls!$B$9)/2)))</f>
        <v/>
      </c>
      <c r="D108" s="10" t="str">
        <f>IF(Random!X108="","",IF(Controls!$B$7="Normal",Controls!$B$8,(Controls!$B$8+Controls!$B$9)/2)+Controls!$B$10*(D107-IF(Controls!$B$7="Normal",Controls!$B$8,(Controls!$B$8+Controls!$B$9)/2))+SQRT(1-Controls!$B$10^2)*(Random!X108-IF(Controls!$B$7="Normal",Controls!$B$8,(Controls!$B$8+Controls!$B$9)/2)))</f>
        <v/>
      </c>
      <c r="E108" s="10" t="str">
        <f>IF(Random!Y108="","",IF(Controls!$B$7="Normal",Controls!$B$8,(Controls!$B$8+Controls!$B$9)/2)+Controls!$B$10*(E107-IF(Controls!$B$7="Normal",Controls!$B$8,(Controls!$B$8+Controls!$B$9)/2))+SQRT(1-Controls!$B$10^2)*(Random!Y108-IF(Controls!$B$7="Normal",Controls!$B$8,(Controls!$B$8+Controls!$B$9)/2)))</f>
        <v/>
      </c>
      <c r="F108" s="10" t="str">
        <f>IF(Random!Z108="","",IF(Controls!$B$7="Normal",Controls!$B$8,(Controls!$B$8+Controls!$B$9)/2)+Controls!$B$10*(F107-IF(Controls!$B$7="Normal",Controls!$B$8,(Controls!$B$8+Controls!$B$9)/2))+SQRT(1-Controls!$B$10^2)*(Random!Z108-IF(Controls!$B$7="Normal",Controls!$B$8,(Controls!$B$8+Controls!$B$9)/2)))</f>
        <v/>
      </c>
      <c r="G108" s="10" t="str">
        <f>IF(Random!AA108="","",IF(Controls!$B$7="Normal",Controls!$B$8,(Controls!$B$8+Controls!$B$9)/2)+Controls!$B$10*(G107-IF(Controls!$B$7="Normal",Controls!$B$8,(Controls!$B$8+Controls!$B$9)/2))+SQRT(1-Controls!$B$10^2)*(Random!AA108-IF(Controls!$B$7="Normal",Controls!$B$8,(Controls!$B$8+Controls!$B$9)/2)))</f>
        <v/>
      </c>
      <c r="H108" s="10" t="str">
        <f>IF(Random!AB108="","",IF(Controls!$B$7="Normal",Controls!$B$8,(Controls!$B$8+Controls!$B$9)/2)+Controls!$B$10*(H107-IF(Controls!$B$7="Normal",Controls!$B$8,(Controls!$B$8+Controls!$B$9)/2))+SQRT(1-Controls!$B$10^2)*(Random!AB108-IF(Controls!$B$7="Normal",Controls!$B$8,(Controls!$B$8+Controls!$B$9)/2)))</f>
        <v/>
      </c>
      <c r="I108" s="10" t="str">
        <f>IF(Random!AC108="","",IF(Controls!$B$7="Normal",Controls!$B$8,(Controls!$B$8+Controls!$B$9)/2)+Controls!$B$10*(I107-IF(Controls!$B$7="Normal",Controls!$B$8,(Controls!$B$8+Controls!$B$9)/2))+SQRT(1-Controls!$B$10^2)*(Random!AC108-IF(Controls!$B$7="Normal",Controls!$B$8,(Controls!$B$8+Controls!$B$9)/2)))</f>
        <v/>
      </c>
      <c r="J108" s="10" t="str">
        <f>IF(Random!AD108="","",IF(Controls!$B$7="Normal",Controls!$B$8,(Controls!$B$8+Controls!$B$9)/2)+Controls!$B$10*(J107-IF(Controls!$B$7="Normal",Controls!$B$8,(Controls!$B$8+Controls!$B$9)/2))+SQRT(1-Controls!$B$10^2)*(Random!AD108-IF(Controls!$B$7="Normal",Controls!$B$8,(Controls!$B$8+Controls!$B$9)/2)))</f>
        <v/>
      </c>
      <c r="K108" s="10" t="str">
        <f>IF(Random!AE108="","",IF(Controls!$B$7="Normal",Controls!$B$8,(Controls!$B$8+Controls!$B$9)/2)+Controls!$B$10*(K107-IF(Controls!$B$7="Normal",Controls!$B$8,(Controls!$B$8+Controls!$B$9)/2))+SQRT(1-Controls!$B$10^2)*(Random!AE108-IF(Controls!$B$7="Normal",Controls!$B$8,(Controls!$B$8+Controls!$B$9)/2)))</f>
        <v/>
      </c>
      <c r="L108" s="10" t="str">
        <f>IF($A108="","",IF(AND($A108&gt;=Controls!$B$25,$A108&lt;Controls!$B$25+Controls!$C$25),(Controls!$D$25-1)*EXP(-0.5*(($A108-Controls!$B$25-(Controls!$C$25-1)/2)/MAX(Controls!$C$25/4,0.5))^2),0))</f>
        <v/>
      </c>
      <c r="M108" s="10" t="str">
        <f>IF($A108="","",IF(AND($A108&gt;=Controls!$B$26,$A108&lt;Controls!$B$26+Controls!$C$26),(Controls!$D$26-1)*EXP(-0.5*(($A108-Controls!$B$26-(Controls!$C$26-1)/2)/MAX(Controls!$C$26/4,0.5))^2),0))</f>
        <v/>
      </c>
      <c r="N108" s="10" t="str">
        <f>IF($A108="","",IF(AND($A108&gt;=Controls!$B$27,$A108&lt;Controls!$B$27+Controls!$C$27),(Controls!$D$27-1)*EXP(-0.5*(($A108-Controls!$B$27-(Controls!$C$27-1)/2)/MAX(Controls!$C$27/4,0.5))^2),0))</f>
        <v/>
      </c>
      <c r="O108" s="10" t="str">
        <f>IF($A108="","",IF(AND($A108&gt;=Controls!$B$28,$A108&lt;Controls!$B$28+Controls!$C$28),(Controls!$D$28-1)*EXP(-0.5*(($A108-Controls!$B$28-(Controls!$C$28-1)/2)/MAX(Controls!$C$28/4,0.5))^2),0))</f>
        <v/>
      </c>
      <c r="P108" s="4" t="str">
        <f t="shared" si="1"/>
        <v/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21.0" customHeight="1">
      <c r="A109" s="7" t="str">
        <f>IF(108&lt;=Controls!$B$5,Controls!$B$4+107,"")</f>
        <v/>
      </c>
      <c r="B109" s="10" t="str">
        <f>IF(Random!V109="","",IF(Controls!$B$7="Normal",Controls!$B$8,(Controls!$B$8+Controls!$B$9)/2)+Controls!$B$10*(B108-IF(Controls!$B$7="Normal",Controls!$B$8,(Controls!$B$8+Controls!$B$9)/2))+SQRT(1-Controls!$B$10^2)*(Random!V109-IF(Controls!$B$7="Normal",Controls!$B$8,(Controls!$B$8+Controls!$B$9)/2)))</f>
        <v/>
      </c>
      <c r="C109" s="10" t="str">
        <f>IF(Random!W109="","",IF(Controls!$B$7="Normal",Controls!$B$8,(Controls!$B$8+Controls!$B$9)/2)+Controls!$B$10*(C108-IF(Controls!$B$7="Normal",Controls!$B$8,(Controls!$B$8+Controls!$B$9)/2))+SQRT(1-Controls!$B$10^2)*(Random!W109-IF(Controls!$B$7="Normal",Controls!$B$8,(Controls!$B$8+Controls!$B$9)/2)))</f>
        <v/>
      </c>
      <c r="D109" s="10" t="str">
        <f>IF(Random!X109="","",IF(Controls!$B$7="Normal",Controls!$B$8,(Controls!$B$8+Controls!$B$9)/2)+Controls!$B$10*(D108-IF(Controls!$B$7="Normal",Controls!$B$8,(Controls!$B$8+Controls!$B$9)/2))+SQRT(1-Controls!$B$10^2)*(Random!X109-IF(Controls!$B$7="Normal",Controls!$B$8,(Controls!$B$8+Controls!$B$9)/2)))</f>
        <v/>
      </c>
      <c r="E109" s="10" t="str">
        <f>IF(Random!Y109="","",IF(Controls!$B$7="Normal",Controls!$B$8,(Controls!$B$8+Controls!$B$9)/2)+Controls!$B$10*(E108-IF(Controls!$B$7="Normal",Controls!$B$8,(Controls!$B$8+Controls!$B$9)/2))+SQRT(1-Controls!$B$10^2)*(Random!Y109-IF(Controls!$B$7="Normal",Controls!$B$8,(Controls!$B$8+Controls!$B$9)/2)))</f>
        <v/>
      </c>
      <c r="F109" s="10" t="str">
        <f>IF(Random!Z109="","",IF(Controls!$B$7="Normal",Controls!$B$8,(Controls!$B$8+Controls!$B$9)/2)+Controls!$B$10*(F108-IF(Controls!$B$7="Normal",Controls!$B$8,(Controls!$B$8+Controls!$B$9)/2))+SQRT(1-Controls!$B$10^2)*(Random!Z109-IF(Controls!$B$7="Normal",Controls!$B$8,(Controls!$B$8+Controls!$B$9)/2)))</f>
        <v/>
      </c>
      <c r="G109" s="10" t="str">
        <f>IF(Random!AA109="","",IF(Controls!$B$7="Normal",Controls!$B$8,(Controls!$B$8+Controls!$B$9)/2)+Controls!$B$10*(G108-IF(Controls!$B$7="Normal",Controls!$B$8,(Controls!$B$8+Controls!$B$9)/2))+SQRT(1-Controls!$B$10^2)*(Random!AA109-IF(Controls!$B$7="Normal",Controls!$B$8,(Controls!$B$8+Controls!$B$9)/2)))</f>
        <v/>
      </c>
      <c r="H109" s="10" t="str">
        <f>IF(Random!AB109="","",IF(Controls!$B$7="Normal",Controls!$B$8,(Controls!$B$8+Controls!$B$9)/2)+Controls!$B$10*(H108-IF(Controls!$B$7="Normal",Controls!$B$8,(Controls!$B$8+Controls!$B$9)/2))+SQRT(1-Controls!$B$10^2)*(Random!AB109-IF(Controls!$B$7="Normal",Controls!$B$8,(Controls!$B$8+Controls!$B$9)/2)))</f>
        <v/>
      </c>
      <c r="I109" s="10" t="str">
        <f>IF(Random!AC109="","",IF(Controls!$B$7="Normal",Controls!$B$8,(Controls!$B$8+Controls!$B$9)/2)+Controls!$B$10*(I108-IF(Controls!$B$7="Normal",Controls!$B$8,(Controls!$B$8+Controls!$B$9)/2))+SQRT(1-Controls!$B$10^2)*(Random!AC109-IF(Controls!$B$7="Normal",Controls!$B$8,(Controls!$B$8+Controls!$B$9)/2)))</f>
        <v/>
      </c>
      <c r="J109" s="10" t="str">
        <f>IF(Random!AD109="","",IF(Controls!$B$7="Normal",Controls!$B$8,(Controls!$B$8+Controls!$B$9)/2)+Controls!$B$10*(J108-IF(Controls!$B$7="Normal",Controls!$B$8,(Controls!$B$8+Controls!$B$9)/2))+SQRT(1-Controls!$B$10^2)*(Random!AD109-IF(Controls!$B$7="Normal",Controls!$B$8,(Controls!$B$8+Controls!$B$9)/2)))</f>
        <v/>
      </c>
      <c r="K109" s="10" t="str">
        <f>IF(Random!AE109="","",IF(Controls!$B$7="Normal",Controls!$B$8,(Controls!$B$8+Controls!$B$9)/2)+Controls!$B$10*(K108-IF(Controls!$B$7="Normal",Controls!$B$8,(Controls!$B$8+Controls!$B$9)/2))+SQRT(1-Controls!$B$10^2)*(Random!AE109-IF(Controls!$B$7="Normal",Controls!$B$8,(Controls!$B$8+Controls!$B$9)/2)))</f>
        <v/>
      </c>
      <c r="L109" s="10" t="str">
        <f>IF($A109="","",IF(AND($A109&gt;=Controls!$B$25,$A109&lt;Controls!$B$25+Controls!$C$25),(Controls!$D$25-1)*EXP(-0.5*(($A109-Controls!$B$25-(Controls!$C$25-1)/2)/MAX(Controls!$C$25/4,0.5))^2),0))</f>
        <v/>
      </c>
      <c r="M109" s="10" t="str">
        <f>IF($A109="","",IF(AND($A109&gt;=Controls!$B$26,$A109&lt;Controls!$B$26+Controls!$C$26),(Controls!$D$26-1)*EXP(-0.5*(($A109-Controls!$B$26-(Controls!$C$26-1)/2)/MAX(Controls!$C$26/4,0.5))^2),0))</f>
        <v/>
      </c>
      <c r="N109" s="10" t="str">
        <f>IF($A109="","",IF(AND($A109&gt;=Controls!$B$27,$A109&lt;Controls!$B$27+Controls!$C$27),(Controls!$D$27-1)*EXP(-0.5*(($A109-Controls!$B$27-(Controls!$C$27-1)/2)/MAX(Controls!$C$27/4,0.5))^2),0))</f>
        <v/>
      </c>
      <c r="O109" s="10" t="str">
        <f>IF($A109="","",IF(AND($A109&gt;=Controls!$B$28,$A109&lt;Controls!$B$28+Controls!$C$28),(Controls!$D$28-1)*EXP(-0.5*(($A109-Controls!$B$28-(Controls!$C$28-1)/2)/MAX(Controls!$C$28/4,0.5))^2),0))</f>
        <v/>
      </c>
      <c r="P109" s="4" t="str">
        <f t="shared" si="1"/>
        <v/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21.0" customHeight="1">
      <c r="A110" s="7" t="str">
        <f>IF(109&lt;=Controls!$B$5,Controls!$B$4+108,"")</f>
        <v/>
      </c>
      <c r="B110" s="10" t="str">
        <f>IF(Random!V110="","",IF(Controls!$B$7="Normal",Controls!$B$8,(Controls!$B$8+Controls!$B$9)/2)+Controls!$B$10*(B109-IF(Controls!$B$7="Normal",Controls!$B$8,(Controls!$B$8+Controls!$B$9)/2))+SQRT(1-Controls!$B$10^2)*(Random!V110-IF(Controls!$B$7="Normal",Controls!$B$8,(Controls!$B$8+Controls!$B$9)/2)))</f>
        <v/>
      </c>
      <c r="C110" s="10" t="str">
        <f>IF(Random!W110="","",IF(Controls!$B$7="Normal",Controls!$B$8,(Controls!$B$8+Controls!$B$9)/2)+Controls!$B$10*(C109-IF(Controls!$B$7="Normal",Controls!$B$8,(Controls!$B$8+Controls!$B$9)/2))+SQRT(1-Controls!$B$10^2)*(Random!W110-IF(Controls!$B$7="Normal",Controls!$B$8,(Controls!$B$8+Controls!$B$9)/2)))</f>
        <v/>
      </c>
      <c r="D110" s="10" t="str">
        <f>IF(Random!X110="","",IF(Controls!$B$7="Normal",Controls!$B$8,(Controls!$B$8+Controls!$B$9)/2)+Controls!$B$10*(D109-IF(Controls!$B$7="Normal",Controls!$B$8,(Controls!$B$8+Controls!$B$9)/2))+SQRT(1-Controls!$B$10^2)*(Random!X110-IF(Controls!$B$7="Normal",Controls!$B$8,(Controls!$B$8+Controls!$B$9)/2)))</f>
        <v/>
      </c>
      <c r="E110" s="10" t="str">
        <f>IF(Random!Y110="","",IF(Controls!$B$7="Normal",Controls!$B$8,(Controls!$B$8+Controls!$B$9)/2)+Controls!$B$10*(E109-IF(Controls!$B$7="Normal",Controls!$B$8,(Controls!$B$8+Controls!$B$9)/2))+SQRT(1-Controls!$B$10^2)*(Random!Y110-IF(Controls!$B$7="Normal",Controls!$B$8,(Controls!$B$8+Controls!$B$9)/2)))</f>
        <v/>
      </c>
      <c r="F110" s="10" t="str">
        <f>IF(Random!Z110="","",IF(Controls!$B$7="Normal",Controls!$B$8,(Controls!$B$8+Controls!$B$9)/2)+Controls!$B$10*(F109-IF(Controls!$B$7="Normal",Controls!$B$8,(Controls!$B$8+Controls!$B$9)/2))+SQRT(1-Controls!$B$10^2)*(Random!Z110-IF(Controls!$B$7="Normal",Controls!$B$8,(Controls!$B$8+Controls!$B$9)/2)))</f>
        <v/>
      </c>
      <c r="G110" s="10" t="str">
        <f>IF(Random!AA110="","",IF(Controls!$B$7="Normal",Controls!$B$8,(Controls!$B$8+Controls!$B$9)/2)+Controls!$B$10*(G109-IF(Controls!$B$7="Normal",Controls!$B$8,(Controls!$B$8+Controls!$B$9)/2))+SQRT(1-Controls!$B$10^2)*(Random!AA110-IF(Controls!$B$7="Normal",Controls!$B$8,(Controls!$B$8+Controls!$B$9)/2)))</f>
        <v/>
      </c>
      <c r="H110" s="10" t="str">
        <f>IF(Random!AB110="","",IF(Controls!$B$7="Normal",Controls!$B$8,(Controls!$B$8+Controls!$B$9)/2)+Controls!$B$10*(H109-IF(Controls!$B$7="Normal",Controls!$B$8,(Controls!$B$8+Controls!$B$9)/2))+SQRT(1-Controls!$B$10^2)*(Random!AB110-IF(Controls!$B$7="Normal",Controls!$B$8,(Controls!$B$8+Controls!$B$9)/2)))</f>
        <v/>
      </c>
      <c r="I110" s="10" t="str">
        <f>IF(Random!AC110="","",IF(Controls!$B$7="Normal",Controls!$B$8,(Controls!$B$8+Controls!$B$9)/2)+Controls!$B$10*(I109-IF(Controls!$B$7="Normal",Controls!$B$8,(Controls!$B$8+Controls!$B$9)/2))+SQRT(1-Controls!$B$10^2)*(Random!AC110-IF(Controls!$B$7="Normal",Controls!$B$8,(Controls!$B$8+Controls!$B$9)/2)))</f>
        <v/>
      </c>
      <c r="J110" s="10" t="str">
        <f>IF(Random!AD110="","",IF(Controls!$B$7="Normal",Controls!$B$8,(Controls!$B$8+Controls!$B$9)/2)+Controls!$B$10*(J109-IF(Controls!$B$7="Normal",Controls!$B$8,(Controls!$B$8+Controls!$B$9)/2))+SQRT(1-Controls!$B$10^2)*(Random!AD110-IF(Controls!$B$7="Normal",Controls!$B$8,(Controls!$B$8+Controls!$B$9)/2)))</f>
        <v/>
      </c>
      <c r="K110" s="10" t="str">
        <f>IF(Random!AE110="","",IF(Controls!$B$7="Normal",Controls!$B$8,(Controls!$B$8+Controls!$B$9)/2)+Controls!$B$10*(K109-IF(Controls!$B$7="Normal",Controls!$B$8,(Controls!$B$8+Controls!$B$9)/2))+SQRT(1-Controls!$B$10^2)*(Random!AE110-IF(Controls!$B$7="Normal",Controls!$B$8,(Controls!$B$8+Controls!$B$9)/2)))</f>
        <v/>
      </c>
      <c r="L110" s="10" t="str">
        <f>IF($A110="","",IF(AND($A110&gt;=Controls!$B$25,$A110&lt;Controls!$B$25+Controls!$C$25),(Controls!$D$25-1)*EXP(-0.5*(($A110-Controls!$B$25-(Controls!$C$25-1)/2)/MAX(Controls!$C$25/4,0.5))^2),0))</f>
        <v/>
      </c>
      <c r="M110" s="10" t="str">
        <f>IF($A110="","",IF(AND($A110&gt;=Controls!$B$26,$A110&lt;Controls!$B$26+Controls!$C$26),(Controls!$D$26-1)*EXP(-0.5*(($A110-Controls!$B$26-(Controls!$C$26-1)/2)/MAX(Controls!$C$26/4,0.5))^2),0))</f>
        <v/>
      </c>
      <c r="N110" s="10" t="str">
        <f>IF($A110="","",IF(AND($A110&gt;=Controls!$B$27,$A110&lt;Controls!$B$27+Controls!$C$27),(Controls!$D$27-1)*EXP(-0.5*(($A110-Controls!$B$27-(Controls!$C$27-1)/2)/MAX(Controls!$C$27/4,0.5))^2),0))</f>
        <v/>
      </c>
      <c r="O110" s="10" t="str">
        <f>IF($A110="","",IF(AND($A110&gt;=Controls!$B$28,$A110&lt;Controls!$B$28+Controls!$C$28),(Controls!$D$28-1)*EXP(-0.5*(($A110-Controls!$B$28-(Controls!$C$28-1)/2)/MAX(Controls!$C$28/4,0.5))^2),0))</f>
        <v/>
      </c>
      <c r="P110" s="4" t="str">
        <f t="shared" si="1"/>
        <v/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21.0" customHeight="1">
      <c r="A111" s="7" t="str">
        <f>IF(110&lt;=Controls!$B$5,Controls!$B$4+109,"")</f>
        <v/>
      </c>
      <c r="B111" s="10" t="str">
        <f>IF(Random!V111="","",IF(Controls!$B$7="Normal",Controls!$B$8,(Controls!$B$8+Controls!$B$9)/2)+Controls!$B$10*(B110-IF(Controls!$B$7="Normal",Controls!$B$8,(Controls!$B$8+Controls!$B$9)/2))+SQRT(1-Controls!$B$10^2)*(Random!V111-IF(Controls!$B$7="Normal",Controls!$B$8,(Controls!$B$8+Controls!$B$9)/2)))</f>
        <v/>
      </c>
      <c r="C111" s="10" t="str">
        <f>IF(Random!W111="","",IF(Controls!$B$7="Normal",Controls!$B$8,(Controls!$B$8+Controls!$B$9)/2)+Controls!$B$10*(C110-IF(Controls!$B$7="Normal",Controls!$B$8,(Controls!$B$8+Controls!$B$9)/2))+SQRT(1-Controls!$B$10^2)*(Random!W111-IF(Controls!$B$7="Normal",Controls!$B$8,(Controls!$B$8+Controls!$B$9)/2)))</f>
        <v/>
      </c>
      <c r="D111" s="10" t="str">
        <f>IF(Random!X111="","",IF(Controls!$B$7="Normal",Controls!$B$8,(Controls!$B$8+Controls!$B$9)/2)+Controls!$B$10*(D110-IF(Controls!$B$7="Normal",Controls!$B$8,(Controls!$B$8+Controls!$B$9)/2))+SQRT(1-Controls!$B$10^2)*(Random!X111-IF(Controls!$B$7="Normal",Controls!$B$8,(Controls!$B$8+Controls!$B$9)/2)))</f>
        <v/>
      </c>
      <c r="E111" s="10" t="str">
        <f>IF(Random!Y111="","",IF(Controls!$B$7="Normal",Controls!$B$8,(Controls!$B$8+Controls!$B$9)/2)+Controls!$B$10*(E110-IF(Controls!$B$7="Normal",Controls!$B$8,(Controls!$B$8+Controls!$B$9)/2))+SQRT(1-Controls!$B$10^2)*(Random!Y111-IF(Controls!$B$7="Normal",Controls!$B$8,(Controls!$B$8+Controls!$B$9)/2)))</f>
        <v/>
      </c>
      <c r="F111" s="10" t="str">
        <f>IF(Random!Z111="","",IF(Controls!$B$7="Normal",Controls!$B$8,(Controls!$B$8+Controls!$B$9)/2)+Controls!$B$10*(F110-IF(Controls!$B$7="Normal",Controls!$B$8,(Controls!$B$8+Controls!$B$9)/2))+SQRT(1-Controls!$B$10^2)*(Random!Z111-IF(Controls!$B$7="Normal",Controls!$B$8,(Controls!$B$8+Controls!$B$9)/2)))</f>
        <v/>
      </c>
      <c r="G111" s="10" t="str">
        <f>IF(Random!AA111="","",IF(Controls!$B$7="Normal",Controls!$B$8,(Controls!$B$8+Controls!$B$9)/2)+Controls!$B$10*(G110-IF(Controls!$B$7="Normal",Controls!$B$8,(Controls!$B$8+Controls!$B$9)/2))+SQRT(1-Controls!$B$10^2)*(Random!AA111-IF(Controls!$B$7="Normal",Controls!$B$8,(Controls!$B$8+Controls!$B$9)/2)))</f>
        <v/>
      </c>
      <c r="H111" s="10" t="str">
        <f>IF(Random!AB111="","",IF(Controls!$B$7="Normal",Controls!$B$8,(Controls!$B$8+Controls!$B$9)/2)+Controls!$B$10*(H110-IF(Controls!$B$7="Normal",Controls!$B$8,(Controls!$B$8+Controls!$B$9)/2))+SQRT(1-Controls!$B$10^2)*(Random!AB111-IF(Controls!$B$7="Normal",Controls!$B$8,(Controls!$B$8+Controls!$B$9)/2)))</f>
        <v/>
      </c>
      <c r="I111" s="10" t="str">
        <f>IF(Random!AC111="","",IF(Controls!$B$7="Normal",Controls!$B$8,(Controls!$B$8+Controls!$B$9)/2)+Controls!$B$10*(I110-IF(Controls!$B$7="Normal",Controls!$B$8,(Controls!$B$8+Controls!$B$9)/2))+SQRT(1-Controls!$B$10^2)*(Random!AC111-IF(Controls!$B$7="Normal",Controls!$B$8,(Controls!$B$8+Controls!$B$9)/2)))</f>
        <v/>
      </c>
      <c r="J111" s="10" t="str">
        <f>IF(Random!AD111="","",IF(Controls!$B$7="Normal",Controls!$B$8,(Controls!$B$8+Controls!$B$9)/2)+Controls!$B$10*(J110-IF(Controls!$B$7="Normal",Controls!$B$8,(Controls!$B$8+Controls!$B$9)/2))+SQRT(1-Controls!$B$10^2)*(Random!AD111-IF(Controls!$B$7="Normal",Controls!$B$8,(Controls!$B$8+Controls!$B$9)/2)))</f>
        <v/>
      </c>
      <c r="K111" s="10" t="str">
        <f>IF(Random!AE111="","",IF(Controls!$B$7="Normal",Controls!$B$8,(Controls!$B$8+Controls!$B$9)/2)+Controls!$B$10*(K110-IF(Controls!$B$7="Normal",Controls!$B$8,(Controls!$B$8+Controls!$B$9)/2))+SQRT(1-Controls!$B$10^2)*(Random!AE111-IF(Controls!$B$7="Normal",Controls!$B$8,(Controls!$B$8+Controls!$B$9)/2)))</f>
        <v/>
      </c>
      <c r="L111" s="10" t="str">
        <f>IF($A111="","",IF(AND($A111&gt;=Controls!$B$25,$A111&lt;Controls!$B$25+Controls!$C$25),(Controls!$D$25-1)*EXP(-0.5*(($A111-Controls!$B$25-(Controls!$C$25-1)/2)/MAX(Controls!$C$25/4,0.5))^2),0))</f>
        <v/>
      </c>
      <c r="M111" s="10" t="str">
        <f>IF($A111="","",IF(AND($A111&gt;=Controls!$B$26,$A111&lt;Controls!$B$26+Controls!$C$26),(Controls!$D$26-1)*EXP(-0.5*(($A111-Controls!$B$26-(Controls!$C$26-1)/2)/MAX(Controls!$C$26/4,0.5))^2),0))</f>
        <v/>
      </c>
      <c r="N111" s="10" t="str">
        <f>IF($A111="","",IF(AND($A111&gt;=Controls!$B$27,$A111&lt;Controls!$B$27+Controls!$C$27),(Controls!$D$27-1)*EXP(-0.5*(($A111-Controls!$B$27-(Controls!$C$27-1)/2)/MAX(Controls!$C$27/4,0.5))^2),0))</f>
        <v/>
      </c>
      <c r="O111" s="10" t="str">
        <f>IF($A111="","",IF(AND($A111&gt;=Controls!$B$28,$A111&lt;Controls!$B$28+Controls!$C$28),(Controls!$D$28-1)*EXP(-0.5*(($A111-Controls!$B$28-(Controls!$C$28-1)/2)/MAX(Controls!$C$28/4,0.5))^2),0))</f>
        <v/>
      </c>
      <c r="P111" s="4" t="str">
        <f t="shared" si="1"/>
        <v/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21.0" customHeight="1">
      <c r="A112" s="7" t="str">
        <f>IF(111&lt;=Controls!$B$5,Controls!$B$4+110,"")</f>
        <v/>
      </c>
      <c r="B112" s="10" t="str">
        <f>IF(Random!V112="","",IF(Controls!$B$7="Normal",Controls!$B$8,(Controls!$B$8+Controls!$B$9)/2)+Controls!$B$10*(B111-IF(Controls!$B$7="Normal",Controls!$B$8,(Controls!$B$8+Controls!$B$9)/2))+SQRT(1-Controls!$B$10^2)*(Random!V112-IF(Controls!$B$7="Normal",Controls!$B$8,(Controls!$B$8+Controls!$B$9)/2)))</f>
        <v/>
      </c>
      <c r="C112" s="10" t="str">
        <f>IF(Random!W112="","",IF(Controls!$B$7="Normal",Controls!$B$8,(Controls!$B$8+Controls!$B$9)/2)+Controls!$B$10*(C111-IF(Controls!$B$7="Normal",Controls!$B$8,(Controls!$B$8+Controls!$B$9)/2))+SQRT(1-Controls!$B$10^2)*(Random!W112-IF(Controls!$B$7="Normal",Controls!$B$8,(Controls!$B$8+Controls!$B$9)/2)))</f>
        <v/>
      </c>
      <c r="D112" s="10" t="str">
        <f>IF(Random!X112="","",IF(Controls!$B$7="Normal",Controls!$B$8,(Controls!$B$8+Controls!$B$9)/2)+Controls!$B$10*(D111-IF(Controls!$B$7="Normal",Controls!$B$8,(Controls!$B$8+Controls!$B$9)/2))+SQRT(1-Controls!$B$10^2)*(Random!X112-IF(Controls!$B$7="Normal",Controls!$B$8,(Controls!$B$8+Controls!$B$9)/2)))</f>
        <v/>
      </c>
      <c r="E112" s="10" t="str">
        <f>IF(Random!Y112="","",IF(Controls!$B$7="Normal",Controls!$B$8,(Controls!$B$8+Controls!$B$9)/2)+Controls!$B$10*(E111-IF(Controls!$B$7="Normal",Controls!$B$8,(Controls!$B$8+Controls!$B$9)/2))+SQRT(1-Controls!$B$10^2)*(Random!Y112-IF(Controls!$B$7="Normal",Controls!$B$8,(Controls!$B$8+Controls!$B$9)/2)))</f>
        <v/>
      </c>
      <c r="F112" s="10" t="str">
        <f>IF(Random!Z112="","",IF(Controls!$B$7="Normal",Controls!$B$8,(Controls!$B$8+Controls!$B$9)/2)+Controls!$B$10*(F111-IF(Controls!$B$7="Normal",Controls!$B$8,(Controls!$B$8+Controls!$B$9)/2))+SQRT(1-Controls!$B$10^2)*(Random!Z112-IF(Controls!$B$7="Normal",Controls!$B$8,(Controls!$B$8+Controls!$B$9)/2)))</f>
        <v/>
      </c>
      <c r="G112" s="10" t="str">
        <f>IF(Random!AA112="","",IF(Controls!$B$7="Normal",Controls!$B$8,(Controls!$B$8+Controls!$B$9)/2)+Controls!$B$10*(G111-IF(Controls!$B$7="Normal",Controls!$B$8,(Controls!$B$8+Controls!$B$9)/2))+SQRT(1-Controls!$B$10^2)*(Random!AA112-IF(Controls!$B$7="Normal",Controls!$B$8,(Controls!$B$8+Controls!$B$9)/2)))</f>
        <v/>
      </c>
      <c r="H112" s="10" t="str">
        <f>IF(Random!AB112="","",IF(Controls!$B$7="Normal",Controls!$B$8,(Controls!$B$8+Controls!$B$9)/2)+Controls!$B$10*(H111-IF(Controls!$B$7="Normal",Controls!$B$8,(Controls!$B$8+Controls!$B$9)/2))+SQRT(1-Controls!$B$10^2)*(Random!AB112-IF(Controls!$B$7="Normal",Controls!$B$8,(Controls!$B$8+Controls!$B$9)/2)))</f>
        <v/>
      </c>
      <c r="I112" s="10" t="str">
        <f>IF(Random!AC112="","",IF(Controls!$B$7="Normal",Controls!$B$8,(Controls!$B$8+Controls!$B$9)/2)+Controls!$B$10*(I111-IF(Controls!$B$7="Normal",Controls!$B$8,(Controls!$B$8+Controls!$B$9)/2))+SQRT(1-Controls!$B$10^2)*(Random!AC112-IF(Controls!$B$7="Normal",Controls!$B$8,(Controls!$B$8+Controls!$B$9)/2)))</f>
        <v/>
      </c>
      <c r="J112" s="10" t="str">
        <f>IF(Random!AD112="","",IF(Controls!$B$7="Normal",Controls!$B$8,(Controls!$B$8+Controls!$B$9)/2)+Controls!$B$10*(J111-IF(Controls!$B$7="Normal",Controls!$B$8,(Controls!$B$8+Controls!$B$9)/2))+SQRT(1-Controls!$B$10^2)*(Random!AD112-IF(Controls!$B$7="Normal",Controls!$B$8,(Controls!$B$8+Controls!$B$9)/2)))</f>
        <v/>
      </c>
      <c r="K112" s="10" t="str">
        <f>IF(Random!AE112="","",IF(Controls!$B$7="Normal",Controls!$B$8,(Controls!$B$8+Controls!$B$9)/2)+Controls!$B$10*(K111-IF(Controls!$B$7="Normal",Controls!$B$8,(Controls!$B$8+Controls!$B$9)/2))+SQRT(1-Controls!$B$10^2)*(Random!AE112-IF(Controls!$B$7="Normal",Controls!$B$8,(Controls!$B$8+Controls!$B$9)/2)))</f>
        <v/>
      </c>
      <c r="L112" s="10" t="str">
        <f>IF($A112="","",IF(AND($A112&gt;=Controls!$B$25,$A112&lt;Controls!$B$25+Controls!$C$25),(Controls!$D$25-1)*EXP(-0.5*(($A112-Controls!$B$25-(Controls!$C$25-1)/2)/MAX(Controls!$C$25/4,0.5))^2),0))</f>
        <v/>
      </c>
      <c r="M112" s="10" t="str">
        <f>IF($A112="","",IF(AND($A112&gt;=Controls!$B$26,$A112&lt;Controls!$B$26+Controls!$C$26),(Controls!$D$26-1)*EXP(-0.5*(($A112-Controls!$B$26-(Controls!$C$26-1)/2)/MAX(Controls!$C$26/4,0.5))^2),0))</f>
        <v/>
      </c>
      <c r="N112" s="10" t="str">
        <f>IF($A112="","",IF(AND($A112&gt;=Controls!$B$27,$A112&lt;Controls!$B$27+Controls!$C$27),(Controls!$D$27-1)*EXP(-0.5*(($A112-Controls!$B$27-(Controls!$C$27-1)/2)/MAX(Controls!$C$27/4,0.5))^2),0))</f>
        <v/>
      </c>
      <c r="O112" s="10" t="str">
        <f>IF($A112="","",IF(AND($A112&gt;=Controls!$B$28,$A112&lt;Controls!$B$28+Controls!$C$28),(Controls!$D$28-1)*EXP(-0.5*(($A112-Controls!$B$28-(Controls!$C$28-1)/2)/MAX(Controls!$C$28/4,0.5))^2),0))</f>
        <v/>
      </c>
      <c r="P112" s="4" t="str">
        <f t="shared" si="1"/>
        <v/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21.0" customHeight="1">
      <c r="A113" s="7" t="str">
        <f>IF(112&lt;=Controls!$B$5,Controls!$B$4+111,"")</f>
        <v/>
      </c>
      <c r="B113" s="10" t="str">
        <f>IF(Random!V113="","",IF(Controls!$B$7="Normal",Controls!$B$8,(Controls!$B$8+Controls!$B$9)/2)+Controls!$B$10*(B112-IF(Controls!$B$7="Normal",Controls!$B$8,(Controls!$B$8+Controls!$B$9)/2))+SQRT(1-Controls!$B$10^2)*(Random!V113-IF(Controls!$B$7="Normal",Controls!$B$8,(Controls!$B$8+Controls!$B$9)/2)))</f>
        <v/>
      </c>
      <c r="C113" s="10" t="str">
        <f>IF(Random!W113="","",IF(Controls!$B$7="Normal",Controls!$B$8,(Controls!$B$8+Controls!$B$9)/2)+Controls!$B$10*(C112-IF(Controls!$B$7="Normal",Controls!$B$8,(Controls!$B$8+Controls!$B$9)/2))+SQRT(1-Controls!$B$10^2)*(Random!W113-IF(Controls!$B$7="Normal",Controls!$B$8,(Controls!$B$8+Controls!$B$9)/2)))</f>
        <v/>
      </c>
      <c r="D113" s="10" t="str">
        <f>IF(Random!X113="","",IF(Controls!$B$7="Normal",Controls!$B$8,(Controls!$B$8+Controls!$B$9)/2)+Controls!$B$10*(D112-IF(Controls!$B$7="Normal",Controls!$B$8,(Controls!$B$8+Controls!$B$9)/2))+SQRT(1-Controls!$B$10^2)*(Random!X113-IF(Controls!$B$7="Normal",Controls!$B$8,(Controls!$B$8+Controls!$B$9)/2)))</f>
        <v/>
      </c>
      <c r="E113" s="10" t="str">
        <f>IF(Random!Y113="","",IF(Controls!$B$7="Normal",Controls!$B$8,(Controls!$B$8+Controls!$B$9)/2)+Controls!$B$10*(E112-IF(Controls!$B$7="Normal",Controls!$B$8,(Controls!$B$8+Controls!$B$9)/2))+SQRT(1-Controls!$B$10^2)*(Random!Y113-IF(Controls!$B$7="Normal",Controls!$B$8,(Controls!$B$8+Controls!$B$9)/2)))</f>
        <v/>
      </c>
      <c r="F113" s="10" t="str">
        <f>IF(Random!Z113="","",IF(Controls!$B$7="Normal",Controls!$B$8,(Controls!$B$8+Controls!$B$9)/2)+Controls!$B$10*(F112-IF(Controls!$B$7="Normal",Controls!$B$8,(Controls!$B$8+Controls!$B$9)/2))+SQRT(1-Controls!$B$10^2)*(Random!Z113-IF(Controls!$B$7="Normal",Controls!$B$8,(Controls!$B$8+Controls!$B$9)/2)))</f>
        <v/>
      </c>
      <c r="G113" s="10" t="str">
        <f>IF(Random!AA113="","",IF(Controls!$B$7="Normal",Controls!$B$8,(Controls!$B$8+Controls!$B$9)/2)+Controls!$B$10*(G112-IF(Controls!$B$7="Normal",Controls!$B$8,(Controls!$B$8+Controls!$B$9)/2))+SQRT(1-Controls!$B$10^2)*(Random!AA113-IF(Controls!$B$7="Normal",Controls!$B$8,(Controls!$B$8+Controls!$B$9)/2)))</f>
        <v/>
      </c>
      <c r="H113" s="10" t="str">
        <f>IF(Random!AB113="","",IF(Controls!$B$7="Normal",Controls!$B$8,(Controls!$B$8+Controls!$B$9)/2)+Controls!$B$10*(H112-IF(Controls!$B$7="Normal",Controls!$B$8,(Controls!$B$8+Controls!$B$9)/2))+SQRT(1-Controls!$B$10^2)*(Random!AB113-IF(Controls!$B$7="Normal",Controls!$B$8,(Controls!$B$8+Controls!$B$9)/2)))</f>
        <v/>
      </c>
      <c r="I113" s="10" t="str">
        <f>IF(Random!AC113="","",IF(Controls!$B$7="Normal",Controls!$B$8,(Controls!$B$8+Controls!$B$9)/2)+Controls!$B$10*(I112-IF(Controls!$B$7="Normal",Controls!$B$8,(Controls!$B$8+Controls!$B$9)/2))+SQRT(1-Controls!$B$10^2)*(Random!AC113-IF(Controls!$B$7="Normal",Controls!$B$8,(Controls!$B$8+Controls!$B$9)/2)))</f>
        <v/>
      </c>
      <c r="J113" s="10" t="str">
        <f>IF(Random!AD113="","",IF(Controls!$B$7="Normal",Controls!$B$8,(Controls!$B$8+Controls!$B$9)/2)+Controls!$B$10*(J112-IF(Controls!$B$7="Normal",Controls!$B$8,(Controls!$B$8+Controls!$B$9)/2))+SQRT(1-Controls!$B$10^2)*(Random!AD113-IF(Controls!$B$7="Normal",Controls!$B$8,(Controls!$B$8+Controls!$B$9)/2)))</f>
        <v/>
      </c>
      <c r="K113" s="10" t="str">
        <f>IF(Random!AE113="","",IF(Controls!$B$7="Normal",Controls!$B$8,(Controls!$B$8+Controls!$B$9)/2)+Controls!$B$10*(K112-IF(Controls!$B$7="Normal",Controls!$B$8,(Controls!$B$8+Controls!$B$9)/2))+SQRT(1-Controls!$B$10^2)*(Random!AE113-IF(Controls!$B$7="Normal",Controls!$B$8,(Controls!$B$8+Controls!$B$9)/2)))</f>
        <v/>
      </c>
      <c r="L113" s="10" t="str">
        <f>IF($A113="","",IF(AND($A113&gt;=Controls!$B$25,$A113&lt;Controls!$B$25+Controls!$C$25),(Controls!$D$25-1)*EXP(-0.5*(($A113-Controls!$B$25-(Controls!$C$25-1)/2)/MAX(Controls!$C$25/4,0.5))^2),0))</f>
        <v/>
      </c>
      <c r="M113" s="10" t="str">
        <f>IF($A113="","",IF(AND($A113&gt;=Controls!$B$26,$A113&lt;Controls!$B$26+Controls!$C$26),(Controls!$D$26-1)*EXP(-0.5*(($A113-Controls!$B$26-(Controls!$C$26-1)/2)/MAX(Controls!$C$26/4,0.5))^2),0))</f>
        <v/>
      </c>
      <c r="N113" s="10" t="str">
        <f>IF($A113="","",IF(AND($A113&gt;=Controls!$B$27,$A113&lt;Controls!$B$27+Controls!$C$27),(Controls!$D$27-1)*EXP(-0.5*(($A113-Controls!$B$27-(Controls!$C$27-1)/2)/MAX(Controls!$C$27/4,0.5))^2),0))</f>
        <v/>
      </c>
      <c r="O113" s="10" t="str">
        <f>IF($A113="","",IF(AND($A113&gt;=Controls!$B$28,$A113&lt;Controls!$B$28+Controls!$C$28),(Controls!$D$28-1)*EXP(-0.5*(($A113-Controls!$B$28-(Controls!$C$28-1)/2)/MAX(Controls!$C$28/4,0.5))^2),0))</f>
        <v/>
      </c>
      <c r="P113" s="4" t="str">
        <f t="shared" si="1"/>
        <v/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21.0" customHeight="1">
      <c r="A114" s="7" t="str">
        <f>IF(113&lt;=Controls!$B$5,Controls!$B$4+112,"")</f>
        <v/>
      </c>
      <c r="B114" s="10" t="str">
        <f>IF(Random!V114="","",IF(Controls!$B$7="Normal",Controls!$B$8,(Controls!$B$8+Controls!$B$9)/2)+Controls!$B$10*(B113-IF(Controls!$B$7="Normal",Controls!$B$8,(Controls!$B$8+Controls!$B$9)/2))+SQRT(1-Controls!$B$10^2)*(Random!V114-IF(Controls!$B$7="Normal",Controls!$B$8,(Controls!$B$8+Controls!$B$9)/2)))</f>
        <v/>
      </c>
      <c r="C114" s="10" t="str">
        <f>IF(Random!W114="","",IF(Controls!$B$7="Normal",Controls!$B$8,(Controls!$B$8+Controls!$B$9)/2)+Controls!$B$10*(C113-IF(Controls!$B$7="Normal",Controls!$B$8,(Controls!$B$8+Controls!$B$9)/2))+SQRT(1-Controls!$B$10^2)*(Random!W114-IF(Controls!$B$7="Normal",Controls!$B$8,(Controls!$B$8+Controls!$B$9)/2)))</f>
        <v/>
      </c>
      <c r="D114" s="10" t="str">
        <f>IF(Random!X114="","",IF(Controls!$B$7="Normal",Controls!$B$8,(Controls!$B$8+Controls!$B$9)/2)+Controls!$B$10*(D113-IF(Controls!$B$7="Normal",Controls!$B$8,(Controls!$B$8+Controls!$B$9)/2))+SQRT(1-Controls!$B$10^2)*(Random!X114-IF(Controls!$B$7="Normal",Controls!$B$8,(Controls!$B$8+Controls!$B$9)/2)))</f>
        <v/>
      </c>
      <c r="E114" s="10" t="str">
        <f>IF(Random!Y114="","",IF(Controls!$B$7="Normal",Controls!$B$8,(Controls!$B$8+Controls!$B$9)/2)+Controls!$B$10*(E113-IF(Controls!$B$7="Normal",Controls!$B$8,(Controls!$B$8+Controls!$B$9)/2))+SQRT(1-Controls!$B$10^2)*(Random!Y114-IF(Controls!$B$7="Normal",Controls!$B$8,(Controls!$B$8+Controls!$B$9)/2)))</f>
        <v/>
      </c>
      <c r="F114" s="10" t="str">
        <f>IF(Random!Z114="","",IF(Controls!$B$7="Normal",Controls!$B$8,(Controls!$B$8+Controls!$B$9)/2)+Controls!$B$10*(F113-IF(Controls!$B$7="Normal",Controls!$B$8,(Controls!$B$8+Controls!$B$9)/2))+SQRT(1-Controls!$B$10^2)*(Random!Z114-IF(Controls!$B$7="Normal",Controls!$B$8,(Controls!$B$8+Controls!$B$9)/2)))</f>
        <v/>
      </c>
      <c r="G114" s="10" t="str">
        <f>IF(Random!AA114="","",IF(Controls!$B$7="Normal",Controls!$B$8,(Controls!$B$8+Controls!$B$9)/2)+Controls!$B$10*(G113-IF(Controls!$B$7="Normal",Controls!$B$8,(Controls!$B$8+Controls!$B$9)/2))+SQRT(1-Controls!$B$10^2)*(Random!AA114-IF(Controls!$B$7="Normal",Controls!$B$8,(Controls!$B$8+Controls!$B$9)/2)))</f>
        <v/>
      </c>
      <c r="H114" s="10" t="str">
        <f>IF(Random!AB114="","",IF(Controls!$B$7="Normal",Controls!$B$8,(Controls!$B$8+Controls!$B$9)/2)+Controls!$B$10*(H113-IF(Controls!$B$7="Normal",Controls!$B$8,(Controls!$B$8+Controls!$B$9)/2))+SQRT(1-Controls!$B$10^2)*(Random!AB114-IF(Controls!$B$7="Normal",Controls!$B$8,(Controls!$B$8+Controls!$B$9)/2)))</f>
        <v/>
      </c>
      <c r="I114" s="10" t="str">
        <f>IF(Random!AC114="","",IF(Controls!$B$7="Normal",Controls!$B$8,(Controls!$B$8+Controls!$B$9)/2)+Controls!$B$10*(I113-IF(Controls!$B$7="Normal",Controls!$B$8,(Controls!$B$8+Controls!$B$9)/2))+SQRT(1-Controls!$B$10^2)*(Random!AC114-IF(Controls!$B$7="Normal",Controls!$B$8,(Controls!$B$8+Controls!$B$9)/2)))</f>
        <v/>
      </c>
      <c r="J114" s="10" t="str">
        <f>IF(Random!AD114="","",IF(Controls!$B$7="Normal",Controls!$B$8,(Controls!$B$8+Controls!$B$9)/2)+Controls!$B$10*(J113-IF(Controls!$B$7="Normal",Controls!$B$8,(Controls!$B$8+Controls!$B$9)/2))+SQRT(1-Controls!$B$10^2)*(Random!AD114-IF(Controls!$B$7="Normal",Controls!$B$8,(Controls!$B$8+Controls!$B$9)/2)))</f>
        <v/>
      </c>
      <c r="K114" s="10" t="str">
        <f>IF(Random!AE114="","",IF(Controls!$B$7="Normal",Controls!$B$8,(Controls!$B$8+Controls!$B$9)/2)+Controls!$B$10*(K113-IF(Controls!$B$7="Normal",Controls!$B$8,(Controls!$B$8+Controls!$B$9)/2))+SQRT(1-Controls!$B$10^2)*(Random!AE114-IF(Controls!$B$7="Normal",Controls!$B$8,(Controls!$B$8+Controls!$B$9)/2)))</f>
        <v/>
      </c>
      <c r="L114" s="10" t="str">
        <f>IF($A114="","",IF(AND($A114&gt;=Controls!$B$25,$A114&lt;Controls!$B$25+Controls!$C$25),(Controls!$D$25-1)*EXP(-0.5*(($A114-Controls!$B$25-(Controls!$C$25-1)/2)/MAX(Controls!$C$25/4,0.5))^2),0))</f>
        <v/>
      </c>
      <c r="M114" s="10" t="str">
        <f>IF($A114="","",IF(AND($A114&gt;=Controls!$B$26,$A114&lt;Controls!$B$26+Controls!$C$26),(Controls!$D$26-1)*EXP(-0.5*(($A114-Controls!$B$26-(Controls!$C$26-1)/2)/MAX(Controls!$C$26/4,0.5))^2),0))</f>
        <v/>
      </c>
      <c r="N114" s="10" t="str">
        <f>IF($A114="","",IF(AND($A114&gt;=Controls!$B$27,$A114&lt;Controls!$B$27+Controls!$C$27),(Controls!$D$27-1)*EXP(-0.5*(($A114-Controls!$B$27-(Controls!$C$27-1)/2)/MAX(Controls!$C$27/4,0.5))^2),0))</f>
        <v/>
      </c>
      <c r="O114" s="10" t="str">
        <f>IF($A114="","",IF(AND($A114&gt;=Controls!$B$28,$A114&lt;Controls!$B$28+Controls!$C$28),(Controls!$D$28-1)*EXP(-0.5*(($A114-Controls!$B$28-(Controls!$C$28-1)/2)/MAX(Controls!$C$28/4,0.5))^2),0))</f>
        <v/>
      </c>
      <c r="P114" s="4" t="str">
        <f t="shared" si="1"/>
        <v/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21.0" customHeight="1">
      <c r="A115" s="7" t="str">
        <f>IF(114&lt;=Controls!$B$5,Controls!$B$4+113,"")</f>
        <v/>
      </c>
      <c r="B115" s="10" t="str">
        <f>IF(Random!V115="","",IF(Controls!$B$7="Normal",Controls!$B$8,(Controls!$B$8+Controls!$B$9)/2)+Controls!$B$10*(B114-IF(Controls!$B$7="Normal",Controls!$B$8,(Controls!$B$8+Controls!$B$9)/2))+SQRT(1-Controls!$B$10^2)*(Random!V115-IF(Controls!$B$7="Normal",Controls!$B$8,(Controls!$B$8+Controls!$B$9)/2)))</f>
        <v/>
      </c>
      <c r="C115" s="10" t="str">
        <f>IF(Random!W115="","",IF(Controls!$B$7="Normal",Controls!$B$8,(Controls!$B$8+Controls!$B$9)/2)+Controls!$B$10*(C114-IF(Controls!$B$7="Normal",Controls!$B$8,(Controls!$B$8+Controls!$B$9)/2))+SQRT(1-Controls!$B$10^2)*(Random!W115-IF(Controls!$B$7="Normal",Controls!$B$8,(Controls!$B$8+Controls!$B$9)/2)))</f>
        <v/>
      </c>
      <c r="D115" s="10" t="str">
        <f>IF(Random!X115="","",IF(Controls!$B$7="Normal",Controls!$B$8,(Controls!$B$8+Controls!$B$9)/2)+Controls!$B$10*(D114-IF(Controls!$B$7="Normal",Controls!$B$8,(Controls!$B$8+Controls!$B$9)/2))+SQRT(1-Controls!$B$10^2)*(Random!X115-IF(Controls!$B$7="Normal",Controls!$B$8,(Controls!$B$8+Controls!$B$9)/2)))</f>
        <v/>
      </c>
      <c r="E115" s="10" t="str">
        <f>IF(Random!Y115="","",IF(Controls!$B$7="Normal",Controls!$B$8,(Controls!$B$8+Controls!$B$9)/2)+Controls!$B$10*(E114-IF(Controls!$B$7="Normal",Controls!$B$8,(Controls!$B$8+Controls!$B$9)/2))+SQRT(1-Controls!$B$10^2)*(Random!Y115-IF(Controls!$B$7="Normal",Controls!$B$8,(Controls!$B$8+Controls!$B$9)/2)))</f>
        <v/>
      </c>
      <c r="F115" s="10" t="str">
        <f>IF(Random!Z115="","",IF(Controls!$B$7="Normal",Controls!$B$8,(Controls!$B$8+Controls!$B$9)/2)+Controls!$B$10*(F114-IF(Controls!$B$7="Normal",Controls!$B$8,(Controls!$B$8+Controls!$B$9)/2))+SQRT(1-Controls!$B$10^2)*(Random!Z115-IF(Controls!$B$7="Normal",Controls!$B$8,(Controls!$B$8+Controls!$B$9)/2)))</f>
        <v/>
      </c>
      <c r="G115" s="10" t="str">
        <f>IF(Random!AA115="","",IF(Controls!$B$7="Normal",Controls!$B$8,(Controls!$B$8+Controls!$B$9)/2)+Controls!$B$10*(G114-IF(Controls!$B$7="Normal",Controls!$B$8,(Controls!$B$8+Controls!$B$9)/2))+SQRT(1-Controls!$B$10^2)*(Random!AA115-IF(Controls!$B$7="Normal",Controls!$B$8,(Controls!$B$8+Controls!$B$9)/2)))</f>
        <v/>
      </c>
      <c r="H115" s="10" t="str">
        <f>IF(Random!AB115="","",IF(Controls!$B$7="Normal",Controls!$B$8,(Controls!$B$8+Controls!$B$9)/2)+Controls!$B$10*(H114-IF(Controls!$B$7="Normal",Controls!$B$8,(Controls!$B$8+Controls!$B$9)/2))+SQRT(1-Controls!$B$10^2)*(Random!AB115-IF(Controls!$B$7="Normal",Controls!$B$8,(Controls!$B$8+Controls!$B$9)/2)))</f>
        <v/>
      </c>
      <c r="I115" s="10" t="str">
        <f>IF(Random!AC115="","",IF(Controls!$B$7="Normal",Controls!$B$8,(Controls!$B$8+Controls!$B$9)/2)+Controls!$B$10*(I114-IF(Controls!$B$7="Normal",Controls!$B$8,(Controls!$B$8+Controls!$B$9)/2))+SQRT(1-Controls!$B$10^2)*(Random!AC115-IF(Controls!$B$7="Normal",Controls!$B$8,(Controls!$B$8+Controls!$B$9)/2)))</f>
        <v/>
      </c>
      <c r="J115" s="10" t="str">
        <f>IF(Random!AD115="","",IF(Controls!$B$7="Normal",Controls!$B$8,(Controls!$B$8+Controls!$B$9)/2)+Controls!$B$10*(J114-IF(Controls!$B$7="Normal",Controls!$B$8,(Controls!$B$8+Controls!$B$9)/2))+SQRT(1-Controls!$B$10^2)*(Random!AD115-IF(Controls!$B$7="Normal",Controls!$B$8,(Controls!$B$8+Controls!$B$9)/2)))</f>
        <v/>
      </c>
      <c r="K115" s="10" t="str">
        <f>IF(Random!AE115="","",IF(Controls!$B$7="Normal",Controls!$B$8,(Controls!$B$8+Controls!$B$9)/2)+Controls!$B$10*(K114-IF(Controls!$B$7="Normal",Controls!$B$8,(Controls!$B$8+Controls!$B$9)/2))+SQRT(1-Controls!$B$10^2)*(Random!AE115-IF(Controls!$B$7="Normal",Controls!$B$8,(Controls!$B$8+Controls!$B$9)/2)))</f>
        <v/>
      </c>
      <c r="L115" s="10" t="str">
        <f>IF($A115="","",IF(AND($A115&gt;=Controls!$B$25,$A115&lt;Controls!$B$25+Controls!$C$25),(Controls!$D$25-1)*EXP(-0.5*(($A115-Controls!$B$25-(Controls!$C$25-1)/2)/MAX(Controls!$C$25/4,0.5))^2),0))</f>
        <v/>
      </c>
      <c r="M115" s="10" t="str">
        <f>IF($A115="","",IF(AND($A115&gt;=Controls!$B$26,$A115&lt;Controls!$B$26+Controls!$C$26),(Controls!$D$26-1)*EXP(-0.5*(($A115-Controls!$B$26-(Controls!$C$26-1)/2)/MAX(Controls!$C$26/4,0.5))^2),0))</f>
        <v/>
      </c>
      <c r="N115" s="10" t="str">
        <f>IF($A115="","",IF(AND($A115&gt;=Controls!$B$27,$A115&lt;Controls!$B$27+Controls!$C$27),(Controls!$D$27-1)*EXP(-0.5*(($A115-Controls!$B$27-(Controls!$C$27-1)/2)/MAX(Controls!$C$27/4,0.5))^2),0))</f>
        <v/>
      </c>
      <c r="O115" s="10" t="str">
        <f>IF($A115="","",IF(AND($A115&gt;=Controls!$B$28,$A115&lt;Controls!$B$28+Controls!$C$28),(Controls!$D$28-1)*EXP(-0.5*(($A115-Controls!$B$28-(Controls!$C$28-1)/2)/MAX(Controls!$C$28/4,0.5))^2),0))</f>
        <v/>
      </c>
      <c r="P115" s="4" t="str">
        <f t="shared" si="1"/>
        <v/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21.0" customHeight="1">
      <c r="A116" s="7" t="str">
        <f>IF(115&lt;=Controls!$B$5,Controls!$B$4+114,"")</f>
        <v/>
      </c>
      <c r="B116" s="10" t="str">
        <f>IF(Random!V116="","",IF(Controls!$B$7="Normal",Controls!$B$8,(Controls!$B$8+Controls!$B$9)/2)+Controls!$B$10*(B115-IF(Controls!$B$7="Normal",Controls!$B$8,(Controls!$B$8+Controls!$B$9)/2))+SQRT(1-Controls!$B$10^2)*(Random!V116-IF(Controls!$B$7="Normal",Controls!$B$8,(Controls!$B$8+Controls!$B$9)/2)))</f>
        <v/>
      </c>
      <c r="C116" s="10" t="str">
        <f>IF(Random!W116="","",IF(Controls!$B$7="Normal",Controls!$B$8,(Controls!$B$8+Controls!$B$9)/2)+Controls!$B$10*(C115-IF(Controls!$B$7="Normal",Controls!$B$8,(Controls!$B$8+Controls!$B$9)/2))+SQRT(1-Controls!$B$10^2)*(Random!W116-IF(Controls!$B$7="Normal",Controls!$B$8,(Controls!$B$8+Controls!$B$9)/2)))</f>
        <v/>
      </c>
      <c r="D116" s="10" t="str">
        <f>IF(Random!X116="","",IF(Controls!$B$7="Normal",Controls!$B$8,(Controls!$B$8+Controls!$B$9)/2)+Controls!$B$10*(D115-IF(Controls!$B$7="Normal",Controls!$B$8,(Controls!$B$8+Controls!$B$9)/2))+SQRT(1-Controls!$B$10^2)*(Random!X116-IF(Controls!$B$7="Normal",Controls!$B$8,(Controls!$B$8+Controls!$B$9)/2)))</f>
        <v/>
      </c>
      <c r="E116" s="10" t="str">
        <f>IF(Random!Y116="","",IF(Controls!$B$7="Normal",Controls!$B$8,(Controls!$B$8+Controls!$B$9)/2)+Controls!$B$10*(E115-IF(Controls!$B$7="Normal",Controls!$B$8,(Controls!$B$8+Controls!$B$9)/2))+SQRT(1-Controls!$B$10^2)*(Random!Y116-IF(Controls!$B$7="Normal",Controls!$B$8,(Controls!$B$8+Controls!$B$9)/2)))</f>
        <v/>
      </c>
      <c r="F116" s="10" t="str">
        <f>IF(Random!Z116="","",IF(Controls!$B$7="Normal",Controls!$B$8,(Controls!$B$8+Controls!$B$9)/2)+Controls!$B$10*(F115-IF(Controls!$B$7="Normal",Controls!$B$8,(Controls!$B$8+Controls!$B$9)/2))+SQRT(1-Controls!$B$10^2)*(Random!Z116-IF(Controls!$B$7="Normal",Controls!$B$8,(Controls!$B$8+Controls!$B$9)/2)))</f>
        <v/>
      </c>
      <c r="G116" s="10" t="str">
        <f>IF(Random!AA116="","",IF(Controls!$B$7="Normal",Controls!$B$8,(Controls!$B$8+Controls!$B$9)/2)+Controls!$B$10*(G115-IF(Controls!$B$7="Normal",Controls!$B$8,(Controls!$B$8+Controls!$B$9)/2))+SQRT(1-Controls!$B$10^2)*(Random!AA116-IF(Controls!$B$7="Normal",Controls!$B$8,(Controls!$B$8+Controls!$B$9)/2)))</f>
        <v/>
      </c>
      <c r="H116" s="10" t="str">
        <f>IF(Random!AB116="","",IF(Controls!$B$7="Normal",Controls!$B$8,(Controls!$B$8+Controls!$B$9)/2)+Controls!$B$10*(H115-IF(Controls!$B$7="Normal",Controls!$B$8,(Controls!$B$8+Controls!$B$9)/2))+SQRT(1-Controls!$B$10^2)*(Random!AB116-IF(Controls!$B$7="Normal",Controls!$B$8,(Controls!$B$8+Controls!$B$9)/2)))</f>
        <v/>
      </c>
      <c r="I116" s="10" t="str">
        <f>IF(Random!AC116="","",IF(Controls!$B$7="Normal",Controls!$B$8,(Controls!$B$8+Controls!$B$9)/2)+Controls!$B$10*(I115-IF(Controls!$B$7="Normal",Controls!$B$8,(Controls!$B$8+Controls!$B$9)/2))+SQRT(1-Controls!$B$10^2)*(Random!AC116-IF(Controls!$B$7="Normal",Controls!$B$8,(Controls!$B$8+Controls!$B$9)/2)))</f>
        <v/>
      </c>
      <c r="J116" s="10" t="str">
        <f>IF(Random!AD116="","",IF(Controls!$B$7="Normal",Controls!$B$8,(Controls!$B$8+Controls!$B$9)/2)+Controls!$B$10*(J115-IF(Controls!$B$7="Normal",Controls!$B$8,(Controls!$B$8+Controls!$B$9)/2))+SQRT(1-Controls!$B$10^2)*(Random!AD116-IF(Controls!$B$7="Normal",Controls!$B$8,(Controls!$B$8+Controls!$B$9)/2)))</f>
        <v/>
      </c>
      <c r="K116" s="10" t="str">
        <f>IF(Random!AE116="","",IF(Controls!$B$7="Normal",Controls!$B$8,(Controls!$B$8+Controls!$B$9)/2)+Controls!$B$10*(K115-IF(Controls!$B$7="Normal",Controls!$B$8,(Controls!$B$8+Controls!$B$9)/2))+SQRT(1-Controls!$B$10^2)*(Random!AE116-IF(Controls!$B$7="Normal",Controls!$B$8,(Controls!$B$8+Controls!$B$9)/2)))</f>
        <v/>
      </c>
      <c r="L116" s="10" t="str">
        <f>IF($A116="","",IF(AND($A116&gt;=Controls!$B$25,$A116&lt;Controls!$B$25+Controls!$C$25),(Controls!$D$25-1)*EXP(-0.5*(($A116-Controls!$B$25-(Controls!$C$25-1)/2)/MAX(Controls!$C$25/4,0.5))^2),0))</f>
        <v/>
      </c>
      <c r="M116" s="10" t="str">
        <f>IF($A116="","",IF(AND($A116&gt;=Controls!$B$26,$A116&lt;Controls!$B$26+Controls!$C$26),(Controls!$D$26-1)*EXP(-0.5*(($A116-Controls!$B$26-(Controls!$C$26-1)/2)/MAX(Controls!$C$26/4,0.5))^2),0))</f>
        <v/>
      </c>
      <c r="N116" s="10" t="str">
        <f>IF($A116="","",IF(AND($A116&gt;=Controls!$B$27,$A116&lt;Controls!$B$27+Controls!$C$27),(Controls!$D$27-1)*EXP(-0.5*(($A116-Controls!$B$27-(Controls!$C$27-1)/2)/MAX(Controls!$C$27/4,0.5))^2),0))</f>
        <v/>
      </c>
      <c r="O116" s="10" t="str">
        <f>IF($A116="","",IF(AND($A116&gt;=Controls!$B$28,$A116&lt;Controls!$B$28+Controls!$C$28),(Controls!$D$28-1)*EXP(-0.5*(($A116-Controls!$B$28-(Controls!$C$28-1)/2)/MAX(Controls!$C$28/4,0.5))^2),0))</f>
        <v/>
      </c>
      <c r="P116" s="4" t="str">
        <f t="shared" si="1"/>
        <v/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21.0" customHeight="1">
      <c r="A117" s="7" t="str">
        <f>IF(116&lt;=Controls!$B$5,Controls!$B$4+115,"")</f>
        <v/>
      </c>
      <c r="B117" s="10" t="str">
        <f>IF(Random!V117="","",IF(Controls!$B$7="Normal",Controls!$B$8,(Controls!$B$8+Controls!$B$9)/2)+Controls!$B$10*(B116-IF(Controls!$B$7="Normal",Controls!$B$8,(Controls!$B$8+Controls!$B$9)/2))+SQRT(1-Controls!$B$10^2)*(Random!V117-IF(Controls!$B$7="Normal",Controls!$B$8,(Controls!$B$8+Controls!$B$9)/2)))</f>
        <v/>
      </c>
      <c r="C117" s="10" t="str">
        <f>IF(Random!W117="","",IF(Controls!$B$7="Normal",Controls!$B$8,(Controls!$B$8+Controls!$B$9)/2)+Controls!$B$10*(C116-IF(Controls!$B$7="Normal",Controls!$B$8,(Controls!$B$8+Controls!$B$9)/2))+SQRT(1-Controls!$B$10^2)*(Random!W117-IF(Controls!$B$7="Normal",Controls!$B$8,(Controls!$B$8+Controls!$B$9)/2)))</f>
        <v/>
      </c>
      <c r="D117" s="10" t="str">
        <f>IF(Random!X117="","",IF(Controls!$B$7="Normal",Controls!$B$8,(Controls!$B$8+Controls!$B$9)/2)+Controls!$B$10*(D116-IF(Controls!$B$7="Normal",Controls!$B$8,(Controls!$B$8+Controls!$B$9)/2))+SQRT(1-Controls!$B$10^2)*(Random!X117-IF(Controls!$B$7="Normal",Controls!$B$8,(Controls!$B$8+Controls!$B$9)/2)))</f>
        <v/>
      </c>
      <c r="E117" s="10" t="str">
        <f>IF(Random!Y117="","",IF(Controls!$B$7="Normal",Controls!$B$8,(Controls!$B$8+Controls!$B$9)/2)+Controls!$B$10*(E116-IF(Controls!$B$7="Normal",Controls!$B$8,(Controls!$B$8+Controls!$B$9)/2))+SQRT(1-Controls!$B$10^2)*(Random!Y117-IF(Controls!$B$7="Normal",Controls!$B$8,(Controls!$B$8+Controls!$B$9)/2)))</f>
        <v/>
      </c>
      <c r="F117" s="10" t="str">
        <f>IF(Random!Z117="","",IF(Controls!$B$7="Normal",Controls!$B$8,(Controls!$B$8+Controls!$B$9)/2)+Controls!$B$10*(F116-IF(Controls!$B$7="Normal",Controls!$B$8,(Controls!$B$8+Controls!$B$9)/2))+SQRT(1-Controls!$B$10^2)*(Random!Z117-IF(Controls!$B$7="Normal",Controls!$B$8,(Controls!$B$8+Controls!$B$9)/2)))</f>
        <v/>
      </c>
      <c r="G117" s="10" t="str">
        <f>IF(Random!AA117="","",IF(Controls!$B$7="Normal",Controls!$B$8,(Controls!$B$8+Controls!$B$9)/2)+Controls!$B$10*(G116-IF(Controls!$B$7="Normal",Controls!$B$8,(Controls!$B$8+Controls!$B$9)/2))+SQRT(1-Controls!$B$10^2)*(Random!AA117-IF(Controls!$B$7="Normal",Controls!$B$8,(Controls!$B$8+Controls!$B$9)/2)))</f>
        <v/>
      </c>
      <c r="H117" s="10" t="str">
        <f>IF(Random!AB117="","",IF(Controls!$B$7="Normal",Controls!$B$8,(Controls!$B$8+Controls!$B$9)/2)+Controls!$B$10*(H116-IF(Controls!$B$7="Normal",Controls!$B$8,(Controls!$B$8+Controls!$B$9)/2))+SQRT(1-Controls!$B$10^2)*(Random!AB117-IF(Controls!$B$7="Normal",Controls!$B$8,(Controls!$B$8+Controls!$B$9)/2)))</f>
        <v/>
      </c>
      <c r="I117" s="10" t="str">
        <f>IF(Random!AC117="","",IF(Controls!$B$7="Normal",Controls!$B$8,(Controls!$B$8+Controls!$B$9)/2)+Controls!$B$10*(I116-IF(Controls!$B$7="Normal",Controls!$B$8,(Controls!$B$8+Controls!$B$9)/2))+SQRT(1-Controls!$B$10^2)*(Random!AC117-IF(Controls!$B$7="Normal",Controls!$B$8,(Controls!$B$8+Controls!$B$9)/2)))</f>
        <v/>
      </c>
      <c r="J117" s="10" t="str">
        <f>IF(Random!AD117="","",IF(Controls!$B$7="Normal",Controls!$B$8,(Controls!$B$8+Controls!$B$9)/2)+Controls!$B$10*(J116-IF(Controls!$B$7="Normal",Controls!$B$8,(Controls!$B$8+Controls!$B$9)/2))+SQRT(1-Controls!$B$10^2)*(Random!AD117-IF(Controls!$B$7="Normal",Controls!$B$8,(Controls!$B$8+Controls!$B$9)/2)))</f>
        <v/>
      </c>
      <c r="K117" s="10" t="str">
        <f>IF(Random!AE117="","",IF(Controls!$B$7="Normal",Controls!$B$8,(Controls!$B$8+Controls!$B$9)/2)+Controls!$B$10*(K116-IF(Controls!$B$7="Normal",Controls!$B$8,(Controls!$B$8+Controls!$B$9)/2))+SQRT(1-Controls!$B$10^2)*(Random!AE117-IF(Controls!$B$7="Normal",Controls!$B$8,(Controls!$B$8+Controls!$B$9)/2)))</f>
        <v/>
      </c>
      <c r="L117" s="10" t="str">
        <f>IF($A117="","",IF(AND($A117&gt;=Controls!$B$25,$A117&lt;Controls!$B$25+Controls!$C$25),(Controls!$D$25-1)*EXP(-0.5*(($A117-Controls!$B$25-(Controls!$C$25-1)/2)/MAX(Controls!$C$25/4,0.5))^2),0))</f>
        <v/>
      </c>
      <c r="M117" s="10" t="str">
        <f>IF($A117="","",IF(AND($A117&gt;=Controls!$B$26,$A117&lt;Controls!$B$26+Controls!$C$26),(Controls!$D$26-1)*EXP(-0.5*(($A117-Controls!$B$26-(Controls!$C$26-1)/2)/MAX(Controls!$C$26/4,0.5))^2),0))</f>
        <v/>
      </c>
      <c r="N117" s="10" t="str">
        <f>IF($A117="","",IF(AND($A117&gt;=Controls!$B$27,$A117&lt;Controls!$B$27+Controls!$C$27),(Controls!$D$27-1)*EXP(-0.5*(($A117-Controls!$B$27-(Controls!$C$27-1)/2)/MAX(Controls!$C$27/4,0.5))^2),0))</f>
        <v/>
      </c>
      <c r="O117" s="10" t="str">
        <f>IF($A117="","",IF(AND($A117&gt;=Controls!$B$28,$A117&lt;Controls!$B$28+Controls!$C$28),(Controls!$D$28-1)*EXP(-0.5*(($A117-Controls!$B$28-(Controls!$C$28-1)/2)/MAX(Controls!$C$28/4,0.5))^2),0))</f>
        <v/>
      </c>
      <c r="P117" s="4" t="str">
        <f t="shared" si="1"/>
        <v/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21.0" customHeight="1">
      <c r="A118" s="7" t="str">
        <f>IF(117&lt;=Controls!$B$5,Controls!$B$4+116,"")</f>
        <v/>
      </c>
      <c r="B118" s="10" t="str">
        <f>IF(Random!V118="","",IF(Controls!$B$7="Normal",Controls!$B$8,(Controls!$B$8+Controls!$B$9)/2)+Controls!$B$10*(B117-IF(Controls!$B$7="Normal",Controls!$B$8,(Controls!$B$8+Controls!$B$9)/2))+SQRT(1-Controls!$B$10^2)*(Random!V118-IF(Controls!$B$7="Normal",Controls!$B$8,(Controls!$B$8+Controls!$B$9)/2)))</f>
        <v/>
      </c>
      <c r="C118" s="10" t="str">
        <f>IF(Random!W118="","",IF(Controls!$B$7="Normal",Controls!$B$8,(Controls!$B$8+Controls!$B$9)/2)+Controls!$B$10*(C117-IF(Controls!$B$7="Normal",Controls!$B$8,(Controls!$B$8+Controls!$B$9)/2))+SQRT(1-Controls!$B$10^2)*(Random!W118-IF(Controls!$B$7="Normal",Controls!$B$8,(Controls!$B$8+Controls!$B$9)/2)))</f>
        <v/>
      </c>
      <c r="D118" s="10" t="str">
        <f>IF(Random!X118="","",IF(Controls!$B$7="Normal",Controls!$B$8,(Controls!$B$8+Controls!$B$9)/2)+Controls!$B$10*(D117-IF(Controls!$B$7="Normal",Controls!$B$8,(Controls!$B$8+Controls!$B$9)/2))+SQRT(1-Controls!$B$10^2)*(Random!X118-IF(Controls!$B$7="Normal",Controls!$B$8,(Controls!$B$8+Controls!$B$9)/2)))</f>
        <v/>
      </c>
      <c r="E118" s="10" t="str">
        <f>IF(Random!Y118="","",IF(Controls!$B$7="Normal",Controls!$B$8,(Controls!$B$8+Controls!$B$9)/2)+Controls!$B$10*(E117-IF(Controls!$B$7="Normal",Controls!$B$8,(Controls!$B$8+Controls!$B$9)/2))+SQRT(1-Controls!$B$10^2)*(Random!Y118-IF(Controls!$B$7="Normal",Controls!$B$8,(Controls!$B$8+Controls!$B$9)/2)))</f>
        <v/>
      </c>
      <c r="F118" s="10" t="str">
        <f>IF(Random!Z118="","",IF(Controls!$B$7="Normal",Controls!$B$8,(Controls!$B$8+Controls!$B$9)/2)+Controls!$B$10*(F117-IF(Controls!$B$7="Normal",Controls!$B$8,(Controls!$B$8+Controls!$B$9)/2))+SQRT(1-Controls!$B$10^2)*(Random!Z118-IF(Controls!$B$7="Normal",Controls!$B$8,(Controls!$B$8+Controls!$B$9)/2)))</f>
        <v/>
      </c>
      <c r="G118" s="10" t="str">
        <f>IF(Random!AA118="","",IF(Controls!$B$7="Normal",Controls!$B$8,(Controls!$B$8+Controls!$B$9)/2)+Controls!$B$10*(G117-IF(Controls!$B$7="Normal",Controls!$B$8,(Controls!$B$8+Controls!$B$9)/2))+SQRT(1-Controls!$B$10^2)*(Random!AA118-IF(Controls!$B$7="Normal",Controls!$B$8,(Controls!$B$8+Controls!$B$9)/2)))</f>
        <v/>
      </c>
      <c r="H118" s="10" t="str">
        <f>IF(Random!AB118="","",IF(Controls!$B$7="Normal",Controls!$B$8,(Controls!$B$8+Controls!$B$9)/2)+Controls!$B$10*(H117-IF(Controls!$B$7="Normal",Controls!$B$8,(Controls!$B$8+Controls!$B$9)/2))+SQRT(1-Controls!$B$10^2)*(Random!AB118-IF(Controls!$B$7="Normal",Controls!$B$8,(Controls!$B$8+Controls!$B$9)/2)))</f>
        <v/>
      </c>
      <c r="I118" s="10" t="str">
        <f>IF(Random!AC118="","",IF(Controls!$B$7="Normal",Controls!$B$8,(Controls!$B$8+Controls!$B$9)/2)+Controls!$B$10*(I117-IF(Controls!$B$7="Normal",Controls!$B$8,(Controls!$B$8+Controls!$B$9)/2))+SQRT(1-Controls!$B$10^2)*(Random!AC118-IF(Controls!$B$7="Normal",Controls!$B$8,(Controls!$B$8+Controls!$B$9)/2)))</f>
        <v/>
      </c>
      <c r="J118" s="10" t="str">
        <f>IF(Random!AD118="","",IF(Controls!$B$7="Normal",Controls!$B$8,(Controls!$B$8+Controls!$B$9)/2)+Controls!$B$10*(J117-IF(Controls!$B$7="Normal",Controls!$B$8,(Controls!$B$8+Controls!$B$9)/2))+SQRT(1-Controls!$B$10^2)*(Random!AD118-IF(Controls!$B$7="Normal",Controls!$B$8,(Controls!$B$8+Controls!$B$9)/2)))</f>
        <v/>
      </c>
      <c r="K118" s="10" t="str">
        <f>IF(Random!AE118="","",IF(Controls!$B$7="Normal",Controls!$B$8,(Controls!$B$8+Controls!$B$9)/2)+Controls!$B$10*(K117-IF(Controls!$B$7="Normal",Controls!$B$8,(Controls!$B$8+Controls!$B$9)/2))+SQRT(1-Controls!$B$10^2)*(Random!AE118-IF(Controls!$B$7="Normal",Controls!$B$8,(Controls!$B$8+Controls!$B$9)/2)))</f>
        <v/>
      </c>
      <c r="L118" s="10" t="str">
        <f>IF($A118="","",IF(AND($A118&gt;=Controls!$B$25,$A118&lt;Controls!$B$25+Controls!$C$25),(Controls!$D$25-1)*EXP(-0.5*(($A118-Controls!$B$25-(Controls!$C$25-1)/2)/MAX(Controls!$C$25/4,0.5))^2),0))</f>
        <v/>
      </c>
      <c r="M118" s="10" t="str">
        <f>IF($A118="","",IF(AND($A118&gt;=Controls!$B$26,$A118&lt;Controls!$B$26+Controls!$C$26),(Controls!$D$26-1)*EXP(-0.5*(($A118-Controls!$B$26-(Controls!$C$26-1)/2)/MAX(Controls!$C$26/4,0.5))^2),0))</f>
        <v/>
      </c>
      <c r="N118" s="10" t="str">
        <f>IF($A118="","",IF(AND($A118&gt;=Controls!$B$27,$A118&lt;Controls!$B$27+Controls!$C$27),(Controls!$D$27-1)*EXP(-0.5*(($A118-Controls!$B$27-(Controls!$C$27-1)/2)/MAX(Controls!$C$27/4,0.5))^2),0))</f>
        <v/>
      </c>
      <c r="O118" s="10" t="str">
        <f>IF($A118="","",IF(AND($A118&gt;=Controls!$B$28,$A118&lt;Controls!$B$28+Controls!$C$28),(Controls!$D$28-1)*EXP(-0.5*(($A118-Controls!$B$28-(Controls!$C$28-1)/2)/MAX(Controls!$C$28/4,0.5))^2),0))</f>
        <v/>
      </c>
      <c r="P118" s="4" t="str">
        <f t="shared" si="1"/>
        <v/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21.0" customHeight="1">
      <c r="A119" s="7" t="str">
        <f>IF(118&lt;=Controls!$B$5,Controls!$B$4+117,"")</f>
        <v/>
      </c>
      <c r="B119" s="10" t="str">
        <f>IF(Random!V119="","",IF(Controls!$B$7="Normal",Controls!$B$8,(Controls!$B$8+Controls!$B$9)/2)+Controls!$B$10*(B118-IF(Controls!$B$7="Normal",Controls!$B$8,(Controls!$B$8+Controls!$B$9)/2))+SQRT(1-Controls!$B$10^2)*(Random!V119-IF(Controls!$B$7="Normal",Controls!$B$8,(Controls!$B$8+Controls!$B$9)/2)))</f>
        <v/>
      </c>
      <c r="C119" s="10" t="str">
        <f>IF(Random!W119="","",IF(Controls!$B$7="Normal",Controls!$B$8,(Controls!$B$8+Controls!$B$9)/2)+Controls!$B$10*(C118-IF(Controls!$B$7="Normal",Controls!$B$8,(Controls!$B$8+Controls!$B$9)/2))+SQRT(1-Controls!$B$10^2)*(Random!W119-IF(Controls!$B$7="Normal",Controls!$B$8,(Controls!$B$8+Controls!$B$9)/2)))</f>
        <v/>
      </c>
      <c r="D119" s="10" t="str">
        <f>IF(Random!X119="","",IF(Controls!$B$7="Normal",Controls!$B$8,(Controls!$B$8+Controls!$B$9)/2)+Controls!$B$10*(D118-IF(Controls!$B$7="Normal",Controls!$B$8,(Controls!$B$8+Controls!$B$9)/2))+SQRT(1-Controls!$B$10^2)*(Random!X119-IF(Controls!$B$7="Normal",Controls!$B$8,(Controls!$B$8+Controls!$B$9)/2)))</f>
        <v/>
      </c>
      <c r="E119" s="10" t="str">
        <f>IF(Random!Y119="","",IF(Controls!$B$7="Normal",Controls!$B$8,(Controls!$B$8+Controls!$B$9)/2)+Controls!$B$10*(E118-IF(Controls!$B$7="Normal",Controls!$B$8,(Controls!$B$8+Controls!$B$9)/2))+SQRT(1-Controls!$B$10^2)*(Random!Y119-IF(Controls!$B$7="Normal",Controls!$B$8,(Controls!$B$8+Controls!$B$9)/2)))</f>
        <v/>
      </c>
      <c r="F119" s="10" t="str">
        <f>IF(Random!Z119="","",IF(Controls!$B$7="Normal",Controls!$B$8,(Controls!$B$8+Controls!$B$9)/2)+Controls!$B$10*(F118-IF(Controls!$B$7="Normal",Controls!$B$8,(Controls!$B$8+Controls!$B$9)/2))+SQRT(1-Controls!$B$10^2)*(Random!Z119-IF(Controls!$B$7="Normal",Controls!$B$8,(Controls!$B$8+Controls!$B$9)/2)))</f>
        <v/>
      </c>
      <c r="G119" s="10" t="str">
        <f>IF(Random!AA119="","",IF(Controls!$B$7="Normal",Controls!$B$8,(Controls!$B$8+Controls!$B$9)/2)+Controls!$B$10*(G118-IF(Controls!$B$7="Normal",Controls!$B$8,(Controls!$B$8+Controls!$B$9)/2))+SQRT(1-Controls!$B$10^2)*(Random!AA119-IF(Controls!$B$7="Normal",Controls!$B$8,(Controls!$B$8+Controls!$B$9)/2)))</f>
        <v/>
      </c>
      <c r="H119" s="10" t="str">
        <f>IF(Random!AB119="","",IF(Controls!$B$7="Normal",Controls!$B$8,(Controls!$B$8+Controls!$B$9)/2)+Controls!$B$10*(H118-IF(Controls!$B$7="Normal",Controls!$B$8,(Controls!$B$8+Controls!$B$9)/2))+SQRT(1-Controls!$B$10^2)*(Random!AB119-IF(Controls!$B$7="Normal",Controls!$B$8,(Controls!$B$8+Controls!$B$9)/2)))</f>
        <v/>
      </c>
      <c r="I119" s="10" t="str">
        <f>IF(Random!AC119="","",IF(Controls!$B$7="Normal",Controls!$B$8,(Controls!$B$8+Controls!$B$9)/2)+Controls!$B$10*(I118-IF(Controls!$B$7="Normal",Controls!$B$8,(Controls!$B$8+Controls!$B$9)/2))+SQRT(1-Controls!$B$10^2)*(Random!AC119-IF(Controls!$B$7="Normal",Controls!$B$8,(Controls!$B$8+Controls!$B$9)/2)))</f>
        <v/>
      </c>
      <c r="J119" s="10" t="str">
        <f>IF(Random!AD119="","",IF(Controls!$B$7="Normal",Controls!$B$8,(Controls!$B$8+Controls!$B$9)/2)+Controls!$B$10*(J118-IF(Controls!$B$7="Normal",Controls!$B$8,(Controls!$B$8+Controls!$B$9)/2))+SQRT(1-Controls!$B$10^2)*(Random!AD119-IF(Controls!$B$7="Normal",Controls!$B$8,(Controls!$B$8+Controls!$B$9)/2)))</f>
        <v/>
      </c>
      <c r="K119" s="10" t="str">
        <f>IF(Random!AE119="","",IF(Controls!$B$7="Normal",Controls!$B$8,(Controls!$B$8+Controls!$B$9)/2)+Controls!$B$10*(K118-IF(Controls!$B$7="Normal",Controls!$B$8,(Controls!$B$8+Controls!$B$9)/2))+SQRT(1-Controls!$B$10^2)*(Random!AE119-IF(Controls!$B$7="Normal",Controls!$B$8,(Controls!$B$8+Controls!$B$9)/2)))</f>
        <v/>
      </c>
      <c r="L119" s="10" t="str">
        <f>IF($A119="","",IF(AND($A119&gt;=Controls!$B$25,$A119&lt;Controls!$B$25+Controls!$C$25),(Controls!$D$25-1)*EXP(-0.5*(($A119-Controls!$B$25-(Controls!$C$25-1)/2)/MAX(Controls!$C$25/4,0.5))^2),0))</f>
        <v/>
      </c>
      <c r="M119" s="10" t="str">
        <f>IF($A119="","",IF(AND($A119&gt;=Controls!$B$26,$A119&lt;Controls!$B$26+Controls!$C$26),(Controls!$D$26-1)*EXP(-0.5*(($A119-Controls!$B$26-(Controls!$C$26-1)/2)/MAX(Controls!$C$26/4,0.5))^2),0))</f>
        <v/>
      </c>
      <c r="N119" s="10" t="str">
        <f>IF($A119="","",IF(AND($A119&gt;=Controls!$B$27,$A119&lt;Controls!$B$27+Controls!$C$27),(Controls!$D$27-1)*EXP(-0.5*(($A119-Controls!$B$27-(Controls!$C$27-1)/2)/MAX(Controls!$C$27/4,0.5))^2),0))</f>
        <v/>
      </c>
      <c r="O119" s="10" t="str">
        <f>IF($A119="","",IF(AND($A119&gt;=Controls!$B$28,$A119&lt;Controls!$B$28+Controls!$C$28),(Controls!$D$28-1)*EXP(-0.5*(($A119-Controls!$B$28-(Controls!$C$28-1)/2)/MAX(Controls!$C$28/4,0.5))^2),0))</f>
        <v/>
      </c>
      <c r="P119" s="4" t="str">
        <f t="shared" si="1"/>
        <v/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21.0" customHeight="1">
      <c r="A120" s="7" t="str">
        <f>IF(119&lt;=Controls!$B$5,Controls!$B$4+118,"")</f>
        <v/>
      </c>
      <c r="B120" s="10" t="str">
        <f>IF(Random!V120="","",IF(Controls!$B$7="Normal",Controls!$B$8,(Controls!$B$8+Controls!$B$9)/2)+Controls!$B$10*(B119-IF(Controls!$B$7="Normal",Controls!$B$8,(Controls!$B$8+Controls!$B$9)/2))+SQRT(1-Controls!$B$10^2)*(Random!V120-IF(Controls!$B$7="Normal",Controls!$B$8,(Controls!$B$8+Controls!$B$9)/2)))</f>
        <v/>
      </c>
      <c r="C120" s="10" t="str">
        <f>IF(Random!W120="","",IF(Controls!$B$7="Normal",Controls!$B$8,(Controls!$B$8+Controls!$B$9)/2)+Controls!$B$10*(C119-IF(Controls!$B$7="Normal",Controls!$B$8,(Controls!$B$8+Controls!$B$9)/2))+SQRT(1-Controls!$B$10^2)*(Random!W120-IF(Controls!$B$7="Normal",Controls!$B$8,(Controls!$B$8+Controls!$B$9)/2)))</f>
        <v/>
      </c>
      <c r="D120" s="10" t="str">
        <f>IF(Random!X120="","",IF(Controls!$B$7="Normal",Controls!$B$8,(Controls!$B$8+Controls!$B$9)/2)+Controls!$B$10*(D119-IF(Controls!$B$7="Normal",Controls!$B$8,(Controls!$B$8+Controls!$B$9)/2))+SQRT(1-Controls!$B$10^2)*(Random!X120-IF(Controls!$B$7="Normal",Controls!$B$8,(Controls!$B$8+Controls!$B$9)/2)))</f>
        <v/>
      </c>
      <c r="E120" s="10" t="str">
        <f>IF(Random!Y120="","",IF(Controls!$B$7="Normal",Controls!$B$8,(Controls!$B$8+Controls!$B$9)/2)+Controls!$B$10*(E119-IF(Controls!$B$7="Normal",Controls!$B$8,(Controls!$B$8+Controls!$B$9)/2))+SQRT(1-Controls!$B$10^2)*(Random!Y120-IF(Controls!$B$7="Normal",Controls!$B$8,(Controls!$B$8+Controls!$B$9)/2)))</f>
        <v/>
      </c>
      <c r="F120" s="10" t="str">
        <f>IF(Random!Z120="","",IF(Controls!$B$7="Normal",Controls!$B$8,(Controls!$B$8+Controls!$B$9)/2)+Controls!$B$10*(F119-IF(Controls!$B$7="Normal",Controls!$B$8,(Controls!$B$8+Controls!$B$9)/2))+SQRT(1-Controls!$B$10^2)*(Random!Z120-IF(Controls!$B$7="Normal",Controls!$B$8,(Controls!$B$8+Controls!$B$9)/2)))</f>
        <v/>
      </c>
      <c r="G120" s="10" t="str">
        <f>IF(Random!AA120="","",IF(Controls!$B$7="Normal",Controls!$B$8,(Controls!$B$8+Controls!$B$9)/2)+Controls!$B$10*(G119-IF(Controls!$B$7="Normal",Controls!$B$8,(Controls!$B$8+Controls!$B$9)/2))+SQRT(1-Controls!$B$10^2)*(Random!AA120-IF(Controls!$B$7="Normal",Controls!$B$8,(Controls!$B$8+Controls!$B$9)/2)))</f>
        <v/>
      </c>
      <c r="H120" s="10" t="str">
        <f>IF(Random!AB120="","",IF(Controls!$B$7="Normal",Controls!$B$8,(Controls!$B$8+Controls!$B$9)/2)+Controls!$B$10*(H119-IF(Controls!$B$7="Normal",Controls!$B$8,(Controls!$B$8+Controls!$B$9)/2))+SQRT(1-Controls!$B$10^2)*(Random!AB120-IF(Controls!$B$7="Normal",Controls!$B$8,(Controls!$B$8+Controls!$B$9)/2)))</f>
        <v/>
      </c>
      <c r="I120" s="10" t="str">
        <f>IF(Random!AC120="","",IF(Controls!$B$7="Normal",Controls!$B$8,(Controls!$B$8+Controls!$B$9)/2)+Controls!$B$10*(I119-IF(Controls!$B$7="Normal",Controls!$B$8,(Controls!$B$8+Controls!$B$9)/2))+SQRT(1-Controls!$B$10^2)*(Random!AC120-IF(Controls!$B$7="Normal",Controls!$B$8,(Controls!$B$8+Controls!$B$9)/2)))</f>
        <v/>
      </c>
      <c r="J120" s="10" t="str">
        <f>IF(Random!AD120="","",IF(Controls!$B$7="Normal",Controls!$B$8,(Controls!$B$8+Controls!$B$9)/2)+Controls!$B$10*(J119-IF(Controls!$B$7="Normal",Controls!$B$8,(Controls!$B$8+Controls!$B$9)/2))+SQRT(1-Controls!$B$10^2)*(Random!AD120-IF(Controls!$B$7="Normal",Controls!$B$8,(Controls!$B$8+Controls!$B$9)/2)))</f>
        <v/>
      </c>
      <c r="K120" s="10" t="str">
        <f>IF(Random!AE120="","",IF(Controls!$B$7="Normal",Controls!$B$8,(Controls!$B$8+Controls!$B$9)/2)+Controls!$B$10*(K119-IF(Controls!$B$7="Normal",Controls!$B$8,(Controls!$B$8+Controls!$B$9)/2))+SQRT(1-Controls!$B$10^2)*(Random!AE120-IF(Controls!$B$7="Normal",Controls!$B$8,(Controls!$B$8+Controls!$B$9)/2)))</f>
        <v/>
      </c>
      <c r="L120" s="10" t="str">
        <f>IF($A120="","",IF(AND($A120&gt;=Controls!$B$25,$A120&lt;Controls!$B$25+Controls!$C$25),(Controls!$D$25-1)*EXP(-0.5*(($A120-Controls!$B$25-(Controls!$C$25-1)/2)/MAX(Controls!$C$25/4,0.5))^2),0))</f>
        <v/>
      </c>
      <c r="M120" s="10" t="str">
        <f>IF($A120="","",IF(AND($A120&gt;=Controls!$B$26,$A120&lt;Controls!$B$26+Controls!$C$26),(Controls!$D$26-1)*EXP(-0.5*(($A120-Controls!$B$26-(Controls!$C$26-1)/2)/MAX(Controls!$C$26/4,0.5))^2),0))</f>
        <v/>
      </c>
      <c r="N120" s="10" t="str">
        <f>IF($A120="","",IF(AND($A120&gt;=Controls!$B$27,$A120&lt;Controls!$B$27+Controls!$C$27),(Controls!$D$27-1)*EXP(-0.5*(($A120-Controls!$B$27-(Controls!$C$27-1)/2)/MAX(Controls!$C$27/4,0.5))^2),0))</f>
        <v/>
      </c>
      <c r="O120" s="10" t="str">
        <f>IF($A120="","",IF(AND($A120&gt;=Controls!$B$28,$A120&lt;Controls!$B$28+Controls!$C$28),(Controls!$D$28-1)*EXP(-0.5*(($A120-Controls!$B$28-(Controls!$C$28-1)/2)/MAX(Controls!$C$28/4,0.5))^2),0))</f>
        <v/>
      </c>
      <c r="P120" s="4" t="str">
        <f t="shared" si="1"/>
        <v/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21.0" customHeight="1">
      <c r="A121" s="7" t="str">
        <f>IF(120&lt;=Controls!$B$5,Controls!$B$4+119,"")</f>
        <v/>
      </c>
      <c r="B121" s="10" t="str">
        <f>IF(Random!V121="","",IF(Controls!$B$7="Normal",Controls!$B$8,(Controls!$B$8+Controls!$B$9)/2)+Controls!$B$10*(B120-IF(Controls!$B$7="Normal",Controls!$B$8,(Controls!$B$8+Controls!$B$9)/2))+SQRT(1-Controls!$B$10^2)*(Random!V121-IF(Controls!$B$7="Normal",Controls!$B$8,(Controls!$B$8+Controls!$B$9)/2)))</f>
        <v/>
      </c>
      <c r="C121" s="10" t="str">
        <f>IF(Random!W121="","",IF(Controls!$B$7="Normal",Controls!$B$8,(Controls!$B$8+Controls!$B$9)/2)+Controls!$B$10*(C120-IF(Controls!$B$7="Normal",Controls!$B$8,(Controls!$B$8+Controls!$B$9)/2))+SQRT(1-Controls!$B$10^2)*(Random!W121-IF(Controls!$B$7="Normal",Controls!$B$8,(Controls!$B$8+Controls!$B$9)/2)))</f>
        <v/>
      </c>
      <c r="D121" s="10" t="str">
        <f>IF(Random!X121="","",IF(Controls!$B$7="Normal",Controls!$B$8,(Controls!$B$8+Controls!$B$9)/2)+Controls!$B$10*(D120-IF(Controls!$B$7="Normal",Controls!$B$8,(Controls!$B$8+Controls!$B$9)/2))+SQRT(1-Controls!$B$10^2)*(Random!X121-IF(Controls!$B$7="Normal",Controls!$B$8,(Controls!$B$8+Controls!$B$9)/2)))</f>
        <v/>
      </c>
      <c r="E121" s="10" t="str">
        <f>IF(Random!Y121="","",IF(Controls!$B$7="Normal",Controls!$B$8,(Controls!$B$8+Controls!$B$9)/2)+Controls!$B$10*(E120-IF(Controls!$B$7="Normal",Controls!$B$8,(Controls!$B$8+Controls!$B$9)/2))+SQRT(1-Controls!$B$10^2)*(Random!Y121-IF(Controls!$B$7="Normal",Controls!$B$8,(Controls!$B$8+Controls!$B$9)/2)))</f>
        <v/>
      </c>
      <c r="F121" s="10" t="str">
        <f>IF(Random!Z121="","",IF(Controls!$B$7="Normal",Controls!$B$8,(Controls!$B$8+Controls!$B$9)/2)+Controls!$B$10*(F120-IF(Controls!$B$7="Normal",Controls!$B$8,(Controls!$B$8+Controls!$B$9)/2))+SQRT(1-Controls!$B$10^2)*(Random!Z121-IF(Controls!$B$7="Normal",Controls!$B$8,(Controls!$B$8+Controls!$B$9)/2)))</f>
        <v/>
      </c>
      <c r="G121" s="10" t="str">
        <f>IF(Random!AA121="","",IF(Controls!$B$7="Normal",Controls!$B$8,(Controls!$B$8+Controls!$B$9)/2)+Controls!$B$10*(G120-IF(Controls!$B$7="Normal",Controls!$B$8,(Controls!$B$8+Controls!$B$9)/2))+SQRT(1-Controls!$B$10^2)*(Random!AA121-IF(Controls!$B$7="Normal",Controls!$B$8,(Controls!$B$8+Controls!$B$9)/2)))</f>
        <v/>
      </c>
      <c r="H121" s="10" t="str">
        <f>IF(Random!AB121="","",IF(Controls!$B$7="Normal",Controls!$B$8,(Controls!$B$8+Controls!$B$9)/2)+Controls!$B$10*(H120-IF(Controls!$B$7="Normal",Controls!$B$8,(Controls!$B$8+Controls!$B$9)/2))+SQRT(1-Controls!$B$10^2)*(Random!AB121-IF(Controls!$B$7="Normal",Controls!$B$8,(Controls!$B$8+Controls!$B$9)/2)))</f>
        <v/>
      </c>
      <c r="I121" s="10" t="str">
        <f>IF(Random!AC121="","",IF(Controls!$B$7="Normal",Controls!$B$8,(Controls!$B$8+Controls!$B$9)/2)+Controls!$B$10*(I120-IF(Controls!$B$7="Normal",Controls!$B$8,(Controls!$B$8+Controls!$B$9)/2))+SQRT(1-Controls!$B$10^2)*(Random!AC121-IF(Controls!$B$7="Normal",Controls!$B$8,(Controls!$B$8+Controls!$B$9)/2)))</f>
        <v/>
      </c>
      <c r="J121" s="10" t="str">
        <f>IF(Random!AD121="","",IF(Controls!$B$7="Normal",Controls!$B$8,(Controls!$B$8+Controls!$B$9)/2)+Controls!$B$10*(J120-IF(Controls!$B$7="Normal",Controls!$B$8,(Controls!$B$8+Controls!$B$9)/2))+SQRT(1-Controls!$B$10^2)*(Random!AD121-IF(Controls!$B$7="Normal",Controls!$B$8,(Controls!$B$8+Controls!$B$9)/2)))</f>
        <v/>
      </c>
      <c r="K121" s="10" t="str">
        <f>IF(Random!AE121="","",IF(Controls!$B$7="Normal",Controls!$B$8,(Controls!$B$8+Controls!$B$9)/2)+Controls!$B$10*(K120-IF(Controls!$B$7="Normal",Controls!$B$8,(Controls!$B$8+Controls!$B$9)/2))+SQRT(1-Controls!$B$10^2)*(Random!AE121-IF(Controls!$B$7="Normal",Controls!$B$8,(Controls!$B$8+Controls!$B$9)/2)))</f>
        <v/>
      </c>
      <c r="L121" s="10" t="str">
        <f>IF($A121="","",IF(AND($A121&gt;=Controls!$B$25,$A121&lt;Controls!$B$25+Controls!$C$25),(Controls!$D$25-1)*EXP(-0.5*(($A121-Controls!$B$25-(Controls!$C$25-1)/2)/MAX(Controls!$C$25/4,0.5))^2),0))</f>
        <v/>
      </c>
      <c r="M121" s="10" t="str">
        <f>IF($A121="","",IF(AND($A121&gt;=Controls!$B$26,$A121&lt;Controls!$B$26+Controls!$C$26),(Controls!$D$26-1)*EXP(-0.5*(($A121-Controls!$B$26-(Controls!$C$26-1)/2)/MAX(Controls!$C$26/4,0.5))^2),0))</f>
        <v/>
      </c>
      <c r="N121" s="10" t="str">
        <f>IF($A121="","",IF(AND($A121&gt;=Controls!$B$27,$A121&lt;Controls!$B$27+Controls!$C$27),(Controls!$D$27-1)*EXP(-0.5*(($A121-Controls!$B$27-(Controls!$C$27-1)/2)/MAX(Controls!$C$27/4,0.5))^2),0))</f>
        <v/>
      </c>
      <c r="O121" s="10" t="str">
        <f>IF($A121="","",IF(AND($A121&gt;=Controls!$B$28,$A121&lt;Controls!$B$28+Controls!$C$28),(Controls!$D$28-1)*EXP(-0.5*(($A121-Controls!$B$28-(Controls!$C$28-1)/2)/MAX(Controls!$C$28/4,0.5))^2),0))</f>
        <v/>
      </c>
      <c r="P121" s="4" t="str">
        <f t="shared" si="1"/>
        <v/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21.0" customHeight="1">
      <c r="A122" s="7" t="str">
        <f>IF(121&lt;=Controls!$B$5,Controls!$B$4+120,"")</f>
        <v/>
      </c>
      <c r="B122" s="10" t="str">
        <f>IF(Random!V122="","",IF(Controls!$B$7="Normal",Controls!$B$8,(Controls!$B$8+Controls!$B$9)/2)+Controls!$B$10*(B121-IF(Controls!$B$7="Normal",Controls!$B$8,(Controls!$B$8+Controls!$B$9)/2))+SQRT(1-Controls!$B$10^2)*(Random!V122-IF(Controls!$B$7="Normal",Controls!$B$8,(Controls!$B$8+Controls!$B$9)/2)))</f>
        <v/>
      </c>
      <c r="C122" s="10" t="str">
        <f>IF(Random!W122="","",IF(Controls!$B$7="Normal",Controls!$B$8,(Controls!$B$8+Controls!$B$9)/2)+Controls!$B$10*(C121-IF(Controls!$B$7="Normal",Controls!$B$8,(Controls!$B$8+Controls!$B$9)/2))+SQRT(1-Controls!$B$10^2)*(Random!W122-IF(Controls!$B$7="Normal",Controls!$B$8,(Controls!$B$8+Controls!$B$9)/2)))</f>
        <v/>
      </c>
      <c r="D122" s="10" t="str">
        <f>IF(Random!X122="","",IF(Controls!$B$7="Normal",Controls!$B$8,(Controls!$B$8+Controls!$B$9)/2)+Controls!$B$10*(D121-IF(Controls!$B$7="Normal",Controls!$B$8,(Controls!$B$8+Controls!$B$9)/2))+SQRT(1-Controls!$B$10^2)*(Random!X122-IF(Controls!$B$7="Normal",Controls!$B$8,(Controls!$B$8+Controls!$B$9)/2)))</f>
        <v/>
      </c>
      <c r="E122" s="10" t="str">
        <f>IF(Random!Y122="","",IF(Controls!$B$7="Normal",Controls!$B$8,(Controls!$B$8+Controls!$B$9)/2)+Controls!$B$10*(E121-IF(Controls!$B$7="Normal",Controls!$B$8,(Controls!$B$8+Controls!$B$9)/2))+SQRT(1-Controls!$B$10^2)*(Random!Y122-IF(Controls!$B$7="Normal",Controls!$B$8,(Controls!$B$8+Controls!$B$9)/2)))</f>
        <v/>
      </c>
      <c r="F122" s="10" t="str">
        <f>IF(Random!Z122="","",IF(Controls!$B$7="Normal",Controls!$B$8,(Controls!$B$8+Controls!$B$9)/2)+Controls!$B$10*(F121-IF(Controls!$B$7="Normal",Controls!$B$8,(Controls!$B$8+Controls!$B$9)/2))+SQRT(1-Controls!$B$10^2)*(Random!Z122-IF(Controls!$B$7="Normal",Controls!$B$8,(Controls!$B$8+Controls!$B$9)/2)))</f>
        <v/>
      </c>
      <c r="G122" s="10" t="str">
        <f>IF(Random!AA122="","",IF(Controls!$B$7="Normal",Controls!$B$8,(Controls!$B$8+Controls!$B$9)/2)+Controls!$B$10*(G121-IF(Controls!$B$7="Normal",Controls!$B$8,(Controls!$B$8+Controls!$B$9)/2))+SQRT(1-Controls!$B$10^2)*(Random!AA122-IF(Controls!$B$7="Normal",Controls!$B$8,(Controls!$B$8+Controls!$B$9)/2)))</f>
        <v/>
      </c>
      <c r="H122" s="10" t="str">
        <f>IF(Random!AB122="","",IF(Controls!$B$7="Normal",Controls!$B$8,(Controls!$B$8+Controls!$B$9)/2)+Controls!$B$10*(H121-IF(Controls!$B$7="Normal",Controls!$B$8,(Controls!$B$8+Controls!$B$9)/2))+SQRT(1-Controls!$B$10^2)*(Random!AB122-IF(Controls!$B$7="Normal",Controls!$B$8,(Controls!$B$8+Controls!$B$9)/2)))</f>
        <v/>
      </c>
      <c r="I122" s="10" t="str">
        <f>IF(Random!AC122="","",IF(Controls!$B$7="Normal",Controls!$B$8,(Controls!$B$8+Controls!$B$9)/2)+Controls!$B$10*(I121-IF(Controls!$B$7="Normal",Controls!$B$8,(Controls!$B$8+Controls!$B$9)/2))+SQRT(1-Controls!$B$10^2)*(Random!AC122-IF(Controls!$B$7="Normal",Controls!$B$8,(Controls!$B$8+Controls!$B$9)/2)))</f>
        <v/>
      </c>
      <c r="J122" s="10" t="str">
        <f>IF(Random!AD122="","",IF(Controls!$B$7="Normal",Controls!$B$8,(Controls!$B$8+Controls!$B$9)/2)+Controls!$B$10*(J121-IF(Controls!$B$7="Normal",Controls!$B$8,(Controls!$B$8+Controls!$B$9)/2))+SQRT(1-Controls!$B$10^2)*(Random!AD122-IF(Controls!$B$7="Normal",Controls!$B$8,(Controls!$B$8+Controls!$B$9)/2)))</f>
        <v/>
      </c>
      <c r="K122" s="10" t="str">
        <f>IF(Random!AE122="","",IF(Controls!$B$7="Normal",Controls!$B$8,(Controls!$B$8+Controls!$B$9)/2)+Controls!$B$10*(K121-IF(Controls!$B$7="Normal",Controls!$B$8,(Controls!$B$8+Controls!$B$9)/2))+SQRT(1-Controls!$B$10^2)*(Random!AE122-IF(Controls!$B$7="Normal",Controls!$B$8,(Controls!$B$8+Controls!$B$9)/2)))</f>
        <v/>
      </c>
      <c r="L122" s="10" t="str">
        <f>IF($A122="","",IF(AND($A122&gt;=Controls!$B$25,$A122&lt;Controls!$B$25+Controls!$C$25),(Controls!$D$25-1)*EXP(-0.5*(($A122-Controls!$B$25-(Controls!$C$25-1)/2)/MAX(Controls!$C$25/4,0.5))^2),0))</f>
        <v/>
      </c>
      <c r="M122" s="10" t="str">
        <f>IF($A122="","",IF(AND($A122&gt;=Controls!$B$26,$A122&lt;Controls!$B$26+Controls!$C$26),(Controls!$D$26-1)*EXP(-0.5*(($A122-Controls!$B$26-(Controls!$C$26-1)/2)/MAX(Controls!$C$26/4,0.5))^2),0))</f>
        <v/>
      </c>
      <c r="N122" s="10" t="str">
        <f>IF($A122="","",IF(AND($A122&gt;=Controls!$B$27,$A122&lt;Controls!$B$27+Controls!$C$27),(Controls!$D$27-1)*EXP(-0.5*(($A122-Controls!$B$27-(Controls!$C$27-1)/2)/MAX(Controls!$C$27/4,0.5))^2),0))</f>
        <v/>
      </c>
      <c r="O122" s="10" t="str">
        <f>IF($A122="","",IF(AND($A122&gt;=Controls!$B$28,$A122&lt;Controls!$B$28+Controls!$C$28),(Controls!$D$28-1)*EXP(-0.5*(($A122-Controls!$B$28-(Controls!$C$28-1)/2)/MAX(Controls!$C$28/4,0.5))^2),0))</f>
        <v/>
      </c>
      <c r="P122" s="4" t="str">
        <f t="shared" si="1"/>
        <v/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21.0" customHeight="1">
      <c r="A123" s="7" t="str">
        <f>IF(122&lt;=Controls!$B$5,Controls!$B$4+121,"")</f>
        <v/>
      </c>
      <c r="B123" s="10" t="str">
        <f>IF(Random!V123="","",IF(Controls!$B$7="Normal",Controls!$B$8,(Controls!$B$8+Controls!$B$9)/2)+Controls!$B$10*(B122-IF(Controls!$B$7="Normal",Controls!$B$8,(Controls!$B$8+Controls!$B$9)/2))+SQRT(1-Controls!$B$10^2)*(Random!V123-IF(Controls!$B$7="Normal",Controls!$B$8,(Controls!$B$8+Controls!$B$9)/2)))</f>
        <v/>
      </c>
      <c r="C123" s="10" t="str">
        <f>IF(Random!W123="","",IF(Controls!$B$7="Normal",Controls!$B$8,(Controls!$B$8+Controls!$B$9)/2)+Controls!$B$10*(C122-IF(Controls!$B$7="Normal",Controls!$B$8,(Controls!$B$8+Controls!$B$9)/2))+SQRT(1-Controls!$B$10^2)*(Random!W123-IF(Controls!$B$7="Normal",Controls!$B$8,(Controls!$B$8+Controls!$B$9)/2)))</f>
        <v/>
      </c>
      <c r="D123" s="10" t="str">
        <f>IF(Random!X123="","",IF(Controls!$B$7="Normal",Controls!$B$8,(Controls!$B$8+Controls!$B$9)/2)+Controls!$B$10*(D122-IF(Controls!$B$7="Normal",Controls!$B$8,(Controls!$B$8+Controls!$B$9)/2))+SQRT(1-Controls!$B$10^2)*(Random!X123-IF(Controls!$B$7="Normal",Controls!$B$8,(Controls!$B$8+Controls!$B$9)/2)))</f>
        <v/>
      </c>
      <c r="E123" s="10" t="str">
        <f>IF(Random!Y123="","",IF(Controls!$B$7="Normal",Controls!$B$8,(Controls!$B$8+Controls!$B$9)/2)+Controls!$B$10*(E122-IF(Controls!$B$7="Normal",Controls!$B$8,(Controls!$B$8+Controls!$B$9)/2))+SQRT(1-Controls!$B$10^2)*(Random!Y123-IF(Controls!$B$7="Normal",Controls!$B$8,(Controls!$B$8+Controls!$B$9)/2)))</f>
        <v/>
      </c>
      <c r="F123" s="10" t="str">
        <f>IF(Random!Z123="","",IF(Controls!$B$7="Normal",Controls!$B$8,(Controls!$B$8+Controls!$B$9)/2)+Controls!$B$10*(F122-IF(Controls!$B$7="Normal",Controls!$B$8,(Controls!$B$8+Controls!$B$9)/2))+SQRT(1-Controls!$B$10^2)*(Random!Z123-IF(Controls!$B$7="Normal",Controls!$B$8,(Controls!$B$8+Controls!$B$9)/2)))</f>
        <v/>
      </c>
      <c r="G123" s="10" t="str">
        <f>IF(Random!AA123="","",IF(Controls!$B$7="Normal",Controls!$B$8,(Controls!$B$8+Controls!$B$9)/2)+Controls!$B$10*(G122-IF(Controls!$B$7="Normal",Controls!$B$8,(Controls!$B$8+Controls!$B$9)/2))+SQRT(1-Controls!$B$10^2)*(Random!AA123-IF(Controls!$B$7="Normal",Controls!$B$8,(Controls!$B$8+Controls!$B$9)/2)))</f>
        <v/>
      </c>
      <c r="H123" s="10" t="str">
        <f>IF(Random!AB123="","",IF(Controls!$B$7="Normal",Controls!$B$8,(Controls!$B$8+Controls!$B$9)/2)+Controls!$B$10*(H122-IF(Controls!$B$7="Normal",Controls!$B$8,(Controls!$B$8+Controls!$B$9)/2))+SQRT(1-Controls!$B$10^2)*(Random!AB123-IF(Controls!$B$7="Normal",Controls!$B$8,(Controls!$B$8+Controls!$B$9)/2)))</f>
        <v/>
      </c>
      <c r="I123" s="10" t="str">
        <f>IF(Random!AC123="","",IF(Controls!$B$7="Normal",Controls!$B$8,(Controls!$B$8+Controls!$B$9)/2)+Controls!$B$10*(I122-IF(Controls!$B$7="Normal",Controls!$B$8,(Controls!$B$8+Controls!$B$9)/2))+SQRT(1-Controls!$B$10^2)*(Random!AC123-IF(Controls!$B$7="Normal",Controls!$B$8,(Controls!$B$8+Controls!$B$9)/2)))</f>
        <v/>
      </c>
      <c r="J123" s="10" t="str">
        <f>IF(Random!AD123="","",IF(Controls!$B$7="Normal",Controls!$B$8,(Controls!$B$8+Controls!$B$9)/2)+Controls!$B$10*(J122-IF(Controls!$B$7="Normal",Controls!$B$8,(Controls!$B$8+Controls!$B$9)/2))+SQRT(1-Controls!$B$10^2)*(Random!AD123-IF(Controls!$B$7="Normal",Controls!$B$8,(Controls!$B$8+Controls!$B$9)/2)))</f>
        <v/>
      </c>
      <c r="K123" s="10" t="str">
        <f>IF(Random!AE123="","",IF(Controls!$B$7="Normal",Controls!$B$8,(Controls!$B$8+Controls!$B$9)/2)+Controls!$B$10*(K122-IF(Controls!$B$7="Normal",Controls!$B$8,(Controls!$B$8+Controls!$B$9)/2))+SQRT(1-Controls!$B$10^2)*(Random!AE123-IF(Controls!$B$7="Normal",Controls!$B$8,(Controls!$B$8+Controls!$B$9)/2)))</f>
        <v/>
      </c>
      <c r="L123" s="10" t="str">
        <f>IF($A123="","",IF(AND($A123&gt;=Controls!$B$25,$A123&lt;Controls!$B$25+Controls!$C$25),(Controls!$D$25-1)*EXP(-0.5*(($A123-Controls!$B$25-(Controls!$C$25-1)/2)/MAX(Controls!$C$25/4,0.5))^2),0))</f>
        <v/>
      </c>
      <c r="M123" s="10" t="str">
        <f>IF($A123="","",IF(AND($A123&gt;=Controls!$B$26,$A123&lt;Controls!$B$26+Controls!$C$26),(Controls!$D$26-1)*EXP(-0.5*(($A123-Controls!$B$26-(Controls!$C$26-1)/2)/MAX(Controls!$C$26/4,0.5))^2),0))</f>
        <v/>
      </c>
      <c r="N123" s="10" t="str">
        <f>IF($A123="","",IF(AND($A123&gt;=Controls!$B$27,$A123&lt;Controls!$B$27+Controls!$C$27),(Controls!$D$27-1)*EXP(-0.5*(($A123-Controls!$B$27-(Controls!$C$27-1)/2)/MAX(Controls!$C$27/4,0.5))^2),0))</f>
        <v/>
      </c>
      <c r="O123" s="10" t="str">
        <f>IF($A123="","",IF(AND($A123&gt;=Controls!$B$28,$A123&lt;Controls!$B$28+Controls!$C$28),(Controls!$D$28-1)*EXP(-0.5*(($A123-Controls!$B$28-(Controls!$C$28-1)/2)/MAX(Controls!$C$28/4,0.5))^2),0))</f>
        <v/>
      </c>
      <c r="P123" s="4" t="str">
        <f t="shared" si="1"/>
        <v/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21.0" customHeight="1">
      <c r="A124" s="7" t="str">
        <f>IF(123&lt;=Controls!$B$5,Controls!$B$4+122,"")</f>
        <v/>
      </c>
      <c r="B124" s="10" t="str">
        <f>IF(Random!V124="","",IF(Controls!$B$7="Normal",Controls!$B$8,(Controls!$B$8+Controls!$B$9)/2)+Controls!$B$10*(B123-IF(Controls!$B$7="Normal",Controls!$B$8,(Controls!$B$8+Controls!$B$9)/2))+SQRT(1-Controls!$B$10^2)*(Random!V124-IF(Controls!$B$7="Normal",Controls!$B$8,(Controls!$B$8+Controls!$B$9)/2)))</f>
        <v/>
      </c>
      <c r="C124" s="10" t="str">
        <f>IF(Random!W124="","",IF(Controls!$B$7="Normal",Controls!$B$8,(Controls!$B$8+Controls!$B$9)/2)+Controls!$B$10*(C123-IF(Controls!$B$7="Normal",Controls!$B$8,(Controls!$B$8+Controls!$B$9)/2))+SQRT(1-Controls!$B$10^2)*(Random!W124-IF(Controls!$B$7="Normal",Controls!$B$8,(Controls!$B$8+Controls!$B$9)/2)))</f>
        <v/>
      </c>
      <c r="D124" s="10" t="str">
        <f>IF(Random!X124="","",IF(Controls!$B$7="Normal",Controls!$B$8,(Controls!$B$8+Controls!$B$9)/2)+Controls!$B$10*(D123-IF(Controls!$B$7="Normal",Controls!$B$8,(Controls!$B$8+Controls!$B$9)/2))+SQRT(1-Controls!$B$10^2)*(Random!X124-IF(Controls!$B$7="Normal",Controls!$B$8,(Controls!$B$8+Controls!$B$9)/2)))</f>
        <v/>
      </c>
      <c r="E124" s="10" t="str">
        <f>IF(Random!Y124="","",IF(Controls!$B$7="Normal",Controls!$B$8,(Controls!$B$8+Controls!$B$9)/2)+Controls!$B$10*(E123-IF(Controls!$B$7="Normal",Controls!$B$8,(Controls!$B$8+Controls!$B$9)/2))+SQRT(1-Controls!$B$10^2)*(Random!Y124-IF(Controls!$B$7="Normal",Controls!$B$8,(Controls!$B$8+Controls!$B$9)/2)))</f>
        <v/>
      </c>
      <c r="F124" s="10" t="str">
        <f>IF(Random!Z124="","",IF(Controls!$B$7="Normal",Controls!$B$8,(Controls!$B$8+Controls!$B$9)/2)+Controls!$B$10*(F123-IF(Controls!$B$7="Normal",Controls!$B$8,(Controls!$B$8+Controls!$B$9)/2))+SQRT(1-Controls!$B$10^2)*(Random!Z124-IF(Controls!$B$7="Normal",Controls!$B$8,(Controls!$B$8+Controls!$B$9)/2)))</f>
        <v/>
      </c>
      <c r="G124" s="10" t="str">
        <f>IF(Random!AA124="","",IF(Controls!$B$7="Normal",Controls!$B$8,(Controls!$B$8+Controls!$B$9)/2)+Controls!$B$10*(G123-IF(Controls!$B$7="Normal",Controls!$B$8,(Controls!$B$8+Controls!$B$9)/2))+SQRT(1-Controls!$B$10^2)*(Random!AA124-IF(Controls!$B$7="Normal",Controls!$B$8,(Controls!$B$8+Controls!$B$9)/2)))</f>
        <v/>
      </c>
      <c r="H124" s="10" t="str">
        <f>IF(Random!AB124="","",IF(Controls!$B$7="Normal",Controls!$B$8,(Controls!$B$8+Controls!$B$9)/2)+Controls!$B$10*(H123-IF(Controls!$B$7="Normal",Controls!$B$8,(Controls!$B$8+Controls!$B$9)/2))+SQRT(1-Controls!$B$10^2)*(Random!AB124-IF(Controls!$B$7="Normal",Controls!$B$8,(Controls!$B$8+Controls!$B$9)/2)))</f>
        <v/>
      </c>
      <c r="I124" s="10" t="str">
        <f>IF(Random!AC124="","",IF(Controls!$B$7="Normal",Controls!$B$8,(Controls!$B$8+Controls!$B$9)/2)+Controls!$B$10*(I123-IF(Controls!$B$7="Normal",Controls!$B$8,(Controls!$B$8+Controls!$B$9)/2))+SQRT(1-Controls!$B$10^2)*(Random!AC124-IF(Controls!$B$7="Normal",Controls!$B$8,(Controls!$B$8+Controls!$B$9)/2)))</f>
        <v/>
      </c>
      <c r="J124" s="10" t="str">
        <f>IF(Random!AD124="","",IF(Controls!$B$7="Normal",Controls!$B$8,(Controls!$B$8+Controls!$B$9)/2)+Controls!$B$10*(J123-IF(Controls!$B$7="Normal",Controls!$B$8,(Controls!$B$8+Controls!$B$9)/2))+SQRT(1-Controls!$B$10^2)*(Random!AD124-IF(Controls!$B$7="Normal",Controls!$B$8,(Controls!$B$8+Controls!$B$9)/2)))</f>
        <v/>
      </c>
      <c r="K124" s="10" t="str">
        <f>IF(Random!AE124="","",IF(Controls!$B$7="Normal",Controls!$B$8,(Controls!$B$8+Controls!$B$9)/2)+Controls!$B$10*(K123-IF(Controls!$B$7="Normal",Controls!$B$8,(Controls!$B$8+Controls!$B$9)/2))+SQRT(1-Controls!$B$10^2)*(Random!AE124-IF(Controls!$B$7="Normal",Controls!$B$8,(Controls!$B$8+Controls!$B$9)/2)))</f>
        <v/>
      </c>
      <c r="L124" s="10" t="str">
        <f>IF($A124="","",IF(AND($A124&gt;=Controls!$B$25,$A124&lt;Controls!$B$25+Controls!$C$25),(Controls!$D$25-1)*EXP(-0.5*(($A124-Controls!$B$25-(Controls!$C$25-1)/2)/MAX(Controls!$C$25/4,0.5))^2),0))</f>
        <v/>
      </c>
      <c r="M124" s="10" t="str">
        <f>IF($A124="","",IF(AND($A124&gt;=Controls!$B$26,$A124&lt;Controls!$B$26+Controls!$C$26),(Controls!$D$26-1)*EXP(-0.5*(($A124-Controls!$B$26-(Controls!$C$26-1)/2)/MAX(Controls!$C$26/4,0.5))^2),0))</f>
        <v/>
      </c>
      <c r="N124" s="10" t="str">
        <f>IF($A124="","",IF(AND($A124&gt;=Controls!$B$27,$A124&lt;Controls!$B$27+Controls!$C$27),(Controls!$D$27-1)*EXP(-0.5*(($A124-Controls!$B$27-(Controls!$C$27-1)/2)/MAX(Controls!$C$27/4,0.5))^2),0))</f>
        <v/>
      </c>
      <c r="O124" s="10" t="str">
        <f>IF($A124="","",IF(AND($A124&gt;=Controls!$B$28,$A124&lt;Controls!$B$28+Controls!$C$28),(Controls!$D$28-1)*EXP(-0.5*(($A124-Controls!$B$28-(Controls!$C$28-1)/2)/MAX(Controls!$C$28/4,0.5))^2),0))</f>
        <v/>
      </c>
      <c r="P124" s="4" t="str">
        <f t="shared" si="1"/>
        <v/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21.0" customHeight="1">
      <c r="A125" s="7" t="str">
        <f>IF(124&lt;=Controls!$B$5,Controls!$B$4+123,"")</f>
        <v/>
      </c>
      <c r="B125" s="10" t="str">
        <f>IF(Random!V125="","",IF(Controls!$B$7="Normal",Controls!$B$8,(Controls!$B$8+Controls!$B$9)/2)+Controls!$B$10*(B124-IF(Controls!$B$7="Normal",Controls!$B$8,(Controls!$B$8+Controls!$B$9)/2))+SQRT(1-Controls!$B$10^2)*(Random!V125-IF(Controls!$B$7="Normal",Controls!$B$8,(Controls!$B$8+Controls!$B$9)/2)))</f>
        <v/>
      </c>
      <c r="C125" s="10" t="str">
        <f>IF(Random!W125="","",IF(Controls!$B$7="Normal",Controls!$B$8,(Controls!$B$8+Controls!$B$9)/2)+Controls!$B$10*(C124-IF(Controls!$B$7="Normal",Controls!$B$8,(Controls!$B$8+Controls!$B$9)/2))+SQRT(1-Controls!$B$10^2)*(Random!W125-IF(Controls!$B$7="Normal",Controls!$B$8,(Controls!$B$8+Controls!$B$9)/2)))</f>
        <v/>
      </c>
      <c r="D125" s="10" t="str">
        <f>IF(Random!X125="","",IF(Controls!$B$7="Normal",Controls!$B$8,(Controls!$B$8+Controls!$B$9)/2)+Controls!$B$10*(D124-IF(Controls!$B$7="Normal",Controls!$B$8,(Controls!$B$8+Controls!$B$9)/2))+SQRT(1-Controls!$B$10^2)*(Random!X125-IF(Controls!$B$7="Normal",Controls!$B$8,(Controls!$B$8+Controls!$B$9)/2)))</f>
        <v/>
      </c>
      <c r="E125" s="10" t="str">
        <f>IF(Random!Y125="","",IF(Controls!$B$7="Normal",Controls!$B$8,(Controls!$B$8+Controls!$B$9)/2)+Controls!$B$10*(E124-IF(Controls!$B$7="Normal",Controls!$B$8,(Controls!$B$8+Controls!$B$9)/2))+SQRT(1-Controls!$B$10^2)*(Random!Y125-IF(Controls!$B$7="Normal",Controls!$B$8,(Controls!$B$8+Controls!$B$9)/2)))</f>
        <v/>
      </c>
      <c r="F125" s="10" t="str">
        <f>IF(Random!Z125="","",IF(Controls!$B$7="Normal",Controls!$B$8,(Controls!$B$8+Controls!$B$9)/2)+Controls!$B$10*(F124-IF(Controls!$B$7="Normal",Controls!$B$8,(Controls!$B$8+Controls!$B$9)/2))+SQRT(1-Controls!$B$10^2)*(Random!Z125-IF(Controls!$B$7="Normal",Controls!$B$8,(Controls!$B$8+Controls!$B$9)/2)))</f>
        <v/>
      </c>
      <c r="G125" s="10" t="str">
        <f>IF(Random!AA125="","",IF(Controls!$B$7="Normal",Controls!$B$8,(Controls!$B$8+Controls!$B$9)/2)+Controls!$B$10*(G124-IF(Controls!$B$7="Normal",Controls!$B$8,(Controls!$B$8+Controls!$B$9)/2))+SQRT(1-Controls!$B$10^2)*(Random!AA125-IF(Controls!$B$7="Normal",Controls!$B$8,(Controls!$B$8+Controls!$B$9)/2)))</f>
        <v/>
      </c>
      <c r="H125" s="10" t="str">
        <f>IF(Random!AB125="","",IF(Controls!$B$7="Normal",Controls!$B$8,(Controls!$B$8+Controls!$B$9)/2)+Controls!$B$10*(H124-IF(Controls!$B$7="Normal",Controls!$B$8,(Controls!$B$8+Controls!$B$9)/2))+SQRT(1-Controls!$B$10^2)*(Random!AB125-IF(Controls!$B$7="Normal",Controls!$B$8,(Controls!$B$8+Controls!$B$9)/2)))</f>
        <v/>
      </c>
      <c r="I125" s="10" t="str">
        <f>IF(Random!AC125="","",IF(Controls!$B$7="Normal",Controls!$B$8,(Controls!$B$8+Controls!$B$9)/2)+Controls!$B$10*(I124-IF(Controls!$B$7="Normal",Controls!$B$8,(Controls!$B$8+Controls!$B$9)/2))+SQRT(1-Controls!$B$10^2)*(Random!AC125-IF(Controls!$B$7="Normal",Controls!$B$8,(Controls!$B$8+Controls!$B$9)/2)))</f>
        <v/>
      </c>
      <c r="J125" s="10" t="str">
        <f>IF(Random!AD125="","",IF(Controls!$B$7="Normal",Controls!$B$8,(Controls!$B$8+Controls!$B$9)/2)+Controls!$B$10*(J124-IF(Controls!$B$7="Normal",Controls!$B$8,(Controls!$B$8+Controls!$B$9)/2))+SQRT(1-Controls!$B$10^2)*(Random!AD125-IF(Controls!$B$7="Normal",Controls!$B$8,(Controls!$B$8+Controls!$B$9)/2)))</f>
        <v/>
      </c>
      <c r="K125" s="10" t="str">
        <f>IF(Random!AE125="","",IF(Controls!$B$7="Normal",Controls!$B$8,(Controls!$B$8+Controls!$B$9)/2)+Controls!$B$10*(K124-IF(Controls!$B$7="Normal",Controls!$B$8,(Controls!$B$8+Controls!$B$9)/2))+SQRT(1-Controls!$B$10^2)*(Random!AE125-IF(Controls!$B$7="Normal",Controls!$B$8,(Controls!$B$8+Controls!$B$9)/2)))</f>
        <v/>
      </c>
      <c r="L125" s="10" t="str">
        <f>IF($A125="","",IF(AND($A125&gt;=Controls!$B$25,$A125&lt;Controls!$B$25+Controls!$C$25),(Controls!$D$25-1)*EXP(-0.5*(($A125-Controls!$B$25-(Controls!$C$25-1)/2)/MAX(Controls!$C$25/4,0.5))^2),0))</f>
        <v/>
      </c>
      <c r="M125" s="10" t="str">
        <f>IF($A125="","",IF(AND($A125&gt;=Controls!$B$26,$A125&lt;Controls!$B$26+Controls!$C$26),(Controls!$D$26-1)*EXP(-0.5*(($A125-Controls!$B$26-(Controls!$C$26-1)/2)/MAX(Controls!$C$26/4,0.5))^2),0))</f>
        <v/>
      </c>
      <c r="N125" s="10" t="str">
        <f>IF($A125="","",IF(AND($A125&gt;=Controls!$B$27,$A125&lt;Controls!$B$27+Controls!$C$27),(Controls!$D$27-1)*EXP(-0.5*(($A125-Controls!$B$27-(Controls!$C$27-1)/2)/MAX(Controls!$C$27/4,0.5))^2),0))</f>
        <v/>
      </c>
      <c r="O125" s="10" t="str">
        <f>IF($A125="","",IF(AND($A125&gt;=Controls!$B$28,$A125&lt;Controls!$B$28+Controls!$C$28),(Controls!$D$28-1)*EXP(-0.5*(($A125-Controls!$B$28-(Controls!$C$28-1)/2)/MAX(Controls!$C$28/4,0.5))^2),0))</f>
        <v/>
      </c>
      <c r="P125" s="4" t="str">
        <f t="shared" si="1"/>
        <v/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21.0" customHeight="1">
      <c r="A126" s="7" t="str">
        <f>IF(125&lt;=Controls!$B$5,Controls!$B$4+124,"")</f>
        <v/>
      </c>
      <c r="B126" s="10" t="str">
        <f>IF(Random!V126="","",IF(Controls!$B$7="Normal",Controls!$B$8,(Controls!$B$8+Controls!$B$9)/2)+Controls!$B$10*(B125-IF(Controls!$B$7="Normal",Controls!$B$8,(Controls!$B$8+Controls!$B$9)/2))+SQRT(1-Controls!$B$10^2)*(Random!V126-IF(Controls!$B$7="Normal",Controls!$B$8,(Controls!$B$8+Controls!$B$9)/2)))</f>
        <v/>
      </c>
      <c r="C126" s="10" t="str">
        <f>IF(Random!W126="","",IF(Controls!$B$7="Normal",Controls!$B$8,(Controls!$B$8+Controls!$B$9)/2)+Controls!$B$10*(C125-IF(Controls!$B$7="Normal",Controls!$B$8,(Controls!$B$8+Controls!$B$9)/2))+SQRT(1-Controls!$B$10^2)*(Random!W126-IF(Controls!$B$7="Normal",Controls!$B$8,(Controls!$B$8+Controls!$B$9)/2)))</f>
        <v/>
      </c>
      <c r="D126" s="10" t="str">
        <f>IF(Random!X126="","",IF(Controls!$B$7="Normal",Controls!$B$8,(Controls!$B$8+Controls!$B$9)/2)+Controls!$B$10*(D125-IF(Controls!$B$7="Normal",Controls!$B$8,(Controls!$B$8+Controls!$B$9)/2))+SQRT(1-Controls!$B$10^2)*(Random!X126-IF(Controls!$B$7="Normal",Controls!$B$8,(Controls!$B$8+Controls!$B$9)/2)))</f>
        <v/>
      </c>
      <c r="E126" s="10" t="str">
        <f>IF(Random!Y126="","",IF(Controls!$B$7="Normal",Controls!$B$8,(Controls!$B$8+Controls!$B$9)/2)+Controls!$B$10*(E125-IF(Controls!$B$7="Normal",Controls!$B$8,(Controls!$B$8+Controls!$B$9)/2))+SQRT(1-Controls!$B$10^2)*(Random!Y126-IF(Controls!$B$7="Normal",Controls!$B$8,(Controls!$B$8+Controls!$B$9)/2)))</f>
        <v/>
      </c>
      <c r="F126" s="10" t="str">
        <f>IF(Random!Z126="","",IF(Controls!$B$7="Normal",Controls!$B$8,(Controls!$B$8+Controls!$B$9)/2)+Controls!$B$10*(F125-IF(Controls!$B$7="Normal",Controls!$B$8,(Controls!$B$8+Controls!$B$9)/2))+SQRT(1-Controls!$B$10^2)*(Random!Z126-IF(Controls!$B$7="Normal",Controls!$B$8,(Controls!$B$8+Controls!$B$9)/2)))</f>
        <v/>
      </c>
      <c r="G126" s="10" t="str">
        <f>IF(Random!AA126="","",IF(Controls!$B$7="Normal",Controls!$B$8,(Controls!$B$8+Controls!$B$9)/2)+Controls!$B$10*(G125-IF(Controls!$B$7="Normal",Controls!$B$8,(Controls!$B$8+Controls!$B$9)/2))+SQRT(1-Controls!$B$10^2)*(Random!AA126-IF(Controls!$B$7="Normal",Controls!$B$8,(Controls!$B$8+Controls!$B$9)/2)))</f>
        <v/>
      </c>
      <c r="H126" s="10" t="str">
        <f>IF(Random!AB126="","",IF(Controls!$B$7="Normal",Controls!$B$8,(Controls!$B$8+Controls!$B$9)/2)+Controls!$B$10*(H125-IF(Controls!$B$7="Normal",Controls!$B$8,(Controls!$B$8+Controls!$B$9)/2))+SQRT(1-Controls!$B$10^2)*(Random!AB126-IF(Controls!$B$7="Normal",Controls!$B$8,(Controls!$B$8+Controls!$B$9)/2)))</f>
        <v/>
      </c>
      <c r="I126" s="10" t="str">
        <f>IF(Random!AC126="","",IF(Controls!$B$7="Normal",Controls!$B$8,(Controls!$B$8+Controls!$B$9)/2)+Controls!$B$10*(I125-IF(Controls!$B$7="Normal",Controls!$B$8,(Controls!$B$8+Controls!$B$9)/2))+SQRT(1-Controls!$B$10^2)*(Random!AC126-IF(Controls!$B$7="Normal",Controls!$B$8,(Controls!$B$8+Controls!$B$9)/2)))</f>
        <v/>
      </c>
      <c r="J126" s="10" t="str">
        <f>IF(Random!AD126="","",IF(Controls!$B$7="Normal",Controls!$B$8,(Controls!$B$8+Controls!$B$9)/2)+Controls!$B$10*(J125-IF(Controls!$B$7="Normal",Controls!$B$8,(Controls!$B$8+Controls!$B$9)/2))+SQRT(1-Controls!$B$10^2)*(Random!AD126-IF(Controls!$B$7="Normal",Controls!$B$8,(Controls!$B$8+Controls!$B$9)/2)))</f>
        <v/>
      </c>
      <c r="K126" s="10" t="str">
        <f>IF(Random!AE126="","",IF(Controls!$B$7="Normal",Controls!$B$8,(Controls!$B$8+Controls!$B$9)/2)+Controls!$B$10*(K125-IF(Controls!$B$7="Normal",Controls!$B$8,(Controls!$B$8+Controls!$B$9)/2))+SQRT(1-Controls!$B$10^2)*(Random!AE126-IF(Controls!$B$7="Normal",Controls!$B$8,(Controls!$B$8+Controls!$B$9)/2)))</f>
        <v/>
      </c>
      <c r="L126" s="10" t="str">
        <f>IF($A126="","",IF(AND($A126&gt;=Controls!$B$25,$A126&lt;Controls!$B$25+Controls!$C$25),(Controls!$D$25-1)*EXP(-0.5*(($A126-Controls!$B$25-(Controls!$C$25-1)/2)/MAX(Controls!$C$25/4,0.5))^2),0))</f>
        <v/>
      </c>
      <c r="M126" s="10" t="str">
        <f>IF($A126="","",IF(AND($A126&gt;=Controls!$B$26,$A126&lt;Controls!$B$26+Controls!$C$26),(Controls!$D$26-1)*EXP(-0.5*(($A126-Controls!$B$26-(Controls!$C$26-1)/2)/MAX(Controls!$C$26/4,0.5))^2),0))</f>
        <v/>
      </c>
      <c r="N126" s="10" t="str">
        <f>IF($A126="","",IF(AND($A126&gt;=Controls!$B$27,$A126&lt;Controls!$B$27+Controls!$C$27),(Controls!$D$27-1)*EXP(-0.5*(($A126-Controls!$B$27-(Controls!$C$27-1)/2)/MAX(Controls!$C$27/4,0.5))^2),0))</f>
        <v/>
      </c>
      <c r="O126" s="10" t="str">
        <f>IF($A126="","",IF(AND($A126&gt;=Controls!$B$28,$A126&lt;Controls!$B$28+Controls!$C$28),(Controls!$D$28-1)*EXP(-0.5*(($A126-Controls!$B$28-(Controls!$C$28-1)/2)/MAX(Controls!$C$28/4,0.5))^2),0))</f>
        <v/>
      </c>
      <c r="P126" s="4" t="str">
        <f t="shared" si="1"/>
        <v/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21.0" customHeight="1">
      <c r="A127" s="7" t="str">
        <f>IF(126&lt;=Controls!$B$5,Controls!$B$4+125,"")</f>
        <v/>
      </c>
      <c r="B127" s="10" t="str">
        <f>IF(Random!V127="","",IF(Controls!$B$7="Normal",Controls!$B$8,(Controls!$B$8+Controls!$B$9)/2)+Controls!$B$10*(B126-IF(Controls!$B$7="Normal",Controls!$B$8,(Controls!$B$8+Controls!$B$9)/2))+SQRT(1-Controls!$B$10^2)*(Random!V127-IF(Controls!$B$7="Normal",Controls!$B$8,(Controls!$B$8+Controls!$B$9)/2)))</f>
        <v/>
      </c>
      <c r="C127" s="10" t="str">
        <f>IF(Random!W127="","",IF(Controls!$B$7="Normal",Controls!$B$8,(Controls!$B$8+Controls!$B$9)/2)+Controls!$B$10*(C126-IF(Controls!$B$7="Normal",Controls!$B$8,(Controls!$B$8+Controls!$B$9)/2))+SQRT(1-Controls!$B$10^2)*(Random!W127-IF(Controls!$B$7="Normal",Controls!$B$8,(Controls!$B$8+Controls!$B$9)/2)))</f>
        <v/>
      </c>
      <c r="D127" s="10" t="str">
        <f>IF(Random!X127="","",IF(Controls!$B$7="Normal",Controls!$B$8,(Controls!$B$8+Controls!$B$9)/2)+Controls!$B$10*(D126-IF(Controls!$B$7="Normal",Controls!$B$8,(Controls!$B$8+Controls!$B$9)/2))+SQRT(1-Controls!$B$10^2)*(Random!X127-IF(Controls!$B$7="Normal",Controls!$B$8,(Controls!$B$8+Controls!$B$9)/2)))</f>
        <v/>
      </c>
      <c r="E127" s="10" t="str">
        <f>IF(Random!Y127="","",IF(Controls!$B$7="Normal",Controls!$B$8,(Controls!$B$8+Controls!$B$9)/2)+Controls!$B$10*(E126-IF(Controls!$B$7="Normal",Controls!$B$8,(Controls!$B$8+Controls!$B$9)/2))+SQRT(1-Controls!$B$10^2)*(Random!Y127-IF(Controls!$B$7="Normal",Controls!$B$8,(Controls!$B$8+Controls!$B$9)/2)))</f>
        <v/>
      </c>
      <c r="F127" s="10" t="str">
        <f>IF(Random!Z127="","",IF(Controls!$B$7="Normal",Controls!$B$8,(Controls!$B$8+Controls!$B$9)/2)+Controls!$B$10*(F126-IF(Controls!$B$7="Normal",Controls!$B$8,(Controls!$B$8+Controls!$B$9)/2))+SQRT(1-Controls!$B$10^2)*(Random!Z127-IF(Controls!$B$7="Normal",Controls!$B$8,(Controls!$B$8+Controls!$B$9)/2)))</f>
        <v/>
      </c>
      <c r="G127" s="10" t="str">
        <f>IF(Random!AA127="","",IF(Controls!$B$7="Normal",Controls!$B$8,(Controls!$B$8+Controls!$B$9)/2)+Controls!$B$10*(G126-IF(Controls!$B$7="Normal",Controls!$B$8,(Controls!$B$8+Controls!$B$9)/2))+SQRT(1-Controls!$B$10^2)*(Random!AA127-IF(Controls!$B$7="Normal",Controls!$B$8,(Controls!$B$8+Controls!$B$9)/2)))</f>
        <v/>
      </c>
      <c r="H127" s="10" t="str">
        <f>IF(Random!AB127="","",IF(Controls!$B$7="Normal",Controls!$B$8,(Controls!$B$8+Controls!$B$9)/2)+Controls!$B$10*(H126-IF(Controls!$B$7="Normal",Controls!$B$8,(Controls!$B$8+Controls!$B$9)/2))+SQRT(1-Controls!$B$10^2)*(Random!AB127-IF(Controls!$B$7="Normal",Controls!$B$8,(Controls!$B$8+Controls!$B$9)/2)))</f>
        <v/>
      </c>
      <c r="I127" s="10" t="str">
        <f>IF(Random!AC127="","",IF(Controls!$B$7="Normal",Controls!$B$8,(Controls!$B$8+Controls!$B$9)/2)+Controls!$B$10*(I126-IF(Controls!$B$7="Normal",Controls!$B$8,(Controls!$B$8+Controls!$B$9)/2))+SQRT(1-Controls!$B$10^2)*(Random!AC127-IF(Controls!$B$7="Normal",Controls!$B$8,(Controls!$B$8+Controls!$B$9)/2)))</f>
        <v/>
      </c>
      <c r="J127" s="10" t="str">
        <f>IF(Random!AD127="","",IF(Controls!$B$7="Normal",Controls!$B$8,(Controls!$B$8+Controls!$B$9)/2)+Controls!$B$10*(J126-IF(Controls!$B$7="Normal",Controls!$B$8,(Controls!$B$8+Controls!$B$9)/2))+SQRT(1-Controls!$B$10^2)*(Random!AD127-IF(Controls!$B$7="Normal",Controls!$B$8,(Controls!$B$8+Controls!$B$9)/2)))</f>
        <v/>
      </c>
      <c r="K127" s="10" t="str">
        <f>IF(Random!AE127="","",IF(Controls!$B$7="Normal",Controls!$B$8,(Controls!$B$8+Controls!$B$9)/2)+Controls!$B$10*(K126-IF(Controls!$B$7="Normal",Controls!$B$8,(Controls!$B$8+Controls!$B$9)/2))+SQRT(1-Controls!$B$10^2)*(Random!AE127-IF(Controls!$B$7="Normal",Controls!$B$8,(Controls!$B$8+Controls!$B$9)/2)))</f>
        <v/>
      </c>
      <c r="L127" s="10" t="str">
        <f>IF($A127="","",IF(AND($A127&gt;=Controls!$B$25,$A127&lt;Controls!$B$25+Controls!$C$25),(Controls!$D$25-1)*EXP(-0.5*(($A127-Controls!$B$25-(Controls!$C$25-1)/2)/MAX(Controls!$C$25/4,0.5))^2),0))</f>
        <v/>
      </c>
      <c r="M127" s="10" t="str">
        <f>IF($A127="","",IF(AND($A127&gt;=Controls!$B$26,$A127&lt;Controls!$B$26+Controls!$C$26),(Controls!$D$26-1)*EXP(-0.5*(($A127-Controls!$B$26-(Controls!$C$26-1)/2)/MAX(Controls!$C$26/4,0.5))^2),0))</f>
        <v/>
      </c>
      <c r="N127" s="10" t="str">
        <f>IF($A127="","",IF(AND($A127&gt;=Controls!$B$27,$A127&lt;Controls!$B$27+Controls!$C$27),(Controls!$D$27-1)*EXP(-0.5*(($A127-Controls!$B$27-(Controls!$C$27-1)/2)/MAX(Controls!$C$27/4,0.5))^2),0))</f>
        <v/>
      </c>
      <c r="O127" s="10" t="str">
        <f>IF($A127="","",IF(AND($A127&gt;=Controls!$B$28,$A127&lt;Controls!$B$28+Controls!$C$28),(Controls!$D$28-1)*EXP(-0.5*(($A127-Controls!$B$28-(Controls!$C$28-1)/2)/MAX(Controls!$C$28/4,0.5))^2),0))</f>
        <v/>
      </c>
      <c r="P127" s="4" t="str">
        <f t="shared" si="1"/>
        <v/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21.0" customHeight="1">
      <c r="A128" s="7" t="str">
        <f>IF(127&lt;=Controls!$B$5,Controls!$B$4+126,"")</f>
        <v/>
      </c>
      <c r="B128" s="10" t="str">
        <f>IF(Random!V128="","",IF(Controls!$B$7="Normal",Controls!$B$8,(Controls!$B$8+Controls!$B$9)/2)+Controls!$B$10*(B127-IF(Controls!$B$7="Normal",Controls!$B$8,(Controls!$B$8+Controls!$B$9)/2))+SQRT(1-Controls!$B$10^2)*(Random!V128-IF(Controls!$B$7="Normal",Controls!$B$8,(Controls!$B$8+Controls!$B$9)/2)))</f>
        <v/>
      </c>
      <c r="C128" s="10" t="str">
        <f>IF(Random!W128="","",IF(Controls!$B$7="Normal",Controls!$B$8,(Controls!$B$8+Controls!$B$9)/2)+Controls!$B$10*(C127-IF(Controls!$B$7="Normal",Controls!$B$8,(Controls!$B$8+Controls!$B$9)/2))+SQRT(1-Controls!$B$10^2)*(Random!W128-IF(Controls!$B$7="Normal",Controls!$B$8,(Controls!$B$8+Controls!$B$9)/2)))</f>
        <v/>
      </c>
      <c r="D128" s="10" t="str">
        <f>IF(Random!X128="","",IF(Controls!$B$7="Normal",Controls!$B$8,(Controls!$B$8+Controls!$B$9)/2)+Controls!$B$10*(D127-IF(Controls!$B$7="Normal",Controls!$B$8,(Controls!$B$8+Controls!$B$9)/2))+SQRT(1-Controls!$B$10^2)*(Random!X128-IF(Controls!$B$7="Normal",Controls!$B$8,(Controls!$B$8+Controls!$B$9)/2)))</f>
        <v/>
      </c>
      <c r="E128" s="10" t="str">
        <f>IF(Random!Y128="","",IF(Controls!$B$7="Normal",Controls!$B$8,(Controls!$B$8+Controls!$B$9)/2)+Controls!$B$10*(E127-IF(Controls!$B$7="Normal",Controls!$B$8,(Controls!$B$8+Controls!$B$9)/2))+SQRT(1-Controls!$B$10^2)*(Random!Y128-IF(Controls!$B$7="Normal",Controls!$B$8,(Controls!$B$8+Controls!$B$9)/2)))</f>
        <v/>
      </c>
      <c r="F128" s="10" t="str">
        <f>IF(Random!Z128="","",IF(Controls!$B$7="Normal",Controls!$B$8,(Controls!$B$8+Controls!$B$9)/2)+Controls!$B$10*(F127-IF(Controls!$B$7="Normal",Controls!$B$8,(Controls!$B$8+Controls!$B$9)/2))+SQRT(1-Controls!$B$10^2)*(Random!Z128-IF(Controls!$B$7="Normal",Controls!$B$8,(Controls!$B$8+Controls!$B$9)/2)))</f>
        <v/>
      </c>
      <c r="G128" s="10" t="str">
        <f>IF(Random!AA128="","",IF(Controls!$B$7="Normal",Controls!$B$8,(Controls!$B$8+Controls!$B$9)/2)+Controls!$B$10*(G127-IF(Controls!$B$7="Normal",Controls!$B$8,(Controls!$B$8+Controls!$B$9)/2))+SQRT(1-Controls!$B$10^2)*(Random!AA128-IF(Controls!$B$7="Normal",Controls!$B$8,(Controls!$B$8+Controls!$B$9)/2)))</f>
        <v/>
      </c>
      <c r="H128" s="10" t="str">
        <f>IF(Random!AB128="","",IF(Controls!$B$7="Normal",Controls!$B$8,(Controls!$B$8+Controls!$B$9)/2)+Controls!$B$10*(H127-IF(Controls!$B$7="Normal",Controls!$B$8,(Controls!$B$8+Controls!$B$9)/2))+SQRT(1-Controls!$B$10^2)*(Random!AB128-IF(Controls!$B$7="Normal",Controls!$B$8,(Controls!$B$8+Controls!$B$9)/2)))</f>
        <v/>
      </c>
      <c r="I128" s="10" t="str">
        <f>IF(Random!AC128="","",IF(Controls!$B$7="Normal",Controls!$B$8,(Controls!$B$8+Controls!$B$9)/2)+Controls!$B$10*(I127-IF(Controls!$B$7="Normal",Controls!$B$8,(Controls!$B$8+Controls!$B$9)/2))+SQRT(1-Controls!$B$10^2)*(Random!AC128-IF(Controls!$B$7="Normal",Controls!$B$8,(Controls!$B$8+Controls!$B$9)/2)))</f>
        <v/>
      </c>
      <c r="J128" s="10" t="str">
        <f>IF(Random!AD128="","",IF(Controls!$B$7="Normal",Controls!$B$8,(Controls!$B$8+Controls!$B$9)/2)+Controls!$B$10*(J127-IF(Controls!$B$7="Normal",Controls!$B$8,(Controls!$B$8+Controls!$B$9)/2))+SQRT(1-Controls!$B$10^2)*(Random!AD128-IF(Controls!$B$7="Normal",Controls!$B$8,(Controls!$B$8+Controls!$B$9)/2)))</f>
        <v/>
      </c>
      <c r="K128" s="10" t="str">
        <f>IF(Random!AE128="","",IF(Controls!$B$7="Normal",Controls!$B$8,(Controls!$B$8+Controls!$B$9)/2)+Controls!$B$10*(K127-IF(Controls!$B$7="Normal",Controls!$B$8,(Controls!$B$8+Controls!$B$9)/2))+SQRT(1-Controls!$B$10^2)*(Random!AE128-IF(Controls!$B$7="Normal",Controls!$B$8,(Controls!$B$8+Controls!$B$9)/2)))</f>
        <v/>
      </c>
      <c r="L128" s="10" t="str">
        <f>IF($A128="","",IF(AND($A128&gt;=Controls!$B$25,$A128&lt;Controls!$B$25+Controls!$C$25),(Controls!$D$25-1)*EXP(-0.5*(($A128-Controls!$B$25-(Controls!$C$25-1)/2)/MAX(Controls!$C$25/4,0.5))^2),0))</f>
        <v/>
      </c>
      <c r="M128" s="10" t="str">
        <f>IF($A128="","",IF(AND($A128&gt;=Controls!$B$26,$A128&lt;Controls!$B$26+Controls!$C$26),(Controls!$D$26-1)*EXP(-0.5*(($A128-Controls!$B$26-(Controls!$C$26-1)/2)/MAX(Controls!$C$26/4,0.5))^2),0))</f>
        <v/>
      </c>
      <c r="N128" s="10" t="str">
        <f>IF($A128="","",IF(AND($A128&gt;=Controls!$B$27,$A128&lt;Controls!$B$27+Controls!$C$27),(Controls!$D$27-1)*EXP(-0.5*(($A128-Controls!$B$27-(Controls!$C$27-1)/2)/MAX(Controls!$C$27/4,0.5))^2),0))</f>
        <v/>
      </c>
      <c r="O128" s="10" t="str">
        <f>IF($A128="","",IF(AND($A128&gt;=Controls!$B$28,$A128&lt;Controls!$B$28+Controls!$C$28),(Controls!$D$28-1)*EXP(-0.5*(($A128-Controls!$B$28-(Controls!$C$28-1)/2)/MAX(Controls!$C$28/4,0.5))^2),0))</f>
        <v/>
      </c>
      <c r="P128" s="4" t="str">
        <f t="shared" si="1"/>
        <v/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21.0" customHeight="1">
      <c r="A129" s="7" t="str">
        <f>IF(128&lt;=Controls!$B$5,Controls!$B$4+127,"")</f>
        <v/>
      </c>
      <c r="B129" s="10" t="str">
        <f>IF(Random!V129="","",IF(Controls!$B$7="Normal",Controls!$B$8,(Controls!$B$8+Controls!$B$9)/2)+Controls!$B$10*(B128-IF(Controls!$B$7="Normal",Controls!$B$8,(Controls!$B$8+Controls!$B$9)/2))+SQRT(1-Controls!$B$10^2)*(Random!V129-IF(Controls!$B$7="Normal",Controls!$B$8,(Controls!$B$8+Controls!$B$9)/2)))</f>
        <v/>
      </c>
      <c r="C129" s="10" t="str">
        <f>IF(Random!W129="","",IF(Controls!$B$7="Normal",Controls!$B$8,(Controls!$B$8+Controls!$B$9)/2)+Controls!$B$10*(C128-IF(Controls!$B$7="Normal",Controls!$B$8,(Controls!$B$8+Controls!$B$9)/2))+SQRT(1-Controls!$B$10^2)*(Random!W129-IF(Controls!$B$7="Normal",Controls!$B$8,(Controls!$B$8+Controls!$B$9)/2)))</f>
        <v/>
      </c>
      <c r="D129" s="10" t="str">
        <f>IF(Random!X129="","",IF(Controls!$B$7="Normal",Controls!$B$8,(Controls!$B$8+Controls!$B$9)/2)+Controls!$B$10*(D128-IF(Controls!$B$7="Normal",Controls!$B$8,(Controls!$B$8+Controls!$B$9)/2))+SQRT(1-Controls!$B$10^2)*(Random!X129-IF(Controls!$B$7="Normal",Controls!$B$8,(Controls!$B$8+Controls!$B$9)/2)))</f>
        <v/>
      </c>
      <c r="E129" s="10" t="str">
        <f>IF(Random!Y129="","",IF(Controls!$B$7="Normal",Controls!$B$8,(Controls!$B$8+Controls!$B$9)/2)+Controls!$B$10*(E128-IF(Controls!$B$7="Normal",Controls!$B$8,(Controls!$B$8+Controls!$B$9)/2))+SQRT(1-Controls!$B$10^2)*(Random!Y129-IF(Controls!$B$7="Normal",Controls!$B$8,(Controls!$B$8+Controls!$B$9)/2)))</f>
        <v/>
      </c>
      <c r="F129" s="10" t="str">
        <f>IF(Random!Z129="","",IF(Controls!$B$7="Normal",Controls!$B$8,(Controls!$B$8+Controls!$B$9)/2)+Controls!$B$10*(F128-IF(Controls!$B$7="Normal",Controls!$B$8,(Controls!$B$8+Controls!$B$9)/2))+SQRT(1-Controls!$B$10^2)*(Random!Z129-IF(Controls!$B$7="Normal",Controls!$B$8,(Controls!$B$8+Controls!$B$9)/2)))</f>
        <v/>
      </c>
      <c r="G129" s="10" t="str">
        <f>IF(Random!AA129="","",IF(Controls!$B$7="Normal",Controls!$B$8,(Controls!$B$8+Controls!$B$9)/2)+Controls!$B$10*(G128-IF(Controls!$B$7="Normal",Controls!$B$8,(Controls!$B$8+Controls!$B$9)/2))+SQRT(1-Controls!$B$10^2)*(Random!AA129-IF(Controls!$B$7="Normal",Controls!$B$8,(Controls!$B$8+Controls!$B$9)/2)))</f>
        <v/>
      </c>
      <c r="H129" s="10" t="str">
        <f>IF(Random!AB129="","",IF(Controls!$B$7="Normal",Controls!$B$8,(Controls!$B$8+Controls!$B$9)/2)+Controls!$B$10*(H128-IF(Controls!$B$7="Normal",Controls!$B$8,(Controls!$B$8+Controls!$B$9)/2))+SQRT(1-Controls!$B$10^2)*(Random!AB129-IF(Controls!$B$7="Normal",Controls!$B$8,(Controls!$B$8+Controls!$B$9)/2)))</f>
        <v/>
      </c>
      <c r="I129" s="10" t="str">
        <f>IF(Random!AC129="","",IF(Controls!$B$7="Normal",Controls!$B$8,(Controls!$B$8+Controls!$B$9)/2)+Controls!$B$10*(I128-IF(Controls!$B$7="Normal",Controls!$B$8,(Controls!$B$8+Controls!$B$9)/2))+SQRT(1-Controls!$B$10^2)*(Random!AC129-IF(Controls!$B$7="Normal",Controls!$B$8,(Controls!$B$8+Controls!$B$9)/2)))</f>
        <v/>
      </c>
      <c r="J129" s="10" t="str">
        <f>IF(Random!AD129="","",IF(Controls!$B$7="Normal",Controls!$B$8,(Controls!$B$8+Controls!$B$9)/2)+Controls!$B$10*(J128-IF(Controls!$B$7="Normal",Controls!$B$8,(Controls!$B$8+Controls!$B$9)/2))+SQRT(1-Controls!$B$10^2)*(Random!AD129-IF(Controls!$B$7="Normal",Controls!$B$8,(Controls!$B$8+Controls!$B$9)/2)))</f>
        <v/>
      </c>
      <c r="K129" s="10" t="str">
        <f>IF(Random!AE129="","",IF(Controls!$B$7="Normal",Controls!$B$8,(Controls!$B$8+Controls!$B$9)/2)+Controls!$B$10*(K128-IF(Controls!$B$7="Normal",Controls!$B$8,(Controls!$B$8+Controls!$B$9)/2))+SQRT(1-Controls!$B$10^2)*(Random!AE129-IF(Controls!$B$7="Normal",Controls!$B$8,(Controls!$B$8+Controls!$B$9)/2)))</f>
        <v/>
      </c>
      <c r="L129" s="10" t="str">
        <f>IF($A129="","",IF(AND($A129&gt;=Controls!$B$25,$A129&lt;Controls!$B$25+Controls!$C$25),(Controls!$D$25-1)*EXP(-0.5*(($A129-Controls!$B$25-(Controls!$C$25-1)/2)/MAX(Controls!$C$25/4,0.5))^2),0))</f>
        <v/>
      </c>
      <c r="M129" s="10" t="str">
        <f>IF($A129="","",IF(AND($A129&gt;=Controls!$B$26,$A129&lt;Controls!$B$26+Controls!$C$26),(Controls!$D$26-1)*EXP(-0.5*(($A129-Controls!$B$26-(Controls!$C$26-1)/2)/MAX(Controls!$C$26/4,0.5))^2),0))</f>
        <v/>
      </c>
      <c r="N129" s="10" t="str">
        <f>IF($A129="","",IF(AND($A129&gt;=Controls!$B$27,$A129&lt;Controls!$B$27+Controls!$C$27),(Controls!$D$27-1)*EXP(-0.5*(($A129-Controls!$B$27-(Controls!$C$27-1)/2)/MAX(Controls!$C$27/4,0.5))^2),0))</f>
        <v/>
      </c>
      <c r="O129" s="10" t="str">
        <f>IF($A129="","",IF(AND($A129&gt;=Controls!$B$28,$A129&lt;Controls!$B$28+Controls!$C$28),(Controls!$D$28-1)*EXP(-0.5*(($A129-Controls!$B$28-(Controls!$C$28-1)/2)/MAX(Controls!$C$28/4,0.5))^2),0))</f>
        <v/>
      </c>
      <c r="P129" s="4" t="str">
        <f t="shared" si="1"/>
        <v/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21.0" customHeight="1">
      <c r="A130" s="7" t="str">
        <f>IF(129&lt;=Controls!$B$5,Controls!$B$4+128,"")</f>
        <v/>
      </c>
      <c r="B130" s="10" t="str">
        <f>IF(Random!V130="","",IF(Controls!$B$7="Normal",Controls!$B$8,(Controls!$B$8+Controls!$B$9)/2)+Controls!$B$10*(B129-IF(Controls!$B$7="Normal",Controls!$B$8,(Controls!$B$8+Controls!$B$9)/2))+SQRT(1-Controls!$B$10^2)*(Random!V130-IF(Controls!$B$7="Normal",Controls!$B$8,(Controls!$B$8+Controls!$B$9)/2)))</f>
        <v/>
      </c>
      <c r="C130" s="10" t="str">
        <f>IF(Random!W130="","",IF(Controls!$B$7="Normal",Controls!$B$8,(Controls!$B$8+Controls!$B$9)/2)+Controls!$B$10*(C129-IF(Controls!$B$7="Normal",Controls!$B$8,(Controls!$B$8+Controls!$B$9)/2))+SQRT(1-Controls!$B$10^2)*(Random!W130-IF(Controls!$B$7="Normal",Controls!$B$8,(Controls!$B$8+Controls!$B$9)/2)))</f>
        <v/>
      </c>
      <c r="D130" s="10" t="str">
        <f>IF(Random!X130="","",IF(Controls!$B$7="Normal",Controls!$B$8,(Controls!$B$8+Controls!$B$9)/2)+Controls!$B$10*(D129-IF(Controls!$B$7="Normal",Controls!$B$8,(Controls!$B$8+Controls!$B$9)/2))+SQRT(1-Controls!$B$10^2)*(Random!X130-IF(Controls!$B$7="Normal",Controls!$B$8,(Controls!$B$8+Controls!$B$9)/2)))</f>
        <v/>
      </c>
      <c r="E130" s="10" t="str">
        <f>IF(Random!Y130="","",IF(Controls!$B$7="Normal",Controls!$B$8,(Controls!$B$8+Controls!$B$9)/2)+Controls!$B$10*(E129-IF(Controls!$B$7="Normal",Controls!$B$8,(Controls!$B$8+Controls!$B$9)/2))+SQRT(1-Controls!$B$10^2)*(Random!Y130-IF(Controls!$B$7="Normal",Controls!$B$8,(Controls!$B$8+Controls!$B$9)/2)))</f>
        <v/>
      </c>
      <c r="F130" s="10" t="str">
        <f>IF(Random!Z130="","",IF(Controls!$B$7="Normal",Controls!$B$8,(Controls!$B$8+Controls!$B$9)/2)+Controls!$B$10*(F129-IF(Controls!$B$7="Normal",Controls!$B$8,(Controls!$B$8+Controls!$B$9)/2))+SQRT(1-Controls!$B$10^2)*(Random!Z130-IF(Controls!$B$7="Normal",Controls!$B$8,(Controls!$B$8+Controls!$B$9)/2)))</f>
        <v/>
      </c>
      <c r="G130" s="10" t="str">
        <f>IF(Random!AA130="","",IF(Controls!$B$7="Normal",Controls!$B$8,(Controls!$B$8+Controls!$B$9)/2)+Controls!$B$10*(G129-IF(Controls!$B$7="Normal",Controls!$B$8,(Controls!$B$8+Controls!$B$9)/2))+SQRT(1-Controls!$B$10^2)*(Random!AA130-IF(Controls!$B$7="Normal",Controls!$B$8,(Controls!$B$8+Controls!$B$9)/2)))</f>
        <v/>
      </c>
      <c r="H130" s="10" t="str">
        <f>IF(Random!AB130="","",IF(Controls!$B$7="Normal",Controls!$B$8,(Controls!$B$8+Controls!$B$9)/2)+Controls!$B$10*(H129-IF(Controls!$B$7="Normal",Controls!$B$8,(Controls!$B$8+Controls!$B$9)/2))+SQRT(1-Controls!$B$10^2)*(Random!AB130-IF(Controls!$B$7="Normal",Controls!$B$8,(Controls!$B$8+Controls!$B$9)/2)))</f>
        <v/>
      </c>
      <c r="I130" s="10" t="str">
        <f>IF(Random!AC130="","",IF(Controls!$B$7="Normal",Controls!$B$8,(Controls!$B$8+Controls!$B$9)/2)+Controls!$B$10*(I129-IF(Controls!$B$7="Normal",Controls!$B$8,(Controls!$B$8+Controls!$B$9)/2))+SQRT(1-Controls!$B$10^2)*(Random!AC130-IF(Controls!$B$7="Normal",Controls!$B$8,(Controls!$B$8+Controls!$B$9)/2)))</f>
        <v/>
      </c>
      <c r="J130" s="10" t="str">
        <f>IF(Random!AD130="","",IF(Controls!$B$7="Normal",Controls!$B$8,(Controls!$B$8+Controls!$B$9)/2)+Controls!$B$10*(J129-IF(Controls!$B$7="Normal",Controls!$B$8,(Controls!$B$8+Controls!$B$9)/2))+SQRT(1-Controls!$B$10^2)*(Random!AD130-IF(Controls!$B$7="Normal",Controls!$B$8,(Controls!$B$8+Controls!$B$9)/2)))</f>
        <v/>
      </c>
      <c r="K130" s="10" t="str">
        <f>IF(Random!AE130="","",IF(Controls!$B$7="Normal",Controls!$B$8,(Controls!$B$8+Controls!$B$9)/2)+Controls!$B$10*(K129-IF(Controls!$B$7="Normal",Controls!$B$8,(Controls!$B$8+Controls!$B$9)/2))+SQRT(1-Controls!$B$10^2)*(Random!AE130-IF(Controls!$B$7="Normal",Controls!$B$8,(Controls!$B$8+Controls!$B$9)/2)))</f>
        <v/>
      </c>
      <c r="L130" s="10" t="str">
        <f>IF($A130="","",IF(AND($A130&gt;=Controls!$B$25,$A130&lt;Controls!$B$25+Controls!$C$25),(Controls!$D$25-1)*EXP(-0.5*(($A130-Controls!$B$25-(Controls!$C$25-1)/2)/MAX(Controls!$C$25/4,0.5))^2),0))</f>
        <v/>
      </c>
      <c r="M130" s="10" t="str">
        <f>IF($A130="","",IF(AND($A130&gt;=Controls!$B$26,$A130&lt;Controls!$B$26+Controls!$C$26),(Controls!$D$26-1)*EXP(-0.5*(($A130-Controls!$B$26-(Controls!$C$26-1)/2)/MAX(Controls!$C$26/4,0.5))^2),0))</f>
        <v/>
      </c>
      <c r="N130" s="10" t="str">
        <f>IF($A130="","",IF(AND($A130&gt;=Controls!$B$27,$A130&lt;Controls!$B$27+Controls!$C$27),(Controls!$D$27-1)*EXP(-0.5*(($A130-Controls!$B$27-(Controls!$C$27-1)/2)/MAX(Controls!$C$27/4,0.5))^2),0))</f>
        <v/>
      </c>
      <c r="O130" s="10" t="str">
        <f>IF($A130="","",IF(AND($A130&gt;=Controls!$B$28,$A130&lt;Controls!$B$28+Controls!$C$28),(Controls!$D$28-1)*EXP(-0.5*(($A130-Controls!$B$28-(Controls!$C$28-1)/2)/MAX(Controls!$C$28/4,0.5))^2),0))</f>
        <v/>
      </c>
      <c r="P130" s="4" t="str">
        <f t="shared" si="1"/>
        <v/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21.0" customHeight="1">
      <c r="A131" s="7" t="str">
        <f>IF(130&lt;=Controls!$B$5,Controls!$B$4+129,"")</f>
        <v/>
      </c>
      <c r="B131" s="10" t="str">
        <f>IF(Random!V131="","",IF(Controls!$B$7="Normal",Controls!$B$8,(Controls!$B$8+Controls!$B$9)/2)+Controls!$B$10*(B130-IF(Controls!$B$7="Normal",Controls!$B$8,(Controls!$B$8+Controls!$B$9)/2))+SQRT(1-Controls!$B$10^2)*(Random!V131-IF(Controls!$B$7="Normal",Controls!$B$8,(Controls!$B$8+Controls!$B$9)/2)))</f>
        <v/>
      </c>
      <c r="C131" s="10" t="str">
        <f>IF(Random!W131="","",IF(Controls!$B$7="Normal",Controls!$B$8,(Controls!$B$8+Controls!$B$9)/2)+Controls!$B$10*(C130-IF(Controls!$B$7="Normal",Controls!$B$8,(Controls!$B$8+Controls!$B$9)/2))+SQRT(1-Controls!$B$10^2)*(Random!W131-IF(Controls!$B$7="Normal",Controls!$B$8,(Controls!$B$8+Controls!$B$9)/2)))</f>
        <v/>
      </c>
      <c r="D131" s="10" t="str">
        <f>IF(Random!X131="","",IF(Controls!$B$7="Normal",Controls!$B$8,(Controls!$B$8+Controls!$B$9)/2)+Controls!$B$10*(D130-IF(Controls!$B$7="Normal",Controls!$B$8,(Controls!$B$8+Controls!$B$9)/2))+SQRT(1-Controls!$B$10^2)*(Random!X131-IF(Controls!$B$7="Normal",Controls!$B$8,(Controls!$B$8+Controls!$B$9)/2)))</f>
        <v/>
      </c>
      <c r="E131" s="10" t="str">
        <f>IF(Random!Y131="","",IF(Controls!$B$7="Normal",Controls!$B$8,(Controls!$B$8+Controls!$B$9)/2)+Controls!$B$10*(E130-IF(Controls!$B$7="Normal",Controls!$B$8,(Controls!$B$8+Controls!$B$9)/2))+SQRT(1-Controls!$B$10^2)*(Random!Y131-IF(Controls!$B$7="Normal",Controls!$B$8,(Controls!$B$8+Controls!$B$9)/2)))</f>
        <v/>
      </c>
      <c r="F131" s="10" t="str">
        <f>IF(Random!Z131="","",IF(Controls!$B$7="Normal",Controls!$B$8,(Controls!$B$8+Controls!$B$9)/2)+Controls!$B$10*(F130-IF(Controls!$B$7="Normal",Controls!$B$8,(Controls!$B$8+Controls!$B$9)/2))+SQRT(1-Controls!$B$10^2)*(Random!Z131-IF(Controls!$B$7="Normal",Controls!$B$8,(Controls!$B$8+Controls!$B$9)/2)))</f>
        <v/>
      </c>
      <c r="G131" s="10" t="str">
        <f>IF(Random!AA131="","",IF(Controls!$B$7="Normal",Controls!$B$8,(Controls!$B$8+Controls!$B$9)/2)+Controls!$B$10*(G130-IF(Controls!$B$7="Normal",Controls!$B$8,(Controls!$B$8+Controls!$B$9)/2))+SQRT(1-Controls!$B$10^2)*(Random!AA131-IF(Controls!$B$7="Normal",Controls!$B$8,(Controls!$B$8+Controls!$B$9)/2)))</f>
        <v/>
      </c>
      <c r="H131" s="10" t="str">
        <f>IF(Random!AB131="","",IF(Controls!$B$7="Normal",Controls!$B$8,(Controls!$B$8+Controls!$B$9)/2)+Controls!$B$10*(H130-IF(Controls!$B$7="Normal",Controls!$B$8,(Controls!$B$8+Controls!$B$9)/2))+SQRT(1-Controls!$B$10^2)*(Random!AB131-IF(Controls!$B$7="Normal",Controls!$B$8,(Controls!$B$8+Controls!$B$9)/2)))</f>
        <v/>
      </c>
      <c r="I131" s="10" t="str">
        <f>IF(Random!AC131="","",IF(Controls!$B$7="Normal",Controls!$B$8,(Controls!$B$8+Controls!$B$9)/2)+Controls!$B$10*(I130-IF(Controls!$B$7="Normal",Controls!$B$8,(Controls!$B$8+Controls!$B$9)/2))+SQRT(1-Controls!$B$10^2)*(Random!AC131-IF(Controls!$B$7="Normal",Controls!$B$8,(Controls!$B$8+Controls!$B$9)/2)))</f>
        <v/>
      </c>
      <c r="J131" s="10" t="str">
        <f>IF(Random!AD131="","",IF(Controls!$B$7="Normal",Controls!$B$8,(Controls!$B$8+Controls!$B$9)/2)+Controls!$B$10*(J130-IF(Controls!$B$7="Normal",Controls!$B$8,(Controls!$B$8+Controls!$B$9)/2))+SQRT(1-Controls!$B$10^2)*(Random!AD131-IF(Controls!$B$7="Normal",Controls!$B$8,(Controls!$B$8+Controls!$B$9)/2)))</f>
        <v/>
      </c>
      <c r="K131" s="10" t="str">
        <f>IF(Random!AE131="","",IF(Controls!$B$7="Normal",Controls!$B$8,(Controls!$B$8+Controls!$B$9)/2)+Controls!$B$10*(K130-IF(Controls!$B$7="Normal",Controls!$B$8,(Controls!$B$8+Controls!$B$9)/2))+SQRT(1-Controls!$B$10^2)*(Random!AE131-IF(Controls!$B$7="Normal",Controls!$B$8,(Controls!$B$8+Controls!$B$9)/2)))</f>
        <v/>
      </c>
      <c r="L131" s="10" t="str">
        <f>IF($A131="","",IF(AND($A131&gt;=Controls!$B$25,$A131&lt;Controls!$B$25+Controls!$C$25),(Controls!$D$25-1)*EXP(-0.5*(($A131-Controls!$B$25-(Controls!$C$25-1)/2)/MAX(Controls!$C$25/4,0.5))^2),0))</f>
        <v/>
      </c>
      <c r="M131" s="10" t="str">
        <f>IF($A131="","",IF(AND($A131&gt;=Controls!$B$26,$A131&lt;Controls!$B$26+Controls!$C$26),(Controls!$D$26-1)*EXP(-0.5*(($A131-Controls!$B$26-(Controls!$C$26-1)/2)/MAX(Controls!$C$26/4,0.5))^2),0))</f>
        <v/>
      </c>
      <c r="N131" s="10" t="str">
        <f>IF($A131="","",IF(AND($A131&gt;=Controls!$B$27,$A131&lt;Controls!$B$27+Controls!$C$27),(Controls!$D$27-1)*EXP(-0.5*(($A131-Controls!$B$27-(Controls!$C$27-1)/2)/MAX(Controls!$C$27/4,0.5))^2),0))</f>
        <v/>
      </c>
      <c r="O131" s="10" t="str">
        <f>IF($A131="","",IF(AND($A131&gt;=Controls!$B$28,$A131&lt;Controls!$B$28+Controls!$C$28),(Controls!$D$28-1)*EXP(-0.5*(($A131-Controls!$B$28-(Controls!$C$28-1)/2)/MAX(Controls!$C$28/4,0.5))^2),0))</f>
        <v/>
      </c>
      <c r="P131" s="4" t="str">
        <f t="shared" si="1"/>
        <v/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21.0" customHeight="1">
      <c r="A132" s="7" t="str">
        <f>IF(131&lt;=Controls!$B$5,Controls!$B$4+130,"")</f>
        <v/>
      </c>
      <c r="B132" s="10" t="str">
        <f>IF(Random!V132="","",IF(Controls!$B$7="Normal",Controls!$B$8,(Controls!$B$8+Controls!$B$9)/2)+Controls!$B$10*(B131-IF(Controls!$B$7="Normal",Controls!$B$8,(Controls!$B$8+Controls!$B$9)/2))+SQRT(1-Controls!$B$10^2)*(Random!V132-IF(Controls!$B$7="Normal",Controls!$B$8,(Controls!$B$8+Controls!$B$9)/2)))</f>
        <v/>
      </c>
      <c r="C132" s="10" t="str">
        <f>IF(Random!W132="","",IF(Controls!$B$7="Normal",Controls!$B$8,(Controls!$B$8+Controls!$B$9)/2)+Controls!$B$10*(C131-IF(Controls!$B$7="Normal",Controls!$B$8,(Controls!$B$8+Controls!$B$9)/2))+SQRT(1-Controls!$B$10^2)*(Random!W132-IF(Controls!$B$7="Normal",Controls!$B$8,(Controls!$B$8+Controls!$B$9)/2)))</f>
        <v/>
      </c>
      <c r="D132" s="10" t="str">
        <f>IF(Random!X132="","",IF(Controls!$B$7="Normal",Controls!$B$8,(Controls!$B$8+Controls!$B$9)/2)+Controls!$B$10*(D131-IF(Controls!$B$7="Normal",Controls!$B$8,(Controls!$B$8+Controls!$B$9)/2))+SQRT(1-Controls!$B$10^2)*(Random!X132-IF(Controls!$B$7="Normal",Controls!$B$8,(Controls!$B$8+Controls!$B$9)/2)))</f>
        <v/>
      </c>
      <c r="E132" s="10" t="str">
        <f>IF(Random!Y132="","",IF(Controls!$B$7="Normal",Controls!$B$8,(Controls!$B$8+Controls!$B$9)/2)+Controls!$B$10*(E131-IF(Controls!$B$7="Normal",Controls!$B$8,(Controls!$B$8+Controls!$B$9)/2))+SQRT(1-Controls!$B$10^2)*(Random!Y132-IF(Controls!$B$7="Normal",Controls!$B$8,(Controls!$B$8+Controls!$B$9)/2)))</f>
        <v/>
      </c>
      <c r="F132" s="10" t="str">
        <f>IF(Random!Z132="","",IF(Controls!$B$7="Normal",Controls!$B$8,(Controls!$B$8+Controls!$B$9)/2)+Controls!$B$10*(F131-IF(Controls!$B$7="Normal",Controls!$B$8,(Controls!$B$8+Controls!$B$9)/2))+SQRT(1-Controls!$B$10^2)*(Random!Z132-IF(Controls!$B$7="Normal",Controls!$B$8,(Controls!$B$8+Controls!$B$9)/2)))</f>
        <v/>
      </c>
      <c r="G132" s="10" t="str">
        <f>IF(Random!AA132="","",IF(Controls!$B$7="Normal",Controls!$B$8,(Controls!$B$8+Controls!$B$9)/2)+Controls!$B$10*(G131-IF(Controls!$B$7="Normal",Controls!$B$8,(Controls!$B$8+Controls!$B$9)/2))+SQRT(1-Controls!$B$10^2)*(Random!AA132-IF(Controls!$B$7="Normal",Controls!$B$8,(Controls!$B$8+Controls!$B$9)/2)))</f>
        <v/>
      </c>
      <c r="H132" s="10" t="str">
        <f>IF(Random!AB132="","",IF(Controls!$B$7="Normal",Controls!$B$8,(Controls!$B$8+Controls!$B$9)/2)+Controls!$B$10*(H131-IF(Controls!$B$7="Normal",Controls!$B$8,(Controls!$B$8+Controls!$B$9)/2))+SQRT(1-Controls!$B$10^2)*(Random!AB132-IF(Controls!$B$7="Normal",Controls!$B$8,(Controls!$B$8+Controls!$B$9)/2)))</f>
        <v/>
      </c>
      <c r="I132" s="10" t="str">
        <f>IF(Random!AC132="","",IF(Controls!$B$7="Normal",Controls!$B$8,(Controls!$B$8+Controls!$B$9)/2)+Controls!$B$10*(I131-IF(Controls!$B$7="Normal",Controls!$B$8,(Controls!$B$8+Controls!$B$9)/2))+SQRT(1-Controls!$B$10^2)*(Random!AC132-IF(Controls!$B$7="Normal",Controls!$B$8,(Controls!$B$8+Controls!$B$9)/2)))</f>
        <v/>
      </c>
      <c r="J132" s="10" t="str">
        <f>IF(Random!AD132="","",IF(Controls!$B$7="Normal",Controls!$B$8,(Controls!$B$8+Controls!$B$9)/2)+Controls!$B$10*(J131-IF(Controls!$B$7="Normal",Controls!$B$8,(Controls!$B$8+Controls!$B$9)/2))+SQRT(1-Controls!$B$10^2)*(Random!AD132-IF(Controls!$B$7="Normal",Controls!$B$8,(Controls!$B$8+Controls!$B$9)/2)))</f>
        <v/>
      </c>
      <c r="K132" s="10" t="str">
        <f>IF(Random!AE132="","",IF(Controls!$B$7="Normal",Controls!$B$8,(Controls!$B$8+Controls!$B$9)/2)+Controls!$B$10*(K131-IF(Controls!$B$7="Normal",Controls!$B$8,(Controls!$B$8+Controls!$B$9)/2))+SQRT(1-Controls!$B$10^2)*(Random!AE132-IF(Controls!$B$7="Normal",Controls!$B$8,(Controls!$B$8+Controls!$B$9)/2)))</f>
        <v/>
      </c>
      <c r="L132" s="10" t="str">
        <f>IF($A132="","",IF(AND($A132&gt;=Controls!$B$25,$A132&lt;Controls!$B$25+Controls!$C$25),(Controls!$D$25-1)*EXP(-0.5*(($A132-Controls!$B$25-(Controls!$C$25-1)/2)/MAX(Controls!$C$25/4,0.5))^2),0))</f>
        <v/>
      </c>
      <c r="M132" s="10" t="str">
        <f>IF($A132="","",IF(AND($A132&gt;=Controls!$B$26,$A132&lt;Controls!$B$26+Controls!$C$26),(Controls!$D$26-1)*EXP(-0.5*(($A132-Controls!$B$26-(Controls!$C$26-1)/2)/MAX(Controls!$C$26/4,0.5))^2),0))</f>
        <v/>
      </c>
      <c r="N132" s="10" t="str">
        <f>IF($A132="","",IF(AND($A132&gt;=Controls!$B$27,$A132&lt;Controls!$B$27+Controls!$C$27),(Controls!$D$27-1)*EXP(-0.5*(($A132-Controls!$B$27-(Controls!$C$27-1)/2)/MAX(Controls!$C$27/4,0.5))^2),0))</f>
        <v/>
      </c>
      <c r="O132" s="10" t="str">
        <f>IF($A132="","",IF(AND($A132&gt;=Controls!$B$28,$A132&lt;Controls!$B$28+Controls!$C$28),(Controls!$D$28-1)*EXP(-0.5*(($A132-Controls!$B$28-(Controls!$C$28-1)/2)/MAX(Controls!$C$28/4,0.5))^2),0))</f>
        <v/>
      </c>
      <c r="P132" s="4" t="str">
        <f t="shared" si="1"/>
        <v/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21.0" customHeight="1">
      <c r="A133" s="7" t="str">
        <f>IF(132&lt;=Controls!$B$5,Controls!$B$4+131,"")</f>
        <v/>
      </c>
      <c r="B133" s="10" t="str">
        <f>IF(Random!V133="","",IF(Controls!$B$7="Normal",Controls!$B$8,(Controls!$B$8+Controls!$B$9)/2)+Controls!$B$10*(B132-IF(Controls!$B$7="Normal",Controls!$B$8,(Controls!$B$8+Controls!$B$9)/2))+SQRT(1-Controls!$B$10^2)*(Random!V133-IF(Controls!$B$7="Normal",Controls!$B$8,(Controls!$B$8+Controls!$B$9)/2)))</f>
        <v/>
      </c>
      <c r="C133" s="10" t="str">
        <f>IF(Random!W133="","",IF(Controls!$B$7="Normal",Controls!$B$8,(Controls!$B$8+Controls!$B$9)/2)+Controls!$B$10*(C132-IF(Controls!$B$7="Normal",Controls!$B$8,(Controls!$B$8+Controls!$B$9)/2))+SQRT(1-Controls!$B$10^2)*(Random!W133-IF(Controls!$B$7="Normal",Controls!$B$8,(Controls!$B$8+Controls!$B$9)/2)))</f>
        <v/>
      </c>
      <c r="D133" s="10" t="str">
        <f>IF(Random!X133="","",IF(Controls!$B$7="Normal",Controls!$B$8,(Controls!$B$8+Controls!$B$9)/2)+Controls!$B$10*(D132-IF(Controls!$B$7="Normal",Controls!$B$8,(Controls!$B$8+Controls!$B$9)/2))+SQRT(1-Controls!$B$10^2)*(Random!X133-IF(Controls!$B$7="Normal",Controls!$B$8,(Controls!$B$8+Controls!$B$9)/2)))</f>
        <v/>
      </c>
      <c r="E133" s="10" t="str">
        <f>IF(Random!Y133="","",IF(Controls!$B$7="Normal",Controls!$B$8,(Controls!$B$8+Controls!$B$9)/2)+Controls!$B$10*(E132-IF(Controls!$B$7="Normal",Controls!$B$8,(Controls!$B$8+Controls!$B$9)/2))+SQRT(1-Controls!$B$10^2)*(Random!Y133-IF(Controls!$B$7="Normal",Controls!$B$8,(Controls!$B$8+Controls!$B$9)/2)))</f>
        <v/>
      </c>
      <c r="F133" s="10" t="str">
        <f>IF(Random!Z133="","",IF(Controls!$B$7="Normal",Controls!$B$8,(Controls!$B$8+Controls!$B$9)/2)+Controls!$B$10*(F132-IF(Controls!$B$7="Normal",Controls!$B$8,(Controls!$B$8+Controls!$B$9)/2))+SQRT(1-Controls!$B$10^2)*(Random!Z133-IF(Controls!$B$7="Normal",Controls!$B$8,(Controls!$B$8+Controls!$B$9)/2)))</f>
        <v/>
      </c>
      <c r="G133" s="10" t="str">
        <f>IF(Random!AA133="","",IF(Controls!$B$7="Normal",Controls!$B$8,(Controls!$B$8+Controls!$B$9)/2)+Controls!$B$10*(G132-IF(Controls!$B$7="Normal",Controls!$B$8,(Controls!$B$8+Controls!$B$9)/2))+SQRT(1-Controls!$B$10^2)*(Random!AA133-IF(Controls!$B$7="Normal",Controls!$B$8,(Controls!$B$8+Controls!$B$9)/2)))</f>
        <v/>
      </c>
      <c r="H133" s="10" t="str">
        <f>IF(Random!AB133="","",IF(Controls!$B$7="Normal",Controls!$B$8,(Controls!$B$8+Controls!$B$9)/2)+Controls!$B$10*(H132-IF(Controls!$B$7="Normal",Controls!$B$8,(Controls!$B$8+Controls!$B$9)/2))+SQRT(1-Controls!$B$10^2)*(Random!AB133-IF(Controls!$B$7="Normal",Controls!$B$8,(Controls!$B$8+Controls!$B$9)/2)))</f>
        <v/>
      </c>
      <c r="I133" s="10" t="str">
        <f>IF(Random!AC133="","",IF(Controls!$B$7="Normal",Controls!$B$8,(Controls!$B$8+Controls!$B$9)/2)+Controls!$B$10*(I132-IF(Controls!$B$7="Normal",Controls!$B$8,(Controls!$B$8+Controls!$B$9)/2))+SQRT(1-Controls!$B$10^2)*(Random!AC133-IF(Controls!$B$7="Normal",Controls!$B$8,(Controls!$B$8+Controls!$B$9)/2)))</f>
        <v/>
      </c>
      <c r="J133" s="10" t="str">
        <f>IF(Random!AD133="","",IF(Controls!$B$7="Normal",Controls!$B$8,(Controls!$B$8+Controls!$B$9)/2)+Controls!$B$10*(J132-IF(Controls!$B$7="Normal",Controls!$B$8,(Controls!$B$8+Controls!$B$9)/2))+SQRT(1-Controls!$B$10^2)*(Random!AD133-IF(Controls!$B$7="Normal",Controls!$B$8,(Controls!$B$8+Controls!$B$9)/2)))</f>
        <v/>
      </c>
      <c r="K133" s="10" t="str">
        <f>IF(Random!AE133="","",IF(Controls!$B$7="Normal",Controls!$B$8,(Controls!$B$8+Controls!$B$9)/2)+Controls!$B$10*(K132-IF(Controls!$B$7="Normal",Controls!$B$8,(Controls!$B$8+Controls!$B$9)/2))+SQRT(1-Controls!$B$10^2)*(Random!AE133-IF(Controls!$B$7="Normal",Controls!$B$8,(Controls!$B$8+Controls!$B$9)/2)))</f>
        <v/>
      </c>
      <c r="L133" s="10" t="str">
        <f>IF($A133="","",IF(AND($A133&gt;=Controls!$B$25,$A133&lt;Controls!$B$25+Controls!$C$25),(Controls!$D$25-1)*EXP(-0.5*(($A133-Controls!$B$25-(Controls!$C$25-1)/2)/MAX(Controls!$C$25/4,0.5))^2),0))</f>
        <v/>
      </c>
      <c r="M133" s="10" t="str">
        <f>IF($A133="","",IF(AND($A133&gt;=Controls!$B$26,$A133&lt;Controls!$B$26+Controls!$C$26),(Controls!$D$26-1)*EXP(-0.5*(($A133-Controls!$B$26-(Controls!$C$26-1)/2)/MAX(Controls!$C$26/4,0.5))^2),0))</f>
        <v/>
      </c>
      <c r="N133" s="10" t="str">
        <f>IF($A133="","",IF(AND($A133&gt;=Controls!$B$27,$A133&lt;Controls!$B$27+Controls!$C$27),(Controls!$D$27-1)*EXP(-0.5*(($A133-Controls!$B$27-(Controls!$C$27-1)/2)/MAX(Controls!$C$27/4,0.5))^2),0))</f>
        <v/>
      </c>
      <c r="O133" s="10" t="str">
        <f>IF($A133="","",IF(AND($A133&gt;=Controls!$B$28,$A133&lt;Controls!$B$28+Controls!$C$28),(Controls!$D$28-1)*EXP(-0.5*(($A133-Controls!$B$28-(Controls!$C$28-1)/2)/MAX(Controls!$C$28/4,0.5))^2),0))</f>
        <v/>
      </c>
      <c r="P133" s="4" t="str">
        <f t="shared" si="1"/>
        <v/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21.0" customHeight="1">
      <c r="A134" s="7" t="str">
        <f>IF(133&lt;=Controls!$B$5,Controls!$B$4+132,"")</f>
        <v/>
      </c>
      <c r="B134" s="10" t="str">
        <f>IF(Random!V134="","",IF(Controls!$B$7="Normal",Controls!$B$8,(Controls!$B$8+Controls!$B$9)/2)+Controls!$B$10*(B133-IF(Controls!$B$7="Normal",Controls!$B$8,(Controls!$B$8+Controls!$B$9)/2))+SQRT(1-Controls!$B$10^2)*(Random!V134-IF(Controls!$B$7="Normal",Controls!$B$8,(Controls!$B$8+Controls!$B$9)/2)))</f>
        <v/>
      </c>
      <c r="C134" s="10" t="str">
        <f>IF(Random!W134="","",IF(Controls!$B$7="Normal",Controls!$B$8,(Controls!$B$8+Controls!$B$9)/2)+Controls!$B$10*(C133-IF(Controls!$B$7="Normal",Controls!$B$8,(Controls!$B$8+Controls!$B$9)/2))+SQRT(1-Controls!$B$10^2)*(Random!W134-IF(Controls!$B$7="Normal",Controls!$B$8,(Controls!$B$8+Controls!$B$9)/2)))</f>
        <v/>
      </c>
      <c r="D134" s="10" t="str">
        <f>IF(Random!X134="","",IF(Controls!$B$7="Normal",Controls!$B$8,(Controls!$B$8+Controls!$B$9)/2)+Controls!$B$10*(D133-IF(Controls!$B$7="Normal",Controls!$B$8,(Controls!$B$8+Controls!$B$9)/2))+SQRT(1-Controls!$B$10^2)*(Random!X134-IF(Controls!$B$7="Normal",Controls!$B$8,(Controls!$B$8+Controls!$B$9)/2)))</f>
        <v/>
      </c>
      <c r="E134" s="10" t="str">
        <f>IF(Random!Y134="","",IF(Controls!$B$7="Normal",Controls!$B$8,(Controls!$B$8+Controls!$B$9)/2)+Controls!$B$10*(E133-IF(Controls!$B$7="Normal",Controls!$B$8,(Controls!$B$8+Controls!$B$9)/2))+SQRT(1-Controls!$B$10^2)*(Random!Y134-IF(Controls!$B$7="Normal",Controls!$B$8,(Controls!$B$8+Controls!$B$9)/2)))</f>
        <v/>
      </c>
      <c r="F134" s="10" t="str">
        <f>IF(Random!Z134="","",IF(Controls!$B$7="Normal",Controls!$B$8,(Controls!$B$8+Controls!$B$9)/2)+Controls!$B$10*(F133-IF(Controls!$B$7="Normal",Controls!$B$8,(Controls!$B$8+Controls!$B$9)/2))+SQRT(1-Controls!$B$10^2)*(Random!Z134-IF(Controls!$B$7="Normal",Controls!$B$8,(Controls!$B$8+Controls!$B$9)/2)))</f>
        <v/>
      </c>
      <c r="G134" s="10" t="str">
        <f>IF(Random!AA134="","",IF(Controls!$B$7="Normal",Controls!$B$8,(Controls!$B$8+Controls!$B$9)/2)+Controls!$B$10*(G133-IF(Controls!$B$7="Normal",Controls!$B$8,(Controls!$B$8+Controls!$B$9)/2))+SQRT(1-Controls!$B$10^2)*(Random!AA134-IF(Controls!$B$7="Normal",Controls!$B$8,(Controls!$B$8+Controls!$B$9)/2)))</f>
        <v/>
      </c>
      <c r="H134" s="10" t="str">
        <f>IF(Random!AB134="","",IF(Controls!$B$7="Normal",Controls!$B$8,(Controls!$B$8+Controls!$B$9)/2)+Controls!$B$10*(H133-IF(Controls!$B$7="Normal",Controls!$B$8,(Controls!$B$8+Controls!$B$9)/2))+SQRT(1-Controls!$B$10^2)*(Random!AB134-IF(Controls!$B$7="Normal",Controls!$B$8,(Controls!$B$8+Controls!$B$9)/2)))</f>
        <v/>
      </c>
      <c r="I134" s="10" t="str">
        <f>IF(Random!AC134="","",IF(Controls!$B$7="Normal",Controls!$B$8,(Controls!$B$8+Controls!$B$9)/2)+Controls!$B$10*(I133-IF(Controls!$B$7="Normal",Controls!$B$8,(Controls!$B$8+Controls!$B$9)/2))+SQRT(1-Controls!$B$10^2)*(Random!AC134-IF(Controls!$B$7="Normal",Controls!$B$8,(Controls!$B$8+Controls!$B$9)/2)))</f>
        <v/>
      </c>
      <c r="J134" s="10" t="str">
        <f>IF(Random!AD134="","",IF(Controls!$B$7="Normal",Controls!$B$8,(Controls!$B$8+Controls!$B$9)/2)+Controls!$B$10*(J133-IF(Controls!$B$7="Normal",Controls!$B$8,(Controls!$B$8+Controls!$B$9)/2))+SQRT(1-Controls!$B$10^2)*(Random!AD134-IF(Controls!$B$7="Normal",Controls!$B$8,(Controls!$B$8+Controls!$B$9)/2)))</f>
        <v/>
      </c>
      <c r="K134" s="10" t="str">
        <f>IF(Random!AE134="","",IF(Controls!$B$7="Normal",Controls!$B$8,(Controls!$B$8+Controls!$B$9)/2)+Controls!$B$10*(K133-IF(Controls!$B$7="Normal",Controls!$B$8,(Controls!$B$8+Controls!$B$9)/2))+SQRT(1-Controls!$B$10^2)*(Random!AE134-IF(Controls!$B$7="Normal",Controls!$B$8,(Controls!$B$8+Controls!$B$9)/2)))</f>
        <v/>
      </c>
      <c r="L134" s="10" t="str">
        <f>IF($A134="","",IF(AND($A134&gt;=Controls!$B$25,$A134&lt;Controls!$B$25+Controls!$C$25),(Controls!$D$25-1)*EXP(-0.5*(($A134-Controls!$B$25-(Controls!$C$25-1)/2)/MAX(Controls!$C$25/4,0.5))^2),0))</f>
        <v/>
      </c>
      <c r="M134" s="10" t="str">
        <f>IF($A134="","",IF(AND($A134&gt;=Controls!$B$26,$A134&lt;Controls!$B$26+Controls!$C$26),(Controls!$D$26-1)*EXP(-0.5*(($A134-Controls!$B$26-(Controls!$C$26-1)/2)/MAX(Controls!$C$26/4,0.5))^2),0))</f>
        <v/>
      </c>
      <c r="N134" s="10" t="str">
        <f>IF($A134="","",IF(AND($A134&gt;=Controls!$B$27,$A134&lt;Controls!$B$27+Controls!$C$27),(Controls!$D$27-1)*EXP(-0.5*(($A134-Controls!$B$27-(Controls!$C$27-1)/2)/MAX(Controls!$C$27/4,0.5))^2),0))</f>
        <v/>
      </c>
      <c r="O134" s="10" t="str">
        <f>IF($A134="","",IF(AND($A134&gt;=Controls!$B$28,$A134&lt;Controls!$B$28+Controls!$C$28),(Controls!$D$28-1)*EXP(-0.5*(($A134-Controls!$B$28-(Controls!$C$28-1)/2)/MAX(Controls!$C$28/4,0.5))^2),0))</f>
        <v/>
      </c>
      <c r="P134" s="4" t="str">
        <f t="shared" si="1"/>
        <v/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21.0" customHeight="1">
      <c r="A135" s="7" t="str">
        <f>IF(134&lt;=Controls!$B$5,Controls!$B$4+133,"")</f>
        <v/>
      </c>
      <c r="B135" s="10" t="str">
        <f>IF(Random!V135="","",IF(Controls!$B$7="Normal",Controls!$B$8,(Controls!$B$8+Controls!$B$9)/2)+Controls!$B$10*(B134-IF(Controls!$B$7="Normal",Controls!$B$8,(Controls!$B$8+Controls!$B$9)/2))+SQRT(1-Controls!$B$10^2)*(Random!V135-IF(Controls!$B$7="Normal",Controls!$B$8,(Controls!$B$8+Controls!$B$9)/2)))</f>
        <v/>
      </c>
      <c r="C135" s="10" t="str">
        <f>IF(Random!W135="","",IF(Controls!$B$7="Normal",Controls!$B$8,(Controls!$B$8+Controls!$B$9)/2)+Controls!$B$10*(C134-IF(Controls!$B$7="Normal",Controls!$B$8,(Controls!$B$8+Controls!$B$9)/2))+SQRT(1-Controls!$B$10^2)*(Random!W135-IF(Controls!$B$7="Normal",Controls!$B$8,(Controls!$B$8+Controls!$B$9)/2)))</f>
        <v/>
      </c>
      <c r="D135" s="10" t="str">
        <f>IF(Random!X135="","",IF(Controls!$B$7="Normal",Controls!$B$8,(Controls!$B$8+Controls!$B$9)/2)+Controls!$B$10*(D134-IF(Controls!$B$7="Normal",Controls!$B$8,(Controls!$B$8+Controls!$B$9)/2))+SQRT(1-Controls!$B$10^2)*(Random!X135-IF(Controls!$B$7="Normal",Controls!$B$8,(Controls!$B$8+Controls!$B$9)/2)))</f>
        <v/>
      </c>
      <c r="E135" s="10" t="str">
        <f>IF(Random!Y135="","",IF(Controls!$B$7="Normal",Controls!$B$8,(Controls!$B$8+Controls!$B$9)/2)+Controls!$B$10*(E134-IF(Controls!$B$7="Normal",Controls!$B$8,(Controls!$B$8+Controls!$B$9)/2))+SQRT(1-Controls!$B$10^2)*(Random!Y135-IF(Controls!$B$7="Normal",Controls!$B$8,(Controls!$B$8+Controls!$B$9)/2)))</f>
        <v/>
      </c>
      <c r="F135" s="10" t="str">
        <f>IF(Random!Z135="","",IF(Controls!$B$7="Normal",Controls!$B$8,(Controls!$B$8+Controls!$B$9)/2)+Controls!$B$10*(F134-IF(Controls!$B$7="Normal",Controls!$B$8,(Controls!$B$8+Controls!$B$9)/2))+SQRT(1-Controls!$B$10^2)*(Random!Z135-IF(Controls!$B$7="Normal",Controls!$B$8,(Controls!$B$8+Controls!$B$9)/2)))</f>
        <v/>
      </c>
      <c r="G135" s="10" t="str">
        <f>IF(Random!AA135="","",IF(Controls!$B$7="Normal",Controls!$B$8,(Controls!$B$8+Controls!$B$9)/2)+Controls!$B$10*(G134-IF(Controls!$B$7="Normal",Controls!$B$8,(Controls!$B$8+Controls!$B$9)/2))+SQRT(1-Controls!$B$10^2)*(Random!AA135-IF(Controls!$B$7="Normal",Controls!$B$8,(Controls!$B$8+Controls!$B$9)/2)))</f>
        <v/>
      </c>
      <c r="H135" s="10" t="str">
        <f>IF(Random!AB135="","",IF(Controls!$B$7="Normal",Controls!$B$8,(Controls!$B$8+Controls!$B$9)/2)+Controls!$B$10*(H134-IF(Controls!$B$7="Normal",Controls!$B$8,(Controls!$B$8+Controls!$B$9)/2))+SQRT(1-Controls!$B$10^2)*(Random!AB135-IF(Controls!$B$7="Normal",Controls!$B$8,(Controls!$B$8+Controls!$B$9)/2)))</f>
        <v/>
      </c>
      <c r="I135" s="10" t="str">
        <f>IF(Random!AC135="","",IF(Controls!$B$7="Normal",Controls!$B$8,(Controls!$B$8+Controls!$B$9)/2)+Controls!$B$10*(I134-IF(Controls!$B$7="Normal",Controls!$B$8,(Controls!$B$8+Controls!$B$9)/2))+SQRT(1-Controls!$B$10^2)*(Random!AC135-IF(Controls!$B$7="Normal",Controls!$B$8,(Controls!$B$8+Controls!$B$9)/2)))</f>
        <v/>
      </c>
      <c r="J135" s="10" t="str">
        <f>IF(Random!AD135="","",IF(Controls!$B$7="Normal",Controls!$B$8,(Controls!$B$8+Controls!$B$9)/2)+Controls!$B$10*(J134-IF(Controls!$B$7="Normal",Controls!$B$8,(Controls!$B$8+Controls!$B$9)/2))+SQRT(1-Controls!$B$10^2)*(Random!AD135-IF(Controls!$B$7="Normal",Controls!$B$8,(Controls!$B$8+Controls!$B$9)/2)))</f>
        <v/>
      </c>
      <c r="K135" s="10" t="str">
        <f>IF(Random!AE135="","",IF(Controls!$B$7="Normal",Controls!$B$8,(Controls!$B$8+Controls!$B$9)/2)+Controls!$B$10*(K134-IF(Controls!$B$7="Normal",Controls!$B$8,(Controls!$B$8+Controls!$B$9)/2))+SQRT(1-Controls!$B$10^2)*(Random!AE135-IF(Controls!$B$7="Normal",Controls!$B$8,(Controls!$B$8+Controls!$B$9)/2)))</f>
        <v/>
      </c>
      <c r="L135" s="10" t="str">
        <f>IF($A135="","",IF(AND($A135&gt;=Controls!$B$25,$A135&lt;Controls!$B$25+Controls!$C$25),(Controls!$D$25-1)*EXP(-0.5*(($A135-Controls!$B$25-(Controls!$C$25-1)/2)/MAX(Controls!$C$25/4,0.5))^2),0))</f>
        <v/>
      </c>
      <c r="M135" s="10" t="str">
        <f>IF($A135="","",IF(AND($A135&gt;=Controls!$B$26,$A135&lt;Controls!$B$26+Controls!$C$26),(Controls!$D$26-1)*EXP(-0.5*(($A135-Controls!$B$26-(Controls!$C$26-1)/2)/MAX(Controls!$C$26/4,0.5))^2),0))</f>
        <v/>
      </c>
      <c r="N135" s="10" t="str">
        <f>IF($A135="","",IF(AND($A135&gt;=Controls!$B$27,$A135&lt;Controls!$B$27+Controls!$C$27),(Controls!$D$27-1)*EXP(-0.5*(($A135-Controls!$B$27-(Controls!$C$27-1)/2)/MAX(Controls!$C$27/4,0.5))^2),0))</f>
        <v/>
      </c>
      <c r="O135" s="10" t="str">
        <f>IF($A135="","",IF(AND($A135&gt;=Controls!$B$28,$A135&lt;Controls!$B$28+Controls!$C$28),(Controls!$D$28-1)*EXP(-0.5*(($A135-Controls!$B$28-(Controls!$C$28-1)/2)/MAX(Controls!$C$28/4,0.5))^2),0))</f>
        <v/>
      </c>
      <c r="P135" s="4" t="str">
        <f t="shared" si="1"/>
        <v/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21.0" customHeight="1">
      <c r="A136" s="7" t="str">
        <f>IF(135&lt;=Controls!$B$5,Controls!$B$4+134,"")</f>
        <v/>
      </c>
      <c r="B136" s="10" t="str">
        <f>IF(Random!V136="","",IF(Controls!$B$7="Normal",Controls!$B$8,(Controls!$B$8+Controls!$B$9)/2)+Controls!$B$10*(B135-IF(Controls!$B$7="Normal",Controls!$B$8,(Controls!$B$8+Controls!$B$9)/2))+SQRT(1-Controls!$B$10^2)*(Random!V136-IF(Controls!$B$7="Normal",Controls!$B$8,(Controls!$B$8+Controls!$B$9)/2)))</f>
        <v/>
      </c>
      <c r="C136" s="10" t="str">
        <f>IF(Random!W136="","",IF(Controls!$B$7="Normal",Controls!$B$8,(Controls!$B$8+Controls!$B$9)/2)+Controls!$B$10*(C135-IF(Controls!$B$7="Normal",Controls!$B$8,(Controls!$B$8+Controls!$B$9)/2))+SQRT(1-Controls!$B$10^2)*(Random!W136-IF(Controls!$B$7="Normal",Controls!$B$8,(Controls!$B$8+Controls!$B$9)/2)))</f>
        <v/>
      </c>
      <c r="D136" s="10" t="str">
        <f>IF(Random!X136="","",IF(Controls!$B$7="Normal",Controls!$B$8,(Controls!$B$8+Controls!$B$9)/2)+Controls!$B$10*(D135-IF(Controls!$B$7="Normal",Controls!$B$8,(Controls!$B$8+Controls!$B$9)/2))+SQRT(1-Controls!$B$10^2)*(Random!X136-IF(Controls!$B$7="Normal",Controls!$B$8,(Controls!$B$8+Controls!$B$9)/2)))</f>
        <v/>
      </c>
      <c r="E136" s="10" t="str">
        <f>IF(Random!Y136="","",IF(Controls!$B$7="Normal",Controls!$B$8,(Controls!$B$8+Controls!$B$9)/2)+Controls!$B$10*(E135-IF(Controls!$B$7="Normal",Controls!$B$8,(Controls!$B$8+Controls!$B$9)/2))+SQRT(1-Controls!$B$10^2)*(Random!Y136-IF(Controls!$B$7="Normal",Controls!$B$8,(Controls!$B$8+Controls!$B$9)/2)))</f>
        <v/>
      </c>
      <c r="F136" s="10" t="str">
        <f>IF(Random!Z136="","",IF(Controls!$B$7="Normal",Controls!$B$8,(Controls!$B$8+Controls!$B$9)/2)+Controls!$B$10*(F135-IF(Controls!$B$7="Normal",Controls!$B$8,(Controls!$B$8+Controls!$B$9)/2))+SQRT(1-Controls!$B$10^2)*(Random!Z136-IF(Controls!$B$7="Normal",Controls!$B$8,(Controls!$B$8+Controls!$B$9)/2)))</f>
        <v/>
      </c>
      <c r="G136" s="10" t="str">
        <f>IF(Random!AA136="","",IF(Controls!$B$7="Normal",Controls!$B$8,(Controls!$B$8+Controls!$B$9)/2)+Controls!$B$10*(G135-IF(Controls!$B$7="Normal",Controls!$B$8,(Controls!$B$8+Controls!$B$9)/2))+SQRT(1-Controls!$B$10^2)*(Random!AA136-IF(Controls!$B$7="Normal",Controls!$B$8,(Controls!$B$8+Controls!$B$9)/2)))</f>
        <v/>
      </c>
      <c r="H136" s="10" t="str">
        <f>IF(Random!AB136="","",IF(Controls!$B$7="Normal",Controls!$B$8,(Controls!$B$8+Controls!$B$9)/2)+Controls!$B$10*(H135-IF(Controls!$B$7="Normal",Controls!$B$8,(Controls!$B$8+Controls!$B$9)/2))+SQRT(1-Controls!$B$10^2)*(Random!AB136-IF(Controls!$B$7="Normal",Controls!$B$8,(Controls!$B$8+Controls!$B$9)/2)))</f>
        <v/>
      </c>
      <c r="I136" s="10" t="str">
        <f>IF(Random!AC136="","",IF(Controls!$B$7="Normal",Controls!$B$8,(Controls!$B$8+Controls!$B$9)/2)+Controls!$B$10*(I135-IF(Controls!$B$7="Normal",Controls!$B$8,(Controls!$B$8+Controls!$B$9)/2))+SQRT(1-Controls!$B$10^2)*(Random!AC136-IF(Controls!$B$7="Normal",Controls!$B$8,(Controls!$B$8+Controls!$B$9)/2)))</f>
        <v/>
      </c>
      <c r="J136" s="10" t="str">
        <f>IF(Random!AD136="","",IF(Controls!$B$7="Normal",Controls!$B$8,(Controls!$B$8+Controls!$B$9)/2)+Controls!$B$10*(J135-IF(Controls!$B$7="Normal",Controls!$B$8,(Controls!$B$8+Controls!$B$9)/2))+SQRT(1-Controls!$B$10^2)*(Random!AD136-IF(Controls!$B$7="Normal",Controls!$B$8,(Controls!$B$8+Controls!$B$9)/2)))</f>
        <v/>
      </c>
      <c r="K136" s="10" t="str">
        <f>IF(Random!AE136="","",IF(Controls!$B$7="Normal",Controls!$B$8,(Controls!$B$8+Controls!$B$9)/2)+Controls!$B$10*(K135-IF(Controls!$B$7="Normal",Controls!$B$8,(Controls!$B$8+Controls!$B$9)/2))+SQRT(1-Controls!$B$10^2)*(Random!AE136-IF(Controls!$B$7="Normal",Controls!$B$8,(Controls!$B$8+Controls!$B$9)/2)))</f>
        <v/>
      </c>
      <c r="L136" s="10" t="str">
        <f>IF($A136="","",IF(AND($A136&gt;=Controls!$B$25,$A136&lt;Controls!$B$25+Controls!$C$25),(Controls!$D$25-1)*EXP(-0.5*(($A136-Controls!$B$25-(Controls!$C$25-1)/2)/MAX(Controls!$C$25/4,0.5))^2),0))</f>
        <v/>
      </c>
      <c r="M136" s="10" t="str">
        <f>IF($A136="","",IF(AND($A136&gt;=Controls!$B$26,$A136&lt;Controls!$B$26+Controls!$C$26),(Controls!$D$26-1)*EXP(-0.5*(($A136-Controls!$B$26-(Controls!$C$26-1)/2)/MAX(Controls!$C$26/4,0.5))^2),0))</f>
        <v/>
      </c>
      <c r="N136" s="10" t="str">
        <f>IF($A136="","",IF(AND($A136&gt;=Controls!$B$27,$A136&lt;Controls!$B$27+Controls!$C$27),(Controls!$D$27-1)*EXP(-0.5*(($A136-Controls!$B$27-(Controls!$C$27-1)/2)/MAX(Controls!$C$27/4,0.5))^2),0))</f>
        <v/>
      </c>
      <c r="O136" s="10" t="str">
        <f>IF($A136="","",IF(AND($A136&gt;=Controls!$B$28,$A136&lt;Controls!$B$28+Controls!$C$28),(Controls!$D$28-1)*EXP(-0.5*(($A136-Controls!$B$28-(Controls!$C$28-1)/2)/MAX(Controls!$C$28/4,0.5))^2),0))</f>
        <v/>
      </c>
      <c r="P136" s="4" t="str">
        <f t="shared" si="1"/>
        <v/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21.0" customHeight="1">
      <c r="A137" s="7" t="str">
        <f>IF(136&lt;=Controls!$B$5,Controls!$B$4+135,"")</f>
        <v/>
      </c>
      <c r="B137" s="10" t="str">
        <f>IF(Random!V137="","",IF(Controls!$B$7="Normal",Controls!$B$8,(Controls!$B$8+Controls!$B$9)/2)+Controls!$B$10*(B136-IF(Controls!$B$7="Normal",Controls!$B$8,(Controls!$B$8+Controls!$B$9)/2))+SQRT(1-Controls!$B$10^2)*(Random!V137-IF(Controls!$B$7="Normal",Controls!$B$8,(Controls!$B$8+Controls!$B$9)/2)))</f>
        <v/>
      </c>
      <c r="C137" s="10" t="str">
        <f>IF(Random!W137="","",IF(Controls!$B$7="Normal",Controls!$B$8,(Controls!$B$8+Controls!$B$9)/2)+Controls!$B$10*(C136-IF(Controls!$B$7="Normal",Controls!$B$8,(Controls!$B$8+Controls!$B$9)/2))+SQRT(1-Controls!$B$10^2)*(Random!W137-IF(Controls!$B$7="Normal",Controls!$B$8,(Controls!$B$8+Controls!$B$9)/2)))</f>
        <v/>
      </c>
      <c r="D137" s="10" t="str">
        <f>IF(Random!X137="","",IF(Controls!$B$7="Normal",Controls!$B$8,(Controls!$B$8+Controls!$B$9)/2)+Controls!$B$10*(D136-IF(Controls!$B$7="Normal",Controls!$B$8,(Controls!$B$8+Controls!$B$9)/2))+SQRT(1-Controls!$B$10^2)*(Random!X137-IF(Controls!$B$7="Normal",Controls!$B$8,(Controls!$B$8+Controls!$B$9)/2)))</f>
        <v/>
      </c>
      <c r="E137" s="10" t="str">
        <f>IF(Random!Y137="","",IF(Controls!$B$7="Normal",Controls!$B$8,(Controls!$B$8+Controls!$B$9)/2)+Controls!$B$10*(E136-IF(Controls!$B$7="Normal",Controls!$B$8,(Controls!$B$8+Controls!$B$9)/2))+SQRT(1-Controls!$B$10^2)*(Random!Y137-IF(Controls!$B$7="Normal",Controls!$B$8,(Controls!$B$8+Controls!$B$9)/2)))</f>
        <v/>
      </c>
      <c r="F137" s="10" t="str">
        <f>IF(Random!Z137="","",IF(Controls!$B$7="Normal",Controls!$B$8,(Controls!$B$8+Controls!$B$9)/2)+Controls!$B$10*(F136-IF(Controls!$B$7="Normal",Controls!$B$8,(Controls!$B$8+Controls!$B$9)/2))+SQRT(1-Controls!$B$10^2)*(Random!Z137-IF(Controls!$B$7="Normal",Controls!$B$8,(Controls!$B$8+Controls!$B$9)/2)))</f>
        <v/>
      </c>
      <c r="G137" s="10" t="str">
        <f>IF(Random!AA137="","",IF(Controls!$B$7="Normal",Controls!$B$8,(Controls!$B$8+Controls!$B$9)/2)+Controls!$B$10*(G136-IF(Controls!$B$7="Normal",Controls!$B$8,(Controls!$B$8+Controls!$B$9)/2))+SQRT(1-Controls!$B$10^2)*(Random!AA137-IF(Controls!$B$7="Normal",Controls!$B$8,(Controls!$B$8+Controls!$B$9)/2)))</f>
        <v/>
      </c>
      <c r="H137" s="10" t="str">
        <f>IF(Random!AB137="","",IF(Controls!$B$7="Normal",Controls!$B$8,(Controls!$B$8+Controls!$B$9)/2)+Controls!$B$10*(H136-IF(Controls!$B$7="Normal",Controls!$B$8,(Controls!$B$8+Controls!$B$9)/2))+SQRT(1-Controls!$B$10^2)*(Random!AB137-IF(Controls!$B$7="Normal",Controls!$B$8,(Controls!$B$8+Controls!$B$9)/2)))</f>
        <v/>
      </c>
      <c r="I137" s="10" t="str">
        <f>IF(Random!AC137="","",IF(Controls!$B$7="Normal",Controls!$B$8,(Controls!$B$8+Controls!$B$9)/2)+Controls!$B$10*(I136-IF(Controls!$B$7="Normal",Controls!$B$8,(Controls!$B$8+Controls!$B$9)/2))+SQRT(1-Controls!$B$10^2)*(Random!AC137-IF(Controls!$B$7="Normal",Controls!$B$8,(Controls!$B$8+Controls!$B$9)/2)))</f>
        <v/>
      </c>
      <c r="J137" s="10" t="str">
        <f>IF(Random!AD137="","",IF(Controls!$B$7="Normal",Controls!$B$8,(Controls!$B$8+Controls!$B$9)/2)+Controls!$B$10*(J136-IF(Controls!$B$7="Normal",Controls!$B$8,(Controls!$B$8+Controls!$B$9)/2))+SQRT(1-Controls!$B$10^2)*(Random!AD137-IF(Controls!$B$7="Normal",Controls!$B$8,(Controls!$B$8+Controls!$B$9)/2)))</f>
        <v/>
      </c>
      <c r="K137" s="10" t="str">
        <f>IF(Random!AE137="","",IF(Controls!$B$7="Normal",Controls!$B$8,(Controls!$B$8+Controls!$B$9)/2)+Controls!$B$10*(K136-IF(Controls!$B$7="Normal",Controls!$B$8,(Controls!$B$8+Controls!$B$9)/2))+SQRT(1-Controls!$B$10^2)*(Random!AE137-IF(Controls!$B$7="Normal",Controls!$B$8,(Controls!$B$8+Controls!$B$9)/2)))</f>
        <v/>
      </c>
      <c r="L137" s="10" t="str">
        <f>IF($A137="","",IF(AND($A137&gt;=Controls!$B$25,$A137&lt;Controls!$B$25+Controls!$C$25),(Controls!$D$25-1)*EXP(-0.5*(($A137-Controls!$B$25-(Controls!$C$25-1)/2)/MAX(Controls!$C$25/4,0.5))^2),0))</f>
        <v/>
      </c>
      <c r="M137" s="10" t="str">
        <f>IF($A137="","",IF(AND($A137&gt;=Controls!$B$26,$A137&lt;Controls!$B$26+Controls!$C$26),(Controls!$D$26-1)*EXP(-0.5*(($A137-Controls!$B$26-(Controls!$C$26-1)/2)/MAX(Controls!$C$26/4,0.5))^2),0))</f>
        <v/>
      </c>
      <c r="N137" s="10" t="str">
        <f>IF($A137="","",IF(AND($A137&gt;=Controls!$B$27,$A137&lt;Controls!$B$27+Controls!$C$27),(Controls!$D$27-1)*EXP(-0.5*(($A137-Controls!$B$27-(Controls!$C$27-1)/2)/MAX(Controls!$C$27/4,0.5))^2),0))</f>
        <v/>
      </c>
      <c r="O137" s="10" t="str">
        <f>IF($A137="","",IF(AND($A137&gt;=Controls!$B$28,$A137&lt;Controls!$B$28+Controls!$C$28),(Controls!$D$28-1)*EXP(-0.5*(($A137-Controls!$B$28-(Controls!$C$28-1)/2)/MAX(Controls!$C$28/4,0.5))^2),0))</f>
        <v/>
      </c>
      <c r="P137" s="4" t="str">
        <f t="shared" si="1"/>
        <v/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21.0" customHeight="1">
      <c r="A138" s="7" t="str">
        <f>IF(137&lt;=Controls!$B$5,Controls!$B$4+136,"")</f>
        <v/>
      </c>
      <c r="B138" s="10" t="str">
        <f>IF(Random!V138="","",IF(Controls!$B$7="Normal",Controls!$B$8,(Controls!$B$8+Controls!$B$9)/2)+Controls!$B$10*(B137-IF(Controls!$B$7="Normal",Controls!$B$8,(Controls!$B$8+Controls!$B$9)/2))+SQRT(1-Controls!$B$10^2)*(Random!V138-IF(Controls!$B$7="Normal",Controls!$B$8,(Controls!$B$8+Controls!$B$9)/2)))</f>
        <v/>
      </c>
      <c r="C138" s="10" t="str">
        <f>IF(Random!W138="","",IF(Controls!$B$7="Normal",Controls!$B$8,(Controls!$B$8+Controls!$B$9)/2)+Controls!$B$10*(C137-IF(Controls!$B$7="Normal",Controls!$B$8,(Controls!$B$8+Controls!$B$9)/2))+SQRT(1-Controls!$B$10^2)*(Random!W138-IF(Controls!$B$7="Normal",Controls!$B$8,(Controls!$B$8+Controls!$B$9)/2)))</f>
        <v/>
      </c>
      <c r="D138" s="10" t="str">
        <f>IF(Random!X138="","",IF(Controls!$B$7="Normal",Controls!$B$8,(Controls!$B$8+Controls!$B$9)/2)+Controls!$B$10*(D137-IF(Controls!$B$7="Normal",Controls!$B$8,(Controls!$B$8+Controls!$B$9)/2))+SQRT(1-Controls!$B$10^2)*(Random!X138-IF(Controls!$B$7="Normal",Controls!$B$8,(Controls!$B$8+Controls!$B$9)/2)))</f>
        <v/>
      </c>
      <c r="E138" s="10" t="str">
        <f>IF(Random!Y138="","",IF(Controls!$B$7="Normal",Controls!$B$8,(Controls!$B$8+Controls!$B$9)/2)+Controls!$B$10*(E137-IF(Controls!$B$7="Normal",Controls!$B$8,(Controls!$B$8+Controls!$B$9)/2))+SQRT(1-Controls!$B$10^2)*(Random!Y138-IF(Controls!$B$7="Normal",Controls!$B$8,(Controls!$B$8+Controls!$B$9)/2)))</f>
        <v/>
      </c>
      <c r="F138" s="10" t="str">
        <f>IF(Random!Z138="","",IF(Controls!$B$7="Normal",Controls!$B$8,(Controls!$B$8+Controls!$B$9)/2)+Controls!$B$10*(F137-IF(Controls!$B$7="Normal",Controls!$B$8,(Controls!$B$8+Controls!$B$9)/2))+SQRT(1-Controls!$B$10^2)*(Random!Z138-IF(Controls!$B$7="Normal",Controls!$B$8,(Controls!$B$8+Controls!$B$9)/2)))</f>
        <v/>
      </c>
      <c r="G138" s="10" t="str">
        <f>IF(Random!AA138="","",IF(Controls!$B$7="Normal",Controls!$B$8,(Controls!$B$8+Controls!$B$9)/2)+Controls!$B$10*(G137-IF(Controls!$B$7="Normal",Controls!$B$8,(Controls!$B$8+Controls!$B$9)/2))+SQRT(1-Controls!$B$10^2)*(Random!AA138-IF(Controls!$B$7="Normal",Controls!$B$8,(Controls!$B$8+Controls!$B$9)/2)))</f>
        <v/>
      </c>
      <c r="H138" s="10" t="str">
        <f>IF(Random!AB138="","",IF(Controls!$B$7="Normal",Controls!$B$8,(Controls!$B$8+Controls!$B$9)/2)+Controls!$B$10*(H137-IF(Controls!$B$7="Normal",Controls!$B$8,(Controls!$B$8+Controls!$B$9)/2))+SQRT(1-Controls!$B$10^2)*(Random!AB138-IF(Controls!$B$7="Normal",Controls!$B$8,(Controls!$B$8+Controls!$B$9)/2)))</f>
        <v/>
      </c>
      <c r="I138" s="10" t="str">
        <f>IF(Random!AC138="","",IF(Controls!$B$7="Normal",Controls!$B$8,(Controls!$B$8+Controls!$B$9)/2)+Controls!$B$10*(I137-IF(Controls!$B$7="Normal",Controls!$B$8,(Controls!$B$8+Controls!$B$9)/2))+SQRT(1-Controls!$B$10^2)*(Random!AC138-IF(Controls!$B$7="Normal",Controls!$B$8,(Controls!$B$8+Controls!$B$9)/2)))</f>
        <v/>
      </c>
      <c r="J138" s="10" t="str">
        <f>IF(Random!AD138="","",IF(Controls!$B$7="Normal",Controls!$B$8,(Controls!$B$8+Controls!$B$9)/2)+Controls!$B$10*(J137-IF(Controls!$B$7="Normal",Controls!$B$8,(Controls!$B$8+Controls!$B$9)/2))+SQRT(1-Controls!$B$10^2)*(Random!AD138-IF(Controls!$B$7="Normal",Controls!$B$8,(Controls!$B$8+Controls!$B$9)/2)))</f>
        <v/>
      </c>
      <c r="K138" s="10" t="str">
        <f>IF(Random!AE138="","",IF(Controls!$B$7="Normal",Controls!$B$8,(Controls!$B$8+Controls!$B$9)/2)+Controls!$B$10*(K137-IF(Controls!$B$7="Normal",Controls!$B$8,(Controls!$B$8+Controls!$B$9)/2))+SQRT(1-Controls!$B$10^2)*(Random!AE138-IF(Controls!$B$7="Normal",Controls!$B$8,(Controls!$B$8+Controls!$B$9)/2)))</f>
        <v/>
      </c>
      <c r="L138" s="10" t="str">
        <f>IF($A138="","",IF(AND($A138&gt;=Controls!$B$25,$A138&lt;Controls!$B$25+Controls!$C$25),(Controls!$D$25-1)*EXP(-0.5*(($A138-Controls!$B$25-(Controls!$C$25-1)/2)/MAX(Controls!$C$25/4,0.5))^2),0))</f>
        <v/>
      </c>
      <c r="M138" s="10" t="str">
        <f>IF($A138="","",IF(AND($A138&gt;=Controls!$B$26,$A138&lt;Controls!$B$26+Controls!$C$26),(Controls!$D$26-1)*EXP(-0.5*(($A138-Controls!$B$26-(Controls!$C$26-1)/2)/MAX(Controls!$C$26/4,0.5))^2),0))</f>
        <v/>
      </c>
      <c r="N138" s="10" t="str">
        <f>IF($A138="","",IF(AND($A138&gt;=Controls!$B$27,$A138&lt;Controls!$B$27+Controls!$C$27),(Controls!$D$27-1)*EXP(-0.5*(($A138-Controls!$B$27-(Controls!$C$27-1)/2)/MAX(Controls!$C$27/4,0.5))^2),0))</f>
        <v/>
      </c>
      <c r="O138" s="10" t="str">
        <f>IF($A138="","",IF(AND($A138&gt;=Controls!$B$28,$A138&lt;Controls!$B$28+Controls!$C$28),(Controls!$D$28-1)*EXP(-0.5*(($A138-Controls!$B$28-(Controls!$C$28-1)/2)/MAX(Controls!$C$28/4,0.5))^2),0))</f>
        <v/>
      </c>
      <c r="P138" s="4" t="str">
        <f t="shared" si="1"/>
        <v/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21.0" customHeight="1">
      <c r="A139" s="7" t="str">
        <f>IF(138&lt;=Controls!$B$5,Controls!$B$4+137,"")</f>
        <v/>
      </c>
      <c r="B139" s="10" t="str">
        <f>IF(Random!V139="","",IF(Controls!$B$7="Normal",Controls!$B$8,(Controls!$B$8+Controls!$B$9)/2)+Controls!$B$10*(B138-IF(Controls!$B$7="Normal",Controls!$B$8,(Controls!$B$8+Controls!$B$9)/2))+SQRT(1-Controls!$B$10^2)*(Random!V139-IF(Controls!$B$7="Normal",Controls!$B$8,(Controls!$B$8+Controls!$B$9)/2)))</f>
        <v/>
      </c>
      <c r="C139" s="10" t="str">
        <f>IF(Random!W139="","",IF(Controls!$B$7="Normal",Controls!$B$8,(Controls!$B$8+Controls!$B$9)/2)+Controls!$B$10*(C138-IF(Controls!$B$7="Normal",Controls!$B$8,(Controls!$B$8+Controls!$B$9)/2))+SQRT(1-Controls!$B$10^2)*(Random!W139-IF(Controls!$B$7="Normal",Controls!$B$8,(Controls!$B$8+Controls!$B$9)/2)))</f>
        <v/>
      </c>
      <c r="D139" s="10" t="str">
        <f>IF(Random!X139="","",IF(Controls!$B$7="Normal",Controls!$B$8,(Controls!$B$8+Controls!$B$9)/2)+Controls!$B$10*(D138-IF(Controls!$B$7="Normal",Controls!$B$8,(Controls!$B$8+Controls!$B$9)/2))+SQRT(1-Controls!$B$10^2)*(Random!X139-IF(Controls!$B$7="Normal",Controls!$B$8,(Controls!$B$8+Controls!$B$9)/2)))</f>
        <v/>
      </c>
      <c r="E139" s="10" t="str">
        <f>IF(Random!Y139="","",IF(Controls!$B$7="Normal",Controls!$B$8,(Controls!$B$8+Controls!$B$9)/2)+Controls!$B$10*(E138-IF(Controls!$B$7="Normal",Controls!$B$8,(Controls!$B$8+Controls!$B$9)/2))+SQRT(1-Controls!$B$10^2)*(Random!Y139-IF(Controls!$B$7="Normal",Controls!$B$8,(Controls!$B$8+Controls!$B$9)/2)))</f>
        <v/>
      </c>
      <c r="F139" s="10" t="str">
        <f>IF(Random!Z139="","",IF(Controls!$B$7="Normal",Controls!$B$8,(Controls!$B$8+Controls!$B$9)/2)+Controls!$B$10*(F138-IF(Controls!$B$7="Normal",Controls!$B$8,(Controls!$B$8+Controls!$B$9)/2))+SQRT(1-Controls!$B$10^2)*(Random!Z139-IF(Controls!$B$7="Normal",Controls!$B$8,(Controls!$B$8+Controls!$B$9)/2)))</f>
        <v/>
      </c>
      <c r="G139" s="10" t="str">
        <f>IF(Random!AA139="","",IF(Controls!$B$7="Normal",Controls!$B$8,(Controls!$B$8+Controls!$B$9)/2)+Controls!$B$10*(G138-IF(Controls!$B$7="Normal",Controls!$B$8,(Controls!$B$8+Controls!$B$9)/2))+SQRT(1-Controls!$B$10^2)*(Random!AA139-IF(Controls!$B$7="Normal",Controls!$B$8,(Controls!$B$8+Controls!$B$9)/2)))</f>
        <v/>
      </c>
      <c r="H139" s="10" t="str">
        <f>IF(Random!AB139="","",IF(Controls!$B$7="Normal",Controls!$B$8,(Controls!$B$8+Controls!$B$9)/2)+Controls!$B$10*(H138-IF(Controls!$B$7="Normal",Controls!$B$8,(Controls!$B$8+Controls!$B$9)/2))+SQRT(1-Controls!$B$10^2)*(Random!AB139-IF(Controls!$B$7="Normal",Controls!$B$8,(Controls!$B$8+Controls!$B$9)/2)))</f>
        <v/>
      </c>
      <c r="I139" s="10" t="str">
        <f>IF(Random!AC139="","",IF(Controls!$B$7="Normal",Controls!$B$8,(Controls!$B$8+Controls!$B$9)/2)+Controls!$B$10*(I138-IF(Controls!$B$7="Normal",Controls!$B$8,(Controls!$B$8+Controls!$B$9)/2))+SQRT(1-Controls!$B$10^2)*(Random!AC139-IF(Controls!$B$7="Normal",Controls!$B$8,(Controls!$B$8+Controls!$B$9)/2)))</f>
        <v/>
      </c>
      <c r="J139" s="10" t="str">
        <f>IF(Random!AD139="","",IF(Controls!$B$7="Normal",Controls!$B$8,(Controls!$B$8+Controls!$B$9)/2)+Controls!$B$10*(J138-IF(Controls!$B$7="Normal",Controls!$B$8,(Controls!$B$8+Controls!$B$9)/2))+SQRT(1-Controls!$B$10^2)*(Random!AD139-IF(Controls!$B$7="Normal",Controls!$B$8,(Controls!$B$8+Controls!$B$9)/2)))</f>
        <v/>
      </c>
      <c r="K139" s="10" t="str">
        <f>IF(Random!AE139="","",IF(Controls!$B$7="Normal",Controls!$B$8,(Controls!$B$8+Controls!$B$9)/2)+Controls!$B$10*(K138-IF(Controls!$B$7="Normal",Controls!$B$8,(Controls!$B$8+Controls!$B$9)/2))+SQRT(1-Controls!$B$10^2)*(Random!AE139-IF(Controls!$B$7="Normal",Controls!$B$8,(Controls!$B$8+Controls!$B$9)/2)))</f>
        <v/>
      </c>
      <c r="L139" s="10" t="str">
        <f>IF($A139="","",IF(AND($A139&gt;=Controls!$B$25,$A139&lt;Controls!$B$25+Controls!$C$25),(Controls!$D$25-1)*EXP(-0.5*(($A139-Controls!$B$25-(Controls!$C$25-1)/2)/MAX(Controls!$C$25/4,0.5))^2),0))</f>
        <v/>
      </c>
      <c r="M139" s="10" t="str">
        <f>IF($A139="","",IF(AND($A139&gt;=Controls!$B$26,$A139&lt;Controls!$B$26+Controls!$C$26),(Controls!$D$26-1)*EXP(-0.5*(($A139-Controls!$B$26-(Controls!$C$26-1)/2)/MAX(Controls!$C$26/4,0.5))^2),0))</f>
        <v/>
      </c>
      <c r="N139" s="10" t="str">
        <f>IF($A139="","",IF(AND($A139&gt;=Controls!$B$27,$A139&lt;Controls!$B$27+Controls!$C$27),(Controls!$D$27-1)*EXP(-0.5*(($A139-Controls!$B$27-(Controls!$C$27-1)/2)/MAX(Controls!$C$27/4,0.5))^2),0))</f>
        <v/>
      </c>
      <c r="O139" s="10" t="str">
        <f>IF($A139="","",IF(AND($A139&gt;=Controls!$B$28,$A139&lt;Controls!$B$28+Controls!$C$28),(Controls!$D$28-1)*EXP(-0.5*(($A139-Controls!$B$28-(Controls!$C$28-1)/2)/MAX(Controls!$C$28/4,0.5))^2),0))</f>
        <v/>
      </c>
      <c r="P139" s="4" t="str">
        <f t="shared" si="1"/>
        <v/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21.0" customHeight="1">
      <c r="A140" s="7" t="str">
        <f>IF(139&lt;=Controls!$B$5,Controls!$B$4+138,"")</f>
        <v/>
      </c>
      <c r="B140" s="10" t="str">
        <f>IF(Random!V140="","",IF(Controls!$B$7="Normal",Controls!$B$8,(Controls!$B$8+Controls!$B$9)/2)+Controls!$B$10*(B139-IF(Controls!$B$7="Normal",Controls!$B$8,(Controls!$B$8+Controls!$B$9)/2))+SQRT(1-Controls!$B$10^2)*(Random!V140-IF(Controls!$B$7="Normal",Controls!$B$8,(Controls!$B$8+Controls!$B$9)/2)))</f>
        <v/>
      </c>
      <c r="C140" s="10" t="str">
        <f>IF(Random!W140="","",IF(Controls!$B$7="Normal",Controls!$B$8,(Controls!$B$8+Controls!$B$9)/2)+Controls!$B$10*(C139-IF(Controls!$B$7="Normal",Controls!$B$8,(Controls!$B$8+Controls!$B$9)/2))+SQRT(1-Controls!$B$10^2)*(Random!W140-IF(Controls!$B$7="Normal",Controls!$B$8,(Controls!$B$8+Controls!$B$9)/2)))</f>
        <v/>
      </c>
      <c r="D140" s="10" t="str">
        <f>IF(Random!X140="","",IF(Controls!$B$7="Normal",Controls!$B$8,(Controls!$B$8+Controls!$B$9)/2)+Controls!$B$10*(D139-IF(Controls!$B$7="Normal",Controls!$B$8,(Controls!$B$8+Controls!$B$9)/2))+SQRT(1-Controls!$B$10^2)*(Random!X140-IF(Controls!$B$7="Normal",Controls!$B$8,(Controls!$B$8+Controls!$B$9)/2)))</f>
        <v/>
      </c>
      <c r="E140" s="10" t="str">
        <f>IF(Random!Y140="","",IF(Controls!$B$7="Normal",Controls!$B$8,(Controls!$B$8+Controls!$B$9)/2)+Controls!$B$10*(E139-IF(Controls!$B$7="Normal",Controls!$B$8,(Controls!$B$8+Controls!$B$9)/2))+SQRT(1-Controls!$B$10^2)*(Random!Y140-IF(Controls!$B$7="Normal",Controls!$B$8,(Controls!$B$8+Controls!$B$9)/2)))</f>
        <v/>
      </c>
      <c r="F140" s="10" t="str">
        <f>IF(Random!Z140="","",IF(Controls!$B$7="Normal",Controls!$B$8,(Controls!$B$8+Controls!$B$9)/2)+Controls!$B$10*(F139-IF(Controls!$B$7="Normal",Controls!$B$8,(Controls!$B$8+Controls!$B$9)/2))+SQRT(1-Controls!$B$10^2)*(Random!Z140-IF(Controls!$B$7="Normal",Controls!$B$8,(Controls!$B$8+Controls!$B$9)/2)))</f>
        <v/>
      </c>
      <c r="G140" s="10" t="str">
        <f>IF(Random!AA140="","",IF(Controls!$B$7="Normal",Controls!$B$8,(Controls!$B$8+Controls!$B$9)/2)+Controls!$B$10*(G139-IF(Controls!$B$7="Normal",Controls!$B$8,(Controls!$B$8+Controls!$B$9)/2))+SQRT(1-Controls!$B$10^2)*(Random!AA140-IF(Controls!$B$7="Normal",Controls!$B$8,(Controls!$B$8+Controls!$B$9)/2)))</f>
        <v/>
      </c>
      <c r="H140" s="10" t="str">
        <f>IF(Random!AB140="","",IF(Controls!$B$7="Normal",Controls!$B$8,(Controls!$B$8+Controls!$B$9)/2)+Controls!$B$10*(H139-IF(Controls!$B$7="Normal",Controls!$B$8,(Controls!$B$8+Controls!$B$9)/2))+SQRT(1-Controls!$B$10^2)*(Random!AB140-IF(Controls!$B$7="Normal",Controls!$B$8,(Controls!$B$8+Controls!$B$9)/2)))</f>
        <v/>
      </c>
      <c r="I140" s="10" t="str">
        <f>IF(Random!AC140="","",IF(Controls!$B$7="Normal",Controls!$B$8,(Controls!$B$8+Controls!$B$9)/2)+Controls!$B$10*(I139-IF(Controls!$B$7="Normal",Controls!$B$8,(Controls!$B$8+Controls!$B$9)/2))+SQRT(1-Controls!$B$10^2)*(Random!AC140-IF(Controls!$B$7="Normal",Controls!$B$8,(Controls!$B$8+Controls!$B$9)/2)))</f>
        <v/>
      </c>
      <c r="J140" s="10" t="str">
        <f>IF(Random!AD140="","",IF(Controls!$B$7="Normal",Controls!$B$8,(Controls!$B$8+Controls!$B$9)/2)+Controls!$B$10*(J139-IF(Controls!$B$7="Normal",Controls!$B$8,(Controls!$B$8+Controls!$B$9)/2))+SQRT(1-Controls!$B$10^2)*(Random!AD140-IF(Controls!$B$7="Normal",Controls!$B$8,(Controls!$B$8+Controls!$B$9)/2)))</f>
        <v/>
      </c>
      <c r="K140" s="10" t="str">
        <f>IF(Random!AE140="","",IF(Controls!$B$7="Normal",Controls!$B$8,(Controls!$B$8+Controls!$B$9)/2)+Controls!$B$10*(K139-IF(Controls!$B$7="Normal",Controls!$B$8,(Controls!$B$8+Controls!$B$9)/2))+SQRT(1-Controls!$B$10^2)*(Random!AE140-IF(Controls!$B$7="Normal",Controls!$B$8,(Controls!$B$8+Controls!$B$9)/2)))</f>
        <v/>
      </c>
      <c r="L140" s="10" t="str">
        <f>IF($A140="","",IF(AND($A140&gt;=Controls!$B$25,$A140&lt;Controls!$B$25+Controls!$C$25),(Controls!$D$25-1)*EXP(-0.5*(($A140-Controls!$B$25-(Controls!$C$25-1)/2)/MAX(Controls!$C$25/4,0.5))^2),0))</f>
        <v/>
      </c>
      <c r="M140" s="10" t="str">
        <f>IF($A140="","",IF(AND($A140&gt;=Controls!$B$26,$A140&lt;Controls!$B$26+Controls!$C$26),(Controls!$D$26-1)*EXP(-0.5*(($A140-Controls!$B$26-(Controls!$C$26-1)/2)/MAX(Controls!$C$26/4,0.5))^2),0))</f>
        <v/>
      </c>
      <c r="N140" s="10" t="str">
        <f>IF($A140="","",IF(AND($A140&gt;=Controls!$B$27,$A140&lt;Controls!$B$27+Controls!$C$27),(Controls!$D$27-1)*EXP(-0.5*(($A140-Controls!$B$27-(Controls!$C$27-1)/2)/MAX(Controls!$C$27/4,0.5))^2),0))</f>
        <v/>
      </c>
      <c r="O140" s="10" t="str">
        <f>IF($A140="","",IF(AND($A140&gt;=Controls!$B$28,$A140&lt;Controls!$B$28+Controls!$C$28),(Controls!$D$28-1)*EXP(-0.5*(($A140-Controls!$B$28-(Controls!$C$28-1)/2)/MAX(Controls!$C$28/4,0.5))^2),0))</f>
        <v/>
      </c>
      <c r="P140" s="4" t="str">
        <f t="shared" si="1"/>
        <v/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21.0" customHeight="1">
      <c r="A141" s="7" t="str">
        <f>IF(140&lt;=Controls!$B$5,Controls!$B$4+139,"")</f>
        <v/>
      </c>
      <c r="B141" s="10" t="str">
        <f>IF(Random!V141="","",IF(Controls!$B$7="Normal",Controls!$B$8,(Controls!$B$8+Controls!$B$9)/2)+Controls!$B$10*(B140-IF(Controls!$B$7="Normal",Controls!$B$8,(Controls!$B$8+Controls!$B$9)/2))+SQRT(1-Controls!$B$10^2)*(Random!V141-IF(Controls!$B$7="Normal",Controls!$B$8,(Controls!$B$8+Controls!$B$9)/2)))</f>
        <v/>
      </c>
      <c r="C141" s="10" t="str">
        <f>IF(Random!W141="","",IF(Controls!$B$7="Normal",Controls!$B$8,(Controls!$B$8+Controls!$B$9)/2)+Controls!$B$10*(C140-IF(Controls!$B$7="Normal",Controls!$B$8,(Controls!$B$8+Controls!$B$9)/2))+SQRT(1-Controls!$B$10^2)*(Random!W141-IF(Controls!$B$7="Normal",Controls!$B$8,(Controls!$B$8+Controls!$B$9)/2)))</f>
        <v/>
      </c>
      <c r="D141" s="10" t="str">
        <f>IF(Random!X141="","",IF(Controls!$B$7="Normal",Controls!$B$8,(Controls!$B$8+Controls!$B$9)/2)+Controls!$B$10*(D140-IF(Controls!$B$7="Normal",Controls!$B$8,(Controls!$B$8+Controls!$B$9)/2))+SQRT(1-Controls!$B$10^2)*(Random!X141-IF(Controls!$B$7="Normal",Controls!$B$8,(Controls!$B$8+Controls!$B$9)/2)))</f>
        <v/>
      </c>
      <c r="E141" s="10" t="str">
        <f>IF(Random!Y141="","",IF(Controls!$B$7="Normal",Controls!$B$8,(Controls!$B$8+Controls!$B$9)/2)+Controls!$B$10*(E140-IF(Controls!$B$7="Normal",Controls!$B$8,(Controls!$B$8+Controls!$B$9)/2))+SQRT(1-Controls!$B$10^2)*(Random!Y141-IF(Controls!$B$7="Normal",Controls!$B$8,(Controls!$B$8+Controls!$B$9)/2)))</f>
        <v/>
      </c>
      <c r="F141" s="10" t="str">
        <f>IF(Random!Z141="","",IF(Controls!$B$7="Normal",Controls!$B$8,(Controls!$B$8+Controls!$B$9)/2)+Controls!$B$10*(F140-IF(Controls!$B$7="Normal",Controls!$B$8,(Controls!$B$8+Controls!$B$9)/2))+SQRT(1-Controls!$B$10^2)*(Random!Z141-IF(Controls!$B$7="Normal",Controls!$B$8,(Controls!$B$8+Controls!$B$9)/2)))</f>
        <v/>
      </c>
      <c r="G141" s="10" t="str">
        <f>IF(Random!AA141="","",IF(Controls!$B$7="Normal",Controls!$B$8,(Controls!$B$8+Controls!$B$9)/2)+Controls!$B$10*(G140-IF(Controls!$B$7="Normal",Controls!$B$8,(Controls!$B$8+Controls!$B$9)/2))+SQRT(1-Controls!$B$10^2)*(Random!AA141-IF(Controls!$B$7="Normal",Controls!$B$8,(Controls!$B$8+Controls!$B$9)/2)))</f>
        <v/>
      </c>
      <c r="H141" s="10" t="str">
        <f>IF(Random!AB141="","",IF(Controls!$B$7="Normal",Controls!$B$8,(Controls!$B$8+Controls!$B$9)/2)+Controls!$B$10*(H140-IF(Controls!$B$7="Normal",Controls!$B$8,(Controls!$B$8+Controls!$B$9)/2))+SQRT(1-Controls!$B$10^2)*(Random!AB141-IF(Controls!$B$7="Normal",Controls!$B$8,(Controls!$B$8+Controls!$B$9)/2)))</f>
        <v/>
      </c>
      <c r="I141" s="10" t="str">
        <f>IF(Random!AC141="","",IF(Controls!$B$7="Normal",Controls!$B$8,(Controls!$B$8+Controls!$B$9)/2)+Controls!$B$10*(I140-IF(Controls!$B$7="Normal",Controls!$B$8,(Controls!$B$8+Controls!$B$9)/2))+SQRT(1-Controls!$B$10^2)*(Random!AC141-IF(Controls!$B$7="Normal",Controls!$B$8,(Controls!$B$8+Controls!$B$9)/2)))</f>
        <v/>
      </c>
      <c r="J141" s="10" t="str">
        <f>IF(Random!AD141="","",IF(Controls!$B$7="Normal",Controls!$B$8,(Controls!$B$8+Controls!$B$9)/2)+Controls!$B$10*(J140-IF(Controls!$B$7="Normal",Controls!$B$8,(Controls!$B$8+Controls!$B$9)/2))+SQRT(1-Controls!$B$10^2)*(Random!AD141-IF(Controls!$B$7="Normal",Controls!$B$8,(Controls!$B$8+Controls!$B$9)/2)))</f>
        <v/>
      </c>
      <c r="K141" s="10" t="str">
        <f>IF(Random!AE141="","",IF(Controls!$B$7="Normal",Controls!$B$8,(Controls!$B$8+Controls!$B$9)/2)+Controls!$B$10*(K140-IF(Controls!$B$7="Normal",Controls!$B$8,(Controls!$B$8+Controls!$B$9)/2))+SQRT(1-Controls!$B$10^2)*(Random!AE141-IF(Controls!$B$7="Normal",Controls!$B$8,(Controls!$B$8+Controls!$B$9)/2)))</f>
        <v/>
      </c>
      <c r="L141" s="10" t="str">
        <f>IF($A141="","",IF(AND($A141&gt;=Controls!$B$25,$A141&lt;Controls!$B$25+Controls!$C$25),(Controls!$D$25-1)*EXP(-0.5*(($A141-Controls!$B$25-(Controls!$C$25-1)/2)/MAX(Controls!$C$25/4,0.5))^2),0))</f>
        <v/>
      </c>
      <c r="M141" s="10" t="str">
        <f>IF($A141="","",IF(AND($A141&gt;=Controls!$B$26,$A141&lt;Controls!$B$26+Controls!$C$26),(Controls!$D$26-1)*EXP(-0.5*(($A141-Controls!$B$26-(Controls!$C$26-1)/2)/MAX(Controls!$C$26/4,0.5))^2),0))</f>
        <v/>
      </c>
      <c r="N141" s="10" t="str">
        <f>IF($A141="","",IF(AND($A141&gt;=Controls!$B$27,$A141&lt;Controls!$B$27+Controls!$C$27),(Controls!$D$27-1)*EXP(-0.5*(($A141-Controls!$B$27-(Controls!$C$27-1)/2)/MAX(Controls!$C$27/4,0.5))^2),0))</f>
        <v/>
      </c>
      <c r="O141" s="10" t="str">
        <f>IF($A141="","",IF(AND($A141&gt;=Controls!$B$28,$A141&lt;Controls!$B$28+Controls!$C$28),(Controls!$D$28-1)*EXP(-0.5*(($A141-Controls!$B$28-(Controls!$C$28-1)/2)/MAX(Controls!$C$28/4,0.5))^2),0))</f>
        <v/>
      </c>
      <c r="P141" s="4" t="str">
        <f t="shared" si="1"/>
        <v/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21.0" customHeight="1">
      <c r="A142" s="7" t="str">
        <f>IF(141&lt;=Controls!$B$5,Controls!$B$4+140,"")</f>
        <v/>
      </c>
      <c r="B142" s="10" t="str">
        <f>IF(Random!V142="","",IF(Controls!$B$7="Normal",Controls!$B$8,(Controls!$B$8+Controls!$B$9)/2)+Controls!$B$10*(B141-IF(Controls!$B$7="Normal",Controls!$B$8,(Controls!$B$8+Controls!$B$9)/2))+SQRT(1-Controls!$B$10^2)*(Random!V142-IF(Controls!$B$7="Normal",Controls!$B$8,(Controls!$B$8+Controls!$B$9)/2)))</f>
        <v/>
      </c>
      <c r="C142" s="10" t="str">
        <f>IF(Random!W142="","",IF(Controls!$B$7="Normal",Controls!$B$8,(Controls!$B$8+Controls!$B$9)/2)+Controls!$B$10*(C141-IF(Controls!$B$7="Normal",Controls!$B$8,(Controls!$B$8+Controls!$B$9)/2))+SQRT(1-Controls!$B$10^2)*(Random!W142-IF(Controls!$B$7="Normal",Controls!$B$8,(Controls!$B$8+Controls!$B$9)/2)))</f>
        <v/>
      </c>
      <c r="D142" s="10" t="str">
        <f>IF(Random!X142="","",IF(Controls!$B$7="Normal",Controls!$B$8,(Controls!$B$8+Controls!$B$9)/2)+Controls!$B$10*(D141-IF(Controls!$B$7="Normal",Controls!$B$8,(Controls!$B$8+Controls!$B$9)/2))+SQRT(1-Controls!$B$10^2)*(Random!X142-IF(Controls!$B$7="Normal",Controls!$B$8,(Controls!$B$8+Controls!$B$9)/2)))</f>
        <v/>
      </c>
      <c r="E142" s="10" t="str">
        <f>IF(Random!Y142="","",IF(Controls!$B$7="Normal",Controls!$B$8,(Controls!$B$8+Controls!$B$9)/2)+Controls!$B$10*(E141-IF(Controls!$B$7="Normal",Controls!$B$8,(Controls!$B$8+Controls!$B$9)/2))+SQRT(1-Controls!$B$10^2)*(Random!Y142-IF(Controls!$B$7="Normal",Controls!$B$8,(Controls!$B$8+Controls!$B$9)/2)))</f>
        <v/>
      </c>
      <c r="F142" s="10" t="str">
        <f>IF(Random!Z142="","",IF(Controls!$B$7="Normal",Controls!$B$8,(Controls!$B$8+Controls!$B$9)/2)+Controls!$B$10*(F141-IF(Controls!$B$7="Normal",Controls!$B$8,(Controls!$B$8+Controls!$B$9)/2))+SQRT(1-Controls!$B$10^2)*(Random!Z142-IF(Controls!$B$7="Normal",Controls!$B$8,(Controls!$B$8+Controls!$B$9)/2)))</f>
        <v/>
      </c>
      <c r="G142" s="10" t="str">
        <f>IF(Random!AA142="","",IF(Controls!$B$7="Normal",Controls!$B$8,(Controls!$B$8+Controls!$B$9)/2)+Controls!$B$10*(G141-IF(Controls!$B$7="Normal",Controls!$B$8,(Controls!$B$8+Controls!$B$9)/2))+SQRT(1-Controls!$B$10^2)*(Random!AA142-IF(Controls!$B$7="Normal",Controls!$B$8,(Controls!$B$8+Controls!$B$9)/2)))</f>
        <v/>
      </c>
      <c r="H142" s="10" t="str">
        <f>IF(Random!AB142="","",IF(Controls!$B$7="Normal",Controls!$B$8,(Controls!$B$8+Controls!$B$9)/2)+Controls!$B$10*(H141-IF(Controls!$B$7="Normal",Controls!$B$8,(Controls!$B$8+Controls!$B$9)/2))+SQRT(1-Controls!$B$10^2)*(Random!AB142-IF(Controls!$B$7="Normal",Controls!$B$8,(Controls!$B$8+Controls!$B$9)/2)))</f>
        <v/>
      </c>
      <c r="I142" s="10" t="str">
        <f>IF(Random!AC142="","",IF(Controls!$B$7="Normal",Controls!$B$8,(Controls!$B$8+Controls!$B$9)/2)+Controls!$B$10*(I141-IF(Controls!$B$7="Normal",Controls!$B$8,(Controls!$B$8+Controls!$B$9)/2))+SQRT(1-Controls!$B$10^2)*(Random!AC142-IF(Controls!$B$7="Normal",Controls!$B$8,(Controls!$B$8+Controls!$B$9)/2)))</f>
        <v/>
      </c>
      <c r="J142" s="10" t="str">
        <f>IF(Random!AD142="","",IF(Controls!$B$7="Normal",Controls!$B$8,(Controls!$B$8+Controls!$B$9)/2)+Controls!$B$10*(J141-IF(Controls!$B$7="Normal",Controls!$B$8,(Controls!$B$8+Controls!$B$9)/2))+SQRT(1-Controls!$B$10^2)*(Random!AD142-IF(Controls!$B$7="Normal",Controls!$B$8,(Controls!$B$8+Controls!$B$9)/2)))</f>
        <v/>
      </c>
      <c r="K142" s="10" t="str">
        <f>IF(Random!AE142="","",IF(Controls!$B$7="Normal",Controls!$B$8,(Controls!$B$8+Controls!$B$9)/2)+Controls!$B$10*(K141-IF(Controls!$B$7="Normal",Controls!$B$8,(Controls!$B$8+Controls!$B$9)/2))+SQRT(1-Controls!$B$10^2)*(Random!AE142-IF(Controls!$B$7="Normal",Controls!$B$8,(Controls!$B$8+Controls!$B$9)/2)))</f>
        <v/>
      </c>
      <c r="L142" s="10" t="str">
        <f>IF($A142="","",IF(AND($A142&gt;=Controls!$B$25,$A142&lt;Controls!$B$25+Controls!$C$25),(Controls!$D$25-1)*EXP(-0.5*(($A142-Controls!$B$25-(Controls!$C$25-1)/2)/MAX(Controls!$C$25/4,0.5))^2),0))</f>
        <v/>
      </c>
      <c r="M142" s="10" t="str">
        <f>IF($A142="","",IF(AND($A142&gt;=Controls!$B$26,$A142&lt;Controls!$B$26+Controls!$C$26),(Controls!$D$26-1)*EXP(-0.5*(($A142-Controls!$B$26-(Controls!$C$26-1)/2)/MAX(Controls!$C$26/4,0.5))^2),0))</f>
        <v/>
      </c>
      <c r="N142" s="10" t="str">
        <f>IF($A142="","",IF(AND($A142&gt;=Controls!$B$27,$A142&lt;Controls!$B$27+Controls!$C$27),(Controls!$D$27-1)*EXP(-0.5*(($A142-Controls!$B$27-(Controls!$C$27-1)/2)/MAX(Controls!$C$27/4,0.5))^2),0))</f>
        <v/>
      </c>
      <c r="O142" s="10" t="str">
        <f>IF($A142="","",IF(AND($A142&gt;=Controls!$B$28,$A142&lt;Controls!$B$28+Controls!$C$28),(Controls!$D$28-1)*EXP(-0.5*(($A142-Controls!$B$28-(Controls!$C$28-1)/2)/MAX(Controls!$C$28/4,0.5))^2),0))</f>
        <v/>
      </c>
      <c r="P142" s="4" t="str">
        <f t="shared" si="1"/>
        <v/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21.0" customHeight="1">
      <c r="A143" s="7" t="str">
        <f>IF(142&lt;=Controls!$B$5,Controls!$B$4+141,"")</f>
        <v/>
      </c>
      <c r="B143" s="10" t="str">
        <f>IF(Random!V143="","",IF(Controls!$B$7="Normal",Controls!$B$8,(Controls!$B$8+Controls!$B$9)/2)+Controls!$B$10*(B142-IF(Controls!$B$7="Normal",Controls!$B$8,(Controls!$B$8+Controls!$B$9)/2))+SQRT(1-Controls!$B$10^2)*(Random!V143-IF(Controls!$B$7="Normal",Controls!$B$8,(Controls!$B$8+Controls!$B$9)/2)))</f>
        <v/>
      </c>
      <c r="C143" s="10" t="str">
        <f>IF(Random!W143="","",IF(Controls!$B$7="Normal",Controls!$B$8,(Controls!$B$8+Controls!$B$9)/2)+Controls!$B$10*(C142-IF(Controls!$B$7="Normal",Controls!$B$8,(Controls!$B$8+Controls!$B$9)/2))+SQRT(1-Controls!$B$10^2)*(Random!W143-IF(Controls!$B$7="Normal",Controls!$B$8,(Controls!$B$8+Controls!$B$9)/2)))</f>
        <v/>
      </c>
      <c r="D143" s="10" t="str">
        <f>IF(Random!X143="","",IF(Controls!$B$7="Normal",Controls!$B$8,(Controls!$B$8+Controls!$B$9)/2)+Controls!$B$10*(D142-IF(Controls!$B$7="Normal",Controls!$B$8,(Controls!$B$8+Controls!$B$9)/2))+SQRT(1-Controls!$B$10^2)*(Random!X143-IF(Controls!$B$7="Normal",Controls!$B$8,(Controls!$B$8+Controls!$B$9)/2)))</f>
        <v/>
      </c>
      <c r="E143" s="10" t="str">
        <f>IF(Random!Y143="","",IF(Controls!$B$7="Normal",Controls!$B$8,(Controls!$B$8+Controls!$B$9)/2)+Controls!$B$10*(E142-IF(Controls!$B$7="Normal",Controls!$B$8,(Controls!$B$8+Controls!$B$9)/2))+SQRT(1-Controls!$B$10^2)*(Random!Y143-IF(Controls!$B$7="Normal",Controls!$B$8,(Controls!$B$8+Controls!$B$9)/2)))</f>
        <v/>
      </c>
      <c r="F143" s="10" t="str">
        <f>IF(Random!Z143="","",IF(Controls!$B$7="Normal",Controls!$B$8,(Controls!$B$8+Controls!$B$9)/2)+Controls!$B$10*(F142-IF(Controls!$B$7="Normal",Controls!$B$8,(Controls!$B$8+Controls!$B$9)/2))+SQRT(1-Controls!$B$10^2)*(Random!Z143-IF(Controls!$B$7="Normal",Controls!$B$8,(Controls!$B$8+Controls!$B$9)/2)))</f>
        <v/>
      </c>
      <c r="G143" s="10" t="str">
        <f>IF(Random!AA143="","",IF(Controls!$B$7="Normal",Controls!$B$8,(Controls!$B$8+Controls!$B$9)/2)+Controls!$B$10*(G142-IF(Controls!$B$7="Normal",Controls!$B$8,(Controls!$B$8+Controls!$B$9)/2))+SQRT(1-Controls!$B$10^2)*(Random!AA143-IF(Controls!$B$7="Normal",Controls!$B$8,(Controls!$B$8+Controls!$B$9)/2)))</f>
        <v/>
      </c>
      <c r="H143" s="10" t="str">
        <f>IF(Random!AB143="","",IF(Controls!$B$7="Normal",Controls!$B$8,(Controls!$B$8+Controls!$B$9)/2)+Controls!$B$10*(H142-IF(Controls!$B$7="Normal",Controls!$B$8,(Controls!$B$8+Controls!$B$9)/2))+SQRT(1-Controls!$B$10^2)*(Random!AB143-IF(Controls!$B$7="Normal",Controls!$B$8,(Controls!$B$8+Controls!$B$9)/2)))</f>
        <v/>
      </c>
      <c r="I143" s="10" t="str">
        <f>IF(Random!AC143="","",IF(Controls!$B$7="Normal",Controls!$B$8,(Controls!$B$8+Controls!$B$9)/2)+Controls!$B$10*(I142-IF(Controls!$B$7="Normal",Controls!$B$8,(Controls!$B$8+Controls!$B$9)/2))+SQRT(1-Controls!$B$10^2)*(Random!AC143-IF(Controls!$B$7="Normal",Controls!$B$8,(Controls!$B$8+Controls!$B$9)/2)))</f>
        <v/>
      </c>
      <c r="J143" s="10" t="str">
        <f>IF(Random!AD143="","",IF(Controls!$B$7="Normal",Controls!$B$8,(Controls!$B$8+Controls!$B$9)/2)+Controls!$B$10*(J142-IF(Controls!$B$7="Normal",Controls!$B$8,(Controls!$B$8+Controls!$B$9)/2))+SQRT(1-Controls!$B$10^2)*(Random!AD143-IF(Controls!$B$7="Normal",Controls!$B$8,(Controls!$B$8+Controls!$B$9)/2)))</f>
        <v/>
      </c>
      <c r="K143" s="10" t="str">
        <f>IF(Random!AE143="","",IF(Controls!$B$7="Normal",Controls!$B$8,(Controls!$B$8+Controls!$B$9)/2)+Controls!$B$10*(K142-IF(Controls!$B$7="Normal",Controls!$B$8,(Controls!$B$8+Controls!$B$9)/2))+SQRT(1-Controls!$B$10^2)*(Random!AE143-IF(Controls!$B$7="Normal",Controls!$B$8,(Controls!$B$8+Controls!$B$9)/2)))</f>
        <v/>
      </c>
      <c r="L143" s="10" t="str">
        <f>IF($A143="","",IF(AND($A143&gt;=Controls!$B$25,$A143&lt;Controls!$B$25+Controls!$C$25),(Controls!$D$25-1)*EXP(-0.5*(($A143-Controls!$B$25-(Controls!$C$25-1)/2)/MAX(Controls!$C$25/4,0.5))^2),0))</f>
        <v/>
      </c>
      <c r="M143" s="10" t="str">
        <f>IF($A143="","",IF(AND($A143&gt;=Controls!$B$26,$A143&lt;Controls!$B$26+Controls!$C$26),(Controls!$D$26-1)*EXP(-0.5*(($A143-Controls!$B$26-(Controls!$C$26-1)/2)/MAX(Controls!$C$26/4,0.5))^2),0))</f>
        <v/>
      </c>
      <c r="N143" s="10" t="str">
        <f>IF($A143="","",IF(AND($A143&gt;=Controls!$B$27,$A143&lt;Controls!$B$27+Controls!$C$27),(Controls!$D$27-1)*EXP(-0.5*(($A143-Controls!$B$27-(Controls!$C$27-1)/2)/MAX(Controls!$C$27/4,0.5))^2),0))</f>
        <v/>
      </c>
      <c r="O143" s="10" t="str">
        <f>IF($A143="","",IF(AND($A143&gt;=Controls!$B$28,$A143&lt;Controls!$B$28+Controls!$C$28),(Controls!$D$28-1)*EXP(-0.5*(($A143-Controls!$B$28-(Controls!$C$28-1)/2)/MAX(Controls!$C$28/4,0.5))^2),0))</f>
        <v/>
      </c>
      <c r="P143" s="4" t="str">
        <f t="shared" si="1"/>
        <v/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21.0" customHeight="1">
      <c r="A144" s="7" t="str">
        <f>IF(143&lt;=Controls!$B$5,Controls!$B$4+142,"")</f>
        <v/>
      </c>
      <c r="B144" s="10" t="str">
        <f>IF(Random!V144="","",IF(Controls!$B$7="Normal",Controls!$B$8,(Controls!$B$8+Controls!$B$9)/2)+Controls!$B$10*(B143-IF(Controls!$B$7="Normal",Controls!$B$8,(Controls!$B$8+Controls!$B$9)/2))+SQRT(1-Controls!$B$10^2)*(Random!V144-IF(Controls!$B$7="Normal",Controls!$B$8,(Controls!$B$8+Controls!$B$9)/2)))</f>
        <v/>
      </c>
      <c r="C144" s="10" t="str">
        <f>IF(Random!W144="","",IF(Controls!$B$7="Normal",Controls!$B$8,(Controls!$B$8+Controls!$B$9)/2)+Controls!$B$10*(C143-IF(Controls!$B$7="Normal",Controls!$B$8,(Controls!$B$8+Controls!$B$9)/2))+SQRT(1-Controls!$B$10^2)*(Random!W144-IF(Controls!$B$7="Normal",Controls!$B$8,(Controls!$B$8+Controls!$B$9)/2)))</f>
        <v/>
      </c>
      <c r="D144" s="10" t="str">
        <f>IF(Random!X144="","",IF(Controls!$B$7="Normal",Controls!$B$8,(Controls!$B$8+Controls!$B$9)/2)+Controls!$B$10*(D143-IF(Controls!$B$7="Normal",Controls!$B$8,(Controls!$B$8+Controls!$B$9)/2))+SQRT(1-Controls!$B$10^2)*(Random!X144-IF(Controls!$B$7="Normal",Controls!$B$8,(Controls!$B$8+Controls!$B$9)/2)))</f>
        <v/>
      </c>
      <c r="E144" s="10" t="str">
        <f>IF(Random!Y144="","",IF(Controls!$B$7="Normal",Controls!$B$8,(Controls!$B$8+Controls!$B$9)/2)+Controls!$B$10*(E143-IF(Controls!$B$7="Normal",Controls!$B$8,(Controls!$B$8+Controls!$B$9)/2))+SQRT(1-Controls!$B$10^2)*(Random!Y144-IF(Controls!$B$7="Normal",Controls!$B$8,(Controls!$B$8+Controls!$B$9)/2)))</f>
        <v/>
      </c>
      <c r="F144" s="10" t="str">
        <f>IF(Random!Z144="","",IF(Controls!$B$7="Normal",Controls!$B$8,(Controls!$B$8+Controls!$B$9)/2)+Controls!$B$10*(F143-IF(Controls!$B$7="Normal",Controls!$B$8,(Controls!$B$8+Controls!$B$9)/2))+SQRT(1-Controls!$B$10^2)*(Random!Z144-IF(Controls!$B$7="Normal",Controls!$B$8,(Controls!$B$8+Controls!$B$9)/2)))</f>
        <v/>
      </c>
      <c r="G144" s="10" t="str">
        <f>IF(Random!AA144="","",IF(Controls!$B$7="Normal",Controls!$B$8,(Controls!$B$8+Controls!$B$9)/2)+Controls!$B$10*(G143-IF(Controls!$B$7="Normal",Controls!$B$8,(Controls!$B$8+Controls!$B$9)/2))+SQRT(1-Controls!$B$10^2)*(Random!AA144-IF(Controls!$B$7="Normal",Controls!$B$8,(Controls!$B$8+Controls!$B$9)/2)))</f>
        <v/>
      </c>
      <c r="H144" s="10" t="str">
        <f>IF(Random!AB144="","",IF(Controls!$B$7="Normal",Controls!$B$8,(Controls!$B$8+Controls!$B$9)/2)+Controls!$B$10*(H143-IF(Controls!$B$7="Normal",Controls!$B$8,(Controls!$B$8+Controls!$B$9)/2))+SQRT(1-Controls!$B$10^2)*(Random!AB144-IF(Controls!$B$7="Normal",Controls!$B$8,(Controls!$B$8+Controls!$B$9)/2)))</f>
        <v/>
      </c>
      <c r="I144" s="10" t="str">
        <f>IF(Random!AC144="","",IF(Controls!$B$7="Normal",Controls!$B$8,(Controls!$B$8+Controls!$B$9)/2)+Controls!$B$10*(I143-IF(Controls!$B$7="Normal",Controls!$B$8,(Controls!$B$8+Controls!$B$9)/2))+SQRT(1-Controls!$B$10^2)*(Random!AC144-IF(Controls!$B$7="Normal",Controls!$B$8,(Controls!$B$8+Controls!$B$9)/2)))</f>
        <v/>
      </c>
      <c r="J144" s="10" t="str">
        <f>IF(Random!AD144="","",IF(Controls!$B$7="Normal",Controls!$B$8,(Controls!$B$8+Controls!$B$9)/2)+Controls!$B$10*(J143-IF(Controls!$B$7="Normal",Controls!$B$8,(Controls!$B$8+Controls!$B$9)/2))+SQRT(1-Controls!$B$10^2)*(Random!AD144-IF(Controls!$B$7="Normal",Controls!$B$8,(Controls!$B$8+Controls!$B$9)/2)))</f>
        <v/>
      </c>
      <c r="K144" s="10" t="str">
        <f>IF(Random!AE144="","",IF(Controls!$B$7="Normal",Controls!$B$8,(Controls!$B$8+Controls!$B$9)/2)+Controls!$B$10*(K143-IF(Controls!$B$7="Normal",Controls!$B$8,(Controls!$B$8+Controls!$B$9)/2))+SQRT(1-Controls!$B$10^2)*(Random!AE144-IF(Controls!$B$7="Normal",Controls!$B$8,(Controls!$B$8+Controls!$B$9)/2)))</f>
        <v/>
      </c>
      <c r="L144" s="10" t="str">
        <f>IF($A144="","",IF(AND($A144&gt;=Controls!$B$25,$A144&lt;Controls!$B$25+Controls!$C$25),(Controls!$D$25-1)*EXP(-0.5*(($A144-Controls!$B$25-(Controls!$C$25-1)/2)/MAX(Controls!$C$25/4,0.5))^2),0))</f>
        <v/>
      </c>
      <c r="M144" s="10" t="str">
        <f>IF($A144="","",IF(AND($A144&gt;=Controls!$B$26,$A144&lt;Controls!$B$26+Controls!$C$26),(Controls!$D$26-1)*EXP(-0.5*(($A144-Controls!$B$26-(Controls!$C$26-1)/2)/MAX(Controls!$C$26/4,0.5))^2),0))</f>
        <v/>
      </c>
      <c r="N144" s="10" t="str">
        <f>IF($A144="","",IF(AND($A144&gt;=Controls!$B$27,$A144&lt;Controls!$B$27+Controls!$C$27),(Controls!$D$27-1)*EXP(-0.5*(($A144-Controls!$B$27-(Controls!$C$27-1)/2)/MAX(Controls!$C$27/4,0.5))^2),0))</f>
        <v/>
      </c>
      <c r="O144" s="10" t="str">
        <f>IF($A144="","",IF(AND($A144&gt;=Controls!$B$28,$A144&lt;Controls!$B$28+Controls!$C$28),(Controls!$D$28-1)*EXP(-0.5*(($A144-Controls!$B$28-(Controls!$C$28-1)/2)/MAX(Controls!$C$28/4,0.5))^2),0))</f>
        <v/>
      </c>
      <c r="P144" s="4" t="str">
        <f t="shared" si="1"/>
        <v/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21.0" customHeight="1">
      <c r="A145" s="7" t="str">
        <f>IF(144&lt;=Controls!$B$5,Controls!$B$4+143,"")</f>
        <v/>
      </c>
      <c r="B145" s="10" t="str">
        <f>IF(Random!V145="","",IF(Controls!$B$7="Normal",Controls!$B$8,(Controls!$B$8+Controls!$B$9)/2)+Controls!$B$10*(B144-IF(Controls!$B$7="Normal",Controls!$B$8,(Controls!$B$8+Controls!$B$9)/2))+SQRT(1-Controls!$B$10^2)*(Random!V145-IF(Controls!$B$7="Normal",Controls!$B$8,(Controls!$B$8+Controls!$B$9)/2)))</f>
        <v/>
      </c>
      <c r="C145" s="10" t="str">
        <f>IF(Random!W145="","",IF(Controls!$B$7="Normal",Controls!$B$8,(Controls!$B$8+Controls!$B$9)/2)+Controls!$B$10*(C144-IF(Controls!$B$7="Normal",Controls!$B$8,(Controls!$B$8+Controls!$B$9)/2))+SQRT(1-Controls!$B$10^2)*(Random!W145-IF(Controls!$B$7="Normal",Controls!$B$8,(Controls!$B$8+Controls!$B$9)/2)))</f>
        <v/>
      </c>
      <c r="D145" s="10" t="str">
        <f>IF(Random!X145="","",IF(Controls!$B$7="Normal",Controls!$B$8,(Controls!$B$8+Controls!$B$9)/2)+Controls!$B$10*(D144-IF(Controls!$B$7="Normal",Controls!$B$8,(Controls!$B$8+Controls!$B$9)/2))+SQRT(1-Controls!$B$10^2)*(Random!X145-IF(Controls!$B$7="Normal",Controls!$B$8,(Controls!$B$8+Controls!$B$9)/2)))</f>
        <v/>
      </c>
      <c r="E145" s="10" t="str">
        <f>IF(Random!Y145="","",IF(Controls!$B$7="Normal",Controls!$B$8,(Controls!$B$8+Controls!$B$9)/2)+Controls!$B$10*(E144-IF(Controls!$B$7="Normal",Controls!$B$8,(Controls!$B$8+Controls!$B$9)/2))+SQRT(1-Controls!$B$10^2)*(Random!Y145-IF(Controls!$B$7="Normal",Controls!$B$8,(Controls!$B$8+Controls!$B$9)/2)))</f>
        <v/>
      </c>
      <c r="F145" s="10" t="str">
        <f>IF(Random!Z145="","",IF(Controls!$B$7="Normal",Controls!$B$8,(Controls!$B$8+Controls!$B$9)/2)+Controls!$B$10*(F144-IF(Controls!$B$7="Normal",Controls!$B$8,(Controls!$B$8+Controls!$B$9)/2))+SQRT(1-Controls!$B$10^2)*(Random!Z145-IF(Controls!$B$7="Normal",Controls!$B$8,(Controls!$B$8+Controls!$B$9)/2)))</f>
        <v/>
      </c>
      <c r="G145" s="10" t="str">
        <f>IF(Random!AA145="","",IF(Controls!$B$7="Normal",Controls!$B$8,(Controls!$B$8+Controls!$B$9)/2)+Controls!$B$10*(G144-IF(Controls!$B$7="Normal",Controls!$B$8,(Controls!$B$8+Controls!$B$9)/2))+SQRT(1-Controls!$B$10^2)*(Random!AA145-IF(Controls!$B$7="Normal",Controls!$B$8,(Controls!$B$8+Controls!$B$9)/2)))</f>
        <v/>
      </c>
      <c r="H145" s="10" t="str">
        <f>IF(Random!AB145="","",IF(Controls!$B$7="Normal",Controls!$B$8,(Controls!$B$8+Controls!$B$9)/2)+Controls!$B$10*(H144-IF(Controls!$B$7="Normal",Controls!$B$8,(Controls!$B$8+Controls!$B$9)/2))+SQRT(1-Controls!$B$10^2)*(Random!AB145-IF(Controls!$B$7="Normal",Controls!$B$8,(Controls!$B$8+Controls!$B$9)/2)))</f>
        <v/>
      </c>
      <c r="I145" s="10" t="str">
        <f>IF(Random!AC145="","",IF(Controls!$B$7="Normal",Controls!$B$8,(Controls!$B$8+Controls!$B$9)/2)+Controls!$B$10*(I144-IF(Controls!$B$7="Normal",Controls!$B$8,(Controls!$B$8+Controls!$B$9)/2))+SQRT(1-Controls!$B$10^2)*(Random!AC145-IF(Controls!$B$7="Normal",Controls!$B$8,(Controls!$B$8+Controls!$B$9)/2)))</f>
        <v/>
      </c>
      <c r="J145" s="10" t="str">
        <f>IF(Random!AD145="","",IF(Controls!$B$7="Normal",Controls!$B$8,(Controls!$B$8+Controls!$B$9)/2)+Controls!$B$10*(J144-IF(Controls!$B$7="Normal",Controls!$B$8,(Controls!$B$8+Controls!$B$9)/2))+SQRT(1-Controls!$B$10^2)*(Random!AD145-IF(Controls!$B$7="Normal",Controls!$B$8,(Controls!$B$8+Controls!$B$9)/2)))</f>
        <v/>
      </c>
      <c r="K145" s="10" t="str">
        <f>IF(Random!AE145="","",IF(Controls!$B$7="Normal",Controls!$B$8,(Controls!$B$8+Controls!$B$9)/2)+Controls!$B$10*(K144-IF(Controls!$B$7="Normal",Controls!$B$8,(Controls!$B$8+Controls!$B$9)/2))+SQRT(1-Controls!$B$10^2)*(Random!AE145-IF(Controls!$B$7="Normal",Controls!$B$8,(Controls!$B$8+Controls!$B$9)/2)))</f>
        <v/>
      </c>
      <c r="L145" s="10" t="str">
        <f>IF($A145="","",IF(AND($A145&gt;=Controls!$B$25,$A145&lt;Controls!$B$25+Controls!$C$25),(Controls!$D$25-1)*EXP(-0.5*(($A145-Controls!$B$25-(Controls!$C$25-1)/2)/MAX(Controls!$C$25/4,0.5))^2),0))</f>
        <v/>
      </c>
      <c r="M145" s="10" t="str">
        <f>IF($A145="","",IF(AND($A145&gt;=Controls!$B$26,$A145&lt;Controls!$B$26+Controls!$C$26),(Controls!$D$26-1)*EXP(-0.5*(($A145-Controls!$B$26-(Controls!$C$26-1)/2)/MAX(Controls!$C$26/4,0.5))^2),0))</f>
        <v/>
      </c>
      <c r="N145" s="10" t="str">
        <f>IF($A145="","",IF(AND($A145&gt;=Controls!$B$27,$A145&lt;Controls!$B$27+Controls!$C$27),(Controls!$D$27-1)*EXP(-0.5*(($A145-Controls!$B$27-(Controls!$C$27-1)/2)/MAX(Controls!$C$27/4,0.5))^2),0))</f>
        <v/>
      </c>
      <c r="O145" s="10" t="str">
        <f>IF($A145="","",IF(AND($A145&gt;=Controls!$B$28,$A145&lt;Controls!$B$28+Controls!$C$28),(Controls!$D$28-1)*EXP(-0.5*(($A145-Controls!$B$28-(Controls!$C$28-1)/2)/MAX(Controls!$C$28/4,0.5))^2),0))</f>
        <v/>
      </c>
      <c r="P145" s="4" t="str">
        <f t="shared" si="1"/>
        <v/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21.0" customHeight="1">
      <c r="A146" s="7" t="str">
        <f>IF(145&lt;=Controls!$B$5,Controls!$B$4+144,"")</f>
        <v/>
      </c>
      <c r="B146" s="10" t="str">
        <f>IF(Random!V146="","",IF(Controls!$B$7="Normal",Controls!$B$8,(Controls!$B$8+Controls!$B$9)/2)+Controls!$B$10*(B145-IF(Controls!$B$7="Normal",Controls!$B$8,(Controls!$B$8+Controls!$B$9)/2))+SQRT(1-Controls!$B$10^2)*(Random!V146-IF(Controls!$B$7="Normal",Controls!$B$8,(Controls!$B$8+Controls!$B$9)/2)))</f>
        <v/>
      </c>
      <c r="C146" s="10" t="str">
        <f>IF(Random!W146="","",IF(Controls!$B$7="Normal",Controls!$B$8,(Controls!$B$8+Controls!$B$9)/2)+Controls!$B$10*(C145-IF(Controls!$B$7="Normal",Controls!$B$8,(Controls!$B$8+Controls!$B$9)/2))+SQRT(1-Controls!$B$10^2)*(Random!W146-IF(Controls!$B$7="Normal",Controls!$B$8,(Controls!$B$8+Controls!$B$9)/2)))</f>
        <v/>
      </c>
      <c r="D146" s="10" t="str">
        <f>IF(Random!X146="","",IF(Controls!$B$7="Normal",Controls!$B$8,(Controls!$B$8+Controls!$B$9)/2)+Controls!$B$10*(D145-IF(Controls!$B$7="Normal",Controls!$B$8,(Controls!$B$8+Controls!$B$9)/2))+SQRT(1-Controls!$B$10^2)*(Random!X146-IF(Controls!$B$7="Normal",Controls!$B$8,(Controls!$B$8+Controls!$B$9)/2)))</f>
        <v/>
      </c>
      <c r="E146" s="10" t="str">
        <f>IF(Random!Y146="","",IF(Controls!$B$7="Normal",Controls!$B$8,(Controls!$B$8+Controls!$B$9)/2)+Controls!$B$10*(E145-IF(Controls!$B$7="Normal",Controls!$B$8,(Controls!$B$8+Controls!$B$9)/2))+SQRT(1-Controls!$B$10^2)*(Random!Y146-IF(Controls!$B$7="Normal",Controls!$B$8,(Controls!$B$8+Controls!$B$9)/2)))</f>
        <v/>
      </c>
      <c r="F146" s="10" t="str">
        <f>IF(Random!Z146="","",IF(Controls!$B$7="Normal",Controls!$B$8,(Controls!$B$8+Controls!$B$9)/2)+Controls!$B$10*(F145-IF(Controls!$B$7="Normal",Controls!$B$8,(Controls!$B$8+Controls!$B$9)/2))+SQRT(1-Controls!$B$10^2)*(Random!Z146-IF(Controls!$B$7="Normal",Controls!$B$8,(Controls!$B$8+Controls!$B$9)/2)))</f>
        <v/>
      </c>
      <c r="G146" s="10" t="str">
        <f>IF(Random!AA146="","",IF(Controls!$B$7="Normal",Controls!$B$8,(Controls!$B$8+Controls!$B$9)/2)+Controls!$B$10*(G145-IF(Controls!$B$7="Normal",Controls!$B$8,(Controls!$B$8+Controls!$B$9)/2))+SQRT(1-Controls!$B$10^2)*(Random!AA146-IF(Controls!$B$7="Normal",Controls!$B$8,(Controls!$B$8+Controls!$B$9)/2)))</f>
        <v/>
      </c>
      <c r="H146" s="10" t="str">
        <f>IF(Random!AB146="","",IF(Controls!$B$7="Normal",Controls!$B$8,(Controls!$B$8+Controls!$B$9)/2)+Controls!$B$10*(H145-IF(Controls!$B$7="Normal",Controls!$B$8,(Controls!$B$8+Controls!$B$9)/2))+SQRT(1-Controls!$B$10^2)*(Random!AB146-IF(Controls!$B$7="Normal",Controls!$B$8,(Controls!$B$8+Controls!$B$9)/2)))</f>
        <v/>
      </c>
      <c r="I146" s="10" t="str">
        <f>IF(Random!AC146="","",IF(Controls!$B$7="Normal",Controls!$B$8,(Controls!$B$8+Controls!$B$9)/2)+Controls!$B$10*(I145-IF(Controls!$B$7="Normal",Controls!$B$8,(Controls!$B$8+Controls!$B$9)/2))+SQRT(1-Controls!$B$10^2)*(Random!AC146-IF(Controls!$B$7="Normal",Controls!$B$8,(Controls!$B$8+Controls!$B$9)/2)))</f>
        <v/>
      </c>
      <c r="J146" s="10" t="str">
        <f>IF(Random!AD146="","",IF(Controls!$B$7="Normal",Controls!$B$8,(Controls!$B$8+Controls!$B$9)/2)+Controls!$B$10*(J145-IF(Controls!$B$7="Normal",Controls!$B$8,(Controls!$B$8+Controls!$B$9)/2))+SQRT(1-Controls!$B$10^2)*(Random!AD146-IF(Controls!$B$7="Normal",Controls!$B$8,(Controls!$B$8+Controls!$B$9)/2)))</f>
        <v/>
      </c>
      <c r="K146" s="10" t="str">
        <f>IF(Random!AE146="","",IF(Controls!$B$7="Normal",Controls!$B$8,(Controls!$B$8+Controls!$B$9)/2)+Controls!$B$10*(K145-IF(Controls!$B$7="Normal",Controls!$B$8,(Controls!$B$8+Controls!$B$9)/2))+SQRT(1-Controls!$B$10^2)*(Random!AE146-IF(Controls!$B$7="Normal",Controls!$B$8,(Controls!$B$8+Controls!$B$9)/2)))</f>
        <v/>
      </c>
      <c r="L146" s="10" t="str">
        <f>IF($A146="","",IF(AND($A146&gt;=Controls!$B$25,$A146&lt;Controls!$B$25+Controls!$C$25),(Controls!$D$25-1)*EXP(-0.5*(($A146-Controls!$B$25-(Controls!$C$25-1)/2)/MAX(Controls!$C$25/4,0.5))^2),0))</f>
        <v/>
      </c>
      <c r="M146" s="10" t="str">
        <f>IF($A146="","",IF(AND($A146&gt;=Controls!$B$26,$A146&lt;Controls!$B$26+Controls!$C$26),(Controls!$D$26-1)*EXP(-0.5*(($A146-Controls!$B$26-(Controls!$C$26-1)/2)/MAX(Controls!$C$26/4,0.5))^2),0))</f>
        <v/>
      </c>
      <c r="N146" s="10" t="str">
        <f>IF($A146="","",IF(AND($A146&gt;=Controls!$B$27,$A146&lt;Controls!$B$27+Controls!$C$27),(Controls!$D$27-1)*EXP(-0.5*(($A146-Controls!$B$27-(Controls!$C$27-1)/2)/MAX(Controls!$C$27/4,0.5))^2),0))</f>
        <v/>
      </c>
      <c r="O146" s="10" t="str">
        <f>IF($A146="","",IF(AND($A146&gt;=Controls!$B$28,$A146&lt;Controls!$B$28+Controls!$C$28),(Controls!$D$28-1)*EXP(-0.5*(($A146-Controls!$B$28-(Controls!$C$28-1)/2)/MAX(Controls!$C$28/4,0.5))^2),0))</f>
        <v/>
      </c>
      <c r="P146" s="4" t="str">
        <f t="shared" si="1"/>
        <v/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21.0" customHeight="1">
      <c r="A147" s="7" t="str">
        <f>IF(146&lt;=Controls!$B$5,Controls!$B$4+145,"")</f>
        <v/>
      </c>
      <c r="B147" s="10" t="str">
        <f>IF(Random!V147="","",IF(Controls!$B$7="Normal",Controls!$B$8,(Controls!$B$8+Controls!$B$9)/2)+Controls!$B$10*(B146-IF(Controls!$B$7="Normal",Controls!$B$8,(Controls!$B$8+Controls!$B$9)/2))+SQRT(1-Controls!$B$10^2)*(Random!V147-IF(Controls!$B$7="Normal",Controls!$B$8,(Controls!$B$8+Controls!$B$9)/2)))</f>
        <v/>
      </c>
      <c r="C147" s="10" t="str">
        <f>IF(Random!W147="","",IF(Controls!$B$7="Normal",Controls!$B$8,(Controls!$B$8+Controls!$B$9)/2)+Controls!$B$10*(C146-IF(Controls!$B$7="Normal",Controls!$B$8,(Controls!$B$8+Controls!$B$9)/2))+SQRT(1-Controls!$B$10^2)*(Random!W147-IF(Controls!$B$7="Normal",Controls!$B$8,(Controls!$B$8+Controls!$B$9)/2)))</f>
        <v/>
      </c>
      <c r="D147" s="10" t="str">
        <f>IF(Random!X147="","",IF(Controls!$B$7="Normal",Controls!$B$8,(Controls!$B$8+Controls!$B$9)/2)+Controls!$B$10*(D146-IF(Controls!$B$7="Normal",Controls!$B$8,(Controls!$B$8+Controls!$B$9)/2))+SQRT(1-Controls!$B$10^2)*(Random!X147-IF(Controls!$B$7="Normal",Controls!$B$8,(Controls!$B$8+Controls!$B$9)/2)))</f>
        <v/>
      </c>
      <c r="E147" s="10" t="str">
        <f>IF(Random!Y147="","",IF(Controls!$B$7="Normal",Controls!$B$8,(Controls!$B$8+Controls!$B$9)/2)+Controls!$B$10*(E146-IF(Controls!$B$7="Normal",Controls!$B$8,(Controls!$B$8+Controls!$B$9)/2))+SQRT(1-Controls!$B$10^2)*(Random!Y147-IF(Controls!$B$7="Normal",Controls!$B$8,(Controls!$B$8+Controls!$B$9)/2)))</f>
        <v/>
      </c>
      <c r="F147" s="10" t="str">
        <f>IF(Random!Z147="","",IF(Controls!$B$7="Normal",Controls!$B$8,(Controls!$B$8+Controls!$B$9)/2)+Controls!$B$10*(F146-IF(Controls!$B$7="Normal",Controls!$B$8,(Controls!$B$8+Controls!$B$9)/2))+SQRT(1-Controls!$B$10^2)*(Random!Z147-IF(Controls!$B$7="Normal",Controls!$B$8,(Controls!$B$8+Controls!$B$9)/2)))</f>
        <v/>
      </c>
      <c r="G147" s="10" t="str">
        <f>IF(Random!AA147="","",IF(Controls!$B$7="Normal",Controls!$B$8,(Controls!$B$8+Controls!$B$9)/2)+Controls!$B$10*(G146-IF(Controls!$B$7="Normal",Controls!$B$8,(Controls!$B$8+Controls!$B$9)/2))+SQRT(1-Controls!$B$10^2)*(Random!AA147-IF(Controls!$B$7="Normal",Controls!$B$8,(Controls!$B$8+Controls!$B$9)/2)))</f>
        <v/>
      </c>
      <c r="H147" s="10" t="str">
        <f>IF(Random!AB147="","",IF(Controls!$B$7="Normal",Controls!$B$8,(Controls!$B$8+Controls!$B$9)/2)+Controls!$B$10*(H146-IF(Controls!$B$7="Normal",Controls!$B$8,(Controls!$B$8+Controls!$B$9)/2))+SQRT(1-Controls!$B$10^2)*(Random!AB147-IF(Controls!$B$7="Normal",Controls!$B$8,(Controls!$B$8+Controls!$B$9)/2)))</f>
        <v/>
      </c>
      <c r="I147" s="10" t="str">
        <f>IF(Random!AC147="","",IF(Controls!$B$7="Normal",Controls!$B$8,(Controls!$B$8+Controls!$B$9)/2)+Controls!$B$10*(I146-IF(Controls!$B$7="Normal",Controls!$B$8,(Controls!$B$8+Controls!$B$9)/2))+SQRT(1-Controls!$B$10^2)*(Random!AC147-IF(Controls!$B$7="Normal",Controls!$B$8,(Controls!$B$8+Controls!$B$9)/2)))</f>
        <v/>
      </c>
      <c r="J147" s="10" t="str">
        <f>IF(Random!AD147="","",IF(Controls!$B$7="Normal",Controls!$B$8,(Controls!$B$8+Controls!$B$9)/2)+Controls!$B$10*(J146-IF(Controls!$B$7="Normal",Controls!$B$8,(Controls!$B$8+Controls!$B$9)/2))+SQRT(1-Controls!$B$10^2)*(Random!AD147-IF(Controls!$B$7="Normal",Controls!$B$8,(Controls!$B$8+Controls!$B$9)/2)))</f>
        <v/>
      </c>
      <c r="K147" s="10" t="str">
        <f>IF(Random!AE147="","",IF(Controls!$B$7="Normal",Controls!$B$8,(Controls!$B$8+Controls!$B$9)/2)+Controls!$B$10*(K146-IF(Controls!$B$7="Normal",Controls!$B$8,(Controls!$B$8+Controls!$B$9)/2))+SQRT(1-Controls!$B$10^2)*(Random!AE147-IF(Controls!$B$7="Normal",Controls!$B$8,(Controls!$B$8+Controls!$B$9)/2)))</f>
        <v/>
      </c>
      <c r="L147" s="10" t="str">
        <f>IF($A147="","",IF(AND($A147&gt;=Controls!$B$25,$A147&lt;Controls!$B$25+Controls!$C$25),(Controls!$D$25-1)*EXP(-0.5*(($A147-Controls!$B$25-(Controls!$C$25-1)/2)/MAX(Controls!$C$25/4,0.5))^2),0))</f>
        <v/>
      </c>
      <c r="M147" s="10" t="str">
        <f>IF($A147="","",IF(AND($A147&gt;=Controls!$B$26,$A147&lt;Controls!$B$26+Controls!$C$26),(Controls!$D$26-1)*EXP(-0.5*(($A147-Controls!$B$26-(Controls!$C$26-1)/2)/MAX(Controls!$C$26/4,0.5))^2),0))</f>
        <v/>
      </c>
      <c r="N147" s="10" t="str">
        <f>IF($A147="","",IF(AND($A147&gt;=Controls!$B$27,$A147&lt;Controls!$B$27+Controls!$C$27),(Controls!$D$27-1)*EXP(-0.5*(($A147-Controls!$B$27-(Controls!$C$27-1)/2)/MAX(Controls!$C$27/4,0.5))^2),0))</f>
        <v/>
      </c>
      <c r="O147" s="10" t="str">
        <f>IF($A147="","",IF(AND($A147&gt;=Controls!$B$28,$A147&lt;Controls!$B$28+Controls!$C$28),(Controls!$D$28-1)*EXP(-0.5*(($A147-Controls!$B$28-(Controls!$C$28-1)/2)/MAX(Controls!$C$28/4,0.5))^2),0))</f>
        <v/>
      </c>
      <c r="P147" s="4" t="str">
        <f t="shared" si="1"/>
        <v/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21.0" customHeight="1">
      <c r="A148" s="7" t="str">
        <f>IF(147&lt;=Controls!$B$5,Controls!$B$4+146,"")</f>
        <v/>
      </c>
      <c r="B148" s="10" t="str">
        <f>IF(Random!V148="","",IF(Controls!$B$7="Normal",Controls!$B$8,(Controls!$B$8+Controls!$B$9)/2)+Controls!$B$10*(B147-IF(Controls!$B$7="Normal",Controls!$B$8,(Controls!$B$8+Controls!$B$9)/2))+SQRT(1-Controls!$B$10^2)*(Random!V148-IF(Controls!$B$7="Normal",Controls!$B$8,(Controls!$B$8+Controls!$B$9)/2)))</f>
        <v/>
      </c>
      <c r="C148" s="10" t="str">
        <f>IF(Random!W148="","",IF(Controls!$B$7="Normal",Controls!$B$8,(Controls!$B$8+Controls!$B$9)/2)+Controls!$B$10*(C147-IF(Controls!$B$7="Normal",Controls!$B$8,(Controls!$B$8+Controls!$B$9)/2))+SQRT(1-Controls!$B$10^2)*(Random!W148-IF(Controls!$B$7="Normal",Controls!$B$8,(Controls!$B$8+Controls!$B$9)/2)))</f>
        <v/>
      </c>
      <c r="D148" s="10" t="str">
        <f>IF(Random!X148="","",IF(Controls!$B$7="Normal",Controls!$B$8,(Controls!$B$8+Controls!$B$9)/2)+Controls!$B$10*(D147-IF(Controls!$B$7="Normal",Controls!$B$8,(Controls!$B$8+Controls!$B$9)/2))+SQRT(1-Controls!$B$10^2)*(Random!X148-IF(Controls!$B$7="Normal",Controls!$B$8,(Controls!$B$8+Controls!$B$9)/2)))</f>
        <v/>
      </c>
      <c r="E148" s="10" t="str">
        <f>IF(Random!Y148="","",IF(Controls!$B$7="Normal",Controls!$B$8,(Controls!$B$8+Controls!$B$9)/2)+Controls!$B$10*(E147-IF(Controls!$B$7="Normal",Controls!$B$8,(Controls!$B$8+Controls!$B$9)/2))+SQRT(1-Controls!$B$10^2)*(Random!Y148-IF(Controls!$B$7="Normal",Controls!$B$8,(Controls!$B$8+Controls!$B$9)/2)))</f>
        <v/>
      </c>
      <c r="F148" s="10" t="str">
        <f>IF(Random!Z148="","",IF(Controls!$B$7="Normal",Controls!$B$8,(Controls!$B$8+Controls!$B$9)/2)+Controls!$B$10*(F147-IF(Controls!$B$7="Normal",Controls!$B$8,(Controls!$B$8+Controls!$B$9)/2))+SQRT(1-Controls!$B$10^2)*(Random!Z148-IF(Controls!$B$7="Normal",Controls!$B$8,(Controls!$B$8+Controls!$B$9)/2)))</f>
        <v/>
      </c>
      <c r="G148" s="10" t="str">
        <f>IF(Random!AA148="","",IF(Controls!$B$7="Normal",Controls!$B$8,(Controls!$B$8+Controls!$B$9)/2)+Controls!$B$10*(G147-IF(Controls!$B$7="Normal",Controls!$B$8,(Controls!$B$8+Controls!$B$9)/2))+SQRT(1-Controls!$B$10^2)*(Random!AA148-IF(Controls!$B$7="Normal",Controls!$B$8,(Controls!$B$8+Controls!$B$9)/2)))</f>
        <v/>
      </c>
      <c r="H148" s="10" t="str">
        <f>IF(Random!AB148="","",IF(Controls!$B$7="Normal",Controls!$B$8,(Controls!$B$8+Controls!$B$9)/2)+Controls!$B$10*(H147-IF(Controls!$B$7="Normal",Controls!$B$8,(Controls!$B$8+Controls!$B$9)/2))+SQRT(1-Controls!$B$10^2)*(Random!AB148-IF(Controls!$B$7="Normal",Controls!$B$8,(Controls!$B$8+Controls!$B$9)/2)))</f>
        <v/>
      </c>
      <c r="I148" s="10" t="str">
        <f>IF(Random!AC148="","",IF(Controls!$B$7="Normal",Controls!$B$8,(Controls!$B$8+Controls!$B$9)/2)+Controls!$B$10*(I147-IF(Controls!$B$7="Normal",Controls!$B$8,(Controls!$B$8+Controls!$B$9)/2))+SQRT(1-Controls!$B$10^2)*(Random!AC148-IF(Controls!$B$7="Normal",Controls!$B$8,(Controls!$B$8+Controls!$B$9)/2)))</f>
        <v/>
      </c>
      <c r="J148" s="10" t="str">
        <f>IF(Random!AD148="","",IF(Controls!$B$7="Normal",Controls!$B$8,(Controls!$B$8+Controls!$B$9)/2)+Controls!$B$10*(J147-IF(Controls!$B$7="Normal",Controls!$B$8,(Controls!$B$8+Controls!$B$9)/2))+SQRT(1-Controls!$B$10^2)*(Random!AD148-IF(Controls!$B$7="Normal",Controls!$B$8,(Controls!$B$8+Controls!$B$9)/2)))</f>
        <v/>
      </c>
      <c r="K148" s="10" t="str">
        <f>IF(Random!AE148="","",IF(Controls!$B$7="Normal",Controls!$B$8,(Controls!$B$8+Controls!$B$9)/2)+Controls!$B$10*(K147-IF(Controls!$B$7="Normal",Controls!$B$8,(Controls!$B$8+Controls!$B$9)/2))+SQRT(1-Controls!$B$10^2)*(Random!AE148-IF(Controls!$B$7="Normal",Controls!$B$8,(Controls!$B$8+Controls!$B$9)/2)))</f>
        <v/>
      </c>
      <c r="L148" s="10" t="str">
        <f>IF($A148="","",IF(AND($A148&gt;=Controls!$B$25,$A148&lt;Controls!$B$25+Controls!$C$25),(Controls!$D$25-1)*EXP(-0.5*(($A148-Controls!$B$25-(Controls!$C$25-1)/2)/MAX(Controls!$C$25/4,0.5))^2),0))</f>
        <v/>
      </c>
      <c r="M148" s="10" t="str">
        <f>IF($A148="","",IF(AND($A148&gt;=Controls!$B$26,$A148&lt;Controls!$B$26+Controls!$C$26),(Controls!$D$26-1)*EXP(-0.5*(($A148-Controls!$B$26-(Controls!$C$26-1)/2)/MAX(Controls!$C$26/4,0.5))^2),0))</f>
        <v/>
      </c>
      <c r="N148" s="10" t="str">
        <f>IF($A148="","",IF(AND($A148&gt;=Controls!$B$27,$A148&lt;Controls!$B$27+Controls!$C$27),(Controls!$D$27-1)*EXP(-0.5*(($A148-Controls!$B$27-(Controls!$C$27-1)/2)/MAX(Controls!$C$27/4,0.5))^2),0))</f>
        <v/>
      </c>
      <c r="O148" s="10" t="str">
        <f>IF($A148="","",IF(AND($A148&gt;=Controls!$B$28,$A148&lt;Controls!$B$28+Controls!$C$28),(Controls!$D$28-1)*EXP(-0.5*(($A148-Controls!$B$28-(Controls!$C$28-1)/2)/MAX(Controls!$C$28/4,0.5))^2),0))</f>
        <v/>
      </c>
      <c r="P148" s="4" t="str">
        <f t="shared" si="1"/>
        <v/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21.0" customHeight="1">
      <c r="A149" s="7" t="str">
        <f>IF(148&lt;=Controls!$B$5,Controls!$B$4+147,"")</f>
        <v/>
      </c>
      <c r="B149" s="10" t="str">
        <f>IF(Random!V149="","",IF(Controls!$B$7="Normal",Controls!$B$8,(Controls!$B$8+Controls!$B$9)/2)+Controls!$B$10*(B148-IF(Controls!$B$7="Normal",Controls!$B$8,(Controls!$B$8+Controls!$B$9)/2))+SQRT(1-Controls!$B$10^2)*(Random!V149-IF(Controls!$B$7="Normal",Controls!$B$8,(Controls!$B$8+Controls!$B$9)/2)))</f>
        <v/>
      </c>
      <c r="C149" s="10" t="str">
        <f>IF(Random!W149="","",IF(Controls!$B$7="Normal",Controls!$B$8,(Controls!$B$8+Controls!$B$9)/2)+Controls!$B$10*(C148-IF(Controls!$B$7="Normal",Controls!$B$8,(Controls!$B$8+Controls!$B$9)/2))+SQRT(1-Controls!$B$10^2)*(Random!W149-IF(Controls!$B$7="Normal",Controls!$B$8,(Controls!$B$8+Controls!$B$9)/2)))</f>
        <v/>
      </c>
      <c r="D149" s="10" t="str">
        <f>IF(Random!X149="","",IF(Controls!$B$7="Normal",Controls!$B$8,(Controls!$B$8+Controls!$B$9)/2)+Controls!$B$10*(D148-IF(Controls!$B$7="Normal",Controls!$B$8,(Controls!$B$8+Controls!$B$9)/2))+SQRT(1-Controls!$B$10^2)*(Random!X149-IF(Controls!$B$7="Normal",Controls!$B$8,(Controls!$B$8+Controls!$B$9)/2)))</f>
        <v/>
      </c>
      <c r="E149" s="10" t="str">
        <f>IF(Random!Y149="","",IF(Controls!$B$7="Normal",Controls!$B$8,(Controls!$B$8+Controls!$B$9)/2)+Controls!$B$10*(E148-IF(Controls!$B$7="Normal",Controls!$B$8,(Controls!$B$8+Controls!$B$9)/2))+SQRT(1-Controls!$B$10^2)*(Random!Y149-IF(Controls!$B$7="Normal",Controls!$B$8,(Controls!$B$8+Controls!$B$9)/2)))</f>
        <v/>
      </c>
      <c r="F149" s="10" t="str">
        <f>IF(Random!Z149="","",IF(Controls!$B$7="Normal",Controls!$B$8,(Controls!$B$8+Controls!$B$9)/2)+Controls!$B$10*(F148-IF(Controls!$B$7="Normal",Controls!$B$8,(Controls!$B$8+Controls!$B$9)/2))+SQRT(1-Controls!$B$10^2)*(Random!Z149-IF(Controls!$B$7="Normal",Controls!$B$8,(Controls!$B$8+Controls!$B$9)/2)))</f>
        <v/>
      </c>
      <c r="G149" s="10" t="str">
        <f>IF(Random!AA149="","",IF(Controls!$B$7="Normal",Controls!$B$8,(Controls!$B$8+Controls!$B$9)/2)+Controls!$B$10*(G148-IF(Controls!$B$7="Normal",Controls!$B$8,(Controls!$B$8+Controls!$B$9)/2))+SQRT(1-Controls!$B$10^2)*(Random!AA149-IF(Controls!$B$7="Normal",Controls!$B$8,(Controls!$B$8+Controls!$B$9)/2)))</f>
        <v/>
      </c>
      <c r="H149" s="10" t="str">
        <f>IF(Random!AB149="","",IF(Controls!$B$7="Normal",Controls!$B$8,(Controls!$B$8+Controls!$B$9)/2)+Controls!$B$10*(H148-IF(Controls!$B$7="Normal",Controls!$B$8,(Controls!$B$8+Controls!$B$9)/2))+SQRT(1-Controls!$B$10^2)*(Random!AB149-IF(Controls!$B$7="Normal",Controls!$B$8,(Controls!$B$8+Controls!$B$9)/2)))</f>
        <v/>
      </c>
      <c r="I149" s="10" t="str">
        <f>IF(Random!AC149="","",IF(Controls!$B$7="Normal",Controls!$B$8,(Controls!$B$8+Controls!$B$9)/2)+Controls!$B$10*(I148-IF(Controls!$B$7="Normal",Controls!$B$8,(Controls!$B$8+Controls!$B$9)/2))+SQRT(1-Controls!$B$10^2)*(Random!AC149-IF(Controls!$B$7="Normal",Controls!$B$8,(Controls!$B$8+Controls!$B$9)/2)))</f>
        <v/>
      </c>
      <c r="J149" s="10" t="str">
        <f>IF(Random!AD149="","",IF(Controls!$B$7="Normal",Controls!$B$8,(Controls!$B$8+Controls!$B$9)/2)+Controls!$B$10*(J148-IF(Controls!$B$7="Normal",Controls!$B$8,(Controls!$B$8+Controls!$B$9)/2))+SQRT(1-Controls!$B$10^2)*(Random!AD149-IF(Controls!$B$7="Normal",Controls!$B$8,(Controls!$B$8+Controls!$B$9)/2)))</f>
        <v/>
      </c>
      <c r="K149" s="10" t="str">
        <f>IF(Random!AE149="","",IF(Controls!$B$7="Normal",Controls!$B$8,(Controls!$B$8+Controls!$B$9)/2)+Controls!$B$10*(K148-IF(Controls!$B$7="Normal",Controls!$B$8,(Controls!$B$8+Controls!$B$9)/2))+SQRT(1-Controls!$B$10^2)*(Random!AE149-IF(Controls!$B$7="Normal",Controls!$B$8,(Controls!$B$8+Controls!$B$9)/2)))</f>
        <v/>
      </c>
      <c r="L149" s="10" t="str">
        <f>IF($A149="","",IF(AND($A149&gt;=Controls!$B$25,$A149&lt;Controls!$B$25+Controls!$C$25),(Controls!$D$25-1)*EXP(-0.5*(($A149-Controls!$B$25-(Controls!$C$25-1)/2)/MAX(Controls!$C$25/4,0.5))^2),0))</f>
        <v/>
      </c>
      <c r="M149" s="10" t="str">
        <f>IF($A149="","",IF(AND($A149&gt;=Controls!$B$26,$A149&lt;Controls!$B$26+Controls!$C$26),(Controls!$D$26-1)*EXP(-0.5*(($A149-Controls!$B$26-(Controls!$C$26-1)/2)/MAX(Controls!$C$26/4,0.5))^2),0))</f>
        <v/>
      </c>
      <c r="N149" s="10" t="str">
        <f>IF($A149="","",IF(AND($A149&gt;=Controls!$B$27,$A149&lt;Controls!$B$27+Controls!$C$27),(Controls!$D$27-1)*EXP(-0.5*(($A149-Controls!$B$27-(Controls!$C$27-1)/2)/MAX(Controls!$C$27/4,0.5))^2),0))</f>
        <v/>
      </c>
      <c r="O149" s="10" t="str">
        <f>IF($A149="","",IF(AND($A149&gt;=Controls!$B$28,$A149&lt;Controls!$B$28+Controls!$C$28),(Controls!$D$28-1)*EXP(-0.5*(($A149-Controls!$B$28-(Controls!$C$28-1)/2)/MAX(Controls!$C$28/4,0.5))^2),0))</f>
        <v/>
      </c>
      <c r="P149" s="4" t="str">
        <f t="shared" si="1"/>
        <v/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21.0" customHeight="1">
      <c r="A150" s="7" t="str">
        <f>IF(149&lt;=Controls!$B$5,Controls!$B$4+148,"")</f>
        <v/>
      </c>
      <c r="B150" s="10" t="str">
        <f>IF(Random!V150="","",IF(Controls!$B$7="Normal",Controls!$B$8,(Controls!$B$8+Controls!$B$9)/2)+Controls!$B$10*(B149-IF(Controls!$B$7="Normal",Controls!$B$8,(Controls!$B$8+Controls!$B$9)/2))+SQRT(1-Controls!$B$10^2)*(Random!V150-IF(Controls!$B$7="Normal",Controls!$B$8,(Controls!$B$8+Controls!$B$9)/2)))</f>
        <v/>
      </c>
      <c r="C150" s="10" t="str">
        <f>IF(Random!W150="","",IF(Controls!$B$7="Normal",Controls!$B$8,(Controls!$B$8+Controls!$B$9)/2)+Controls!$B$10*(C149-IF(Controls!$B$7="Normal",Controls!$B$8,(Controls!$B$8+Controls!$B$9)/2))+SQRT(1-Controls!$B$10^2)*(Random!W150-IF(Controls!$B$7="Normal",Controls!$B$8,(Controls!$B$8+Controls!$B$9)/2)))</f>
        <v/>
      </c>
      <c r="D150" s="10" t="str">
        <f>IF(Random!X150="","",IF(Controls!$B$7="Normal",Controls!$B$8,(Controls!$B$8+Controls!$B$9)/2)+Controls!$B$10*(D149-IF(Controls!$B$7="Normal",Controls!$B$8,(Controls!$B$8+Controls!$B$9)/2))+SQRT(1-Controls!$B$10^2)*(Random!X150-IF(Controls!$B$7="Normal",Controls!$B$8,(Controls!$B$8+Controls!$B$9)/2)))</f>
        <v/>
      </c>
      <c r="E150" s="10" t="str">
        <f>IF(Random!Y150="","",IF(Controls!$B$7="Normal",Controls!$B$8,(Controls!$B$8+Controls!$B$9)/2)+Controls!$B$10*(E149-IF(Controls!$B$7="Normal",Controls!$B$8,(Controls!$B$8+Controls!$B$9)/2))+SQRT(1-Controls!$B$10^2)*(Random!Y150-IF(Controls!$B$7="Normal",Controls!$B$8,(Controls!$B$8+Controls!$B$9)/2)))</f>
        <v/>
      </c>
      <c r="F150" s="10" t="str">
        <f>IF(Random!Z150="","",IF(Controls!$B$7="Normal",Controls!$B$8,(Controls!$B$8+Controls!$B$9)/2)+Controls!$B$10*(F149-IF(Controls!$B$7="Normal",Controls!$B$8,(Controls!$B$8+Controls!$B$9)/2))+SQRT(1-Controls!$B$10^2)*(Random!Z150-IF(Controls!$B$7="Normal",Controls!$B$8,(Controls!$B$8+Controls!$B$9)/2)))</f>
        <v/>
      </c>
      <c r="G150" s="10" t="str">
        <f>IF(Random!AA150="","",IF(Controls!$B$7="Normal",Controls!$B$8,(Controls!$B$8+Controls!$B$9)/2)+Controls!$B$10*(G149-IF(Controls!$B$7="Normal",Controls!$B$8,(Controls!$B$8+Controls!$B$9)/2))+SQRT(1-Controls!$B$10^2)*(Random!AA150-IF(Controls!$B$7="Normal",Controls!$B$8,(Controls!$B$8+Controls!$B$9)/2)))</f>
        <v/>
      </c>
      <c r="H150" s="10" t="str">
        <f>IF(Random!AB150="","",IF(Controls!$B$7="Normal",Controls!$B$8,(Controls!$B$8+Controls!$B$9)/2)+Controls!$B$10*(H149-IF(Controls!$B$7="Normal",Controls!$B$8,(Controls!$B$8+Controls!$B$9)/2))+SQRT(1-Controls!$B$10^2)*(Random!AB150-IF(Controls!$B$7="Normal",Controls!$B$8,(Controls!$B$8+Controls!$B$9)/2)))</f>
        <v/>
      </c>
      <c r="I150" s="10" t="str">
        <f>IF(Random!AC150="","",IF(Controls!$B$7="Normal",Controls!$B$8,(Controls!$B$8+Controls!$B$9)/2)+Controls!$B$10*(I149-IF(Controls!$B$7="Normal",Controls!$B$8,(Controls!$B$8+Controls!$B$9)/2))+SQRT(1-Controls!$B$10^2)*(Random!AC150-IF(Controls!$B$7="Normal",Controls!$B$8,(Controls!$B$8+Controls!$B$9)/2)))</f>
        <v/>
      </c>
      <c r="J150" s="10" t="str">
        <f>IF(Random!AD150="","",IF(Controls!$B$7="Normal",Controls!$B$8,(Controls!$B$8+Controls!$B$9)/2)+Controls!$B$10*(J149-IF(Controls!$B$7="Normal",Controls!$B$8,(Controls!$B$8+Controls!$B$9)/2))+SQRT(1-Controls!$B$10^2)*(Random!AD150-IF(Controls!$B$7="Normal",Controls!$B$8,(Controls!$B$8+Controls!$B$9)/2)))</f>
        <v/>
      </c>
      <c r="K150" s="10" t="str">
        <f>IF(Random!AE150="","",IF(Controls!$B$7="Normal",Controls!$B$8,(Controls!$B$8+Controls!$B$9)/2)+Controls!$B$10*(K149-IF(Controls!$B$7="Normal",Controls!$B$8,(Controls!$B$8+Controls!$B$9)/2))+SQRT(1-Controls!$B$10^2)*(Random!AE150-IF(Controls!$B$7="Normal",Controls!$B$8,(Controls!$B$8+Controls!$B$9)/2)))</f>
        <v/>
      </c>
      <c r="L150" s="10" t="str">
        <f>IF($A150="","",IF(AND($A150&gt;=Controls!$B$25,$A150&lt;Controls!$B$25+Controls!$C$25),(Controls!$D$25-1)*EXP(-0.5*(($A150-Controls!$B$25-(Controls!$C$25-1)/2)/MAX(Controls!$C$25/4,0.5))^2),0))</f>
        <v/>
      </c>
      <c r="M150" s="10" t="str">
        <f>IF($A150="","",IF(AND($A150&gt;=Controls!$B$26,$A150&lt;Controls!$B$26+Controls!$C$26),(Controls!$D$26-1)*EXP(-0.5*(($A150-Controls!$B$26-(Controls!$C$26-1)/2)/MAX(Controls!$C$26/4,0.5))^2),0))</f>
        <v/>
      </c>
      <c r="N150" s="10" t="str">
        <f>IF($A150="","",IF(AND($A150&gt;=Controls!$B$27,$A150&lt;Controls!$B$27+Controls!$C$27),(Controls!$D$27-1)*EXP(-0.5*(($A150-Controls!$B$27-(Controls!$C$27-1)/2)/MAX(Controls!$C$27/4,0.5))^2),0))</f>
        <v/>
      </c>
      <c r="O150" s="10" t="str">
        <f>IF($A150="","",IF(AND($A150&gt;=Controls!$B$28,$A150&lt;Controls!$B$28+Controls!$C$28),(Controls!$D$28-1)*EXP(-0.5*(($A150-Controls!$B$28-(Controls!$C$28-1)/2)/MAX(Controls!$C$28/4,0.5))^2),0))</f>
        <v/>
      </c>
      <c r="P150" s="4" t="str">
        <f t="shared" si="1"/>
        <v/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21.0" customHeight="1">
      <c r="A151" s="7" t="str">
        <f>IF(150&lt;=Controls!$B$5,Controls!$B$4+149,"")</f>
        <v/>
      </c>
      <c r="B151" s="10" t="str">
        <f>IF(Random!V151="","",IF(Controls!$B$7="Normal",Controls!$B$8,(Controls!$B$8+Controls!$B$9)/2)+Controls!$B$10*(B150-IF(Controls!$B$7="Normal",Controls!$B$8,(Controls!$B$8+Controls!$B$9)/2))+SQRT(1-Controls!$B$10^2)*(Random!V151-IF(Controls!$B$7="Normal",Controls!$B$8,(Controls!$B$8+Controls!$B$9)/2)))</f>
        <v/>
      </c>
      <c r="C151" s="10" t="str">
        <f>IF(Random!W151="","",IF(Controls!$B$7="Normal",Controls!$B$8,(Controls!$B$8+Controls!$B$9)/2)+Controls!$B$10*(C150-IF(Controls!$B$7="Normal",Controls!$B$8,(Controls!$B$8+Controls!$B$9)/2))+SQRT(1-Controls!$B$10^2)*(Random!W151-IF(Controls!$B$7="Normal",Controls!$B$8,(Controls!$B$8+Controls!$B$9)/2)))</f>
        <v/>
      </c>
      <c r="D151" s="10" t="str">
        <f>IF(Random!X151="","",IF(Controls!$B$7="Normal",Controls!$B$8,(Controls!$B$8+Controls!$B$9)/2)+Controls!$B$10*(D150-IF(Controls!$B$7="Normal",Controls!$B$8,(Controls!$B$8+Controls!$B$9)/2))+SQRT(1-Controls!$B$10^2)*(Random!X151-IF(Controls!$B$7="Normal",Controls!$B$8,(Controls!$B$8+Controls!$B$9)/2)))</f>
        <v/>
      </c>
      <c r="E151" s="10" t="str">
        <f>IF(Random!Y151="","",IF(Controls!$B$7="Normal",Controls!$B$8,(Controls!$B$8+Controls!$B$9)/2)+Controls!$B$10*(E150-IF(Controls!$B$7="Normal",Controls!$B$8,(Controls!$B$8+Controls!$B$9)/2))+SQRT(1-Controls!$B$10^2)*(Random!Y151-IF(Controls!$B$7="Normal",Controls!$B$8,(Controls!$B$8+Controls!$B$9)/2)))</f>
        <v/>
      </c>
      <c r="F151" s="10" t="str">
        <f>IF(Random!Z151="","",IF(Controls!$B$7="Normal",Controls!$B$8,(Controls!$B$8+Controls!$B$9)/2)+Controls!$B$10*(F150-IF(Controls!$B$7="Normal",Controls!$B$8,(Controls!$B$8+Controls!$B$9)/2))+SQRT(1-Controls!$B$10^2)*(Random!Z151-IF(Controls!$B$7="Normal",Controls!$B$8,(Controls!$B$8+Controls!$B$9)/2)))</f>
        <v/>
      </c>
      <c r="G151" s="10" t="str">
        <f>IF(Random!AA151="","",IF(Controls!$B$7="Normal",Controls!$B$8,(Controls!$B$8+Controls!$B$9)/2)+Controls!$B$10*(G150-IF(Controls!$B$7="Normal",Controls!$B$8,(Controls!$B$8+Controls!$B$9)/2))+SQRT(1-Controls!$B$10^2)*(Random!AA151-IF(Controls!$B$7="Normal",Controls!$B$8,(Controls!$B$8+Controls!$B$9)/2)))</f>
        <v/>
      </c>
      <c r="H151" s="10" t="str">
        <f>IF(Random!AB151="","",IF(Controls!$B$7="Normal",Controls!$B$8,(Controls!$B$8+Controls!$B$9)/2)+Controls!$B$10*(H150-IF(Controls!$B$7="Normal",Controls!$B$8,(Controls!$B$8+Controls!$B$9)/2))+SQRT(1-Controls!$B$10^2)*(Random!AB151-IF(Controls!$B$7="Normal",Controls!$B$8,(Controls!$B$8+Controls!$B$9)/2)))</f>
        <v/>
      </c>
      <c r="I151" s="10" t="str">
        <f>IF(Random!AC151="","",IF(Controls!$B$7="Normal",Controls!$B$8,(Controls!$B$8+Controls!$B$9)/2)+Controls!$B$10*(I150-IF(Controls!$B$7="Normal",Controls!$B$8,(Controls!$B$8+Controls!$B$9)/2))+SQRT(1-Controls!$B$10^2)*(Random!AC151-IF(Controls!$B$7="Normal",Controls!$B$8,(Controls!$B$8+Controls!$B$9)/2)))</f>
        <v/>
      </c>
      <c r="J151" s="10" t="str">
        <f>IF(Random!AD151="","",IF(Controls!$B$7="Normal",Controls!$B$8,(Controls!$B$8+Controls!$B$9)/2)+Controls!$B$10*(J150-IF(Controls!$B$7="Normal",Controls!$B$8,(Controls!$B$8+Controls!$B$9)/2))+SQRT(1-Controls!$B$10^2)*(Random!AD151-IF(Controls!$B$7="Normal",Controls!$B$8,(Controls!$B$8+Controls!$B$9)/2)))</f>
        <v/>
      </c>
      <c r="K151" s="10" t="str">
        <f>IF(Random!AE151="","",IF(Controls!$B$7="Normal",Controls!$B$8,(Controls!$B$8+Controls!$B$9)/2)+Controls!$B$10*(K150-IF(Controls!$B$7="Normal",Controls!$B$8,(Controls!$B$8+Controls!$B$9)/2))+SQRT(1-Controls!$B$10^2)*(Random!AE151-IF(Controls!$B$7="Normal",Controls!$B$8,(Controls!$B$8+Controls!$B$9)/2)))</f>
        <v/>
      </c>
      <c r="L151" s="10" t="str">
        <f>IF($A151="","",IF(AND($A151&gt;=Controls!$B$25,$A151&lt;Controls!$B$25+Controls!$C$25),(Controls!$D$25-1)*EXP(-0.5*(($A151-Controls!$B$25-(Controls!$C$25-1)/2)/MAX(Controls!$C$25/4,0.5))^2),0))</f>
        <v/>
      </c>
      <c r="M151" s="10" t="str">
        <f>IF($A151="","",IF(AND($A151&gt;=Controls!$B$26,$A151&lt;Controls!$B$26+Controls!$C$26),(Controls!$D$26-1)*EXP(-0.5*(($A151-Controls!$B$26-(Controls!$C$26-1)/2)/MAX(Controls!$C$26/4,0.5))^2),0))</f>
        <v/>
      </c>
      <c r="N151" s="10" t="str">
        <f>IF($A151="","",IF(AND($A151&gt;=Controls!$B$27,$A151&lt;Controls!$B$27+Controls!$C$27),(Controls!$D$27-1)*EXP(-0.5*(($A151-Controls!$B$27-(Controls!$C$27-1)/2)/MAX(Controls!$C$27/4,0.5))^2),0))</f>
        <v/>
      </c>
      <c r="O151" s="10" t="str">
        <f>IF($A151="","",IF(AND($A151&gt;=Controls!$B$28,$A151&lt;Controls!$B$28+Controls!$C$28),(Controls!$D$28-1)*EXP(-0.5*(($A151-Controls!$B$28-(Controls!$C$28-1)/2)/MAX(Controls!$C$28/4,0.5))^2),0))</f>
        <v/>
      </c>
      <c r="P151" s="4" t="str">
        <f t="shared" si="1"/>
        <v/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21.0" customHeight="1">
      <c r="A152" s="7" t="str">
        <f>IF(151&lt;=Controls!$B$5,Controls!$B$4+150,"")</f>
        <v/>
      </c>
      <c r="B152" s="10" t="str">
        <f>IF(Random!V152="","",IF(Controls!$B$7="Normal",Controls!$B$8,(Controls!$B$8+Controls!$B$9)/2)+Controls!$B$10*(B151-IF(Controls!$B$7="Normal",Controls!$B$8,(Controls!$B$8+Controls!$B$9)/2))+SQRT(1-Controls!$B$10^2)*(Random!V152-IF(Controls!$B$7="Normal",Controls!$B$8,(Controls!$B$8+Controls!$B$9)/2)))</f>
        <v/>
      </c>
      <c r="C152" s="10" t="str">
        <f>IF(Random!W152="","",IF(Controls!$B$7="Normal",Controls!$B$8,(Controls!$B$8+Controls!$B$9)/2)+Controls!$B$10*(C151-IF(Controls!$B$7="Normal",Controls!$B$8,(Controls!$B$8+Controls!$B$9)/2))+SQRT(1-Controls!$B$10^2)*(Random!W152-IF(Controls!$B$7="Normal",Controls!$B$8,(Controls!$B$8+Controls!$B$9)/2)))</f>
        <v/>
      </c>
      <c r="D152" s="10" t="str">
        <f>IF(Random!X152="","",IF(Controls!$B$7="Normal",Controls!$B$8,(Controls!$B$8+Controls!$B$9)/2)+Controls!$B$10*(D151-IF(Controls!$B$7="Normal",Controls!$B$8,(Controls!$B$8+Controls!$B$9)/2))+SQRT(1-Controls!$B$10^2)*(Random!X152-IF(Controls!$B$7="Normal",Controls!$B$8,(Controls!$B$8+Controls!$B$9)/2)))</f>
        <v/>
      </c>
      <c r="E152" s="10" t="str">
        <f>IF(Random!Y152="","",IF(Controls!$B$7="Normal",Controls!$B$8,(Controls!$B$8+Controls!$B$9)/2)+Controls!$B$10*(E151-IF(Controls!$B$7="Normal",Controls!$B$8,(Controls!$B$8+Controls!$B$9)/2))+SQRT(1-Controls!$B$10^2)*(Random!Y152-IF(Controls!$B$7="Normal",Controls!$B$8,(Controls!$B$8+Controls!$B$9)/2)))</f>
        <v/>
      </c>
      <c r="F152" s="10" t="str">
        <f>IF(Random!Z152="","",IF(Controls!$B$7="Normal",Controls!$B$8,(Controls!$B$8+Controls!$B$9)/2)+Controls!$B$10*(F151-IF(Controls!$B$7="Normal",Controls!$B$8,(Controls!$B$8+Controls!$B$9)/2))+SQRT(1-Controls!$B$10^2)*(Random!Z152-IF(Controls!$B$7="Normal",Controls!$B$8,(Controls!$B$8+Controls!$B$9)/2)))</f>
        <v/>
      </c>
      <c r="G152" s="10" t="str">
        <f>IF(Random!AA152="","",IF(Controls!$B$7="Normal",Controls!$B$8,(Controls!$B$8+Controls!$B$9)/2)+Controls!$B$10*(G151-IF(Controls!$B$7="Normal",Controls!$B$8,(Controls!$B$8+Controls!$B$9)/2))+SQRT(1-Controls!$B$10^2)*(Random!AA152-IF(Controls!$B$7="Normal",Controls!$B$8,(Controls!$B$8+Controls!$B$9)/2)))</f>
        <v/>
      </c>
      <c r="H152" s="10" t="str">
        <f>IF(Random!AB152="","",IF(Controls!$B$7="Normal",Controls!$B$8,(Controls!$B$8+Controls!$B$9)/2)+Controls!$B$10*(H151-IF(Controls!$B$7="Normal",Controls!$B$8,(Controls!$B$8+Controls!$B$9)/2))+SQRT(1-Controls!$B$10^2)*(Random!AB152-IF(Controls!$B$7="Normal",Controls!$B$8,(Controls!$B$8+Controls!$B$9)/2)))</f>
        <v/>
      </c>
      <c r="I152" s="10" t="str">
        <f>IF(Random!AC152="","",IF(Controls!$B$7="Normal",Controls!$B$8,(Controls!$B$8+Controls!$B$9)/2)+Controls!$B$10*(I151-IF(Controls!$B$7="Normal",Controls!$B$8,(Controls!$B$8+Controls!$B$9)/2))+SQRT(1-Controls!$B$10^2)*(Random!AC152-IF(Controls!$B$7="Normal",Controls!$B$8,(Controls!$B$8+Controls!$B$9)/2)))</f>
        <v/>
      </c>
      <c r="J152" s="10" t="str">
        <f>IF(Random!AD152="","",IF(Controls!$B$7="Normal",Controls!$B$8,(Controls!$B$8+Controls!$B$9)/2)+Controls!$B$10*(J151-IF(Controls!$B$7="Normal",Controls!$B$8,(Controls!$B$8+Controls!$B$9)/2))+SQRT(1-Controls!$B$10^2)*(Random!AD152-IF(Controls!$B$7="Normal",Controls!$B$8,(Controls!$B$8+Controls!$B$9)/2)))</f>
        <v/>
      </c>
      <c r="K152" s="10" t="str">
        <f>IF(Random!AE152="","",IF(Controls!$B$7="Normal",Controls!$B$8,(Controls!$B$8+Controls!$B$9)/2)+Controls!$B$10*(K151-IF(Controls!$B$7="Normal",Controls!$B$8,(Controls!$B$8+Controls!$B$9)/2))+SQRT(1-Controls!$B$10^2)*(Random!AE152-IF(Controls!$B$7="Normal",Controls!$B$8,(Controls!$B$8+Controls!$B$9)/2)))</f>
        <v/>
      </c>
      <c r="L152" s="10" t="str">
        <f>IF($A152="","",IF(AND($A152&gt;=Controls!$B$25,$A152&lt;Controls!$B$25+Controls!$C$25),(Controls!$D$25-1)*EXP(-0.5*(($A152-Controls!$B$25-(Controls!$C$25-1)/2)/MAX(Controls!$C$25/4,0.5))^2),0))</f>
        <v/>
      </c>
      <c r="M152" s="10" t="str">
        <f>IF($A152="","",IF(AND($A152&gt;=Controls!$B$26,$A152&lt;Controls!$B$26+Controls!$C$26),(Controls!$D$26-1)*EXP(-0.5*(($A152-Controls!$B$26-(Controls!$C$26-1)/2)/MAX(Controls!$C$26/4,0.5))^2),0))</f>
        <v/>
      </c>
      <c r="N152" s="10" t="str">
        <f>IF($A152="","",IF(AND($A152&gt;=Controls!$B$27,$A152&lt;Controls!$B$27+Controls!$C$27),(Controls!$D$27-1)*EXP(-0.5*(($A152-Controls!$B$27-(Controls!$C$27-1)/2)/MAX(Controls!$C$27/4,0.5))^2),0))</f>
        <v/>
      </c>
      <c r="O152" s="10" t="str">
        <f>IF($A152="","",IF(AND($A152&gt;=Controls!$B$28,$A152&lt;Controls!$B$28+Controls!$C$28),(Controls!$D$28-1)*EXP(-0.5*(($A152-Controls!$B$28-(Controls!$C$28-1)/2)/MAX(Controls!$C$28/4,0.5))^2),0))</f>
        <v/>
      </c>
      <c r="P152" s="4" t="str">
        <f t="shared" si="1"/>
        <v/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21.0" customHeight="1">
      <c r="A153" s="7" t="str">
        <f>IF(152&lt;=Controls!$B$5,Controls!$B$4+151,"")</f>
        <v/>
      </c>
      <c r="B153" s="10" t="str">
        <f>IF(Random!V153="","",IF(Controls!$B$7="Normal",Controls!$B$8,(Controls!$B$8+Controls!$B$9)/2)+Controls!$B$10*(B152-IF(Controls!$B$7="Normal",Controls!$B$8,(Controls!$B$8+Controls!$B$9)/2))+SQRT(1-Controls!$B$10^2)*(Random!V153-IF(Controls!$B$7="Normal",Controls!$B$8,(Controls!$B$8+Controls!$B$9)/2)))</f>
        <v/>
      </c>
      <c r="C153" s="10" t="str">
        <f>IF(Random!W153="","",IF(Controls!$B$7="Normal",Controls!$B$8,(Controls!$B$8+Controls!$B$9)/2)+Controls!$B$10*(C152-IF(Controls!$B$7="Normal",Controls!$B$8,(Controls!$B$8+Controls!$B$9)/2))+SQRT(1-Controls!$B$10^2)*(Random!W153-IF(Controls!$B$7="Normal",Controls!$B$8,(Controls!$B$8+Controls!$B$9)/2)))</f>
        <v/>
      </c>
      <c r="D153" s="10" t="str">
        <f>IF(Random!X153="","",IF(Controls!$B$7="Normal",Controls!$B$8,(Controls!$B$8+Controls!$B$9)/2)+Controls!$B$10*(D152-IF(Controls!$B$7="Normal",Controls!$B$8,(Controls!$B$8+Controls!$B$9)/2))+SQRT(1-Controls!$B$10^2)*(Random!X153-IF(Controls!$B$7="Normal",Controls!$B$8,(Controls!$B$8+Controls!$B$9)/2)))</f>
        <v/>
      </c>
      <c r="E153" s="10" t="str">
        <f>IF(Random!Y153="","",IF(Controls!$B$7="Normal",Controls!$B$8,(Controls!$B$8+Controls!$B$9)/2)+Controls!$B$10*(E152-IF(Controls!$B$7="Normal",Controls!$B$8,(Controls!$B$8+Controls!$B$9)/2))+SQRT(1-Controls!$B$10^2)*(Random!Y153-IF(Controls!$B$7="Normal",Controls!$B$8,(Controls!$B$8+Controls!$B$9)/2)))</f>
        <v/>
      </c>
      <c r="F153" s="10" t="str">
        <f>IF(Random!Z153="","",IF(Controls!$B$7="Normal",Controls!$B$8,(Controls!$B$8+Controls!$B$9)/2)+Controls!$B$10*(F152-IF(Controls!$B$7="Normal",Controls!$B$8,(Controls!$B$8+Controls!$B$9)/2))+SQRT(1-Controls!$B$10^2)*(Random!Z153-IF(Controls!$B$7="Normal",Controls!$B$8,(Controls!$B$8+Controls!$B$9)/2)))</f>
        <v/>
      </c>
      <c r="G153" s="10" t="str">
        <f>IF(Random!AA153="","",IF(Controls!$B$7="Normal",Controls!$B$8,(Controls!$B$8+Controls!$B$9)/2)+Controls!$B$10*(G152-IF(Controls!$B$7="Normal",Controls!$B$8,(Controls!$B$8+Controls!$B$9)/2))+SQRT(1-Controls!$B$10^2)*(Random!AA153-IF(Controls!$B$7="Normal",Controls!$B$8,(Controls!$B$8+Controls!$B$9)/2)))</f>
        <v/>
      </c>
      <c r="H153" s="10" t="str">
        <f>IF(Random!AB153="","",IF(Controls!$B$7="Normal",Controls!$B$8,(Controls!$B$8+Controls!$B$9)/2)+Controls!$B$10*(H152-IF(Controls!$B$7="Normal",Controls!$B$8,(Controls!$B$8+Controls!$B$9)/2))+SQRT(1-Controls!$B$10^2)*(Random!AB153-IF(Controls!$B$7="Normal",Controls!$B$8,(Controls!$B$8+Controls!$B$9)/2)))</f>
        <v/>
      </c>
      <c r="I153" s="10" t="str">
        <f>IF(Random!AC153="","",IF(Controls!$B$7="Normal",Controls!$B$8,(Controls!$B$8+Controls!$B$9)/2)+Controls!$B$10*(I152-IF(Controls!$B$7="Normal",Controls!$B$8,(Controls!$B$8+Controls!$B$9)/2))+SQRT(1-Controls!$B$10^2)*(Random!AC153-IF(Controls!$B$7="Normal",Controls!$B$8,(Controls!$B$8+Controls!$B$9)/2)))</f>
        <v/>
      </c>
      <c r="J153" s="10" t="str">
        <f>IF(Random!AD153="","",IF(Controls!$B$7="Normal",Controls!$B$8,(Controls!$B$8+Controls!$B$9)/2)+Controls!$B$10*(J152-IF(Controls!$B$7="Normal",Controls!$B$8,(Controls!$B$8+Controls!$B$9)/2))+SQRT(1-Controls!$B$10^2)*(Random!AD153-IF(Controls!$B$7="Normal",Controls!$B$8,(Controls!$B$8+Controls!$B$9)/2)))</f>
        <v/>
      </c>
      <c r="K153" s="10" t="str">
        <f>IF(Random!AE153="","",IF(Controls!$B$7="Normal",Controls!$B$8,(Controls!$B$8+Controls!$B$9)/2)+Controls!$B$10*(K152-IF(Controls!$B$7="Normal",Controls!$B$8,(Controls!$B$8+Controls!$B$9)/2))+SQRT(1-Controls!$B$10^2)*(Random!AE153-IF(Controls!$B$7="Normal",Controls!$B$8,(Controls!$B$8+Controls!$B$9)/2)))</f>
        <v/>
      </c>
      <c r="L153" s="10" t="str">
        <f>IF($A153="","",IF(AND($A153&gt;=Controls!$B$25,$A153&lt;Controls!$B$25+Controls!$C$25),(Controls!$D$25-1)*EXP(-0.5*(($A153-Controls!$B$25-(Controls!$C$25-1)/2)/MAX(Controls!$C$25/4,0.5))^2),0))</f>
        <v/>
      </c>
      <c r="M153" s="10" t="str">
        <f>IF($A153="","",IF(AND($A153&gt;=Controls!$B$26,$A153&lt;Controls!$B$26+Controls!$C$26),(Controls!$D$26-1)*EXP(-0.5*(($A153-Controls!$B$26-(Controls!$C$26-1)/2)/MAX(Controls!$C$26/4,0.5))^2),0))</f>
        <v/>
      </c>
      <c r="N153" s="10" t="str">
        <f>IF($A153="","",IF(AND($A153&gt;=Controls!$B$27,$A153&lt;Controls!$B$27+Controls!$C$27),(Controls!$D$27-1)*EXP(-0.5*(($A153-Controls!$B$27-(Controls!$C$27-1)/2)/MAX(Controls!$C$27/4,0.5))^2),0))</f>
        <v/>
      </c>
      <c r="O153" s="10" t="str">
        <f>IF($A153="","",IF(AND($A153&gt;=Controls!$B$28,$A153&lt;Controls!$B$28+Controls!$C$28),(Controls!$D$28-1)*EXP(-0.5*(($A153-Controls!$B$28-(Controls!$C$28-1)/2)/MAX(Controls!$C$28/4,0.5))^2),0))</f>
        <v/>
      </c>
      <c r="P153" s="4" t="str">
        <f t="shared" si="1"/>
        <v/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21.0" customHeight="1">
      <c r="A154" s="7" t="str">
        <f>IF(153&lt;=Controls!$B$5,Controls!$B$4+152,"")</f>
        <v/>
      </c>
      <c r="B154" s="10" t="str">
        <f>IF(Random!V154="","",IF(Controls!$B$7="Normal",Controls!$B$8,(Controls!$B$8+Controls!$B$9)/2)+Controls!$B$10*(B153-IF(Controls!$B$7="Normal",Controls!$B$8,(Controls!$B$8+Controls!$B$9)/2))+SQRT(1-Controls!$B$10^2)*(Random!V154-IF(Controls!$B$7="Normal",Controls!$B$8,(Controls!$B$8+Controls!$B$9)/2)))</f>
        <v/>
      </c>
      <c r="C154" s="10" t="str">
        <f>IF(Random!W154="","",IF(Controls!$B$7="Normal",Controls!$B$8,(Controls!$B$8+Controls!$B$9)/2)+Controls!$B$10*(C153-IF(Controls!$B$7="Normal",Controls!$B$8,(Controls!$B$8+Controls!$B$9)/2))+SQRT(1-Controls!$B$10^2)*(Random!W154-IF(Controls!$B$7="Normal",Controls!$B$8,(Controls!$B$8+Controls!$B$9)/2)))</f>
        <v/>
      </c>
      <c r="D154" s="10" t="str">
        <f>IF(Random!X154="","",IF(Controls!$B$7="Normal",Controls!$B$8,(Controls!$B$8+Controls!$B$9)/2)+Controls!$B$10*(D153-IF(Controls!$B$7="Normal",Controls!$B$8,(Controls!$B$8+Controls!$B$9)/2))+SQRT(1-Controls!$B$10^2)*(Random!X154-IF(Controls!$B$7="Normal",Controls!$B$8,(Controls!$B$8+Controls!$B$9)/2)))</f>
        <v/>
      </c>
      <c r="E154" s="10" t="str">
        <f>IF(Random!Y154="","",IF(Controls!$B$7="Normal",Controls!$B$8,(Controls!$B$8+Controls!$B$9)/2)+Controls!$B$10*(E153-IF(Controls!$B$7="Normal",Controls!$B$8,(Controls!$B$8+Controls!$B$9)/2))+SQRT(1-Controls!$B$10^2)*(Random!Y154-IF(Controls!$B$7="Normal",Controls!$B$8,(Controls!$B$8+Controls!$B$9)/2)))</f>
        <v/>
      </c>
      <c r="F154" s="10" t="str">
        <f>IF(Random!Z154="","",IF(Controls!$B$7="Normal",Controls!$B$8,(Controls!$B$8+Controls!$B$9)/2)+Controls!$B$10*(F153-IF(Controls!$B$7="Normal",Controls!$B$8,(Controls!$B$8+Controls!$B$9)/2))+SQRT(1-Controls!$B$10^2)*(Random!Z154-IF(Controls!$B$7="Normal",Controls!$B$8,(Controls!$B$8+Controls!$B$9)/2)))</f>
        <v/>
      </c>
      <c r="G154" s="10" t="str">
        <f>IF(Random!AA154="","",IF(Controls!$B$7="Normal",Controls!$B$8,(Controls!$B$8+Controls!$B$9)/2)+Controls!$B$10*(G153-IF(Controls!$B$7="Normal",Controls!$B$8,(Controls!$B$8+Controls!$B$9)/2))+SQRT(1-Controls!$B$10^2)*(Random!AA154-IF(Controls!$B$7="Normal",Controls!$B$8,(Controls!$B$8+Controls!$B$9)/2)))</f>
        <v/>
      </c>
      <c r="H154" s="10" t="str">
        <f>IF(Random!AB154="","",IF(Controls!$B$7="Normal",Controls!$B$8,(Controls!$B$8+Controls!$B$9)/2)+Controls!$B$10*(H153-IF(Controls!$B$7="Normal",Controls!$B$8,(Controls!$B$8+Controls!$B$9)/2))+SQRT(1-Controls!$B$10^2)*(Random!AB154-IF(Controls!$B$7="Normal",Controls!$B$8,(Controls!$B$8+Controls!$B$9)/2)))</f>
        <v/>
      </c>
      <c r="I154" s="10" t="str">
        <f>IF(Random!AC154="","",IF(Controls!$B$7="Normal",Controls!$B$8,(Controls!$B$8+Controls!$B$9)/2)+Controls!$B$10*(I153-IF(Controls!$B$7="Normal",Controls!$B$8,(Controls!$B$8+Controls!$B$9)/2))+SQRT(1-Controls!$B$10^2)*(Random!AC154-IF(Controls!$B$7="Normal",Controls!$B$8,(Controls!$B$8+Controls!$B$9)/2)))</f>
        <v/>
      </c>
      <c r="J154" s="10" t="str">
        <f>IF(Random!AD154="","",IF(Controls!$B$7="Normal",Controls!$B$8,(Controls!$B$8+Controls!$B$9)/2)+Controls!$B$10*(J153-IF(Controls!$B$7="Normal",Controls!$B$8,(Controls!$B$8+Controls!$B$9)/2))+SQRT(1-Controls!$B$10^2)*(Random!AD154-IF(Controls!$B$7="Normal",Controls!$B$8,(Controls!$B$8+Controls!$B$9)/2)))</f>
        <v/>
      </c>
      <c r="K154" s="10" t="str">
        <f>IF(Random!AE154="","",IF(Controls!$B$7="Normal",Controls!$B$8,(Controls!$B$8+Controls!$B$9)/2)+Controls!$B$10*(K153-IF(Controls!$B$7="Normal",Controls!$B$8,(Controls!$B$8+Controls!$B$9)/2))+SQRT(1-Controls!$B$10^2)*(Random!AE154-IF(Controls!$B$7="Normal",Controls!$B$8,(Controls!$B$8+Controls!$B$9)/2)))</f>
        <v/>
      </c>
      <c r="L154" s="10" t="str">
        <f>IF($A154="","",IF(AND($A154&gt;=Controls!$B$25,$A154&lt;Controls!$B$25+Controls!$C$25),(Controls!$D$25-1)*EXP(-0.5*(($A154-Controls!$B$25-(Controls!$C$25-1)/2)/MAX(Controls!$C$25/4,0.5))^2),0))</f>
        <v/>
      </c>
      <c r="M154" s="10" t="str">
        <f>IF($A154="","",IF(AND($A154&gt;=Controls!$B$26,$A154&lt;Controls!$B$26+Controls!$C$26),(Controls!$D$26-1)*EXP(-0.5*(($A154-Controls!$B$26-(Controls!$C$26-1)/2)/MAX(Controls!$C$26/4,0.5))^2),0))</f>
        <v/>
      </c>
      <c r="N154" s="10" t="str">
        <f>IF($A154="","",IF(AND($A154&gt;=Controls!$B$27,$A154&lt;Controls!$B$27+Controls!$C$27),(Controls!$D$27-1)*EXP(-0.5*(($A154-Controls!$B$27-(Controls!$C$27-1)/2)/MAX(Controls!$C$27/4,0.5))^2),0))</f>
        <v/>
      </c>
      <c r="O154" s="10" t="str">
        <f>IF($A154="","",IF(AND($A154&gt;=Controls!$B$28,$A154&lt;Controls!$B$28+Controls!$C$28),(Controls!$D$28-1)*EXP(-0.5*(($A154-Controls!$B$28-(Controls!$C$28-1)/2)/MAX(Controls!$C$28/4,0.5))^2),0))</f>
        <v/>
      </c>
      <c r="P154" s="4" t="str">
        <f t="shared" si="1"/>
        <v/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21.0" customHeight="1">
      <c r="A155" s="7" t="str">
        <f>IF(154&lt;=Controls!$B$5,Controls!$B$4+153,"")</f>
        <v/>
      </c>
      <c r="B155" s="10" t="str">
        <f>IF(Random!V155="","",IF(Controls!$B$7="Normal",Controls!$B$8,(Controls!$B$8+Controls!$B$9)/2)+Controls!$B$10*(B154-IF(Controls!$B$7="Normal",Controls!$B$8,(Controls!$B$8+Controls!$B$9)/2))+SQRT(1-Controls!$B$10^2)*(Random!V155-IF(Controls!$B$7="Normal",Controls!$B$8,(Controls!$B$8+Controls!$B$9)/2)))</f>
        <v/>
      </c>
      <c r="C155" s="10" t="str">
        <f>IF(Random!W155="","",IF(Controls!$B$7="Normal",Controls!$B$8,(Controls!$B$8+Controls!$B$9)/2)+Controls!$B$10*(C154-IF(Controls!$B$7="Normal",Controls!$B$8,(Controls!$B$8+Controls!$B$9)/2))+SQRT(1-Controls!$B$10^2)*(Random!W155-IF(Controls!$B$7="Normal",Controls!$B$8,(Controls!$B$8+Controls!$B$9)/2)))</f>
        <v/>
      </c>
      <c r="D155" s="10" t="str">
        <f>IF(Random!X155="","",IF(Controls!$B$7="Normal",Controls!$B$8,(Controls!$B$8+Controls!$B$9)/2)+Controls!$B$10*(D154-IF(Controls!$B$7="Normal",Controls!$B$8,(Controls!$B$8+Controls!$B$9)/2))+SQRT(1-Controls!$B$10^2)*(Random!X155-IF(Controls!$B$7="Normal",Controls!$B$8,(Controls!$B$8+Controls!$B$9)/2)))</f>
        <v/>
      </c>
      <c r="E155" s="10" t="str">
        <f>IF(Random!Y155="","",IF(Controls!$B$7="Normal",Controls!$B$8,(Controls!$B$8+Controls!$B$9)/2)+Controls!$B$10*(E154-IF(Controls!$B$7="Normal",Controls!$B$8,(Controls!$B$8+Controls!$B$9)/2))+SQRT(1-Controls!$B$10^2)*(Random!Y155-IF(Controls!$B$7="Normal",Controls!$B$8,(Controls!$B$8+Controls!$B$9)/2)))</f>
        <v/>
      </c>
      <c r="F155" s="10" t="str">
        <f>IF(Random!Z155="","",IF(Controls!$B$7="Normal",Controls!$B$8,(Controls!$B$8+Controls!$B$9)/2)+Controls!$B$10*(F154-IF(Controls!$B$7="Normal",Controls!$B$8,(Controls!$B$8+Controls!$B$9)/2))+SQRT(1-Controls!$B$10^2)*(Random!Z155-IF(Controls!$B$7="Normal",Controls!$B$8,(Controls!$B$8+Controls!$B$9)/2)))</f>
        <v/>
      </c>
      <c r="G155" s="10" t="str">
        <f>IF(Random!AA155="","",IF(Controls!$B$7="Normal",Controls!$B$8,(Controls!$B$8+Controls!$B$9)/2)+Controls!$B$10*(G154-IF(Controls!$B$7="Normal",Controls!$B$8,(Controls!$B$8+Controls!$B$9)/2))+SQRT(1-Controls!$B$10^2)*(Random!AA155-IF(Controls!$B$7="Normal",Controls!$B$8,(Controls!$B$8+Controls!$B$9)/2)))</f>
        <v/>
      </c>
      <c r="H155" s="10" t="str">
        <f>IF(Random!AB155="","",IF(Controls!$B$7="Normal",Controls!$B$8,(Controls!$B$8+Controls!$B$9)/2)+Controls!$B$10*(H154-IF(Controls!$B$7="Normal",Controls!$B$8,(Controls!$B$8+Controls!$B$9)/2))+SQRT(1-Controls!$B$10^2)*(Random!AB155-IF(Controls!$B$7="Normal",Controls!$B$8,(Controls!$B$8+Controls!$B$9)/2)))</f>
        <v/>
      </c>
      <c r="I155" s="10" t="str">
        <f>IF(Random!AC155="","",IF(Controls!$B$7="Normal",Controls!$B$8,(Controls!$B$8+Controls!$B$9)/2)+Controls!$B$10*(I154-IF(Controls!$B$7="Normal",Controls!$B$8,(Controls!$B$8+Controls!$B$9)/2))+SQRT(1-Controls!$B$10^2)*(Random!AC155-IF(Controls!$B$7="Normal",Controls!$B$8,(Controls!$B$8+Controls!$B$9)/2)))</f>
        <v/>
      </c>
      <c r="J155" s="10" t="str">
        <f>IF(Random!AD155="","",IF(Controls!$B$7="Normal",Controls!$B$8,(Controls!$B$8+Controls!$B$9)/2)+Controls!$B$10*(J154-IF(Controls!$B$7="Normal",Controls!$B$8,(Controls!$B$8+Controls!$B$9)/2))+SQRT(1-Controls!$B$10^2)*(Random!AD155-IF(Controls!$B$7="Normal",Controls!$B$8,(Controls!$B$8+Controls!$B$9)/2)))</f>
        <v/>
      </c>
      <c r="K155" s="10" t="str">
        <f>IF(Random!AE155="","",IF(Controls!$B$7="Normal",Controls!$B$8,(Controls!$B$8+Controls!$B$9)/2)+Controls!$B$10*(K154-IF(Controls!$B$7="Normal",Controls!$B$8,(Controls!$B$8+Controls!$B$9)/2))+SQRT(1-Controls!$B$10^2)*(Random!AE155-IF(Controls!$B$7="Normal",Controls!$B$8,(Controls!$B$8+Controls!$B$9)/2)))</f>
        <v/>
      </c>
      <c r="L155" s="10" t="str">
        <f>IF($A155="","",IF(AND($A155&gt;=Controls!$B$25,$A155&lt;Controls!$B$25+Controls!$C$25),(Controls!$D$25-1)*EXP(-0.5*(($A155-Controls!$B$25-(Controls!$C$25-1)/2)/MAX(Controls!$C$25/4,0.5))^2),0))</f>
        <v/>
      </c>
      <c r="M155" s="10" t="str">
        <f>IF($A155="","",IF(AND($A155&gt;=Controls!$B$26,$A155&lt;Controls!$B$26+Controls!$C$26),(Controls!$D$26-1)*EXP(-0.5*(($A155-Controls!$B$26-(Controls!$C$26-1)/2)/MAX(Controls!$C$26/4,0.5))^2),0))</f>
        <v/>
      </c>
      <c r="N155" s="10" t="str">
        <f>IF($A155="","",IF(AND($A155&gt;=Controls!$B$27,$A155&lt;Controls!$B$27+Controls!$C$27),(Controls!$D$27-1)*EXP(-0.5*(($A155-Controls!$B$27-(Controls!$C$27-1)/2)/MAX(Controls!$C$27/4,0.5))^2),0))</f>
        <v/>
      </c>
      <c r="O155" s="10" t="str">
        <f>IF($A155="","",IF(AND($A155&gt;=Controls!$B$28,$A155&lt;Controls!$B$28+Controls!$C$28),(Controls!$D$28-1)*EXP(-0.5*(($A155-Controls!$B$28-(Controls!$C$28-1)/2)/MAX(Controls!$C$28/4,0.5))^2),0))</f>
        <v/>
      </c>
      <c r="P155" s="4" t="str">
        <f t="shared" si="1"/>
        <v/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21.0" customHeight="1">
      <c r="A156" s="7" t="str">
        <f>IF(155&lt;=Controls!$B$5,Controls!$B$4+154,"")</f>
        <v/>
      </c>
      <c r="B156" s="10" t="str">
        <f>IF(Random!V156="","",IF(Controls!$B$7="Normal",Controls!$B$8,(Controls!$B$8+Controls!$B$9)/2)+Controls!$B$10*(B155-IF(Controls!$B$7="Normal",Controls!$B$8,(Controls!$B$8+Controls!$B$9)/2))+SQRT(1-Controls!$B$10^2)*(Random!V156-IF(Controls!$B$7="Normal",Controls!$B$8,(Controls!$B$8+Controls!$B$9)/2)))</f>
        <v/>
      </c>
      <c r="C156" s="10" t="str">
        <f>IF(Random!W156="","",IF(Controls!$B$7="Normal",Controls!$B$8,(Controls!$B$8+Controls!$B$9)/2)+Controls!$B$10*(C155-IF(Controls!$B$7="Normal",Controls!$B$8,(Controls!$B$8+Controls!$B$9)/2))+SQRT(1-Controls!$B$10^2)*(Random!W156-IF(Controls!$B$7="Normal",Controls!$B$8,(Controls!$B$8+Controls!$B$9)/2)))</f>
        <v/>
      </c>
      <c r="D156" s="10" t="str">
        <f>IF(Random!X156="","",IF(Controls!$B$7="Normal",Controls!$B$8,(Controls!$B$8+Controls!$B$9)/2)+Controls!$B$10*(D155-IF(Controls!$B$7="Normal",Controls!$B$8,(Controls!$B$8+Controls!$B$9)/2))+SQRT(1-Controls!$B$10^2)*(Random!X156-IF(Controls!$B$7="Normal",Controls!$B$8,(Controls!$B$8+Controls!$B$9)/2)))</f>
        <v/>
      </c>
      <c r="E156" s="10" t="str">
        <f>IF(Random!Y156="","",IF(Controls!$B$7="Normal",Controls!$B$8,(Controls!$B$8+Controls!$B$9)/2)+Controls!$B$10*(E155-IF(Controls!$B$7="Normal",Controls!$B$8,(Controls!$B$8+Controls!$B$9)/2))+SQRT(1-Controls!$B$10^2)*(Random!Y156-IF(Controls!$B$7="Normal",Controls!$B$8,(Controls!$B$8+Controls!$B$9)/2)))</f>
        <v/>
      </c>
      <c r="F156" s="10" t="str">
        <f>IF(Random!Z156="","",IF(Controls!$B$7="Normal",Controls!$B$8,(Controls!$B$8+Controls!$B$9)/2)+Controls!$B$10*(F155-IF(Controls!$B$7="Normal",Controls!$B$8,(Controls!$B$8+Controls!$B$9)/2))+SQRT(1-Controls!$B$10^2)*(Random!Z156-IF(Controls!$B$7="Normal",Controls!$B$8,(Controls!$B$8+Controls!$B$9)/2)))</f>
        <v/>
      </c>
      <c r="G156" s="10" t="str">
        <f>IF(Random!AA156="","",IF(Controls!$B$7="Normal",Controls!$B$8,(Controls!$B$8+Controls!$B$9)/2)+Controls!$B$10*(G155-IF(Controls!$B$7="Normal",Controls!$B$8,(Controls!$B$8+Controls!$B$9)/2))+SQRT(1-Controls!$B$10^2)*(Random!AA156-IF(Controls!$B$7="Normal",Controls!$B$8,(Controls!$B$8+Controls!$B$9)/2)))</f>
        <v/>
      </c>
      <c r="H156" s="10" t="str">
        <f>IF(Random!AB156="","",IF(Controls!$B$7="Normal",Controls!$B$8,(Controls!$B$8+Controls!$B$9)/2)+Controls!$B$10*(H155-IF(Controls!$B$7="Normal",Controls!$B$8,(Controls!$B$8+Controls!$B$9)/2))+SQRT(1-Controls!$B$10^2)*(Random!AB156-IF(Controls!$B$7="Normal",Controls!$B$8,(Controls!$B$8+Controls!$B$9)/2)))</f>
        <v/>
      </c>
      <c r="I156" s="10" t="str">
        <f>IF(Random!AC156="","",IF(Controls!$B$7="Normal",Controls!$B$8,(Controls!$B$8+Controls!$B$9)/2)+Controls!$B$10*(I155-IF(Controls!$B$7="Normal",Controls!$B$8,(Controls!$B$8+Controls!$B$9)/2))+SQRT(1-Controls!$B$10^2)*(Random!AC156-IF(Controls!$B$7="Normal",Controls!$B$8,(Controls!$B$8+Controls!$B$9)/2)))</f>
        <v/>
      </c>
      <c r="J156" s="10" t="str">
        <f>IF(Random!AD156="","",IF(Controls!$B$7="Normal",Controls!$B$8,(Controls!$B$8+Controls!$B$9)/2)+Controls!$B$10*(J155-IF(Controls!$B$7="Normal",Controls!$B$8,(Controls!$B$8+Controls!$B$9)/2))+SQRT(1-Controls!$B$10^2)*(Random!AD156-IF(Controls!$B$7="Normal",Controls!$B$8,(Controls!$B$8+Controls!$B$9)/2)))</f>
        <v/>
      </c>
      <c r="K156" s="10" t="str">
        <f>IF(Random!AE156="","",IF(Controls!$B$7="Normal",Controls!$B$8,(Controls!$B$8+Controls!$B$9)/2)+Controls!$B$10*(K155-IF(Controls!$B$7="Normal",Controls!$B$8,(Controls!$B$8+Controls!$B$9)/2))+SQRT(1-Controls!$B$10^2)*(Random!AE156-IF(Controls!$B$7="Normal",Controls!$B$8,(Controls!$B$8+Controls!$B$9)/2)))</f>
        <v/>
      </c>
      <c r="L156" s="10" t="str">
        <f>IF($A156="","",IF(AND($A156&gt;=Controls!$B$25,$A156&lt;Controls!$B$25+Controls!$C$25),(Controls!$D$25-1)*EXP(-0.5*(($A156-Controls!$B$25-(Controls!$C$25-1)/2)/MAX(Controls!$C$25/4,0.5))^2),0))</f>
        <v/>
      </c>
      <c r="M156" s="10" t="str">
        <f>IF($A156="","",IF(AND($A156&gt;=Controls!$B$26,$A156&lt;Controls!$B$26+Controls!$C$26),(Controls!$D$26-1)*EXP(-0.5*(($A156-Controls!$B$26-(Controls!$C$26-1)/2)/MAX(Controls!$C$26/4,0.5))^2),0))</f>
        <v/>
      </c>
      <c r="N156" s="10" t="str">
        <f>IF($A156="","",IF(AND($A156&gt;=Controls!$B$27,$A156&lt;Controls!$B$27+Controls!$C$27),(Controls!$D$27-1)*EXP(-0.5*(($A156-Controls!$B$27-(Controls!$C$27-1)/2)/MAX(Controls!$C$27/4,0.5))^2),0))</f>
        <v/>
      </c>
      <c r="O156" s="10" t="str">
        <f>IF($A156="","",IF(AND($A156&gt;=Controls!$B$28,$A156&lt;Controls!$B$28+Controls!$C$28),(Controls!$D$28-1)*EXP(-0.5*(($A156-Controls!$B$28-(Controls!$C$28-1)/2)/MAX(Controls!$C$28/4,0.5))^2),0))</f>
        <v/>
      </c>
      <c r="P156" s="4" t="str">
        <f t="shared" si="1"/>
        <v/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21.0" customHeight="1">
      <c r="A157" s="7" t="str">
        <f>IF(156&lt;=Controls!$B$5,Controls!$B$4+155,"")</f>
        <v/>
      </c>
      <c r="B157" s="10" t="str">
        <f>IF(Random!V157="","",IF(Controls!$B$7="Normal",Controls!$B$8,(Controls!$B$8+Controls!$B$9)/2)+Controls!$B$10*(B156-IF(Controls!$B$7="Normal",Controls!$B$8,(Controls!$B$8+Controls!$B$9)/2))+SQRT(1-Controls!$B$10^2)*(Random!V157-IF(Controls!$B$7="Normal",Controls!$B$8,(Controls!$B$8+Controls!$B$9)/2)))</f>
        <v/>
      </c>
      <c r="C157" s="10" t="str">
        <f>IF(Random!W157="","",IF(Controls!$B$7="Normal",Controls!$B$8,(Controls!$B$8+Controls!$B$9)/2)+Controls!$B$10*(C156-IF(Controls!$B$7="Normal",Controls!$B$8,(Controls!$B$8+Controls!$B$9)/2))+SQRT(1-Controls!$B$10^2)*(Random!W157-IF(Controls!$B$7="Normal",Controls!$B$8,(Controls!$B$8+Controls!$B$9)/2)))</f>
        <v/>
      </c>
      <c r="D157" s="10" t="str">
        <f>IF(Random!X157="","",IF(Controls!$B$7="Normal",Controls!$B$8,(Controls!$B$8+Controls!$B$9)/2)+Controls!$B$10*(D156-IF(Controls!$B$7="Normal",Controls!$B$8,(Controls!$B$8+Controls!$B$9)/2))+SQRT(1-Controls!$B$10^2)*(Random!X157-IF(Controls!$B$7="Normal",Controls!$B$8,(Controls!$B$8+Controls!$B$9)/2)))</f>
        <v/>
      </c>
      <c r="E157" s="10" t="str">
        <f>IF(Random!Y157="","",IF(Controls!$B$7="Normal",Controls!$B$8,(Controls!$B$8+Controls!$B$9)/2)+Controls!$B$10*(E156-IF(Controls!$B$7="Normal",Controls!$B$8,(Controls!$B$8+Controls!$B$9)/2))+SQRT(1-Controls!$B$10^2)*(Random!Y157-IF(Controls!$B$7="Normal",Controls!$B$8,(Controls!$B$8+Controls!$B$9)/2)))</f>
        <v/>
      </c>
      <c r="F157" s="10" t="str">
        <f>IF(Random!Z157="","",IF(Controls!$B$7="Normal",Controls!$B$8,(Controls!$B$8+Controls!$B$9)/2)+Controls!$B$10*(F156-IF(Controls!$B$7="Normal",Controls!$B$8,(Controls!$B$8+Controls!$B$9)/2))+SQRT(1-Controls!$B$10^2)*(Random!Z157-IF(Controls!$B$7="Normal",Controls!$B$8,(Controls!$B$8+Controls!$B$9)/2)))</f>
        <v/>
      </c>
      <c r="G157" s="10" t="str">
        <f>IF(Random!AA157="","",IF(Controls!$B$7="Normal",Controls!$B$8,(Controls!$B$8+Controls!$B$9)/2)+Controls!$B$10*(G156-IF(Controls!$B$7="Normal",Controls!$B$8,(Controls!$B$8+Controls!$B$9)/2))+SQRT(1-Controls!$B$10^2)*(Random!AA157-IF(Controls!$B$7="Normal",Controls!$B$8,(Controls!$B$8+Controls!$B$9)/2)))</f>
        <v/>
      </c>
      <c r="H157" s="10" t="str">
        <f>IF(Random!AB157="","",IF(Controls!$B$7="Normal",Controls!$B$8,(Controls!$B$8+Controls!$B$9)/2)+Controls!$B$10*(H156-IF(Controls!$B$7="Normal",Controls!$B$8,(Controls!$B$8+Controls!$B$9)/2))+SQRT(1-Controls!$B$10^2)*(Random!AB157-IF(Controls!$B$7="Normal",Controls!$B$8,(Controls!$B$8+Controls!$B$9)/2)))</f>
        <v/>
      </c>
      <c r="I157" s="10" t="str">
        <f>IF(Random!AC157="","",IF(Controls!$B$7="Normal",Controls!$B$8,(Controls!$B$8+Controls!$B$9)/2)+Controls!$B$10*(I156-IF(Controls!$B$7="Normal",Controls!$B$8,(Controls!$B$8+Controls!$B$9)/2))+SQRT(1-Controls!$B$10^2)*(Random!AC157-IF(Controls!$B$7="Normal",Controls!$B$8,(Controls!$B$8+Controls!$B$9)/2)))</f>
        <v/>
      </c>
      <c r="J157" s="10" t="str">
        <f>IF(Random!AD157="","",IF(Controls!$B$7="Normal",Controls!$B$8,(Controls!$B$8+Controls!$B$9)/2)+Controls!$B$10*(J156-IF(Controls!$B$7="Normal",Controls!$B$8,(Controls!$B$8+Controls!$B$9)/2))+SQRT(1-Controls!$B$10^2)*(Random!AD157-IF(Controls!$B$7="Normal",Controls!$B$8,(Controls!$B$8+Controls!$B$9)/2)))</f>
        <v/>
      </c>
      <c r="K157" s="10" t="str">
        <f>IF(Random!AE157="","",IF(Controls!$B$7="Normal",Controls!$B$8,(Controls!$B$8+Controls!$B$9)/2)+Controls!$B$10*(K156-IF(Controls!$B$7="Normal",Controls!$B$8,(Controls!$B$8+Controls!$B$9)/2))+SQRT(1-Controls!$B$10^2)*(Random!AE157-IF(Controls!$B$7="Normal",Controls!$B$8,(Controls!$B$8+Controls!$B$9)/2)))</f>
        <v/>
      </c>
      <c r="L157" s="10" t="str">
        <f>IF($A157="","",IF(AND($A157&gt;=Controls!$B$25,$A157&lt;Controls!$B$25+Controls!$C$25),(Controls!$D$25-1)*EXP(-0.5*(($A157-Controls!$B$25-(Controls!$C$25-1)/2)/MAX(Controls!$C$25/4,0.5))^2),0))</f>
        <v/>
      </c>
      <c r="M157" s="10" t="str">
        <f>IF($A157="","",IF(AND($A157&gt;=Controls!$B$26,$A157&lt;Controls!$B$26+Controls!$C$26),(Controls!$D$26-1)*EXP(-0.5*(($A157-Controls!$B$26-(Controls!$C$26-1)/2)/MAX(Controls!$C$26/4,0.5))^2),0))</f>
        <v/>
      </c>
      <c r="N157" s="10" t="str">
        <f>IF($A157="","",IF(AND($A157&gt;=Controls!$B$27,$A157&lt;Controls!$B$27+Controls!$C$27),(Controls!$D$27-1)*EXP(-0.5*(($A157-Controls!$B$27-(Controls!$C$27-1)/2)/MAX(Controls!$C$27/4,0.5))^2),0))</f>
        <v/>
      </c>
      <c r="O157" s="10" t="str">
        <f>IF($A157="","",IF(AND($A157&gt;=Controls!$B$28,$A157&lt;Controls!$B$28+Controls!$C$28),(Controls!$D$28-1)*EXP(-0.5*(($A157-Controls!$B$28-(Controls!$C$28-1)/2)/MAX(Controls!$C$28/4,0.5))^2),0))</f>
        <v/>
      </c>
      <c r="P157" s="4" t="str">
        <f t="shared" si="1"/>
        <v/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21.0" customHeight="1">
      <c r="A158" s="7" t="str">
        <f>IF(157&lt;=Controls!$B$5,Controls!$B$4+156,"")</f>
        <v/>
      </c>
      <c r="B158" s="10" t="str">
        <f>IF(Random!V158="","",IF(Controls!$B$7="Normal",Controls!$B$8,(Controls!$B$8+Controls!$B$9)/2)+Controls!$B$10*(B157-IF(Controls!$B$7="Normal",Controls!$B$8,(Controls!$B$8+Controls!$B$9)/2))+SQRT(1-Controls!$B$10^2)*(Random!V158-IF(Controls!$B$7="Normal",Controls!$B$8,(Controls!$B$8+Controls!$B$9)/2)))</f>
        <v/>
      </c>
      <c r="C158" s="10" t="str">
        <f>IF(Random!W158="","",IF(Controls!$B$7="Normal",Controls!$B$8,(Controls!$B$8+Controls!$B$9)/2)+Controls!$B$10*(C157-IF(Controls!$B$7="Normal",Controls!$B$8,(Controls!$B$8+Controls!$B$9)/2))+SQRT(1-Controls!$B$10^2)*(Random!W158-IF(Controls!$B$7="Normal",Controls!$B$8,(Controls!$B$8+Controls!$B$9)/2)))</f>
        <v/>
      </c>
      <c r="D158" s="10" t="str">
        <f>IF(Random!X158="","",IF(Controls!$B$7="Normal",Controls!$B$8,(Controls!$B$8+Controls!$B$9)/2)+Controls!$B$10*(D157-IF(Controls!$B$7="Normal",Controls!$B$8,(Controls!$B$8+Controls!$B$9)/2))+SQRT(1-Controls!$B$10^2)*(Random!X158-IF(Controls!$B$7="Normal",Controls!$B$8,(Controls!$B$8+Controls!$B$9)/2)))</f>
        <v/>
      </c>
      <c r="E158" s="10" t="str">
        <f>IF(Random!Y158="","",IF(Controls!$B$7="Normal",Controls!$B$8,(Controls!$B$8+Controls!$B$9)/2)+Controls!$B$10*(E157-IF(Controls!$B$7="Normal",Controls!$B$8,(Controls!$B$8+Controls!$B$9)/2))+SQRT(1-Controls!$B$10^2)*(Random!Y158-IF(Controls!$B$7="Normal",Controls!$B$8,(Controls!$B$8+Controls!$B$9)/2)))</f>
        <v/>
      </c>
      <c r="F158" s="10" t="str">
        <f>IF(Random!Z158="","",IF(Controls!$B$7="Normal",Controls!$B$8,(Controls!$B$8+Controls!$B$9)/2)+Controls!$B$10*(F157-IF(Controls!$B$7="Normal",Controls!$B$8,(Controls!$B$8+Controls!$B$9)/2))+SQRT(1-Controls!$B$10^2)*(Random!Z158-IF(Controls!$B$7="Normal",Controls!$B$8,(Controls!$B$8+Controls!$B$9)/2)))</f>
        <v/>
      </c>
      <c r="G158" s="10" t="str">
        <f>IF(Random!AA158="","",IF(Controls!$B$7="Normal",Controls!$B$8,(Controls!$B$8+Controls!$B$9)/2)+Controls!$B$10*(G157-IF(Controls!$B$7="Normal",Controls!$B$8,(Controls!$B$8+Controls!$B$9)/2))+SQRT(1-Controls!$B$10^2)*(Random!AA158-IF(Controls!$B$7="Normal",Controls!$B$8,(Controls!$B$8+Controls!$B$9)/2)))</f>
        <v/>
      </c>
      <c r="H158" s="10" t="str">
        <f>IF(Random!AB158="","",IF(Controls!$B$7="Normal",Controls!$B$8,(Controls!$B$8+Controls!$B$9)/2)+Controls!$B$10*(H157-IF(Controls!$B$7="Normal",Controls!$B$8,(Controls!$B$8+Controls!$B$9)/2))+SQRT(1-Controls!$B$10^2)*(Random!AB158-IF(Controls!$B$7="Normal",Controls!$B$8,(Controls!$B$8+Controls!$B$9)/2)))</f>
        <v/>
      </c>
      <c r="I158" s="10" t="str">
        <f>IF(Random!AC158="","",IF(Controls!$B$7="Normal",Controls!$B$8,(Controls!$B$8+Controls!$B$9)/2)+Controls!$B$10*(I157-IF(Controls!$B$7="Normal",Controls!$B$8,(Controls!$B$8+Controls!$B$9)/2))+SQRT(1-Controls!$B$10^2)*(Random!AC158-IF(Controls!$B$7="Normal",Controls!$B$8,(Controls!$B$8+Controls!$B$9)/2)))</f>
        <v/>
      </c>
      <c r="J158" s="10" t="str">
        <f>IF(Random!AD158="","",IF(Controls!$B$7="Normal",Controls!$B$8,(Controls!$B$8+Controls!$B$9)/2)+Controls!$B$10*(J157-IF(Controls!$B$7="Normal",Controls!$B$8,(Controls!$B$8+Controls!$B$9)/2))+SQRT(1-Controls!$B$10^2)*(Random!AD158-IF(Controls!$B$7="Normal",Controls!$B$8,(Controls!$B$8+Controls!$B$9)/2)))</f>
        <v/>
      </c>
      <c r="K158" s="10" t="str">
        <f>IF(Random!AE158="","",IF(Controls!$B$7="Normal",Controls!$B$8,(Controls!$B$8+Controls!$B$9)/2)+Controls!$B$10*(K157-IF(Controls!$B$7="Normal",Controls!$B$8,(Controls!$B$8+Controls!$B$9)/2))+SQRT(1-Controls!$B$10^2)*(Random!AE158-IF(Controls!$B$7="Normal",Controls!$B$8,(Controls!$B$8+Controls!$B$9)/2)))</f>
        <v/>
      </c>
      <c r="L158" s="10" t="str">
        <f>IF($A158="","",IF(AND($A158&gt;=Controls!$B$25,$A158&lt;Controls!$B$25+Controls!$C$25),(Controls!$D$25-1)*EXP(-0.5*(($A158-Controls!$B$25-(Controls!$C$25-1)/2)/MAX(Controls!$C$25/4,0.5))^2),0))</f>
        <v/>
      </c>
      <c r="M158" s="10" t="str">
        <f>IF($A158="","",IF(AND($A158&gt;=Controls!$B$26,$A158&lt;Controls!$B$26+Controls!$C$26),(Controls!$D$26-1)*EXP(-0.5*(($A158-Controls!$B$26-(Controls!$C$26-1)/2)/MAX(Controls!$C$26/4,0.5))^2),0))</f>
        <v/>
      </c>
      <c r="N158" s="10" t="str">
        <f>IF($A158="","",IF(AND($A158&gt;=Controls!$B$27,$A158&lt;Controls!$B$27+Controls!$C$27),(Controls!$D$27-1)*EXP(-0.5*(($A158-Controls!$B$27-(Controls!$C$27-1)/2)/MAX(Controls!$C$27/4,0.5))^2),0))</f>
        <v/>
      </c>
      <c r="O158" s="10" t="str">
        <f>IF($A158="","",IF(AND($A158&gt;=Controls!$B$28,$A158&lt;Controls!$B$28+Controls!$C$28),(Controls!$D$28-1)*EXP(-0.5*(($A158-Controls!$B$28-(Controls!$C$28-1)/2)/MAX(Controls!$C$28/4,0.5))^2),0))</f>
        <v/>
      </c>
      <c r="P158" s="4" t="str">
        <f t="shared" si="1"/>
        <v/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21.0" customHeight="1">
      <c r="A159" s="7" t="str">
        <f>IF(158&lt;=Controls!$B$5,Controls!$B$4+157,"")</f>
        <v/>
      </c>
      <c r="B159" s="10" t="str">
        <f>IF(Random!V159="","",IF(Controls!$B$7="Normal",Controls!$B$8,(Controls!$B$8+Controls!$B$9)/2)+Controls!$B$10*(B158-IF(Controls!$B$7="Normal",Controls!$B$8,(Controls!$B$8+Controls!$B$9)/2))+SQRT(1-Controls!$B$10^2)*(Random!V159-IF(Controls!$B$7="Normal",Controls!$B$8,(Controls!$B$8+Controls!$B$9)/2)))</f>
        <v/>
      </c>
      <c r="C159" s="10" t="str">
        <f>IF(Random!W159="","",IF(Controls!$B$7="Normal",Controls!$B$8,(Controls!$B$8+Controls!$B$9)/2)+Controls!$B$10*(C158-IF(Controls!$B$7="Normal",Controls!$B$8,(Controls!$B$8+Controls!$B$9)/2))+SQRT(1-Controls!$B$10^2)*(Random!W159-IF(Controls!$B$7="Normal",Controls!$B$8,(Controls!$B$8+Controls!$B$9)/2)))</f>
        <v/>
      </c>
      <c r="D159" s="10" t="str">
        <f>IF(Random!X159="","",IF(Controls!$B$7="Normal",Controls!$B$8,(Controls!$B$8+Controls!$B$9)/2)+Controls!$B$10*(D158-IF(Controls!$B$7="Normal",Controls!$B$8,(Controls!$B$8+Controls!$B$9)/2))+SQRT(1-Controls!$B$10^2)*(Random!X159-IF(Controls!$B$7="Normal",Controls!$B$8,(Controls!$B$8+Controls!$B$9)/2)))</f>
        <v/>
      </c>
      <c r="E159" s="10" t="str">
        <f>IF(Random!Y159="","",IF(Controls!$B$7="Normal",Controls!$B$8,(Controls!$B$8+Controls!$B$9)/2)+Controls!$B$10*(E158-IF(Controls!$B$7="Normal",Controls!$B$8,(Controls!$B$8+Controls!$B$9)/2))+SQRT(1-Controls!$B$10^2)*(Random!Y159-IF(Controls!$B$7="Normal",Controls!$B$8,(Controls!$B$8+Controls!$B$9)/2)))</f>
        <v/>
      </c>
      <c r="F159" s="10" t="str">
        <f>IF(Random!Z159="","",IF(Controls!$B$7="Normal",Controls!$B$8,(Controls!$B$8+Controls!$B$9)/2)+Controls!$B$10*(F158-IF(Controls!$B$7="Normal",Controls!$B$8,(Controls!$B$8+Controls!$B$9)/2))+SQRT(1-Controls!$B$10^2)*(Random!Z159-IF(Controls!$B$7="Normal",Controls!$B$8,(Controls!$B$8+Controls!$B$9)/2)))</f>
        <v/>
      </c>
      <c r="G159" s="10" t="str">
        <f>IF(Random!AA159="","",IF(Controls!$B$7="Normal",Controls!$B$8,(Controls!$B$8+Controls!$B$9)/2)+Controls!$B$10*(G158-IF(Controls!$B$7="Normal",Controls!$B$8,(Controls!$B$8+Controls!$B$9)/2))+SQRT(1-Controls!$B$10^2)*(Random!AA159-IF(Controls!$B$7="Normal",Controls!$B$8,(Controls!$B$8+Controls!$B$9)/2)))</f>
        <v/>
      </c>
      <c r="H159" s="10" t="str">
        <f>IF(Random!AB159="","",IF(Controls!$B$7="Normal",Controls!$B$8,(Controls!$B$8+Controls!$B$9)/2)+Controls!$B$10*(H158-IF(Controls!$B$7="Normal",Controls!$B$8,(Controls!$B$8+Controls!$B$9)/2))+SQRT(1-Controls!$B$10^2)*(Random!AB159-IF(Controls!$B$7="Normal",Controls!$B$8,(Controls!$B$8+Controls!$B$9)/2)))</f>
        <v/>
      </c>
      <c r="I159" s="10" t="str">
        <f>IF(Random!AC159="","",IF(Controls!$B$7="Normal",Controls!$B$8,(Controls!$B$8+Controls!$B$9)/2)+Controls!$B$10*(I158-IF(Controls!$B$7="Normal",Controls!$B$8,(Controls!$B$8+Controls!$B$9)/2))+SQRT(1-Controls!$B$10^2)*(Random!AC159-IF(Controls!$B$7="Normal",Controls!$B$8,(Controls!$B$8+Controls!$B$9)/2)))</f>
        <v/>
      </c>
      <c r="J159" s="10" t="str">
        <f>IF(Random!AD159="","",IF(Controls!$B$7="Normal",Controls!$B$8,(Controls!$B$8+Controls!$B$9)/2)+Controls!$B$10*(J158-IF(Controls!$B$7="Normal",Controls!$B$8,(Controls!$B$8+Controls!$B$9)/2))+SQRT(1-Controls!$B$10^2)*(Random!AD159-IF(Controls!$B$7="Normal",Controls!$B$8,(Controls!$B$8+Controls!$B$9)/2)))</f>
        <v/>
      </c>
      <c r="K159" s="10" t="str">
        <f>IF(Random!AE159="","",IF(Controls!$B$7="Normal",Controls!$B$8,(Controls!$B$8+Controls!$B$9)/2)+Controls!$B$10*(K158-IF(Controls!$B$7="Normal",Controls!$B$8,(Controls!$B$8+Controls!$B$9)/2))+SQRT(1-Controls!$B$10^2)*(Random!AE159-IF(Controls!$B$7="Normal",Controls!$B$8,(Controls!$B$8+Controls!$B$9)/2)))</f>
        <v/>
      </c>
      <c r="L159" s="10" t="str">
        <f>IF($A159="","",IF(AND($A159&gt;=Controls!$B$25,$A159&lt;Controls!$B$25+Controls!$C$25),(Controls!$D$25-1)*EXP(-0.5*(($A159-Controls!$B$25-(Controls!$C$25-1)/2)/MAX(Controls!$C$25/4,0.5))^2),0))</f>
        <v/>
      </c>
      <c r="M159" s="10" t="str">
        <f>IF($A159="","",IF(AND($A159&gt;=Controls!$B$26,$A159&lt;Controls!$B$26+Controls!$C$26),(Controls!$D$26-1)*EXP(-0.5*(($A159-Controls!$B$26-(Controls!$C$26-1)/2)/MAX(Controls!$C$26/4,0.5))^2),0))</f>
        <v/>
      </c>
      <c r="N159" s="10" t="str">
        <f>IF($A159="","",IF(AND($A159&gt;=Controls!$B$27,$A159&lt;Controls!$B$27+Controls!$C$27),(Controls!$D$27-1)*EXP(-0.5*(($A159-Controls!$B$27-(Controls!$C$27-1)/2)/MAX(Controls!$C$27/4,0.5))^2),0))</f>
        <v/>
      </c>
      <c r="O159" s="10" t="str">
        <f>IF($A159="","",IF(AND($A159&gt;=Controls!$B$28,$A159&lt;Controls!$B$28+Controls!$C$28),(Controls!$D$28-1)*EXP(-0.5*(($A159-Controls!$B$28-(Controls!$C$28-1)/2)/MAX(Controls!$C$28/4,0.5))^2),0))</f>
        <v/>
      </c>
      <c r="P159" s="4" t="str">
        <f t="shared" si="1"/>
        <v/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21.0" customHeight="1">
      <c r="A160" s="7" t="str">
        <f>IF(159&lt;=Controls!$B$5,Controls!$B$4+158,"")</f>
        <v/>
      </c>
      <c r="B160" s="10" t="str">
        <f>IF(Random!V160="","",IF(Controls!$B$7="Normal",Controls!$B$8,(Controls!$B$8+Controls!$B$9)/2)+Controls!$B$10*(B159-IF(Controls!$B$7="Normal",Controls!$B$8,(Controls!$B$8+Controls!$B$9)/2))+SQRT(1-Controls!$B$10^2)*(Random!V160-IF(Controls!$B$7="Normal",Controls!$B$8,(Controls!$B$8+Controls!$B$9)/2)))</f>
        <v/>
      </c>
      <c r="C160" s="10" t="str">
        <f>IF(Random!W160="","",IF(Controls!$B$7="Normal",Controls!$B$8,(Controls!$B$8+Controls!$B$9)/2)+Controls!$B$10*(C159-IF(Controls!$B$7="Normal",Controls!$B$8,(Controls!$B$8+Controls!$B$9)/2))+SQRT(1-Controls!$B$10^2)*(Random!W160-IF(Controls!$B$7="Normal",Controls!$B$8,(Controls!$B$8+Controls!$B$9)/2)))</f>
        <v/>
      </c>
      <c r="D160" s="10" t="str">
        <f>IF(Random!X160="","",IF(Controls!$B$7="Normal",Controls!$B$8,(Controls!$B$8+Controls!$B$9)/2)+Controls!$B$10*(D159-IF(Controls!$B$7="Normal",Controls!$B$8,(Controls!$B$8+Controls!$B$9)/2))+SQRT(1-Controls!$B$10^2)*(Random!X160-IF(Controls!$B$7="Normal",Controls!$B$8,(Controls!$B$8+Controls!$B$9)/2)))</f>
        <v/>
      </c>
      <c r="E160" s="10" t="str">
        <f>IF(Random!Y160="","",IF(Controls!$B$7="Normal",Controls!$B$8,(Controls!$B$8+Controls!$B$9)/2)+Controls!$B$10*(E159-IF(Controls!$B$7="Normal",Controls!$B$8,(Controls!$B$8+Controls!$B$9)/2))+SQRT(1-Controls!$B$10^2)*(Random!Y160-IF(Controls!$B$7="Normal",Controls!$B$8,(Controls!$B$8+Controls!$B$9)/2)))</f>
        <v/>
      </c>
      <c r="F160" s="10" t="str">
        <f>IF(Random!Z160="","",IF(Controls!$B$7="Normal",Controls!$B$8,(Controls!$B$8+Controls!$B$9)/2)+Controls!$B$10*(F159-IF(Controls!$B$7="Normal",Controls!$B$8,(Controls!$B$8+Controls!$B$9)/2))+SQRT(1-Controls!$B$10^2)*(Random!Z160-IF(Controls!$B$7="Normal",Controls!$B$8,(Controls!$B$8+Controls!$B$9)/2)))</f>
        <v/>
      </c>
      <c r="G160" s="10" t="str">
        <f>IF(Random!AA160="","",IF(Controls!$B$7="Normal",Controls!$B$8,(Controls!$B$8+Controls!$B$9)/2)+Controls!$B$10*(G159-IF(Controls!$B$7="Normal",Controls!$B$8,(Controls!$B$8+Controls!$B$9)/2))+SQRT(1-Controls!$B$10^2)*(Random!AA160-IF(Controls!$B$7="Normal",Controls!$B$8,(Controls!$B$8+Controls!$B$9)/2)))</f>
        <v/>
      </c>
      <c r="H160" s="10" t="str">
        <f>IF(Random!AB160="","",IF(Controls!$B$7="Normal",Controls!$B$8,(Controls!$B$8+Controls!$B$9)/2)+Controls!$B$10*(H159-IF(Controls!$B$7="Normal",Controls!$B$8,(Controls!$B$8+Controls!$B$9)/2))+SQRT(1-Controls!$B$10^2)*(Random!AB160-IF(Controls!$B$7="Normal",Controls!$B$8,(Controls!$B$8+Controls!$B$9)/2)))</f>
        <v/>
      </c>
      <c r="I160" s="10" t="str">
        <f>IF(Random!AC160="","",IF(Controls!$B$7="Normal",Controls!$B$8,(Controls!$B$8+Controls!$B$9)/2)+Controls!$B$10*(I159-IF(Controls!$B$7="Normal",Controls!$B$8,(Controls!$B$8+Controls!$B$9)/2))+SQRT(1-Controls!$B$10^2)*(Random!AC160-IF(Controls!$B$7="Normal",Controls!$B$8,(Controls!$B$8+Controls!$B$9)/2)))</f>
        <v/>
      </c>
      <c r="J160" s="10" t="str">
        <f>IF(Random!AD160="","",IF(Controls!$B$7="Normal",Controls!$B$8,(Controls!$B$8+Controls!$B$9)/2)+Controls!$B$10*(J159-IF(Controls!$B$7="Normal",Controls!$B$8,(Controls!$B$8+Controls!$B$9)/2))+SQRT(1-Controls!$B$10^2)*(Random!AD160-IF(Controls!$B$7="Normal",Controls!$B$8,(Controls!$B$8+Controls!$B$9)/2)))</f>
        <v/>
      </c>
      <c r="K160" s="10" t="str">
        <f>IF(Random!AE160="","",IF(Controls!$B$7="Normal",Controls!$B$8,(Controls!$B$8+Controls!$B$9)/2)+Controls!$B$10*(K159-IF(Controls!$B$7="Normal",Controls!$B$8,(Controls!$B$8+Controls!$B$9)/2))+SQRT(1-Controls!$B$10^2)*(Random!AE160-IF(Controls!$B$7="Normal",Controls!$B$8,(Controls!$B$8+Controls!$B$9)/2)))</f>
        <v/>
      </c>
      <c r="L160" s="10" t="str">
        <f>IF($A160="","",IF(AND($A160&gt;=Controls!$B$25,$A160&lt;Controls!$B$25+Controls!$C$25),(Controls!$D$25-1)*EXP(-0.5*(($A160-Controls!$B$25-(Controls!$C$25-1)/2)/MAX(Controls!$C$25/4,0.5))^2),0))</f>
        <v/>
      </c>
      <c r="M160" s="10" t="str">
        <f>IF($A160="","",IF(AND($A160&gt;=Controls!$B$26,$A160&lt;Controls!$B$26+Controls!$C$26),(Controls!$D$26-1)*EXP(-0.5*(($A160-Controls!$B$26-(Controls!$C$26-1)/2)/MAX(Controls!$C$26/4,0.5))^2),0))</f>
        <v/>
      </c>
      <c r="N160" s="10" t="str">
        <f>IF($A160="","",IF(AND($A160&gt;=Controls!$B$27,$A160&lt;Controls!$B$27+Controls!$C$27),(Controls!$D$27-1)*EXP(-0.5*(($A160-Controls!$B$27-(Controls!$C$27-1)/2)/MAX(Controls!$C$27/4,0.5))^2),0))</f>
        <v/>
      </c>
      <c r="O160" s="10" t="str">
        <f>IF($A160="","",IF(AND($A160&gt;=Controls!$B$28,$A160&lt;Controls!$B$28+Controls!$C$28),(Controls!$D$28-1)*EXP(-0.5*(($A160-Controls!$B$28-(Controls!$C$28-1)/2)/MAX(Controls!$C$28/4,0.5))^2),0))</f>
        <v/>
      </c>
      <c r="P160" s="4" t="str">
        <f t="shared" si="1"/>
        <v/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21.0" customHeight="1">
      <c r="A161" s="7" t="str">
        <f>IF(160&lt;=Controls!$B$5,Controls!$B$4+159,"")</f>
        <v/>
      </c>
      <c r="B161" s="10" t="str">
        <f>IF(Random!V161="","",IF(Controls!$B$7="Normal",Controls!$B$8,(Controls!$B$8+Controls!$B$9)/2)+Controls!$B$10*(B160-IF(Controls!$B$7="Normal",Controls!$B$8,(Controls!$B$8+Controls!$B$9)/2))+SQRT(1-Controls!$B$10^2)*(Random!V161-IF(Controls!$B$7="Normal",Controls!$B$8,(Controls!$B$8+Controls!$B$9)/2)))</f>
        <v/>
      </c>
      <c r="C161" s="10" t="str">
        <f>IF(Random!W161="","",IF(Controls!$B$7="Normal",Controls!$B$8,(Controls!$B$8+Controls!$B$9)/2)+Controls!$B$10*(C160-IF(Controls!$B$7="Normal",Controls!$B$8,(Controls!$B$8+Controls!$B$9)/2))+SQRT(1-Controls!$B$10^2)*(Random!W161-IF(Controls!$B$7="Normal",Controls!$B$8,(Controls!$B$8+Controls!$B$9)/2)))</f>
        <v/>
      </c>
      <c r="D161" s="10" t="str">
        <f>IF(Random!X161="","",IF(Controls!$B$7="Normal",Controls!$B$8,(Controls!$B$8+Controls!$B$9)/2)+Controls!$B$10*(D160-IF(Controls!$B$7="Normal",Controls!$B$8,(Controls!$B$8+Controls!$B$9)/2))+SQRT(1-Controls!$B$10^2)*(Random!X161-IF(Controls!$B$7="Normal",Controls!$B$8,(Controls!$B$8+Controls!$B$9)/2)))</f>
        <v/>
      </c>
      <c r="E161" s="10" t="str">
        <f>IF(Random!Y161="","",IF(Controls!$B$7="Normal",Controls!$B$8,(Controls!$B$8+Controls!$B$9)/2)+Controls!$B$10*(E160-IF(Controls!$B$7="Normal",Controls!$B$8,(Controls!$B$8+Controls!$B$9)/2))+SQRT(1-Controls!$B$10^2)*(Random!Y161-IF(Controls!$B$7="Normal",Controls!$B$8,(Controls!$B$8+Controls!$B$9)/2)))</f>
        <v/>
      </c>
      <c r="F161" s="10" t="str">
        <f>IF(Random!Z161="","",IF(Controls!$B$7="Normal",Controls!$B$8,(Controls!$B$8+Controls!$B$9)/2)+Controls!$B$10*(F160-IF(Controls!$B$7="Normal",Controls!$B$8,(Controls!$B$8+Controls!$B$9)/2))+SQRT(1-Controls!$B$10^2)*(Random!Z161-IF(Controls!$B$7="Normal",Controls!$B$8,(Controls!$B$8+Controls!$B$9)/2)))</f>
        <v/>
      </c>
      <c r="G161" s="10" t="str">
        <f>IF(Random!AA161="","",IF(Controls!$B$7="Normal",Controls!$B$8,(Controls!$B$8+Controls!$B$9)/2)+Controls!$B$10*(G160-IF(Controls!$B$7="Normal",Controls!$B$8,(Controls!$B$8+Controls!$B$9)/2))+SQRT(1-Controls!$B$10^2)*(Random!AA161-IF(Controls!$B$7="Normal",Controls!$B$8,(Controls!$B$8+Controls!$B$9)/2)))</f>
        <v/>
      </c>
      <c r="H161" s="10" t="str">
        <f>IF(Random!AB161="","",IF(Controls!$B$7="Normal",Controls!$B$8,(Controls!$B$8+Controls!$B$9)/2)+Controls!$B$10*(H160-IF(Controls!$B$7="Normal",Controls!$B$8,(Controls!$B$8+Controls!$B$9)/2))+SQRT(1-Controls!$B$10^2)*(Random!AB161-IF(Controls!$B$7="Normal",Controls!$B$8,(Controls!$B$8+Controls!$B$9)/2)))</f>
        <v/>
      </c>
      <c r="I161" s="10" t="str">
        <f>IF(Random!AC161="","",IF(Controls!$B$7="Normal",Controls!$B$8,(Controls!$B$8+Controls!$B$9)/2)+Controls!$B$10*(I160-IF(Controls!$B$7="Normal",Controls!$B$8,(Controls!$B$8+Controls!$B$9)/2))+SQRT(1-Controls!$B$10^2)*(Random!AC161-IF(Controls!$B$7="Normal",Controls!$B$8,(Controls!$B$8+Controls!$B$9)/2)))</f>
        <v/>
      </c>
      <c r="J161" s="10" t="str">
        <f>IF(Random!AD161="","",IF(Controls!$B$7="Normal",Controls!$B$8,(Controls!$B$8+Controls!$B$9)/2)+Controls!$B$10*(J160-IF(Controls!$B$7="Normal",Controls!$B$8,(Controls!$B$8+Controls!$B$9)/2))+SQRT(1-Controls!$B$10^2)*(Random!AD161-IF(Controls!$B$7="Normal",Controls!$B$8,(Controls!$B$8+Controls!$B$9)/2)))</f>
        <v/>
      </c>
      <c r="K161" s="10" t="str">
        <f>IF(Random!AE161="","",IF(Controls!$B$7="Normal",Controls!$B$8,(Controls!$B$8+Controls!$B$9)/2)+Controls!$B$10*(K160-IF(Controls!$B$7="Normal",Controls!$B$8,(Controls!$B$8+Controls!$B$9)/2))+SQRT(1-Controls!$B$10^2)*(Random!AE161-IF(Controls!$B$7="Normal",Controls!$B$8,(Controls!$B$8+Controls!$B$9)/2)))</f>
        <v/>
      </c>
      <c r="L161" s="10" t="str">
        <f>IF($A161="","",IF(AND($A161&gt;=Controls!$B$25,$A161&lt;Controls!$B$25+Controls!$C$25),(Controls!$D$25-1)*EXP(-0.5*(($A161-Controls!$B$25-(Controls!$C$25-1)/2)/MAX(Controls!$C$25/4,0.5))^2),0))</f>
        <v/>
      </c>
      <c r="M161" s="10" t="str">
        <f>IF($A161="","",IF(AND($A161&gt;=Controls!$B$26,$A161&lt;Controls!$B$26+Controls!$C$26),(Controls!$D$26-1)*EXP(-0.5*(($A161-Controls!$B$26-(Controls!$C$26-1)/2)/MAX(Controls!$C$26/4,0.5))^2),0))</f>
        <v/>
      </c>
      <c r="N161" s="10" t="str">
        <f>IF($A161="","",IF(AND($A161&gt;=Controls!$B$27,$A161&lt;Controls!$B$27+Controls!$C$27),(Controls!$D$27-1)*EXP(-0.5*(($A161-Controls!$B$27-(Controls!$C$27-1)/2)/MAX(Controls!$C$27/4,0.5))^2),0))</f>
        <v/>
      </c>
      <c r="O161" s="10" t="str">
        <f>IF($A161="","",IF(AND($A161&gt;=Controls!$B$28,$A161&lt;Controls!$B$28+Controls!$C$28),(Controls!$D$28-1)*EXP(-0.5*(($A161-Controls!$B$28-(Controls!$C$28-1)/2)/MAX(Controls!$C$28/4,0.5))^2),0))</f>
        <v/>
      </c>
      <c r="P161" s="4" t="str">
        <f t="shared" si="1"/>
        <v/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21.0" customHeight="1">
      <c r="A162" s="7" t="str">
        <f>IF(161&lt;=Controls!$B$5,Controls!$B$4+160,"")</f>
        <v/>
      </c>
      <c r="B162" s="10" t="str">
        <f>IF(Random!V162="","",IF(Controls!$B$7="Normal",Controls!$B$8,(Controls!$B$8+Controls!$B$9)/2)+Controls!$B$10*(B161-IF(Controls!$B$7="Normal",Controls!$B$8,(Controls!$B$8+Controls!$B$9)/2))+SQRT(1-Controls!$B$10^2)*(Random!V162-IF(Controls!$B$7="Normal",Controls!$B$8,(Controls!$B$8+Controls!$B$9)/2)))</f>
        <v/>
      </c>
      <c r="C162" s="10" t="str">
        <f>IF(Random!W162="","",IF(Controls!$B$7="Normal",Controls!$B$8,(Controls!$B$8+Controls!$B$9)/2)+Controls!$B$10*(C161-IF(Controls!$B$7="Normal",Controls!$B$8,(Controls!$B$8+Controls!$B$9)/2))+SQRT(1-Controls!$B$10^2)*(Random!W162-IF(Controls!$B$7="Normal",Controls!$B$8,(Controls!$B$8+Controls!$B$9)/2)))</f>
        <v/>
      </c>
      <c r="D162" s="10" t="str">
        <f>IF(Random!X162="","",IF(Controls!$B$7="Normal",Controls!$B$8,(Controls!$B$8+Controls!$B$9)/2)+Controls!$B$10*(D161-IF(Controls!$B$7="Normal",Controls!$B$8,(Controls!$B$8+Controls!$B$9)/2))+SQRT(1-Controls!$B$10^2)*(Random!X162-IF(Controls!$B$7="Normal",Controls!$B$8,(Controls!$B$8+Controls!$B$9)/2)))</f>
        <v/>
      </c>
      <c r="E162" s="10" t="str">
        <f>IF(Random!Y162="","",IF(Controls!$B$7="Normal",Controls!$B$8,(Controls!$B$8+Controls!$B$9)/2)+Controls!$B$10*(E161-IF(Controls!$B$7="Normal",Controls!$B$8,(Controls!$B$8+Controls!$B$9)/2))+SQRT(1-Controls!$B$10^2)*(Random!Y162-IF(Controls!$B$7="Normal",Controls!$B$8,(Controls!$B$8+Controls!$B$9)/2)))</f>
        <v/>
      </c>
      <c r="F162" s="10" t="str">
        <f>IF(Random!Z162="","",IF(Controls!$B$7="Normal",Controls!$B$8,(Controls!$B$8+Controls!$B$9)/2)+Controls!$B$10*(F161-IF(Controls!$B$7="Normal",Controls!$B$8,(Controls!$B$8+Controls!$B$9)/2))+SQRT(1-Controls!$B$10^2)*(Random!Z162-IF(Controls!$B$7="Normal",Controls!$B$8,(Controls!$B$8+Controls!$B$9)/2)))</f>
        <v/>
      </c>
      <c r="G162" s="10" t="str">
        <f>IF(Random!AA162="","",IF(Controls!$B$7="Normal",Controls!$B$8,(Controls!$B$8+Controls!$B$9)/2)+Controls!$B$10*(G161-IF(Controls!$B$7="Normal",Controls!$B$8,(Controls!$B$8+Controls!$B$9)/2))+SQRT(1-Controls!$B$10^2)*(Random!AA162-IF(Controls!$B$7="Normal",Controls!$B$8,(Controls!$B$8+Controls!$B$9)/2)))</f>
        <v/>
      </c>
      <c r="H162" s="10" t="str">
        <f>IF(Random!AB162="","",IF(Controls!$B$7="Normal",Controls!$B$8,(Controls!$B$8+Controls!$B$9)/2)+Controls!$B$10*(H161-IF(Controls!$B$7="Normal",Controls!$B$8,(Controls!$B$8+Controls!$B$9)/2))+SQRT(1-Controls!$B$10^2)*(Random!AB162-IF(Controls!$B$7="Normal",Controls!$B$8,(Controls!$B$8+Controls!$B$9)/2)))</f>
        <v/>
      </c>
      <c r="I162" s="10" t="str">
        <f>IF(Random!AC162="","",IF(Controls!$B$7="Normal",Controls!$B$8,(Controls!$B$8+Controls!$B$9)/2)+Controls!$B$10*(I161-IF(Controls!$B$7="Normal",Controls!$B$8,(Controls!$B$8+Controls!$B$9)/2))+SQRT(1-Controls!$B$10^2)*(Random!AC162-IF(Controls!$B$7="Normal",Controls!$B$8,(Controls!$B$8+Controls!$B$9)/2)))</f>
        <v/>
      </c>
      <c r="J162" s="10" t="str">
        <f>IF(Random!AD162="","",IF(Controls!$B$7="Normal",Controls!$B$8,(Controls!$B$8+Controls!$B$9)/2)+Controls!$B$10*(J161-IF(Controls!$B$7="Normal",Controls!$B$8,(Controls!$B$8+Controls!$B$9)/2))+SQRT(1-Controls!$B$10^2)*(Random!AD162-IF(Controls!$B$7="Normal",Controls!$B$8,(Controls!$B$8+Controls!$B$9)/2)))</f>
        <v/>
      </c>
      <c r="K162" s="10" t="str">
        <f>IF(Random!AE162="","",IF(Controls!$B$7="Normal",Controls!$B$8,(Controls!$B$8+Controls!$B$9)/2)+Controls!$B$10*(K161-IF(Controls!$B$7="Normal",Controls!$B$8,(Controls!$B$8+Controls!$B$9)/2))+SQRT(1-Controls!$B$10^2)*(Random!AE162-IF(Controls!$B$7="Normal",Controls!$B$8,(Controls!$B$8+Controls!$B$9)/2)))</f>
        <v/>
      </c>
      <c r="L162" s="10" t="str">
        <f>IF($A162="","",IF(AND($A162&gt;=Controls!$B$25,$A162&lt;Controls!$B$25+Controls!$C$25),(Controls!$D$25-1)*EXP(-0.5*(($A162-Controls!$B$25-(Controls!$C$25-1)/2)/MAX(Controls!$C$25/4,0.5))^2),0))</f>
        <v/>
      </c>
      <c r="M162" s="10" t="str">
        <f>IF($A162="","",IF(AND($A162&gt;=Controls!$B$26,$A162&lt;Controls!$B$26+Controls!$C$26),(Controls!$D$26-1)*EXP(-0.5*(($A162-Controls!$B$26-(Controls!$C$26-1)/2)/MAX(Controls!$C$26/4,0.5))^2),0))</f>
        <v/>
      </c>
      <c r="N162" s="10" t="str">
        <f>IF($A162="","",IF(AND($A162&gt;=Controls!$B$27,$A162&lt;Controls!$B$27+Controls!$C$27),(Controls!$D$27-1)*EXP(-0.5*(($A162-Controls!$B$27-(Controls!$C$27-1)/2)/MAX(Controls!$C$27/4,0.5))^2),0))</f>
        <v/>
      </c>
      <c r="O162" s="10" t="str">
        <f>IF($A162="","",IF(AND($A162&gt;=Controls!$B$28,$A162&lt;Controls!$B$28+Controls!$C$28),(Controls!$D$28-1)*EXP(-0.5*(($A162-Controls!$B$28-(Controls!$C$28-1)/2)/MAX(Controls!$C$28/4,0.5))^2),0))</f>
        <v/>
      </c>
      <c r="P162" s="4" t="str">
        <f t="shared" si="1"/>
        <v/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21.0" customHeight="1">
      <c r="A163" s="7" t="str">
        <f>IF(162&lt;=Controls!$B$5,Controls!$B$4+161,"")</f>
        <v/>
      </c>
      <c r="B163" s="10" t="str">
        <f>IF(Random!V163="","",IF(Controls!$B$7="Normal",Controls!$B$8,(Controls!$B$8+Controls!$B$9)/2)+Controls!$B$10*(B162-IF(Controls!$B$7="Normal",Controls!$B$8,(Controls!$B$8+Controls!$B$9)/2))+SQRT(1-Controls!$B$10^2)*(Random!V163-IF(Controls!$B$7="Normal",Controls!$B$8,(Controls!$B$8+Controls!$B$9)/2)))</f>
        <v/>
      </c>
      <c r="C163" s="10" t="str">
        <f>IF(Random!W163="","",IF(Controls!$B$7="Normal",Controls!$B$8,(Controls!$B$8+Controls!$B$9)/2)+Controls!$B$10*(C162-IF(Controls!$B$7="Normal",Controls!$B$8,(Controls!$B$8+Controls!$B$9)/2))+SQRT(1-Controls!$B$10^2)*(Random!W163-IF(Controls!$B$7="Normal",Controls!$B$8,(Controls!$B$8+Controls!$B$9)/2)))</f>
        <v/>
      </c>
      <c r="D163" s="10" t="str">
        <f>IF(Random!X163="","",IF(Controls!$B$7="Normal",Controls!$B$8,(Controls!$B$8+Controls!$B$9)/2)+Controls!$B$10*(D162-IF(Controls!$B$7="Normal",Controls!$B$8,(Controls!$B$8+Controls!$B$9)/2))+SQRT(1-Controls!$B$10^2)*(Random!X163-IF(Controls!$B$7="Normal",Controls!$B$8,(Controls!$B$8+Controls!$B$9)/2)))</f>
        <v/>
      </c>
      <c r="E163" s="10" t="str">
        <f>IF(Random!Y163="","",IF(Controls!$B$7="Normal",Controls!$B$8,(Controls!$B$8+Controls!$B$9)/2)+Controls!$B$10*(E162-IF(Controls!$B$7="Normal",Controls!$B$8,(Controls!$B$8+Controls!$B$9)/2))+SQRT(1-Controls!$B$10^2)*(Random!Y163-IF(Controls!$B$7="Normal",Controls!$B$8,(Controls!$B$8+Controls!$B$9)/2)))</f>
        <v/>
      </c>
      <c r="F163" s="10" t="str">
        <f>IF(Random!Z163="","",IF(Controls!$B$7="Normal",Controls!$B$8,(Controls!$B$8+Controls!$B$9)/2)+Controls!$B$10*(F162-IF(Controls!$B$7="Normal",Controls!$B$8,(Controls!$B$8+Controls!$B$9)/2))+SQRT(1-Controls!$B$10^2)*(Random!Z163-IF(Controls!$B$7="Normal",Controls!$B$8,(Controls!$B$8+Controls!$B$9)/2)))</f>
        <v/>
      </c>
      <c r="G163" s="10" t="str">
        <f>IF(Random!AA163="","",IF(Controls!$B$7="Normal",Controls!$B$8,(Controls!$B$8+Controls!$B$9)/2)+Controls!$B$10*(G162-IF(Controls!$B$7="Normal",Controls!$B$8,(Controls!$B$8+Controls!$B$9)/2))+SQRT(1-Controls!$B$10^2)*(Random!AA163-IF(Controls!$B$7="Normal",Controls!$B$8,(Controls!$B$8+Controls!$B$9)/2)))</f>
        <v/>
      </c>
      <c r="H163" s="10" t="str">
        <f>IF(Random!AB163="","",IF(Controls!$B$7="Normal",Controls!$B$8,(Controls!$B$8+Controls!$B$9)/2)+Controls!$B$10*(H162-IF(Controls!$B$7="Normal",Controls!$B$8,(Controls!$B$8+Controls!$B$9)/2))+SQRT(1-Controls!$B$10^2)*(Random!AB163-IF(Controls!$B$7="Normal",Controls!$B$8,(Controls!$B$8+Controls!$B$9)/2)))</f>
        <v/>
      </c>
      <c r="I163" s="10" t="str">
        <f>IF(Random!AC163="","",IF(Controls!$B$7="Normal",Controls!$B$8,(Controls!$B$8+Controls!$B$9)/2)+Controls!$B$10*(I162-IF(Controls!$B$7="Normal",Controls!$B$8,(Controls!$B$8+Controls!$B$9)/2))+SQRT(1-Controls!$B$10^2)*(Random!AC163-IF(Controls!$B$7="Normal",Controls!$B$8,(Controls!$B$8+Controls!$B$9)/2)))</f>
        <v/>
      </c>
      <c r="J163" s="10" t="str">
        <f>IF(Random!AD163="","",IF(Controls!$B$7="Normal",Controls!$B$8,(Controls!$B$8+Controls!$B$9)/2)+Controls!$B$10*(J162-IF(Controls!$B$7="Normal",Controls!$B$8,(Controls!$B$8+Controls!$B$9)/2))+SQRT(1-Controls!$B$10^2)*(Random!AD163-IF(Controls!$B$7="Normal",Controls!$B$8,(Controls!$B$8+Controls!$B$9)/2)))</f>
        <v/>
      </c>
      <c r="K163" s="10" t="str">
        <f>IF(Random!AE163="","",IF(Controls!$B$7="Normal",Controls!$B$8,(Controls!$B$8+Controls!$B$9)/2)+Controls!$B$10*(K162-IF(Controls!$B$7="Normal",Controls!$B$8,(Controls!$B$8+Controls!$B$9)/2))+SQRT(1-Controls!$B$10^2)*(Random!AE163-IF(Controls!$B$7="Normal",Controls!$B$8,(Controls!$B$8+Controls!$B$9)/2)))</f>
        <v/>
      </c>
      <c r="L163" s="10" t="str">
        <f>IF($A163="","",IF(AND($A163&gt;=Controls!$B$25,$A163&lt;Controls!$B$25+Controls!$C$25),(Controls!$D$25-1)*EXP(-0.5*(($A163-Controls!$B$25-(Controls!$C$25-1)/2)/MAX(Controls!$C$25/4,0.5))^2),0))</f>
        <v/>
      </c>
      <c r="M163" s="10" t="str">
        <f>IF($A163="","",IF(AND($A163&gt;=Controls!$B$26,$A163&lt;Controls!$B$26+Controls!$C$26),(Controls!$D$26-1)*EXP(-0.5*(($A163-Controls!$B$26-(Controls!$C$26-1)/2)/MAX(Controls!$C$26/4,0.5))^2),0))</f>
        <v/>
      </c>
      <c r="N163" s="10" t="str">
        <f>IF($A163="","",IF(AND($A163&gt;=Controls!$B$27,$A163&lt;Controls!$B$27+Controls!$C$27),(Controls!$D$27-1)*EXP(-0.5*(($A163-Controls!$B$27-(Controls!$C$27-1)/2)/MAX(Controls!$C$27/4,0.5))^2),0))</f>
        <v/>
      </c>
      <c r="O163" s="10" t="str">
        <f>IF($A163="","",IF(AND($A163&gt;=Controls!$B$28,$A163&lt;Controls!$B$28+Controls!$C$28),(Controls!$D$28-1)*EXP(-0.5*(($A163-Controls!$B$28-(Controls!$C$28-1)/2)/MAX(Controls!$C$28/4,0.5))^2),0))</f>
        <v/>
      </c>
      <c r="P163" s="4" t="str">
        <f t="shared" si="1"/>
        <v/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21.0" customHeight="1">
      <c r="A164" s="7" t="str">
        <f>IF(163&lt;=Controls!$B$5,Controls!$B$4+162,"")</f>
        <v/>
      </c>
      <c r="B164" s="10" t="str">
        <f>IF(Random!V164="","",IF(Controls!$B$7="Normal",Controls!$B$8,(Controls!$B$8+Controls!$B$9)/2)+Controls!$B$10*(B163-IF(Controls!$B$7="Normal",Controls!$B$8,(Controls!$B$8+Controls!$B$9)/2))+SQRT(1-Controls!$B$10^2)*(Random!V164-IF(Controls!$B$7="Normal",Controls!$B$8,(Controls!$B$8+Controls!$B$9)/2)))</f>
        <v/>
      </c>
      <c r="C164" s="10" t="str">
        <f>IF(Random!W164="","",IF(Controls!$B$7="Normal",Controls!$B$8,(Controls!$B$8+Controls!$B$9)/2)+Controls!$B$10*(C163-IF(Controls!$B$7="Normal",Controls!$B$8,(Controls!$B$8+Controls!$B$9)/2))+SQRT(1-Controls!$B$10^2)*(Random!W164-IF(Controls!$B$7="Normal",Controls!$B$8,(Controls!$B$8+Controls!$B$9)/2)))</f>
        <v/>
      </c>
      <c r="D164" s="10" t="str">
        <f>IF(Random!X164="","",IF(Controls!$B$7="Normal",Controls!$B$8,(Controls!$B$8+Controls!$B$9)/2)+Controls!$B$10*(D163-IF(Controls!$B$7="Normal",Controls!$B$8,(Controls!$B$8+Controls!$B$9)/2))+SQRT(1-Controls!$B$10^2)*(Random!X164-IF(Controls!$B$7="Normal",Controls!$B$8,(Controls!$B$8+Controls!$B$9)/2)))</f>
        <v/>
      </c>
      <c r="E164" s="10" t="str">
        <f>IF(Random!Y164="","",IF(Controls!$B$7="Normal",Controls!$B$8,(Controls!$B$8+Controls!$B$9)/2)+Controls!$B$10*(E163-IF(Controls!$B$7="Normal",Controls!$B$8,(Controls!$B$8+Controls!$B$9)/2))+SQRT(1-Controls!$B$10^2)*(Random!Y164-IF(Controls!$B$7="Normal",Controls!$B$8,(Controls!$B$8+Controls!$B$9)/2)))</f>
        <v/>
      </c>
      <c r="F164" s="10" t="str">
        <f>IF(Random!Z164="","",IF(Controls!$B$7="Normal",Controls!$B$8,(Controls!$B$8+Controls!$B$9)/2)+Controls!$B$10*(F163-IF(Controls!$B$7="Normal",Controls!$B$8,(Controls!$B$8+Controls!$B$9)/2))+SQRT(1-Controls!$B$10^2)*(Random!Z164-IF(Controls!$B$7="Normal",Controls!$B$8,(Controls!$B$8+Controls!$B$9)/2)))</f>
        <v/>
      </c>
      <c r="G164" s="10" t="str">
        <f>IF(Random!AA164="","",IF(Controls!$B$7="Normal",Controls!$B$8,(Controls!$B$8+Controls!$B$9)/2)+Controls!$B$10*(G163-IF(Controls!$B$7="Normal",Controls!$B$8,(Controls!$B$8+Controls!$B$9)/2))+SQRT(1-Controls!$B$10^2)*(Random!AA164-IF(Controls!$B$7="Normal",Controls!$B$8,(Controls!$B$8+Controls!$B$9)/2)))</f>
        <v/>
      </c>
      <c r="H164" s="10" t="str">
        <f>IF(Random!AB164="","",IF(Controls!$B$7="Normal",Controls!$B$8,(Controls!$B$8+Controls!$B$9)/2)+Controls!$B$10*(H163-IF(Controls!$B$7="Normal",Controls!$B$8,(Controls!$B$8+Controls!$B$9)/2))+SQRT(1-Controls!$B$10^2)*(Random!AB164-IF(Controls!$B$7="Normal",Controls!$B$8,(Controls!$B$8+Controls!$B$9)/2)))</f>
        <v/>
      </c>
      <c r="I164" s="10" t="str">
        <f>IF(Random!AC164="","",IF(Controls!$B$7="Normal",Controls!$B$8,(Controls!$B$8+Controls!$B$9)/2)+Controls!$B$10*(I163-IF(Controls!$B$7="Normal",Controls!$B$8,(Controls!$B$8+Controls!$B$9)/2))+SQRT(1-Controls!$B$10^2)*(Random!AC164-IF(Controls!$B$7="Normal",Controls!$B$8,(Controls!$B$8+Controls!$B$9)/2)))</f>
        <v/>
      </c>
      <c r="J164" s="10" t="str">
        <f>IF(Random!AD164="","",IF(Controls!$B$7="Normal",Controls!$B$8,(Controls!$B$8+Controls!$B$9)/2)+Controls!$B$10*(J163-IF(Controls!$B$7="Normal",Controls!$B$8,(Controls!$B$8+Controls!$B$9)/2))+SQRT(1-Controls!$B$10^2)*(Random!AD164-IF(Controls!$B$7="Normal",Controls!$B$8,(Controls!$B$8+Controls!$B$9)/2)))</f>
        <v/>
      </c>
      <c r="K164" s="10" t="str">
        <f>IF(Random!AE164="","",IF(Controls!$B$7="Normal",Controls!$B$8,(Controls!$B$8+Controls!$B$9)/2)+Controls!$B$10*(K163-IF(Controls!$B$7="Normal",Controls!$B$8,(Controls!$B$8+Controls!$B$9)/2))+SQRT(1-Controls!$B$10^2)*(Random!AE164-IF(Controls!$B$7="Normal",Controls!$B$8,(Controls!$B$8+Controls!$B$9)/2)))</f>
        <v/>
      </c>
      <c r="L164" s="10" t="str">
        <f>IF($A164="","",IF(AND($A164&gt;=Controls!$B$25,$A164&lt;Controls!$B$25+Controls!$C$25),(Controls!$D$25-1)*EXP(-0.5*(($A164-Controls!$B$25-(Controls!$C$25-1)/2)/MAX(Controls!$C$25/4,0.5))^2),0))</f>
        <v/>
      </c>
      <c r="M164" s="10" t="str">
        <f>IF($A164="","",IF(AND($A164&gt;=Controls!$B$26,$A164&lt;Controls!$B$26+Controls!$C$26),(Controls!$D$26-1)*EXP(-0.5*(($A164-Controls!$B$26-(Controls!$C$26-1)/2)/MAX(Controls!$C$26/4,0.5))^2),0))</f>
        <v/>
      </c>
      <c r="N164" s="10" t="str">
        <f>IF($A164="","",IF(AND($A164&gt;=Controls!$B$27,$A164&lt;Controls!$B$27+Controls!$C$27),(Controls!$D$27-1)*EXP(-0.5*(($A164-Controls!$B$27-(Controls!$C$27-1)/2)/MAX(Controls!$C$27/4,0.5))^2),0))</f>
        <v/>
      </c>
      <c r="O164" s="10" t="str">
        <f>IF($A164="","",IF(AND($A164&gt;=Controls!$B$28,$A164&lt;Controls!$B$28+Controls!$C$28),(Controls!$D$28-1)*EXP(-0.5*(($A164-Controls!$B$28-(Controls!$C$28-1)/2)/MAX(Controls!$C$28/4,0.5))^2),0))</f>
        <v/>
      </c>
      <c r="P164" s="4" t="str">
        <f t="shared" si="1"/>
        <v/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21.0" customHeight="1">
      <c r="A165" s="7" t="str">
        <f>IF(164&lt;=Controls!$B$5,Controls!$B$4+163,"")</f>
        <v/>
      </c>
      <c r="B165" s="10" t="str">
        <f>IF(Random!V165="","",IF(Controls!$B$7="Normal",Controls!$B$8,(Controls!$B$8+Controls!$B$9)/2)+Controls!$B$10*(B164-IF(Controls!$B$7="Normal",Controls!$B$8,(Controls!$B$8+Controls!$B$9)/2))+SQRT(1-Controls!$B$10^2)*(Random!V165-IF(Controls!$B$7="Normal",Controls!$B$8,(Controls!$B$8+Controls!$B$9)/2)))</f>
        <v/>
      </c>
      <c r="C165" s="10" t="str">
        <f>IF(Random!W165="","",IF(Controls!$B$7="Normal",Controls!$B$8,(Controls!$B$8+Controls!$B$9)/2)+Controls!$B$10*(C164-IF(Controls!$B$7="Normal",Controls!$B$8,(Controls!$B$8+Controls!$B$9)/2))+SQRT(1-Controls!$B$10^2)*(Random!W165-IF(Controls!$B$7="Normal",Controls!$B$8,(Controls!$B$8+Controls!$B$9)/2)))</f>
        <v/>
      </c>
      <c r="D165" s="10" t="str">
        <f>IF(Random!X165="","",IF(Controls!$B$7="Normal",Controls!$B$8,(Controls!$B$8+Controls!$B$9)/2)+Controls!$B$10*(D164-IF(Controls!$B$7="Normal",Controls!$B$8,(Controls!$B$8+Controls!$B$9)/2))+SQRT(1-Controls!$B$10^2)*(Random!X165-IF(Controls!$B$7="Normal",Controls!$B$8,(Controls!$B$8+Controls!$B$9)/2)))</f>
        <v/>
      </c>
      <c r="E165" s="10" t="str">
        <f>IF(Random!Y165="","",IF(Controls!$B$7="Normal",Controls!$B$8,(Controls!$B$8+Controls!$B$9)/2)+Controls!$B$10*(E164-IF(Controls!$B$7="Normal",Controls!$B$8,(Controls!$B$8+Controls!$B$9)/2))+SQRT(1-Controls!$B$10^2)*(Random!Y165-IF(Controls!$B$7="Normal",Controls!$B$8,(Controls!$B$8+Controls!$B$9)/2)))</f>
        <v/>
      </c>
      <c r="F165" s="10" t="str">
        <f>IF(Random!Z165="","",IF(Controls!$B$7="Normal",Controls!$B$8,(Controls!$B$8+Controls!$B$9)/2)+Controls!$B$10*(F164-IF(Controls!$B$7="Normal",Controls!$B$8,(Controls!$B$8+Controls!$B$9)/2))+SQRT(1-Controls!$B$10^2)*(Random!Z165-IF(Controls!$B$7="Normal",Controls!$B$8,(Controls!$B$8+Controls!$B$9)/2)))</f>
        <v/>
      </c>
      <c r="G165" s="10" t="str">
        <f>IF(Random!AA165="","",IF(Controls!$B$7="Normal",Controls!$B$8,(Controls!$B$8+Controls!$B$9)/2)+Controls!$B$10*(G164-IF(Controls!$B$7="Normal",Controls!$B$8,(Controls!$B$8+Controls!$B$9)/2))+SQRT(1-Controls!$B$10^2)*(Random!AA165-IF(Controls!$B$7="Normal",Controls!$B$8,(Controls!$B$8+Controls!$B$9)/2)))</f>
        <v/>
      </c>
      <c r="H165" s="10" t="str">
        <f>IF(Random!AB165="","",IF(Controls!$B$7="Normal",Controls!$B$8,(Controls!$B$8+Controls!$B$9)/2)+Controls!$B$10*(H164-IF(Controls!$B$7="Normal",Controls!$B$8,(Controls!$B$8+Controls!$B$9)/2))+SQRT(1-Controls!$B$10^2)*(Random!AB165-IF(Controls!$B$7="Normal",Controls!$B$8,(Controls!$B$8+Controls!$B$9)/2)))</f>
        <v/>
      </c>
      <c r="I165" s="10" t="str">
        <f>IF(Random!AC165="","",IF(Controls!$B$7="Normal",Controls!$B$8,(Controls!$B$8+Controls!$B$9)/2)+Controls!$B$10*(I164-IF(Controls!$B$7="Normal",Controls!$B$8,(Controls!$B$8+Controls!$B$9)/2))+SQRT(1-Controls!$B$10^2)*(Random!AC165-IF(Controls!$B$7="Normal",Controls!$B$8,(Controls!$B$8+Controls!$B$9)/2)))</f>
        <v/>
      </c>
      <c r="J165" s="10" t="str">
        <f>IF(Random!AD165="","",IF(Controls!$B$7="Normal",Controls!$B$8,(Controls!$B$8+Controls!$B$9)/2)+Controls!$B$10*(J164-IF(Controls!$B$7="Normal",Controls!$B$8,(Controls!$B$8+Controls!$B$9)/2))+SQRT(1-Controls!$B$10^2)*(Random!AD165-IF(Controls!$B$7="Normal",Controls!$B$8,(Controls!$B$8+Controls!$B$9)/2)))</f>
        <v/>
      </c>
      <c r="K165" s="10" t="str">
        <f>IF(Random!AE165="","",IF(Controls!$B$7="Normal",Controls!$B$8,(Controls!$B$8+Controls!$B$9)/2)+Controls!$B$10*(K164-IF(Controls!$B$7="Normal",Controls!$B$8,(Controls!$B$8+Controls!$B$9)/2))+SQRT(1-Controls!$B$10^2)*(Random!AE165-IF(Controls!$B$7="Normal",Controls!$B$8,(Controls!$B$8+Controls!$B$9)/2)))</f>
        <v/>
      </c>
      <c r="L165" s="10" t="str">
        <f>IF($A165="","",IF(AND($A165&gt;=Controls!$B$25,$A165&lt;Controls!$B$25+Controls!$C$25),(Controls!$D$25-1)*EXP(-0.5*(($A165-Controls!$B$25-(Controls!$C$25-1)/2)/MAX(Controls!$C$25/4,0.5))^2),0))</f>
        <v/>
      </c>
      <c r="M165" s="10" t="str">
        <f>IF($A165="","",IF(AND($A165&gt;=Controls!$B$26,$A165&lt;Controls!$B$26+Controls!$C$26),(Controls!$D$26-1)*EXP(-0.5*(($A165-Controls!$B$26-(Controls!$C$26-1)/2)/MAX(Controls!$C$26/4,0.5))^2),0))</f>
        <v/>
      </c>
      <c r="N165" s="10" t="str">
        <f>IF($A165="","",IF(AND($A165&gt;=Controls!$B$27,$A165&lt;Controls!$B$27+Controls!$C$27),(Controls!$D$27-1)*EXP(-0.5*(($A165-Controls!$B$27-(Controls!$C$27-1)/2)/MAX(Controls!$C$27/4,0.5))^2),0))</f>
        <v/>
      </c>
      <c r="O165" s="10" t="str">
        <f>IF($A165="","",IF(AND($A165&gt;=Controls!$B$28,$A165&lt;Controls!$B$28+Controls!$C$28),(Controls!$D$28-1)*EXP(-0.5*(($A165-Controls!$B$28-(Controls!$C$28-1)/2)/MAX(Controls!$C$28/4,0.5))^2),0))</f>
        <v/>
      </c>
      <c r="P165" s="4" t="str">
        <f t="shared" si="1"/>
        <v/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21.0" customHeight="1">
      <c r="A166" s="7" t="str">
        <f>IF(165&lt;=Controls!$B$5,Controls!$B$4+164,"")</f>
        <v/>
      </c>
      <c r="B166" s="10" t="str">
        <f>IF(Random!V166="","",IF(Controls!$B$7="Normal",Controls!$B$8,(Controls!$B$8+Controls!$B$9)/2)+Controls!$B$10*(B165-IF(Controls!$B$7="Normal",Controls!$B$8,(Controls!$B$8+Controls!$B$9)/2))+SQRT(1-Controls!$B$10^2)*(Random!V166-IF(Controls!$B$7="Normal",Controls!$B$8,(Controls!$B$8+Controls!$B$9)/2)))</f>
        <v/>
      </c>
      <c r="C166" s="10" t="str">
        <f>IF(Random!W166="","",IF(Controls!$B$7="Normal",Controls!$B$8,(Controls!$B$8+Controls!$B$9)/2)+Controls!$B$10*(C165-IF(Controls!$B$7="Normal",Controls!$B$8,(Controls!$B$8+Controls!$B$9)/2))+SQRT(1-Controls!$B$10^2)*(Random!W166-IF(Controls!$B$7="Normal",Controls!$B$8,(Controls!$B$8+Controls!$B$9)/2)))</f>
        <v/>
      </c>
      <c r="D166" s="10" t="str">
        <f>IF(Random!X166="","",IF(Controls!$B$7="Normal",Controls!$B$8,(Controls!$B$8+Controls!$B$9)/2)+Controls!$B$10*(D165-IF(Controls!$B$7="Normal",Controls!$B$8,(Controls!$B$8+Controls!$B$9)/2))+SQRT(1-Controls!$B$10^2)*(Random!X166-IF(Controls!$B$7="Normal",Controls!$B$8,(Controls!$B$8+Controls!$B$9)/2)))</f>
        <v/>
      </c>
      <c r="E166" s="10" t="str">
        <f>IF(Random!Y166="","",IF(Controls!$B$7="Normal",Controls!$B$8,(Controls!$B$8+Controls!$B$9)/2)+Controls!$B$10*(E165-IF(Controls!$B$7="Normal",Controls!$B$8,(Controls!$B$8+Controls!$B$9)/2))+SQRT(1-Controls!$B$10^2)*(Random!Y166-IF(Controls!$B$7="Normal",Controls!$B$8,(Controls!$B$8+Controls!$B$9)/2)))</f>
        <v/>
      </c>
      <c r="F166" s="10" t="str">
        <f>IF(Random!Z166="","",IF(Controls!$B$7="Normal",Controls!$B$8,(Controls!$B$8+Controls!$B$9)/2)+Controls!$B$10*(F165-IF(Controls!$B$7="Normal",Controls!$B$8,(Controls!$B$8+Controls!$B$9)/2))+SQRT(1-Controls!$B$10^2)*(Random!Z166-IF(Controls!$B$7="Normal",Controls!$B$8,(Controls!$B$8+Controls!$B$9)/2)))</f>
        <v/>
      </c>
      <c r="G166" s="10" t="str">
        <f>IF(Random!AA166="","",IF(Controls!$B$7="Normal",Controls!$B$8,(Controls!$B$8+Controls!$B$9)/2)+Controls!$B$10*(G165-IF(Controls!$B$7="Normal",Controls!$B$8,(Controls!$B$8+Controls!$B$9)/2))+SQRT(1-Controls!$B$10^2)*(Random!AA166-IF(Controls!$B$7="Normal",Controls!$B$8,(Controls!$B$8+Controls!$B$9)/2)))</f>
        <v/>
      </c>
      <c r="H166" s="10" t="str">
        <f>IF(Random!AB166="","",IF(Controls!$B$7="Normal",Controls!$B$8,(Controls!$B$8+Controls!$B$9)/2)+Controls!$B$10*(H165-IF(Controls!$B$7="Normal",Controls!$B$8,(Controls!$B$8+Controls!$B$9)/2))+SQRT(1-Controls!$B$10^2)*(Random!AB166-IF(Controls!$B$7="Normal",Controls!$B$8,(Controls!$B$8+Controls!$B$9)/2)))</f>
        <v/>
      </c>
      <c r="I166" s="10" t="str">
        <f>IF(Random!AC166="","",IF(Controls!$B$7="Normal",Controls!$B$8,(Controls!$B$8+Controls!$B$9)/2)+Controls!$B$10*(I165-IF(Controls!$B$7="Normal",Controls!$B$8,(Controls!$B$8+Controls!$B$9)/2))+SQRT(1-Controls!$B$10^2)*(Random!AC166-IF(Controls!$B$7="Normal",Controls!$B$8,(Controls!$B$8+Controls!$B$9)/2)))</f>
        <v/>
      </c>
      <c r="J166" s="10" t="str">
        <f>IF(Random!AD166="","",IF(Controls!$B$7="Normal",Controls!$B$8,(Controls!$B$8+Controls!$B$9)/2)+Controls!$B$10*(J165-IF(Controls!$B$7="Normal",Controls!$B$8,(Controls!$B$8+Controls!$B$9)/2))+SQRT(1-Controls!$B$10^2)*(Random!AD166-IF(Controls!$B$7="Normal",Controls!$B$8,(Controls!$B$8+Controls!$B$9)/2)))</f>
        <v/>
      </c>
      <c r="K166" s="10" t="str">
        <f>IF(Random!AE166="","",IF(Controls!$B$7="Normal",Controls!$B$8,(Controls!$B$8+Controls!$B$9)/2)+Controls!$B$10*(K165-IF(Controls!$B$7="Normal",Controls!$B$8,(Controls!$B$8+Controls!$B$9)/2))+SQRT(1-Controls!$B$10^2)*(Random!AE166-IF(Controls!$B$7="Normal",Controls!$B$8,(Controls!$B$8+Controls!$B$9)/2)))</f>
        <v/>
      </c>
      <c r="L166" s="10" t="str">
        <f>IF($A166="","",IF(AND($A166&gt;=Controls!$B$25,$A166&lt;Controls!$B$25+Controls!$C$25),(Controls!$D$25-1)*EXP(-0.5*(($A166-Controls!$B$25-(Controls!$C$25-1)/2)/MAX(Controls!$C$25/4,0.5))^2),0))</f>
        <v/>
      </c>
      <c r="M166" s="10" t="str">
        <f>IF($A166="","",IF(AND($A166&gt;=Controls!$B$26,$A166&lt;Controls!$B$26+Controls!$C$26),(Controls!$D$26-1)*EXP(-0.5*(($A166-Controls!$B$26-(Controls!$C$26-1)/2)/MAX(Controls!$C$26/4,0.5))^2),0))</f>
        <v/>
      </c>
      <c r="N166" s="10" t="str">
        <f>IF($A166="","",IF(AND($A166&gt;=Controls!$B$27,$A166&lt;Controls!$B$27+Controls!$C$27),(Controls!$D$27-1)*EXP(-0.5*(($A166-Controls!$B$27-(Controls!$C$27-1)/2)/MAX(Controls!$C$27/4,0.5))^2),0))</f>
        <v/>
      </c>
      <c r="O166" s="10" t="str">
        <f>IF($A166="","",IF(AND($A166&gt;=Controls!$B$28,$A166&lt;Controls!$B$28+Controls!$C$28),(Controls!$D$28-1)*EXP(-0.5*(($A166-Controls!$B$28-(Controls!$C$28-1)/2)/MAX(Controls!$C$28/4,0.5))^2),0))</f>
        <v/>
      </c>
      <c r="P166" s="4" t="str">
        <f t="shared" si="1"/>
        <v/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21.0" customHeight="1">
      <c r="A167" s="7" t="str">
        <f>IF(166&lt;=Controls!$B$5,Controls!$B$4+165,"")</f>
        <v/>
      </c>
      <c r="B167" s="10" t="str">
        <f>IF(Random!V167="","",IF(Controls!$B$7="Normal",Controls!$B$8,(Controls!$B$8+Controls!$B$9)/2)+Controls!$B$10*(B166-IF(Controls!$B$7="Normal",Controls!$B$8,(Controls!$B$8+Controls!$B$9)/2))+SQRT(1-Controls!$B$10^2)*(Random!V167-IF(Controls!$B$7="Normal",Controls!$B$8,(Controls!$B$8+Controls!$B$9)/2)))</f>
        <v/>
      </c>
      <c r="C167" s="10" t="str">
        <f>IF(Random!W167="","",IF(Controls!$B$7="Normal",Controls!$B$8,(Controls!$B$8+Controls!$B$9)/2)+Controls!$B$10*(C166-IF(Controls!$B$7="Normal",Controls!$B$8,(Controls!$B$8+Controls!$B$9)/2))+SQRT(1-Controls!$B$10^2)*(Random!W167-IF(Controls!$B$7="Normal",Controls!$B$8,(Controls!$B$8+Controls!$B$9)/2)))</f>
        <v/>
      </c>
      <c r="D167" s="10" t="str">
        <f>IF(Random!X167="","",IF(Controls!$B$7="Normal",Controls!$B$8,(Controls!$B$8+Controls!$B$9)/2)+Controls!$B$10*(D166-IF(Controls!$B$7="Normal",Controls!$B$8,(Controls!$B$8+Controls!$B$9)/2))+SQRT(1-Controls!$B$10^2)*(Random!X167-IF(Controls!$B$7="Normal",Controls!$B$8,(Controls!$B$8+Controls!$B$9)/2)))</f>
        <v/>
      </c>
      <c r="E167" s="10" t="str">
        <f>IF(Random!Y167="","",IF(Controls!$B$7="Normal",Controls!$B$8,(Controls!$B$8+Controls!$B$9)/2)+Controls!$B$10*(E166-IF(Controls!$B$7="Normal",Controls!$B$8,(Controls!$B$8+Controls!$B$9)/2))+SQRT(1-Controls!$B$10^2)*(Random!Y167-IF(Controls!$B$7="Normal",Controls!$B$8,(Controls!$B$8+Controls!$B$9)/2)))</f>
        <v/>
      </c>
      <c r="F167" s="10" t="str">
        <f>IF(Random!Z167="","",IF(Controls!$B$7="Normal",Controls!$B$8,(Controls!$B$8+Controls!$B$9)/2)+Controls!$B$10*(F166-IF(Controls!$B$7="Normal",Controls!$B$8,(Controls!$B$8+Controls!$B$9)/2))+SQRT(1-Controls!$B$10^2)*(Random!Z167-IF(Controls!$B$7="Normal",Controls!$B$8,(Controls!$B$8+Controls!$B$9)/2)))</f>
        <v/>
      </c>
      <c r="G167" s="10" t="str">
        <f>IF(Random!AA167="","",IF(Controls!$B$7="Normal",Controls!$B$8,(Controls!$B$8+Controls!$B$9)/2)+Controls!$B$10*(G166-IF(Controls!$B$7="Normal",Controls!$B$8,(Controls!$B$8+Controls!$B$9)/2))+SQRT(1-Controls!$B$10^2)*(Random!AA167-IF(Controls!$B$7="Normal",Controls!$B$8,(Controls!$B$8+Controls!$B$9)/2)))</f>
        <v/>
      </c>
      <c r="H167" s="10" t="str">
        <f>IF(Random!AB167="","",IF(Controls!$B$7="Normal",Controls!$B$8,(Controls!$B$8+Controls!$B$9)/2)+Controls!$B$10*(H166-IF(Controls!$B$7="Normal",Controls!$B$8,(Controls!$B$8+Controls!$B$9)/2))+SQRT(1-Controls!$B$10^2)*(Random!AB167-IF(Controls!$B$7="Normal",Controls!$B$8,(Controls!$B$8+Controls!$B$9)/2)))</f>
        <v/>
      </c>
      <c r="I167" s="10" t="str">
        <f>IF(Random!AC167="","",IF(Controls!$B$7="Normal",Controls!$B$8,(Controls!$B$8+Controls!$B$9)/2)+Controls!$B$10*(I166-IF(Controls!$B$7="Normal",Controls!$B$8,(Controls!$B$8+Controls!$B$9)/2))+SQRT(1-Controls!$B$10^2)*(Random!AC167-IF(Controls!$B$7="Normal",Controls!$B$8,(Controls!$B$8+Controls!$B$9)/2)))</f>
        <v/>
      </c>
      <c r="J167" s="10" t="str">
        <f>IF(Random!AD167="","",IF(Controls!$B$7="Normal",Controls!$B$8,(Controls!$B$8+Controls!$B$9)/2)+Controls!$B$10*(J166-IF(Controls!$B$7="Normal",Controls!$B$8,(Controls!$B$8+Controls!$B$9)/2))+SQRT(1-Controls!$B$10^2)*(Random!AD167-IF(Controls!$B$7="Normal",Controls!$B$8,(Controls!$B$8+Controls!$B$9)/2)))</f>
        <v/>
      </c>
      <c r="K167" s="10" t="str">
        <f>IF(Random!AE167="","",IF(Controls!$B$7="Normal",Controls!$B$8,(Controls!$B$8+Controls!$B$9)/2)+Controls!$B$10*(K166-IF(Controls!$B$7="Normal",Controls!$B$8,(Controls!$B$8+Controls!$B$9)/2))+SQRT(1-Controls!$B$10^2)*(Random!AE167-IF(Controls!$B$7="Normal",Controls!$B$8,(Controls!$B$8+Controls!$B$9)/2)))</f>
        <v/>
      </c>
      <c r="L167" s="10" t="str">
        <f>IF($A167="","",IF(AND($A167&gt;=Controls!$B$25,$A167&lt;Controls!$B$25+Controls!$C$25),(Controls!$D$25-1)*EXP(-0.5*(($A167-Controls!$B$25-(Controls!$C$25-1)/2)/MAX(Controls!$C$25/4,0.5))^2),0))</f>
        <v/>
      </c>
      <c r="M167" s="10" t="str">
        <f>IF($A167="","",IF(AND($A167&gt;=Controls!$B$26,$A167&lt;Controls!$B$26+Controls!$C$26),(Controls!$D$26-1)*EXP(-0.5*(($A167-Controls!$B$26-(Controls!$C$26-1)/2)/MAX(Controls!$C$26/4,0.5))^2),0))</f>
        <v/>
      </c>
      <c r="N167" s="10" t="str">
        <f>IF($A167="","",IF(AND($A167&gt;=Controls!$B$27,$A167&lt;Controls!$B$27+Controls!$C$27),(Controls!$D$27-1)*EXP(-0.5*(($A167-Controls!$B$27-(Controls!$C$27-1)/2)/MAX(Controls!$C$27/4,0.5))^2),0))</f>
        <v/>
      </c>
      <c r="O167" s="10" t="str">
        <f>IF($A167="","",IF(AND($A167&gt;=Controls!$B$28,$A167&lt;Controls!$B$28+Controls!$C$28),(Controls!$D$28-1)*EXP(-0.5*(($A167-Controls!$B$28-(Controls!$C$28-1)/2)/MAX(Controls!$C$28/4,0.5))^2),0))</f>
        <v/>
      </c>
      <c r="P167" s="4" t="str">
        <f t="shared" si="1"/>
        <v/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21.0" customHeight="1">
      <c r="A168" s="7" t="str">
        <f>IF(167&lt;=Controls!$B$5,Controls!$B$4+166,"")</f>
        <v/>
      </c>
      <c r="B168" s="10" t="str">
        <f>IF(Random!V168="","",IF(Controls!$B$7="Normal",Controls!$B$8,(Controls!$B$8+Controls!$B$9)/2)+Controls!$B$10*(B167-IF(Controls!$B$7="Normal",Controls!$B$8,(Controls!$B$8+Controls!$B$9)/2))+SQRT(1-Controls!$B$10^2)*(Random!V168-IF(Controls!$B$7="Normal",Controls!$B$8,(Controls!$B$8+Controls!$B$9)/2)))</f>
        <v/>
      </c>
      <c r="C168" s="10" t="str">
        <f>IF(Random!W168="","",IF(Controls!$B$7="Normal",Controls!$B$8,(Controls!$B$8+Controls!$B$9)/2)+Controls!$B$10*(C167-IF(Controls!$B$7="Normal",Controls!$B$8,(Controls!$B$8+Controls!$B$9)/2))+SQRT(1-Controls!$B$10^2)*(Random!W168-IF(Controls!$B$7="Normal",Controls!$B$8,(Controls!$B$8+Controls!$B$9)/2)))</f>
        <v/>
      </c>
      <c r="D168" s="10" t="str">
        <f>IF(Random!X168="","",IF(Controls!$B$7="Normal",Controls!$B$8,(Controls!$B$8+Controls!$B$9)/2)+Controls!$B$10*(D167-IF(Controls!$B$7="Normal",Controls!$B$8,(Controls!$B$8+Controls!$B$9)/2))+SQRT(1-Controls!$B$10^2)*(Random!X168-IF(Controls!$B$7="Normal",Controls!$B$8,(Controls!$B$8+Controls!$B$9)/2)))</f>
        <v/>
      </c>
      <c r="E168" s="10" t="str">
        <f>IF(Random!Y168="","",IF(Controls!$B$7="Normal",Controls!$B$8,(Controls!$B$8+Controls!$B$9)/2)+Controls!$B$10*(E167-IF(Controls!$B$7="Normal",Controls!$B$8,(Controls!$B$8+Controls!$B$9)/2))+SQRT(1-Controls!$B$10^2)*(Random!Y168-IF(Controls!$B$7="Normal",Controls!$B$8,(Controls!$B$8+Controls!$B$9)/2)))</f>
        <v/>
      </c>
      <c r="F168" s="10" t="str">
        <f>IF(Random!Z168="","",IF(Controls!$B$7="Normal",Controls!$B$8,(Controls!$B$8+Controls!$B$9)/2)+Controls!$B$10*(F167-IF(Controls!$B$7="Normal",Controls!$B$8,(Controls!$B$8+Controls!$B$9)/2))+SQRT(1-Controls!$B$10^2)*(Random!Z168-IF(Controls!$B$7="Normal",Controls!$B$8,(Controls!$B$8+Controls!$B$9)/2)))</f>
        <v/>
      </c>
      <c r="G168" s="10" t="str">
        <f>IF(Random!AA168="","",IF(Controls!$B$7="Normal",Controls!$B$8,(Controls!$B$8+Controls!$B$9)/2)+Controls!$B$10*(G167-IF(Controls!$B$7="Normal",Controls!$B$8,(Controls!$B$8+Controls!$B$9)/2))+SQRT(1-Controls!$B$10^2)*(Random!AA168-IF(Controls!$B$7="Normal",Controls!$B$8,(Controls!$B$8+Controls!$B$9)/2)))</f>
        <v/>
      </c>
      <c r="H168" s="10" t="str">
        <f>IF(Random!AB168="","",IF(Controls!$B$7="Normal",Controls!$B$8,(Controls!$B$8+Controls!$B$9)/2)+Controls!$B$10*(H167-IF(Controls!$B$7="Normal",Controls!$B$8,(Controls!$B$8+Controls!$B$9)/2))+SQRT(1-Controls!$B$10^2)*(Random!AB168-IF(Controls!$B$7="Normal",Controls!$B$8,(Controls!$B$8+Controls!$B$9)/2)))</f>
        <v/>
      </c>
      <c r="I168" s="10" t="str">
        <f>IF(Random!AC168="","",IF(Controls!$B$7="Normal",Controls!$B$8,(Controls!$B$8+Controls!$B$9)/2)+Controls!$B$10*(I167-IF(Controls!$B$7="Normal",Controls!$B$8,(Controls!$B$8+Controls!$B$9)/2))+SQRT(1-Controls!$B$10^2)*(Random!AC168-IF(Controls!$B$7="Normal",Controls!$B$8,(Controls!$B$8+Controls!$B$9)/2)))</f>
        <v/>
      </c>
      <c r="J168" s="10" t="str">
        <f>IF(Random!AD168="","",IF(Controls!$B$7="Normal",Controls!$B$8,(Controls!$B$8+Controls!$B$9)/2)+Controls!$B$10*(J167-IF(Controls!$B$7="Normal",Controls!$B$8,(Controls!$B$8+Controls!$B$9)/2))+SQRT(1-Controls!$B$10^2)*(Random!AD168-IF(Controls!$B$7="Normal",Controls!$B$8,(Controls!$B$8+Controls!$B$9)/2)))</f>
        <v/>
      </c>
      <c r="K168" s="10" t="str">
        <f>IF(Random!AE168="","",IF(Controls!$B$7="Normal",Controls!$B$8,(Controls!$B$8+Controls!$B$9)/2)+Controls!$B$10*(K167-IF(Controls!$B$7="Normal",Controls!$B$8,(Controls!$B$8+Controls!$B$9)/2))+SQRT(1-Controls!$B$10^2)*(Random!AE168-IF(Controls!$B$7="Normal",Controls!$B$8,(Controls!$B$8+Controls!$B$9)/2)))</f>
        <v/>
      </c>
      <c r="L168" s="10" t="str">
        <f>IF($A168="","",IF(AND($A168&gt;=Controls!$B$25,$A168&lt;Controls!$B$25+Controls!$C$25),(Controls!$D$25-1)*EXP(-0.5*(($A168-Controls!$B$25-(Controls!$C$25-1)/2)/MAX(Controls!$C$25/4,0.5))^2),0))</f>
        <v/>
      </c>
      <c r="M168" s="10" t="str">
        <f>IF($A168="","",IF(AND($A168&gt;=Controls!$B$26,$A168&lt;Controls!$B$26+Controls!$C$26),(Controls!$D$26-1)*EXP(-0.5*(($A168-Controls!$B$26-(Controls!$C$26-1)/2)/MAX(Controls!$C$26/4,0.5))^2),0))</f>
        <v/>
      </c>
      <c r="N168" s="10" t="str">
        <f>IF($A168="","",IF(AND($A168&gt;=Controls!$B$27,$A168&lt;Controls!$B$27+Controls!$C$27),(Controls!$D$27-1)*EXP(-0.5*(($A168-Controls!$B$27-(Controls!$C$27-1)/2)/MAX(Controls!$C$27/4,0.5))^2),0))</f>
        <v/>
      </c>
      <c r="O168" s="10" t="str">
        <f>IF($A168="","",IF(AND($A168&gt;=Controls!$B$28,$A168&lt;Controls!$B$28+Controls!$C$28),(Controls!$D$28-1)*EXP(-0.5*(($A168-Controls!$B$28-(Controls!$C$28-1)/2)/MAX(Controls!$C$28/4,0.5))^2),0))</f>
        <v/>
      </c>
      <c r="P168" s="4" t="str">
        <f t="shared" si="1"/>
        <v/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21.0" customHeight="1">
      <c r="A169" s="7" t="str">
        <f>IF(168&lt;=Controls!$B$5,Controls!$B$4+167,"")</f>
        <v/>
      </c>
      <c r="B169" s="10" t="str">
        <f>IF(Random!V169="","",IF(Controls!$B$7="Normal",Controls!$B$8,(Controls!$B$8+Controls!$B$9)/2)+Controls!$B$10*(B168-IF(Controls!$B$7="Normal",Controls!$B$8,(Controls!$B$8+Controls!$B$9)/2))+SQRT(1-Controls!$B$10^2)*(Random!V169-IF(Controls!$B$7="Normal",Controls!$B$8,(Controls!$B$8+Controls!$B$9)/2)))</f>
        <v/>
      </c>
      <c r="C169" s="10" t="str">
        <f>IF(Random!W169="","",IF(Controls!$B$7="Normal",Controls!$B$8,(Controls!$B$8+Controls!$B$9)/2)+Controls!$B$10*(C168-IF(Controls!$B$7="Normal",Controls!$B$8,(Controls!$B$8+Controls!$B$9)/2))+SQRT(1-Controls!$B$10^2)*(Random!W169-IF(Controls!$B$7="Normal",Controls!$B$8,(Controls!$B$8+Controls!$B$9)/2)))</f>
        <v/>
      </c>
      <c r="D169" s="10" t="str">
        <f>IF(Random!X169="","",IF(Controls!$B$7="Normal",Controls!$B$8,(Controls!$B$8+Controls!$B$9)/2)+Controls!$B$10*(D168-IF(Controls!$B$7="Normal",Controls!$B$8,(Controls!$B$8+Controls!$B$9)/2))+SQRT(1-Controls!$B$10^2)*(Random!X169-IF(Controls!$B$7="Normal",Controls!$B$8,(Controls!$B$8+Controls!$B$9)/2)))</f>
        <v/>
      </c>
      <c r="E169" s="10" t="str">
        <f>IF(Random!Y169="","",IF(Controls!$B$7="Normal",Controls!$B$8,(Controls!$B$8+Controls!$B$9)/2)+Controls!$B$10*(E168-IF(Controls!$B$7="Normal",Controls!$B$8,(Controls!$B$8+Controls!$B$9)/2))+SQRT(1-Controls!$B$10^2)*(Random!Y169-IF(Controls!$B$7="Normal",Controls!$B$8,(Controls!$B$8+Controls!$B$9)/2)))</f>
        <v/>
      </c>
      <c r="F169" s="10" t="str">
        <f>IF(Random!Z169="","",IF(Controls!$B$7="Normal",Controls!$B$8,(Controls!$B$8+Controls!$B$9)/2)+Controls!$B$10*(F168-IF(Controls!$B$7="Normal",Controls!$B$8,(Controls!$B$8+Controls!$B$9)/2))+SQRT(1-Controls!$B$10^2)*(Random!Z169-IF(Controls!$B$7="Normal",Controls!$B$8,(Controls!$B$8+Controls!$B$9)/2)))</f>
        <v/>
      </c>
      <c r="G169" s="10" t="str">
        <f>IF(Random!AA169="","",IF(Controls!$B$7="Normal",Controls!$B$8,(Controls!$B$8+Controls!$B$9)/2)+Controls!$B$10*(G168-IF(Controls!$B$7="Normal",Controls!$B$8,(Controls!$B$8+Controls!$B$9)/2))+SQRT(1-Controls!$B$10^2)*(Random!AA169-IF(Controls!$B$7="Normal",Controls!$B$8,(Controls!$B$8+Controls!$B$9)/2)))</f>
        <v/>
      </c>
      <c r="H169" s="10" t="str">
        <f>IF(Random!AB169="","",IF(Controls!$B$7="Normal",Controls!$B$8,(Controls!$B$8+Controls!$B$9)/2)+Controls!$B$10*(H168-IF(Controls!$B$7="Normal",Controls!$B$8,(Controls!$B$8+Controls!$B$9)/2))+SQRT(1-Controls!$B$10^2)*(Random!AB169-IF(Controls!$B$7="Normal",Controls!$B$8,(Controls!$B$8+Controls!$B$9)/2)))</f>
        <v/>
      </c>
      <c r="I169" s="10" t="str">
        <f>IF(Random!AC169="","",IF(Controls!$B$7="Normal",Controls!$B$8,(Controls!$B$8+Controls!$B$9)/2)+Controls!$B$10*(I168-IF(Controls!$B$7="Normal",Controls!$B$8,(Controls!$B$8+Controls!$B$9)/2))+SQRT(1-Controls!$B$10^2)*(Random!AC169-IF(Controls!$B$7="Normal",Controls!$B$8,(Controls!$B$8+Controls!$B$9)/2)))</f>
        <v/>
      </c>
      <c r="J169" s="10" t="str">
        <f>IF(Random!AD169="","",IF(Controls!$B$7="Normal",Controls!$B$8,(Controls!$B$8+Controls!$B$9)/2)+Controls!$B$10*(J168-IF(Controls!$B$7="Normal",Controls!$B$8,(Controls!$B$8+Controls!$B$9)/2))+SQRT(1-Controls!$B$10^2)*(Random!AD169-IF(Controls!$B$7="Normal",Controls!$B$8,(Controls!$B$8+Controls!$B$9)/2)))</f>
        <v/>
      </c>
      <c r="K169" s="10" t="str">
        <f>IF(Random!AE169="","",IF(Controls!$B$7="Normal",Controls!$B$8,(Controls!$B$8+Controls!$B$9)/2)+Controls!$B$10*(K168-IF(Controls!$B$7="Normal",Controls!$B$8,(Controls!$B$8+Controls!$B$9)/2))+SQRT(1-Controls!$B$10^2)*(Random!AE169-IF(Controls!$B$7="Normal",Controls!$B$8,(Controls!$B$8+Controls!$B$9)/2)))</f>
        <v/>
      </c>
      <c r="L169" s="10" t="str">
        <f>IF($A169="","",IF(AND($A169&gt;=Controls!$B$25,$A169&lt;Controls!$B$25+Controls!$C$25),(Controls!$D$25-1)*EXP(-0.5*(($A169-Controls!$B$25-(Controls!$C$25-1)/2)/MAX(Controls!$C$25/4,0.5))^2),0))</f>
        <v/>
      </c>
      <c r="M169" s="10" t="str">
        <f>IF($A169="","",IF(AND($A169&gt;=Controls!$B$26,$A169&lt;Controls!$B$26+Controls!$C$26),(Controls!$D$26-1)*EXP(-0.5*(($A169-Controls!$B$26-(Controls!$C$26-1)/2)/MAX(Controls!$C$26/4,0.5))^2),0))</f>
        <v/>
      </c>
      <c r="N169" s="10" t="str">
        <f>IF($A169="","",IF(AND($A169&gt;=Controls!$B$27,$A169&lt;Controls!$B$27+Controls!$C$27),(Controls!$D$27-1)*EXP(-0.5*(($A169-Controls!$B$27-(Controls!$C$27-1)/2)/MAX(Controls!$C$27/4,0.5))^2),0))</f>
        <v/>
      </c>
      <c r="O169" s="10" t="str">
        <f>IF($A169="","",IF(AND($A169&gt;=Controls!$B$28,$A169&lt;Controls!$B$28+Controls!$C$28),(Controls!$D$28-1)*EXP(-0.5*(($A169-Controls!$B$28-(Controls!$C$28-1)/2)/MAX(Controls!$C$28/4,0.5))^2),0))</f>
        <v/>
      </c>
      <c r="P169" s="4" t="str">
        <f t="shared" si="1"/>
        <v/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21.0" customHeight="1">
      <c r="A170" s="7" t="str">
        <f>IF(169&lt;=Controls!$B$5,Controls!$B$4+168,"")</f>
        <v/>
      </c>
      <c r="B170" s="10" t="str">
        <f>IF(Random!V170="","",IF(Controls!$B$7="Normal",Controls!$B$8,(Controls!$B$8+Controls!$B$9)/2)+Controls!$B$10*(B169-IF(Controls!$B$7="Normal",Controls!$B$8,(Controls!$B$8+Controls!$B$9)/2))+SQRT(1-Controls!$B$10^2)*(Random!V170-IF(Controls!$B$7="Normal",Controls!$B$8,(Controls!$B$8+Controls!$B$9)/2)))</f>
        <v/>
      </c>
      <c r="C170" s="10" t="str">
        <f>IF(Random!W170="","",IF(Controls!$B$7="Normal",Controls!$B$8,(Controls!$B$8+Controls!$B$9)/2)+Controls!$B$10*(C169-IF(Controls!$B$7="Normal",Controls!$B$8,(Controls!$B$8+Controls!$B$9)/2))+SQRT(1-Controls!$B$10^2)*(Random!W170-IF(Controls!$B$7="Normal",Controls!$B$8,(Controls!$B$8+Controls!$B$9)/2)))</f>
        <v/>
      </c>
      <c r="D170" s="10" t="str">
        <f>IF(Random!X170="","",IF(Controls!$B$7="Normal",Controls!$B$8,(Controls!$B$8+Controls!$B$9)/2)+Controls!$B$10*(D169-IF(Controls!$B$7="Normal",Controls!$B$8,(Controls!$B$8+Controls!$B$9)/2))+SQRT(1-Controls!$B$10^2)*(Random!X170-IF(Controls!$B$7="Normal",Controls!$B$8,(Controls!$B$8+Controls!$B$9)/2)))</f>
        <v/>
      </c>
      <c r="E170" s="10" t="str">
        <f>IF(Random!Y170="","",IF(Controls!$B$7="Normal",Controls!$B$8,(Controls!$B$8+Controls!$B$9)/2)+Controls!$B$10*(E169-IF(Controls!$B$7="Normal",Controls!$B$8,(Controls!$B$8+Controls!$B$9)/2))+SQRT(1-Controls!$B$10^2)*(Random!Y170-IF(Controls!$B$7="Normal",Controls!$B$8,(Controls!$B$8+Controls!$B$9)/2)))</f>
        <v/>
      </c>
      <c r="F170" s="10" t="str">
        <f>IF(Random!Z170="","",IF(Controls!$B$7="Normal",Controls!$B$8,(Controls!$B$8+Controls!$B$9)/2)+Controls!$B$10*(F169-IF(Controls!$B$7="Normal",Controls!$B$8,(Controls!$B$8+Controls!$B$9)/2))+SQRT(1-Controls!$B$10^2)*(Random!Z170-IF(Controls!$B$7="Normal",Controls!$B$8,(Controls!$B$8+Controls!$B$9)/2)))</f>
        <v/>
      </c>
      <c r="G170" s="10" t="str">
        <f>IF(Random!AA170="","",IF(Controls!$B$7="Normal",Controls!$B$8,(Controls!$B$8+Controls!$B$9)/2)+Controls!$B$10*(G169-IF(Controls!$B$7="Normal",Controls!$B$8,(Controls!$B$8+Controls!$B$9)/2))+SQRT(1-Controls!$B$10^2)*(Random!AA170-IF(Controls!$B$7="Normal",Controls!$B$8,(Controls!$B$8+Controls!$B$9)/2)))</f>
        <v/>
      </c>
      <c r="H170" s="10" t="str">
        <f>IF(Random!AB170="","",IF(Controls!$B$7="Normal",Controls!$B$8,(Controls!$B$8+Controls!$B$9)/2)+Controls!$B$10*(H169-IF(Controls!$B$7="Normal",Controls!$B$8,(Controls!$B$8+Controls!$B$9)/2))+SQRT(1-Controls!$B$10^2)*(Random!AB170-IF(Controls!$B$7="Normal",Controls!$B$8,(Controls!$B$8+Controls!$B$9)/2)))</f>
        <v/>
      </c>
      <c r="I170" s="10" t="str">
        <f>IF(Random!AC170="","",IF(Controls!$B$7="Normal",Controls!$B$8,(Controls!$B$8+Controls!$B$9)/2)+Controls!$B$10*(I169-IF(Controls!$B$7="Normal",Controls!$B$8,(Controls!$B$8+Controls!$B$9)/2))+SQRT(1-Controls!$B$10^2)*(Random!AC170-IF(Controls!$B$7="Normal",Controls!$B$8,(Controls!$B$8+Controls!$B$9)/2)))</f>
        <v/>
      </c>
      <c r="J170" s="10" t="str">
        <f>IF(Random!AD170="","",IF(Controls!$B$7="Normal",Controls!$B$8,(Controls!$B$8+Controls!$B$9)/2)+Controls!$B$10*(J169-IF(Controls!$B$7="Normal",Controls!$B$8,(Controls!$B$8+Controls!$B$9)/2))+SQRT(1-Controls!$B$10^2)*(Random!AD170-IF(Controls!$B$7="Normal",Controls!$B$8,(Controls!$B$8+Controls!$B$9)/2)))</f>
        <v/>
      </c>
      <c r="K170" s="10" t="str">
        <f>IF(Random!AE170="","",IF(Controls!$B$7="Normal",Controls!$B$8,(Controls!$B$8+Controls!$B$9)/2)+Controls!$B$10*(K169-IF(Controls!$B$7="Normal",Controls!$B$8,(Controls!$B$8+Controls!$B$9)/2))+SQRT(1-Controls!$B$10^2)*(Random!AE170-IF(Controls!$B$7="Normal",Controls!$B$8,(Controls!$B$8+Controls!$B$9)/2)))</f>
        <v/>
      </c>
      <c r="L170" s="10" t="str">
        <f>IF($A170="","",IF(AND($A170&gt;=Controls!$B$25,$A170&lt;Controls!$B$25+Controls!$C$25),(Controls!$D$25-1)*EXP(-0.5*(($A170-Controls!$B$25-(Controls!$C$25-1)/2)/MAX(Controls!$C$25/4,0.5))^2),0))</f>
        <v/>
      </c>
      <c r="M170" s="10" t="str">
        <f>IF($A170="","",IF(AND($A170&gt;=Controls!$B$26,$A170&lt;Controls!$B$26+Controls!$C$26),(Controls!$D$26-1)*EXP(-0.5*(($A170-Controls!$B$26-(Controls!$C$26-1)/2)/MAX(Controls!$C$26/4,0.5))^2),0))</f>
        <v/>
      </c>
      <c r="N170" s="10" t="str">
        <f>IF($A170="","",IF(AND($A170&gt;=Controls!$B$27,$A170&lt;Controls!$B$27+Controls!$C$27),(Controls!$D$27-1)*EXP(-0.5*(($A170-Controls!$B$27-(Controls!$C$27-1)/2)/MAX(Controls!$C$27/4,0.5))^2),0))</f>
        <v/>
      </c>
      <c r="O170" s="10" t="str">
        <f>IF($A170="","",IF(AND($A170&gt;=Controls!$B$28,$A170&lt;Controls!$B$28+Controls!$C$28),(Controls!$D$28-1)*EXP(-0.5*(($A170-Controls!$B$28-(Controls!$C$28-1)/2)/MAX(Controls!$C$28/4,0.5))^2),0))</f>
        <v/>
      </c>
      <c r="P170" s="4" t="str">
        <f t="shared" si="1"/>
        <v/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21.0" customHeight="1">
      <c r="A171" s="7" t="str">
        <f>IF(170&lt;=Controls!$B$5,Controls!$B$4+169,"")</f>
        <v/>
      </c>
      <c r="B171" s="10" t="str">
        <f>IF(Random!V171="","",IF(Controls!$B$7="Normal",Controls!$B$8,(Controls!$B$8+Controls!$B$9)/2)+Controls!$B$10*(B170-IF(Controls!$B$7="Normal",Controls!$B$8,(Controls!$B$8+Controls!$B$9)/2))+SQRT(1-Controls!$B$10^2)*(Random!V171-IF(Controls!$B$7="Normal",Controls!$B$8,(Controls!$B$8+Controls!$B$9)/2)))</f>
        <v/>
      </c>
      <c r="C171" s="10" t="str">
        <f>IF(Random!W171="","",IF(Controls!$B$7="Normal",Controls!$B$8,(Controls!$B$8+Controls!$B$9)/2)+Controls!$B$10*(C170-IF(Controls!$B$7="Normal",Controls!$B$8,(Controls!$B$8+Controls!$B$9)/2))+SQRT(1-Controls!$B$10^2)*(Random!W171-IF(Controls!$B$7="Normal",Controls!$B$8,(Controls!$B$8+Controls!$B$9)/2)))</f>
        <v/>
      </c>
      <c r="D171" s="10" t="str">
        <f>IF(Random!X171="","",IF(Controls!$B$7="Normal",Controls!$B$8,(Controls!$B$8+Controls!$B$9)/2)+Controls!$B$10*(D170-IF(Controls!$B$7="Normal",Controls!$B$8,(Controls!$B$8+Controls!$B$9)/2))+SQRT(1-Controls!$B$10^2)*(Random!X171-IF(Controls!$B$7="Normal",Controls!$B$8,(Controls!$B$8+Controls!$B$9)/2)))</f>
        <v/>
      </c>
      <c r="E171" s="10" t="str">
        <f>IF(Random!Y171="","",IF(Controls!$B$7="Normal",Controls!$B$8,(Controls!$B$8+Controls!$B$9)/2)+Controls!$B$10*(E170-IF(Controls!$B$7="Normal",Controls!$B$8,(Controls!$B$8+Controls!$B$9)/2))+SQRT(1-Controls!$B$10^2)*(Random!Y171-IF(Controls!$B$7="Normal",Controls!$B$8,(Controls!$B$8+Controls!$B$9)/2)))</f>
        <v/>
      </c>
      <c r="F171" s="10" t="str">
        <f>IF(Random!Z171="","",IF(Controls!$B$7="Normal",Controls!$B$8,(Controls!$B$8+Controls!$B$9)/2)+Controls!$B$10*(F170-IF(Controls!$B$7="Normal",Controls!$B$8,(Controls!$B$8+Controls!$B$9)/2))+SQRT(1-Controls!$B$10^2)*(Random!Z171-IF(Controls!$B$7="Normal",Controls!$B$8,(Controls!$B$8+Controls!$B$9)/2)))</f>
        <v/>
      </c>
      <c r="G171" s="10" t="str">
        <f>IF(Random!AA171="","",IF(Controls!$B$7="Normal",Controls!$B$8,(Controls!$B$8+Controls!$B$9)/2)+Controls!$B$10*(G170-IF(Controls!$B$7="Normal",Controls!$B$8,(Controls!$B$8+Controls!$B$9)/2))+SQRT(1-Controls!$B$10^2)*(Random!AA171-IF(Controls!$B$7="Normal",Controls!$B$8,(Controls!$B$8+Controls!$B$9)/2)))</f>
        <v/>
      </c>
      <c r="H171" s="10" t="str">
        <f>IF(Random!AB171="","",IF(Controls!$B$7="Normal",Controls!$B$8,(Controls!$B$8+Controls!$B$9)/2)+Controls!$B$10*(H170-IF(Controls!$B$7="Normal",Controls!$B$8,(Controls!$B$8+Controls!$B$9)/2))+SQRT(1-Controls!$B$10^2)*(Random!AB171-IF(Controls!$B$7="Normal",Controls!$B$8,(Controls!$B$8+Controls!$B$9)/2)))</f>
        <v/>
      </c>
      <c r="I171" s="10" t="str">
        <f>IF(Random!AC171="","",IF(Controls!$B$7="Normal",Controls!$B$8,(Controls!$B$8+Controls!$B$9)/2)+Controls!$B$10*(I170-IF(Controls!$B$7="Normal",Controls!$B$8,(Controls!$B$8+Controls!$B$9)/2))+SQRT(1-Controls!$B$10^2)*(Random!AC171-IF(Controls!$B$7="Normal",Controls!$B$8,(Controls!$B$8+Controls!$B$9)/2)))</f>
        <v/>
      </c>
      <c r="J171" s="10" t="str">
        <f>IF(Random!AD171="","",IF(Controls!$B$7="Normal",Controls!$B$8,(Controls!$B$8+Controls!$B$9)/2)+Controls!$B$10*(J170-IF(Controls!$B$7="Normal",Controls!$B$8,(Controls!$B$8+Controls!$B$9)/2))+SQRT(1-Controls!$B$10^2)*(Random!AD171-IF(Controls!$B$7="Normal",Controls!$B$8,(Controls!$B$8+Controls!$B$9)/2)))</f>
        <v/>
      </c>
      <c r="K171" s="10" t="str">
        <f>IF(Random!AE171="","",IF(Controls!$B$7="Normal",Controls!$B$8,(Controls!$B$8+Controls!$B$9)/2)+Controls!$B$10*(K170-IF(Controls!$B$7="Normal",Controls!$B$8,(Controls!$B$8+Controls!$B$9)/2))+SQRT(1-Controls!$B$10^2)*(Random!AE171-IF(Controls!$B$7="Normal",Controls!$B$8,(Controls!$B$8+Controls!$B$9)/2)))</f>
        <v/>
      </c>
      <c r="L171" s="10" t="str">
        <f>IF($A171="","",IF(AND($A171&gt;=Controls!$B$25,$A171&lt;Controls!$B$25+Controls!$C$25),(Controls!$D$25-1)*EXP(-0.5*(($A171-Controls!$B$25-(Controls!$C$25-1)/2)/MAX(Controls!$C$25/4,0.5))^2),0))</f>
        <v/>
      </c>
      <c r="M171" s="10" t="str">
        <f>IF($A171="","",IF(AND($A171&gt;=Controls!$B$26,$A171&lt;Controls!$B$26+Controls!$C$26),(Controls!$D$26-1)*EXP(-0.5*(($A171-Controls!$B$26-(Controls!$C$26-1)/2)/MAX(Controls!$C$26/4,0.5))^2),0))</f>
        <v/>
      </c>
      <c r="N171" s="10" t="str">
        <f>IF($A171="","",IF(AND($A171&gt;=Controls!$B$27,$A171&lt;Controls!$B$27+Controls!$C$27),(Controls!$D$27-1)*EXP(-0.5*(($A171-Controls!$B$27-(Controls!$C$27-1)/2)/MAX(Controls!$C$27/4,0.5))^2),0))</f>
        <v/>
      </c>
      <c r="O171" s="10" t="str">
        <f>IF($A171="","",IF(AND($A171&gt;=Controls!$B$28,$A171&lt;Controls!$B$28+Controls!$C$28),(Controls!$D$28-1)*EXP(-0.5*(($A171-Controls!$B$28-(Controls!$C$28-1)/2)/MAX(Controls!$C$28/4,0.5))^2),0))</f>
        <v/>
      </c>
      <c r="P171" s="4" t="str">
        <f t="shared" si="1"/>
        <v/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21.0" customHeight="1">
      <c r="A172" s="7" t="str">
        <f>IF(171&lt;=Controls!$B$5,Controls!$B$4+170,"")</f>
        <v/>
      </c>
      <c r="B172" s="10" t="str">
        <f>IF(Random!V172="","",IF(Controls!$B$7="Normal",Controls!$B$8,(Controls!$B$8+Controls!$B$9)/2)+Controls!$B$10*(B171-IF(Controls!$B$7="Normal",Controls!$B$8,(Controls!$B$8+Controls!$B$9)/2))+SQRT(1-Controls!$B$10^2)*(Random!V172-IF(Controls!$B$7="Normal",Controls!$B$8,(Controls!$B$8+Controls!$B$9)/2)))</f>
        <v/>
      </c>
      <c r="C172" s="10" t="str">
        <f>IF(Random!W172="","",IF(Controls!$B$7="Normal",Controls!$B$8,(Controls!$B$8+Controls!$B$9)/2)+Controls!$B$10*(C171-IF(Controls!$B$7="Normal",Controls!$B$8,(Controls!$B$8+Controls!$B$9)/2))+SQRT(1-Controls!$B$10^2)*(Random!W172-IF(Controls!$B$7="Normal",Controls!$B$8,(Controls!$B$8+Controls!$B$9)/2)))</f>
        <v/>
      </c>
      <c r="D172" s="10" t="str">
        <f>IF(Random!X172="","",IF(Controls!$B$7="Normal",Controls!$B$8,(Controls!$B$8+Controls!$B$9)/2)+Controls!$B$10*(D171-IF(Controls!$B$7="Normal",Controls!$B$8,(Controls!$B$8+Controls!$B$9)/2))+SQRT(1-Controls!$B$10^2)*(Random!X172-IF(Controls!$B$7="Normal",Controls!$B$8,(Controls!$B$8+Controls!$B$9)/2)))</f>
        <v/>
      </c>
      <c r="E172" s="10" t="str">
        <f>IF(Random!Y172="","",IF(Controls!$B$7="Normal",Controls!$B$8,(Controls!$B$8+Controls!$B$9)/2)+Controls!$B$10*(E171-IF(Controls!$B$7="Normal",Controls!$B$8,(Controls!$B$8+Controls!$B$9)/2))+SQRT(1-Controls!$B$10^2)*(Random!Y172-IF(Controls!$B$7="Normal",Controls!$B$8,(Controls!$B$8+Controls!$B$9)/2)))</f>
        <v/>
      </c>
      <c r="F172" s="10" t="str">
        <f>IF(Random!Z172="","",IF(Controls!$B$7="Normal",Controls!$B$8,(Controls!$B$8+Controls!$B$9)/2)+Controls!$B$10*(F171-IF(Controls!$B$7="Normal",Controls!$B$8,(Controls!$B$8+Controls!$B$9)/2))+SQRT(1-Controls!$B$10^2)*(Random!Z172-IF(Controls!$B$7="Normal",Controls!$B$8,(Controls!$B$8+Controls!$B$9)/2)))</f>
        <v/>
      </c>
      <c r="G172" s="10" t="str">
        <f>IF(Random!AA172="","",IF(Controls!$B$7="Normal",Controls!$B$8,(Controls!$B$8+Controls!$B$9)/2)+Controls!$B$10*(G171-IF(Controls!$B$7="Normal",Controls!$B$8,(Controls!$B$8+Controls!$B$9)/2))+SQRT(1-Controls!$B$10^2)*(Random!AA172-IF(Controls!$B$7="Normal",Controls!$B$8,(Controls!$B$8+Controls!$B$9)/2)))</f>
        <v/>
      </c>
      <c r="H172" s="10" t="str">
        <f>IF(Random!AB172="","",IF(Controls!$B$7="Normal",Controls!$B$8,(Controls!$B$8+Controls!$B$9)/2)+Controls!$B$10*(H171-IF(Controls!$B$7="Normal",Controls!$B$8,(Controls!$B$8+Controls!$B$9)/2))+SQRT(1-Controls!$B$10^2)*(Random!AB172-IF(Controls!$B$7="Normal",Controls!$B$8,(Controls!$B$8+Controls!$B$9)/2)))</f>
        <v/>
      </c>
      <c r="I172" s="10" t="str">
        <f>IF(Random!AC172="","",IF(Controls!$B$7="Normal",Controls!$B$8,(Controls!$B$8+Controls!$B$9)/2)+Controls!$B$10*(I171-IF(Controls!$B$7="Normal",Controls!$B$8,(Controls!$B$8+Controls!$B$9)/2))+SQRT(1-Controls!$B$10^2)*(Random!AC172-IF(Controls!$B$7="Normal",Controls!$B$8,(Controls!$B$8+Controls!$B$9)/2)))</f>
        <v/>
      </c>
      <c r="J172" s="10" t="str">
        <f>IF(Random!AD172="","",IF(Controls!$B$7="Normal",Controls!$B$8,(Controls!$B$8+Controls!$B$9)/2)+Controls!$B$10*(J171-IF(Controls!$B$7="Normal",Controls!$B$8,(Controls!$B$8+Controls!$B$9)/2))+SQRT(1-Controls!$B$10^2)*(Random!AD172-IF(Controls!$B$7="Normal",Controls!$B$8,(Controls!$B$8+Controls!$B$9)/2)))</f>
        <v/>
      </c>
      <c r="K172" s="10" t="str">
        <f>IF(Random!AE172="","",IF(Controls!$B$7="Normal",Controls!$B$8,(Controls!$B$8+Controls!$B$9)/2)+Controls!$B$10*(K171-IF(Controls!$B$7="Normal",Controls!$B$8,(Controls!$B$8+Controls!$B$9)/2))+SQRT(1-Controls!$B$10^2)*(Random!AE172-IF(Controls!$B$7="Normal",Controls!$B$8,(Controls!$B$8+Controls!$B$9)/2)))</f>
        <v/>
      </c>
      <c r="L172" s="10" t="str">
        <f>IF($A172="","",IF(AND($A172&gt;=Controls!$B$25,$A172&lt;Controls!$B$25+Controls!$C$25),(Controls!$D$25-1)*EXP(-0.5*(($A172-Controls!$B$25-(Controls!$C$25-1)/2)/MAX(Controls!$C$25/4,0.5))^2),0))</f>
        <v/>
      </c>
      <c r="M172" s="10" t="str">
        <f>IF($A172="","",IF(AND($A172&gt;=Controls!$B$26,$A172&lt;Controls!$B$26+Controls!$C$26),(Controls!$D$26-1)*EXP(-0.5*(($A172-Controls!$B$26-(Controls!$C$26-1)/2)/MAX(Controls!$C$26/4,0.5))^2),0))</f>
        <v/>
      </c>
      <c r="N172" s="10" t="str">
        <f>IF($A172="","",IF(AND($A172&gt;=Controls!$B$27,$A172&lt;Controls!$B$27+Controls!$C$27),(Controls!$D$27-1)*EXP(-0.5*(($A172-Controls!$B$27-(Controls!$C$27-1)/2)/MAX(Controls!$C$27/4,0.5))^2),0))</f>
        <v/>
      </c>
      <c r="O172" s="10" t="str">
        <f>IF($A172="","",IF(AND($A172&gt;=Controls!$B$28,$A172&lt;Controls!$B$28+Controls!$C$28),(Controls!$D$28-1)*EXP(-0.5*(($A172-Controls!$B$28-(Controls!$C$28-1)/2)/MAX(Controls!$C$28/4,0.5))^2),0))</f>
        <v/>
      </c>
      <c r="P172" s="4" t="str">
        <f t="shared" si="1"/>
        <v/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21.0" customHeight="1">
      <c r="A173" s="7" t="str">
        <f>IF(172&lt;=Controls!$B$5,Controls!$B$4+171,"")</f>
        <v/>
      </c>
      <c r="B173" s="10" t="str">
        <f>IF(Random!V173="","",IF(Controls!$B$7="Normal",Controls!$B$8,(Controls!$B$8+Controls!$B$9)/2)+Controls!$B$10*(B172-IF(Controls!$B$7="Normal",Controls!$B$8,(Controls!$B$8+Controls!$B$9)/2))+SQRT(1-Controls!$B$10^2)*(Random!V173-IF(Controls!$B$7="Normal",Controls!$B$8,(Controls!$B$8+Controls!$B$9)/2)))</f>
        <v/>
      </c>
      <c r="C173" s="10" t="str">
        <f>IF(Random!W173="","",IF(Controls!$B$7="Normal",Controls!$B$8,(Controls!$B$8+Controls!$B$9)/2)+Controls!$B$10*(C172-IF(Controls!$B$7="Normal",Controls!$B$8,(Controls!$B$8+Controls!$B$9)/2))+SQRT(1-Controls!$B$10^2)*(Random!W173-IF(Controls!$B$7="Normal",Controls!$B$8,(Controls!$B$8+Controls!$B$9)/2)))</f>
        <v/>
      </c>
      <c r="D173" s="10" t="str">
        <f>IF(Random!X173="","",IF(Controls!$B$7="Normal",Controls!$B$8,(Controls!$B$8+Controls!$B$9)/2)+Controls!$B$10*(D172-IF(Controls!$B$7="Normal",Controls!$B$8,(Controls!$B$8+Controls!$B$9)/2))+SQRT(1-Controls!$B$10^2)*(Random!X173-IF(Controls!$B$7="Normal",Controls!$B$8,(Controls!$B$8+Controls!$B$9)/2)))</f>
        <v/>
      </c>
      <c r="E173" s="10" t="str">
        <f>IF(Random!Y173="","",IF(Controls!$B$7="Normal",Controls!$B$8,(Controls!$B$8+Controls!$B$9)/2)+Controls!$B$10*(E172-IF(Controls!$B$7="Normal",Controls!$B$8,(Controls!$B$8+Controls!$B$9)/2))+SQRT(1-Controls!$B$10^2)*(Random!Y173-IF(Controls!$B$7="Normal",Controls!$B$8,(Controls!$B$8+Controls!$B$9)/2)))</f>
        <v/>
      </c>
      <c r="F173" s="10" t="str">
        <f>IF(Random!Z173="","",IF(Controls!$B$7="Normal",Controls!$B$8,(Controls!$B$8+Controls!$B$9)/2)+Controls!$B$10*(F172-IF(Controls!$B$7="Normal",Controls!$B$8,(Controls!$B$8+Controls!$B$9)/2))+SQRT(1-Controls!$B$10^2)*(Random!Z173-IF(Controls!$B$7="Normal",Controls!$B$8,(Controls!$B$8+Controls!$B$9)/2)))</f>
        <v/>
      </c>
      <c r="G173" s="10" t="str">
        <f>IF(Random!AA173="","",IF(Controls!$B$7="Normal",Controls!$B$8,(Controls!$B$8+Controls!$B$9)/2)+Controls!$B$10*(G172-IF(Controls!$B$7="Normal",Controls!$B$8,(Controls!$B$8+Controls!$B$9)/2))+SQRT(1-Controls!$B$10^2)*(Random!AA173-IF(Controls!$B$7="Normal",Controls!$B$8,(Controls!$B$8+Controls!$B$9)/2)))</f>
        <v/>
      </c>
      <c r="H173" s="10" t="str">
        <f>IF(Random!AB173="","",IF(Controls!$B$7="Normal",Controls!$B$8,(Controls!$B$8+Controls!$B$9)/2)+Controls!$B$10*(H172-IF(Controls!$B$7="Normal",Controls!$B$8,(Controls!$B$8+Controls!$B$9)/2))+SQRT(1-Controls!$B$10^2)*(Random!AB173-IF(Controls!$B$7="Normal",Controls!$B$8,(Controls!$B$8+Controls!$B$9)/2)))</f>
        <v/>
      </c>
      <c r="I173" s="10" t="str">
        <f>IF(Random!AC173="","",IF(Controls!$B$7="Normal",Controls!$B$8,(Controls!$B$8+Controls!$B$9)/2)+Controls!$B$10*(I172-IF(Controls!$B$7="Normal",Controls!$B$8,(Controls!$B$8+Controls!$B$9)/2))+SQRT(1-Controls!$B$10^2)*(Random!AC173-IF(Controls!$B$7="Normal",Controls!$B$8,(Controls!$B$8+Controls!$B$9)/2)))</f>
        <v/>
      </c>
      <c r="J173" s="10" t="str">
        <f>IF(Random!AD173="","",IF(Controls!$B$7="Normal",Controls!$B$8,(Controls!$B$8+Controls!$B$9)/2)+Controls!$B$10*(J172-IF(Controls!$B$7="Normal",Controls!$B$8,(Controls!$B$8+Controls!$B$9)/2))+SQRT(1-Controls!$B$10^2)*(Random!AD173-IF(Controls!$B$7="Normal",Controls!$B$8,(Controls!$B$8+Controls!$B$9)/2)))</f>
        <v/>
      </c>
      <c r="K173" s="10" t="str">
        <f>IF(Random!AE173="","",IF(Controls!$B$7="Normal",Controls!$B$8,(Controls!$B$8+Controls!$B$9)/2)+Controls!$B$10*(K172-IF(Controls!$B$7="Normal",Controls!$B$8,(Controls!$B$8+Controls!$B$9)/2))+SQRT(1-Controls!$B$10^2)*(Random!AE173-IF(Controls!$B$7="Normal",Controls!$B$8,(Controls!$B$8+Controls!$B$9)/2)))</f>
        <v/>
      </c>
      <c r="L173" s="10" t="str">
        <f>IF($A173="","",IF(AND($A173&gt;=Controls!$B$25,$A173&lt;Controls!$B$25+Controls!$C$25),(Controls!$D$25-1)*EXP(-0.5*(($A173-Controls!$B$25-(Controls!$C$25-1)/2)/MAX(Controls!$C$25/4,0.5))^2),0))</f>
        <v/>
      </c>
      <c r="M173" s="10" t="str">
        <f>IF($A173="","",IF(AND($A173&gt;=Controls!$B$26,$A173&lt;Controls!$B$26+Controls!$C$26),(Controls!$D$26-1)*EXP(-0.5*(($A173-Controls!$B$26-(Controls!$C$26-1)/2)/MAX(Controls!$C$26/4,0.5))^2),0))</f>
        <v/>
      </c>
      <c r="N173" s="10" t="str">
        <f>IF($A173="","",IF(AND($A173&gt;=Controls!$B$27,$A173&lt;Controls!$B$27+Controls!$C$27),(Controls!$D$27-1)*EXP(-0.5*(($A173-Controls!$B$27-(Controls!$C$27-1)/2)/MAX(Controls!$C$27/4,0.5))^2),0))</f>
        <v/>
      </c>
      <c r="O173" s="10" t="str">
        <f>IF($A173="","",IF(AND($A173&gt;=Controls!$B$28,$A173&lt;Controls!$B$28+Controls!$C$28),(Controls!$D$28-1)*EXP(-0.5*(($A173-Controls!$B$28-(Controls!$C$28-1)/2)/MAX(Controls!$C$28/4,0.5))^2),0))</f>
        <v/>
      </c>
      <c r="P173" s="4" t="str">
        <f t="shared" si="1"/>
        <v/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21.0" customHeight="1">
      <c r="A174" s="7" t="str">
        <f>IF(173&lt;=Controls!$B$5,Controls!$B$4+172,"")</f>
        <v/>
      </c>
      <c r="B174" s="10" t="str">
        <f>IF(Random!V174="","",IF(Controls!$B$7="Normal",Controls!$B$8,(Controls!$B$8+Controls!$B$9)/2)+Controls!$B$10*(B173-IF(Controls!$B$7="Normal",Controls!$B$8,(Controls!$B$8+Controls!$B$9)/2))+SQRT(1-Controls!$B$10^2)*(Random!V174-IF(Controls!$B$7="Normal",Controls!$B$8,(Controls!$B$8+Controls!$B$9)/2)))</f>
        <v/>
      </c>
      <c r="C174" s="10" t="str">
        <f>IF(Random!W174="","",IF(Controls!$B$7="Normal",Controls!$B$8,(Controls!$B$8+Controls!$B$9)/2)+Controls!$B$10*(C173-IF(Controls!$B$7="Normal",Controls!$B$8,(Controls!$B$8+Controls!$B$9)/2))+SQRT(1-Controls!$B$10^2)*(Random!W174-IF(Controls!$B$7="Normal",Controls!$B$8,(Controls!$B$8+Controls!$B$9)/2)))</f>
        <v/>
      </c>
      <c r="D174" s="10" t="str">
        <f>IF(Random!X174="","",IF(Controls!$B$7="Normal",Controls!$B$8,(Controls!$B$8+Controls!$B$9)/2)+Controls!$B$10*(D173-IF(Controls!$B$7="Normal",Controls!$B$8,(Controls!$B$8+Controls!$B$9)/2))+SQRT(1-Controls!$B$10^2)*(Random!X174-IF(Controls!$B$7="Normal",Controls!$B$8,(Controls!$B$8+Controls!$B$9)/2)))</f>
        <v/>
      </c>
      <c r="E174" s="10" t="str">
        <f>IF(Random!Y174="","",IF(Controls!$B$7="Normal",Controls!$B$8,(Controls!$B$8+Controls!$B$9)/2)+Controls!$B$10*(E173-IF(Controls!$B$7="Normal",Controls!$B$8,(Controls!$B$8+Controls!$B$9)/2))+SQRT(1-Controls!$B$10^2)*(Random!Y174-IF(Controls!$B$7="Normal",Controls!$B$8,(Controls!$B$8+Controls!$B$9)/2)))</f>
        <v/>
      </c>
      <c r="F174" s="10" t="str">
        <f>IF(Random!Z174="","",IF(Controls!$B$7="Normal",Controls!$B$8,(Controls!$B$8+Controls!$B$9)/2)+Controls!$B$10*(F173-IF(Controls!$B$7="Normal",Controls!$B$8,(Controls!$B$8+Controls!$B$9)/2))+SQRT(1-Controls!$B$10^2)*(Random!Z174-IF(Controls!$B$7="Normal",Controls!$B$8,(Controls!$B$8+Controls!$B$9)/2)))</f>
        <v/>
      </c>
      <c r="G174" s="10" t="str">
        <f>IF(Random!AA174="","",IF(Controls!$B$7="Normal",Controls!$B$8,(Controls!$B$8+Controls!$B$9)/2)+Controls!$B$10*(G173-IF(Controls!$B$7="Normal",Controls!$B$8,(Controls!$B$8+Controls!$B$9)/2))+SQRT(1-Controls!$B$10^2)*(Random!AA174-IF(Controls!$B$7="Normal",Controls!$B$8,(Controls!$B$8+Controls!$B$9)/2)))</f>
        <v/>
      </c>
      <c r="H174" s="10" t="str">
        <f>IF(Random!AB174="","",IF(Controls!$B$7="Normal",Controls!$B$8,(Controls!$B$8+Controls!$B$9)/2)+Controls!$B$10*(H173-IF(Controls!$B$7="Normal",Controls!$B$8,(Controls!$B$8+Controls!$B$9)/2))+SQRT(1-Controls!$B$10^2)*(Random!AB174-IF(Controls!$B$7="Normal",Controls!$B$8,(Controls!$B$8+Controls!$B$9)/2)))</f>
        <v/>
      </c>
      <c r="I174" s="10" t="str">
        <f>IF(Random!AC174="","",IF(Controls!$B$7="Normal",Controls!$B$8,(Controls!$B$8+Controls!$B$9)/2)+Controls!$B$10*(I173-IF(Controls!$B$7="Normal",Controls!$B$8,(Controls!$B$8+Controls!$B$9)/2))+SQRT(1-Controls!$B$10^2)*(Random!AC174-IF(Controls!$B$7="Normal",Controls!$B$8,(Controls!$B$8+Controls!$B$9)/2)))</f>
        <v/>
      </c>
      <c r="J174" s="10" t="str">
        <f>IF(Random!AD174="","",IF(Controls!$B$7="Normal",Controls!$B$8,(Controls!$B$8+Controls!$B$9)/2)+Controls!$B$10*(J173-IF(Controls!$B$7="Normal",Controls!$B$8,(Controls!$B$8+Controls!$B$9)/2))+SQRT(1-Controls!$B$10^2)*(Random!AD174-IF(Controls!$B$7="Normal",Controls!$B$8,(Controls!$B$8+Controls!$B$9)/2)))</f>
        <v/>
      </c>
      <c r="K174" s="10" t="str">
        <f>IF(Random!AE174="","",IF(Controls!$B$7="Normal",Controls!$B$8,(Controls!$B$8+Controls!$B$9)/2)+Controls!$B$10*(K173-IF(Controls!$B$7="Normal",Controls!$B$8,(Controls!$B$8+Controls!$B$9)/2))+SQRT(1-Controls!$B$10^2)*(Random!AE174-IF(Controls!$B$7="Normal",Controls!$B$8,(Controls!$B$8+Controls!$B$9)/2)))</f>
        <v/>
      </c>
      <c r="L174" s="10" t="str">
        <f>IF($A174="","",IF(AND($A174&gt;=Controls!$B$25,$A174&lt;Controls!$B$25+Controls!$C$25),(Controls!$D$25-1)*EXP(-0.5*(($A174-Controls!$B$25-(Controls!$C$25-1)/2)/MAX(Controls!$C$25/4,0.5))^2),0))</f>
        <v/>
      </c>
      <c r="M174" s="10" t="str">
        <f>IF($A174="","",IF(AND($A174&gt;=Controls!$B$26,$A174&lt;Controls!$B$26+Controls!$C$26),(Controls!$D$26-1)*EXP(-0.5*(($A174-Controls!$B$26-(Controls!$C$26-1)/2)/MAX(Controls!$C$26/4,0.5))^2),0))</f>
        <v/>
      </c>
      <c r="N174" s="10" t="str">
        <f>IF($A174="","",IF(AND($A174&gt;=Controls!$B$27,$A174&lt;Controls!$B$27+Controls!$C$27),(Controls!$D$27-1)*EXP(-0.5*(($A174-Controls!$B$27-(Controls!$C$27-1)/2)/MAX(Controls!$C$27/4,0.5))^2),0))</f>
        <v/>
      </c>
      <c r="O174" s="10" t="str">
        <f>IF($A174="","",IF(AND($A174&gt;=Controls!$B$28,$A174&lt;Controls!$B$28+Controls!$C$28),(Controls!$D$28-1)*EXP(-0.5*(($A174-Controls!$B$28-(Controls!$C$28-1)/2)/MAX(Controls!$C$28/4,0.5))^2),0))</f>
        <v/>
      </c>
      <c r="P174" s="4" t="str">
        <f t="shared" si="1"/>
        <v/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21.0" customHeight="1">
      <c r="A175" s="7" t="str">
        <f>IF(174&lt;=Controls!$B$5,Controls!$B$4+173,"")</f>
        <v/>
      </c>
      <c r="B175" s="10" t="str">
        <f>IF(Random!V175="","",IF(Controls!$B$7="Normal",Controls!$B$8,(Controls!$B$8+Controls!$B$9)/2)+Controls!$B$10*(B174-IF(Controls!$B$7="Normal",Controls!$B$8,(Controls!$B$8+Controls!$B$9)/2))+SQRT(1-Controls!$B$10^2)*(Random!V175-IF(Controls!$B$7="Normal",Controls!$B$8,(Controls!$B$8+Controls!$B$9)/2)))</f>
        <v/>
      </c>
      <c r="C175" s="10" t="str">
        <f>IF(Random!W175="","",IF(Controls!$B$7="Normal",Controls!$B$8,(Controls!$B$8+Controls!$B$9)/2)+Controls!$B$10*(C174-IF(Controls!$B$7="Normal",Controls!$B$8,(Controls!$B$8+Controls!$B$9)/2))+SQRT(1-Controls!$B$10^2)*(Random!W175-IF(Controls!$B$7="Normal",Controls!$B$8,(Controls!$B$8+Controls!$B$9)/2)))</f>
        <v/>
      </c>
      <c r="D175" s="10" t="str">
        <f>IF(Random!X175="","",IF(Controls!$B$7="Normal",Controls!$B$8,(Controls!$B$8+Controls!$B$9)/2)+Controls!$B$10*(D174-IF(Controls!$B$7="Normal",Controls!$B$8,(Controls!$B$8+Controls!$B$9)/2))+SQRT(1-Controls!$B$10^2)*(Random!X175-IF(Controls!$B$7="Normal",Controls!$B$8,(Controls!$B$8+Controls!$B$9)/2)))</f>
        <v/>
      </c>
      <c r="E175" s="10" t="str">
        <f>IF(Random!Y175="","",IF(Controls!$B$7="Normal",Controls!$B$8,(Controls!$B$8+Controls!$B$9)/2)+Controls!$B$10*(E174-IF(Controls!$B$7="Normal",Controls!$B$8,(Controls!$B$8+Controls!$B$9)/2))+SQRT(1-Controls!$B$10^2)*(Random!Y175-IF(Controls!$B$7="Normal",Controls!$B$8,(Controls!$B$8+Controls!$B$9)/2)))</f>
        <v/>
      </c>
      <c r="F175" s="10" t="str">
        <f>IF(Random!Z175="","",IF(Controls!$B$7="Normal",Controls!$B$8,(Controls!$B$8+Controls!$B$9)/2)+Controls!$B$10*(F174-IF(Controls!$B$7="Normal",Controls!$B$8,(Controls!$B$8+Controls!$B$9)/2))+SQRT(1-Controls!$B$10^2)*(Random!Z175-IF(Controls!$B$7="Normal",Controls!$B$8,(Controls!$B$8+Controls!$B$9)/2)))</f>
        <v/>
      </c>
      <c r="G175" s="10" t="str">
        <f>IF(Random!AA175="","",IF(Controls!$B$7="Normal",Controls!$B$8,(Controls!$B$8+Controls!$B$9)/2)+Controls!$B$10*(G174-IF(Controls!$B$7="Normal",Controls!$B$8,(Controls!$B$8+Controls!$B$9)/2))+SQRT(1-Controls!$B$10^2)*(Random!AA175-IF(Controls!$B$7="Normal",Controls!$B$8,(Controls!$B$8+Controls!$B$9)/2)))</f>
        <v/>
      </c>
      <c r="H175" s="10" t="str">
        <f>IF(Random!AB175="","",IF(Controls!$B$7="Normal",Controls!$B$8,(Controls!$B$8+Controls!$B$9)/2)+Controls!$B$10*(H174-IF(Controls!$B$7="Normal",Controls!$B$8,(Controls!$B$8+Controls!$B$9)/2))+SQRT(1-Controls!$B$10^2)*(Random!AB175-IF(Controls!$B$7="Normal",Controls!$B$8,(Controls!$B$8+Controls!$B$9)/2)))</f>
        <v/>
      </c>
      <c r="I175" s="10" t="str">
        <f>IF(Random!AC175="","",IF(Controls!$B$7="Normal",Controls!$B$8,(Controls!$B$8+Controls!$B$9)/2)+Controls!$B$10*(I174-IF(Controls!$B$7="Normal",Controls!$B$8,(Controls!$B$8+Controls!$B$9)/2))+SQRT(1-Controls!$B$10^2)*(Random!AC175-IF(Controls!$B$7="Normal",Controls!$B$8,(Controls!$B$8+Controls!$B$9)/2)))</f>
        <v/>
      </c>
      <c r="J175" s="10" t="str">
        <f>IF(Random!AD175="","",IF(Controls!$B$7="Normal",Controls!$B$8,(Controls!$B$8+Controls!$B$9)/2)+Controls!$B$10*(J174-IF(Controls!$B$7="Normal",Controls!$B$8,(Controls!$B$8+Controls!$B$9)/2))+SQRT(1-Controls!$B$10^2)*(Random!AD175-IF(Controls!$B$7="Normal",Controls!$B$8,(Controls!$B$8+Controls!$B$9)/2)))</f>
        <v/>
      </c>
      <c r="K175" s="10" t="str">
        <f>IF(Random!AE175="","",IF(Controls!$B$7="Normal",Controls!$B$8,(Controls!$B$8+Controls!$B$9)/2)+Controls!$B$10*(K174-IF(Controls!$B$7="Normal",Controls!$B$8,(Controls!$B$8+Controls!$B$9)/2))+SQRT(1-Controls!$B$10^2)*(Random!AE175-IF(Controls!$B$7="Normal",Controls!$B$8,(Controls!$B$8+Controls!$B$9)/2)))</f>
        <v/>
      </c>
      <c r="L175" s="10" t="str">
        <f>IF($A175="","",IF(AND($A175&gt;=Controls!$B$25,$A175&lt;Controls!$B$25+Controls!$C$25),(Controls!$D$25-1)*EXP(-0.5*(($A175-Controls!$B$25-(Controls!$C$25-1)/2)/MAX(Controls!$C$25/4,0.5))^2),0))</f>
        <v/>
      </c>
      <c r="M175" s="10" t="str">
        <f>IF($A175="","",IF(AND($A175&gt;=Controls!$B$26,$A175&lt;Controls!$B$26+Controls!$C$26),(Controls!$D$26-1)*EXP(-0.5*(($A175-Controls!$B$26-(Controls!$C$26-1)/2)/MAX(Controls!$C$26/4,0.5))^2),0))</f>
        <v/>
      </c>
      <c r="N175" s="10" t="str">
        <f>IF($A175="","",IF(AND($A175&gt;=Controls!$B$27,$A175&lt;Controls!$B$27+Controls!$C$27),(Controls!$D$27-1)*EXP(-0.5*(($A175-Controls!$B$27-(Controls!$C$27-1)/2)/MAX(Controls!$C$27/4,0.5))^2),0))</f>
        <v/>
      </c>
      <c r="O175" s="10" t="str">
        <f>IF($A175="","",IF(AND($A175&gt;=Controls!$B$28,$A175&lt;Controls!$B$28+Controls!$C$28),(Controls!$D$28-1)*EXP(-0.5*(($A175-Controls!$B$28-(Controls!$C$28-1)/2)/MAX(Controls!$C$28/4,0.5))^2),0))</f>
        <v/>
      </c>
      <c r="P175" s="4" t="str">
        <f t="shared" si="1"/>
        <v/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21.0" customHeight="1">
      <c r="A176" s="7" t="str">
        <f>IF(175&lt;=Controls!$B$5,Controls!$B$4+174,"")</f>
        <v/>
      </c>
      <c r="B176" s="10" t="str">
        <f>IF(Random!V176="","",IF(Controls!$B$7="Normal",Controls!$B$8,(Controls!$B$8+Controls!$B$9)/2)+Controls!$B$10*(B175-IF(Controls!$B$7="Normal",Controls!$B$8,(Controls!$B$8+Controls!$B$9)/2))+SQRT(1-Controls!$B$10^2)*(Random!V176-IF(Controls!$B$7="Normal",Controls!$B$8,(Controls!$B$8+Controls!$B$9)/2)))</f>
        <v/>
      </c>
      <c r="C176" s="10" t="str">
        <f>IF(Random!W176="","",IF(Controls!$B$7="Normal",Controls!$B$8,(Controls!$B$8+Controls!$B$9)/2)+Controls!$B$10*(C175-IF(Controls!$B$7="Normal",Controls!$B$8,(Controls!$B$8+Controls!$B$9)/2))+SQRT(1-Controls!$B$10^2)*(Random!W176-IF(Controls!$B$7="Normal",Controls!$B$8,(Controls!$B$8+Controls!$B$9)/2)))</f>
        <v/>
      </c>
      <c r="D176" s="10" t="str">
        <f>IF(Random!X176="","",IF(Controls!$B$7="Normal",Controls!$B$8,(Controls!$B$8+Controls!$B$9)/2)+Controls!$B$10*(D175-IF(Controls!$B$7="Normal",Controls!$B$8,(Controls!$B$8+Controls!$B$9)/2))+SQRT(1-Controls!$B$10^2)*(Random!X176-IF(Controls!$B$7="Normal",Controls!$B$8,(Controls!$B$8+Controls!$B$9)/2)))</f>
        <v/>
      </c>
      <c r="E176" s="10" t="str">
        <f>IF(Random!Y176="","",IF(Controls!$B$7="Normal",Controls!$B$8,(Controls!$B$8+Controls!$B$9)/2)+Controls!$B$10*(E175-IF(Controls!$B$7="Normal",Controls!$B$8,(Controls!$B$8+Controls!$B$9)/2))+SQRT(1-Controls!$B$10^2)*(Random!Y176-IF(Controls!$B$7="Normal",Controls!$B$8,(Controls!$B$8+Controls!$B$9)/2)))</f>
        <v/>
      </c>
      <c r="F176" s="10" t="str">
        <f>IF(Random!Z176="","",IF(Controls!$B$7="Normal",Controls!$B$8,(Controls!$B$8+Controls!$B$9)/2)+Controls!$B$10*(F175-IF(Controls!$B$7="Normal",Controls!$B$8,(Controls!$B$8+Controls!$B$9)/2))+SQRT(1-Controls!$B$10^2)*(Random!Z176-IF(Controls!$B$7="Normal",Controls!$B$8,(Controls!$B$8+Controls!$B$9)/2)))</f>
        <v/>
      </c>
      <c r="G176" s="10" t="str">
        <f>IF(Random!AA176="","",IF(Controls!$B$7="Normal",Controls!$B$8,(Controls!$B$8+Controls!$B$9)/2)+Controls!$B$10*(G175-IF(Controls!$B$7="Normal",Controls!$B$8,(Controls!$B$8+Controls!$B$9)/2))+SQRT(1-Controls!$B$10^2)*(Random!AA176-IF(Controls!$B$7="Normal",Controls!$B$8,(Controls!$B$8+Controls!$B$9)/2)))</f>
        <v/>
      </c>
      <c r="H176" s="10" t="str">
        <f>IF(Random!AB176="","",IF(Controls!$B$7="Normal",Controls!$B$8,(Controls!$B$8+Controls!$B$9)/2)+Controls!$B$10*(H175-IF(Controls!$B$7="Normal",Controls!$B$8,(Controls!$B$8+Controls!$B$9)/2))+SQRT(1-Controls!$B$10^2)*(Random!AB176-IF(Controls!$B$7="Normal",Controls!$B$8,(Controls!$B$8+Controls!$B$9)/2)))</f>
        <v/>
      </c>
      <c r="I176" s="10" t="str">
        <f>IF(Random!AC176="","",IF(Controls!$B$7="Normal",Controls!$B$8,(Controls!$B$8+Controls!$B$9)/2)+Controls!$B$10*(I175-IF(Controls!$B$7="Normal",Controls!$B$8,(Controls!$B$8+Controls!$B$9)/2))+SQRT(1-Controls!$B$10^2)*(Random!AC176-IF(Controls!$B$7="Normal",Controls!$B$8,(Controls!$B$8+Controls!$B$9)/2)))</f>
        <v/>
      </c>
      <c r="J176" s="10" t="str">
        <f>IF(Random!AD176="","",IF(Controls!$B$7="Normal",Controls!$B$8,(Controls!$B$8+Controls!$B$9)/2)+Controls!$B$10*(J175-IF(Controls!$B$7="Normal",Controls!$B$8,(Controls!$B$8+Controls!$B$9)/2))+SQRT(1-Controls!$B$10^2)*(Random!AD176-IF(Controls!$B$7="Normal",Controls!$B$8,(Controls!$B$8+Controls!$B$9)/2)))</f>
        <v/>
      </c>
      <c r="K176" s="10" t="str">
        <f>IF(Random!AE176="","",IF(Controls!$B$7="Normal",Controls!$B$8,(Controls!$B$8+Controls!$B$9)/2)+Controls!$B$10*(K175-IF(Controls!$B$7="Normal",Controls!$B$8,(Controls!$B$8+Controls!$B$9)/2))+SQRT(1-Controls!$B$10^2)*(Random!AE176-IF(Controls!$B$7="Normal",Controls!$B$8,(Controls!$B$8+Controls!$B$9)/2)))</f>
        <v/>
      </c>
      <c r="L176" s="10" t="str">
        <f>IF($A176="","",IF(AND($A176&gt;=Controls!$B$25,$A176&lt;Controls!$B$25+Controls!$C$25),(Controls!$D$25-1)*EXP(-0.5*(($A176-Controls!$B$25-(Controls!$C$25-1)/2)/MAX(Controls!$C$25/4,0.5))^2),0))</f>
        <v/>
      </c>
      <c r="M176" s="10" t="str">
        <f>IF($A176="","",IF(AND($A176&gt;=Controls!$B$26,$A176&lt;Controls!$B$26+Controls!$C$26),(Controls!$D$26-1)*EXP(-0.5*(($A176-Controls!$B$26-(Controls!$C$26-1)/2)/MAX(Controls!$C$26/4,0.5))^2),0))</f>
        <v/>
      </c>
      <c r="N176" s="10" t="str">
        <f>IF($A176="","",IF(AND($A176&gt;=Controls!$B$27,$A176&lt;Controls!$B$27+Controls!$C$27),(Controls!$D$27-1)*EXP(-0.5*(($A176-Controls!$B$27-(Controls!$C$27-1)/2)/MAX(Controls!$C$27/4,0.5))^2),0))</f>
        <v/>
      </c>
      <c r="O176" s="10" t="str">
        <f>IF($A176="","",IF(AND($A176&gt;=Controls!$B$28,$A176&lt;Controls!$B$28+Controls!$C$28),(Controls!$D$28-1)*EXP(-0.5*(($A176-Controls!$B$28-(Controls!$C$28-1)/2)/MAX(Controls!$C$28/4,0.5))^2),0))</f>
        <v/>
      </c>
      <c r="P176" s="4" t="str">
        <f t="shared" si="1"/>
        <v/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21.0" customHeight="1">
      <c r="A177" s="7" t="str">
        <f>IF(176&lt;=Controls!$B$5,Controls!$B$4+175,"")</f>
        <v/>
      </c>
      <c r="B177" s="10" t="str">
        <f>IF(Random!V177="","",IF(Controls!$B$7="Normal",Controls!$B$8,(Controls!$B$8+Controls!$B$9)/2)+Controls!$B$10*(B176-IF(Controls!$B$7="Normal",Controls!$B$8,(Controls!$B$8+Controls!$B$9)/2))+SQRT(1-Controls!$B$10^2)*(Random!V177-IF(Controls!$B$7="Normal",Controls!$B$8,(Controls!$B$8+Controls!$B$9)/2)))</f>
        <v/>
      </c>
      <c r="C177" s="10" t="str">
        <f>IF(Random!W177="","",IF(Controls!$B$7="Normal",Controls!$B$8,(Controls!$B$8+Controls!$B$9)/2)+Controls!$B$10*(C176-IF(Controls!$B$7="Normal",Controls!$B$8,(Controls!$B$8+Controls!$B$9)/2))+SQRT(1-Controls!$B$10^2)*(Random!W177-IF(Controls!$B$7="Normal",Controls!$B$8,(Controls!$B$8+Controls!$B$9)/2)))</f>
        <v/>
      </c>
      <c r="D177" s="10" t="str">
        <f>IF(Random!X177="","",IF(Controls!$B$7="Normal",Controls!$B$8,(Controls!$B$8+Controls!$B$9)/2)+Controls!$B$10*(D176-IF(Controls!$B$7="Normal",Controls!$B$8,(Controls!$B$8+Controls!$B$9)/2))+SQRT(1-Controls!$B$10^2)*(Random!X177-IF(Controls!$B$7="Normal",Controls!$B$8,(Controls!$B$8+Controls!$B$9)/2)))</f>
        <v/>
      </c>
      <c r="E177" s="10" t="str">
        <f>IF(Random!Y177="","",IF(Controls!$B$7="Normal",Controls!$B$8,(Controls!$B$8+Controls!$B$9)/2)+Controls!$B$10*(E176-IF(Controls!$B$7="Normal",Controls!$B$8,(Controls!$B$8+Controls!$B$9)/2))+SQRT(1-Controls!$B$10^2)*(Random!Y177-IF(Controls!$B$7="Normal",Controls!$B$8,(Controls!$B$8+Controls!$B$9)/2)))</f>
        <v/>
      </c>
      <c r="F177" s="10" t="str">
        <f>IF(Random!Z177="","",IF(Controls!$B$7="Normal",Controls!$B$8,(Controls!$B$8+Controls!$B$9)/2)+Controls!$B$10*(F176-IF(Controls!$B$7="Normal",Controls!$B$8,(Controls!$B$8+Controls!$B$9)/2))+SQRT(1-Controls!$B$10^2)*(Random!Z177-IF(Controls!$B$7="Normal",Controls!$B$8,(Controls!$B$8+Controls!$B$9)/2)))</f>
        <v/>
      </c>
      <c r="G177" s="10" t="str">
        <f>IF(Random!AA177="","",IF(Controls!$B$7="Normal",Controls!$B$8,(Controls!$B$8+Controls!$B$9)/2)+Controls!$B$10*(G176-IF(Controls!$B$7="Normal",Controls!$B$8,(Controls!$B$8+Controls!$B$9)/2))+SQRT(1-Controls!$B$10^2)*(Random!AA177-IF(Controls!$B$7="Normal",Controls!$B$8,(Controls!$B$8+Controls!$B$9)/2)))</f>
        <v/>
      </c>
      <c r="H177" s="10" t="str">
        <f>IF(Random!AB177="","",IF(Controls!$B$7="Normal",Controls!$B$8,(Controls!$B$8+Controls!$B$9)/2)+Controls!$B$10*(H176-IF(Controls!$B$7="Normal",Controls!$B$8,(Controls!$B$8+Controls!$B$9)/2))+SQRT(1-Controls!$B$10^2)*(Random!AB177-IF(Controls!$B$7="Normal",Controls!$B$8,(Controls!$B$8+Controls!$B$9)/2)))</f>
        <v/>
      </c>
      <c r="I177" s="10" t="str">
        <f>IF(Random!AC177="","",IF(Controls!$B$7="Normal",Controls!$B$8,(Controls!$B$8+Controls!$B$9)/2)+Controls!$B$10*(I176-IF(Controls!$B$7="Normal",Controls!$B$8,(Controls!$B$8+Controls!$B$9)/2))+SQRT(1-Controls!$B$10^2)*(Random!AC177-IF(Controls!$B$7="Normal",Controls!$B$8,(Controls!$B$8+Controls!$B$9)/2)))</f>
        <v/>
      </c>
      <c r="J177" s="10" t="str">
        <f>IF(Random!AD177="","",IF(Controls!$B$7="Normal",Controls!$B$8,(Controls!$B$8+Controls!$B$9)/2)+Controls!$B$10*(J176-IF(Controls!$B$7="Normal",Controls!$B$8,(Controls!$B$8+Controls!$B$9)/2))+SQRT(1-Controls!$B$10^2)*(Random!AD177-IF(Controls!$B$7="Normal",Controls!$B$8,(Controls!$B$8+Controls!$B$9)/2)))</f>
        <v/>
      </c>
      <c r="K177" s="10" t="str">
        <f>IF(Random!AE177="","",IF(Controls!$B$7="Normal",Controls!$B$8,(Controls!$B$8+Controls!$B$9)/2)+Controls!$B$10*(K176-IF(Controls!$B$7="Normal",Controls!$B$8,(Controls!$B$8+Controls!$B$9)/2))+SQRT(1-Controls!$B$10^2)*(Random!AE177-IF(Controls!$B$7="Normal",Controls!$B$8,(Controls!$B$8+Controls!$B$9)/2)))</f>
        <v/>
      </c>
      <c r="L177" s="10" t="str">
        <f>IF($A177="","",IF(AND($A177&gt;=Controls!$B$25,$A177&lt;Controls!$B$25+Controls!$C$25),(Controls!$D$25-1)*EXP(-0.5*(($A177-Controls!$B$25-(Controls!$C$25-1)/2)/MAX(Controls!$C$25/4,0.5))^2),0))</f>
        <v/>
      </c>
      <c r="M177" s="10" t="str">
        <f>IF($A177="","",IF(AND($A177&gt;=Controls!$B$26,$A177&lt;Controls!$B$26+Controls!$C$26),(Controls!$D$26-1)*EXP(-0.5*(($A177-Controls!$B$26-(Controls!$C$26-1)/2)/MAX(Controls!$C$26/4,0.5))^2),0))</f>
        <v/>
      </c>
      <c r="N177" s="10" t="str">
        <f>IF($A177="","",IF(AND($A177&gt;=Controls!$B$27,$A177&lt;Controls!$B$27+Controls!$C$27),(Controls!$D$27-1)*EXP(-0.5*(($A177-Controls!$B$27-(Controls!$C$27-1)/2)/MAX(Controls!$C$27/4,0.5))^2),0))</f>
        <v/>
      </c>
      <c r="O177" s="10" t="str">
        <f>IF($A177="","",IF(AND($A177&gt;=Controls!$B$28,$A177&lt;Controls!$B$28+Controls!$C$28),(Controls!$D$28-1)*EXP(-0.5*(($A177-Controls!$B$28-(Controls!$C$28-1)/2)/MAX(Controls!$C$28/4,0.5))^2),0))</f>
        <v/>
      </c>
      <c r="P177" s="4" t="str">
        <f t="shared" si="1"/>
        <v/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21.0" customHeight="1">
      <c r="A178" s="7" t="str">
        <f>IF(177&lt;=Controls!$B$5,Controls!$B$4+176,"")</f>
        <v/>
      </c>
      <c r="B178" s="10" t="str">
        <f>IF(Random!V178="","",IF(Controls!$B$7="Normal",Controls!$B$8,(Controls!$B$8+Controls!$B$9)/2)+Controls!$B$10*(B177-IF(Controls!$B$7="Normal",Controls!$B$8,(Controls!$B$8+Controls!$B$9)/2))+SQRT(1-Controls!$B$10^2)*(Random!V178-IF(Controls!$B$7="Normal",Controls!$B$8,(Controls!$B$8+Controls!$B$9)/2)))</f>
        <v/>
      </c>
      <c r="C178" s="10" t="str">
        <f>IF(Random!W178="","",IF(Controls!$B$7="Normal",Controls!$B$8,(Controls!$B$8+Controls!$B$9)/2)+Controls!$B$10*(C177-IF(Controls!$B$7="Normal",Controls!$B$8,(Controls!$B$8+Controls!$B$9)/2))+SQRT(1-Controls!$B$10^2)*(Random!W178-IF(Controls!$B$7="Normal",Controls!$B$8,(Controls!$B$8+Controls!$B$9)/2)))</f>
        <v/>
      </c>
      <c r="D178" s="10" t="str">
        <f>IF(Random!X178="","",IF(Controls!$B$7="Normal",Controls!$B$8,(Controls!$B$8+Controls!$B$9)/2)+Controls!$B$10*(D177-IF(Controls!$B$7="Normal",Controls!$B$8,(Controls!$B$8+Controls!$B$9)/2))+SQRT(1-Controls!$B$10^2)*(Random!X178-IF(Controls!$B$7="Normal",Controls!$B$8,(Controls!$B$8+Controls!$B$9)/2)))</f>
        <v/>
      </c>
      <c r="E178" s="10" t="str">
        <f>IF(Random!Y178="","",IF(Controls!$B$7="Normal",Controls!$B$8,(Controls!$B$8+Controls!$B$9)/2)+Controls!$B$10*(E177-IF(Controls!$B$7="Normal",Controls!$B$8,(Controls!$B$8+Controls!$B$9)/2))+SQRT(1-Controls!$B$10^2)*(Random!Y178-IF(Controls!$B$7="Normal",Controls!$B$8,(Controls!$B$8+Controls!$B$9)/2)))</f>
        <v/>
      </c>
      <c r="F178" s="10" t="str">
        <f>IF(Random!Z178="","",IF(Controls!$B$7="Normal",Controls!$B$8,(Controls!$B$8+Controls!$B$9)/2)+Controls!$B$10*(F177-IF(Controls!$B$7="Normal",Controls!$B$8,(Controls!$B$8+Controls!$B$9)/2))+SQRT(1-Controls!$B$10^2)*(Random!Z178-IF(Controls!$B$7="Normal",Controls!$B$8,(Controls!$B$8+Controls!$B$9)/2)))</f>
        <v/>
      </c>
      <c r="G178" s="10" t="str">
        <f>IF(Random!AA178="","",IF(Controls!$B$7="Normal",Controls!$B$8,(Controls!$B$8+Controls!$B$9)/2)+Controls!$B$10*(G177-IF(Controls!$B$7="Normal",Controls!$B$8,(Controls!$B$8+Controls!$B$9)/2))+SQRT(1-Controls!$B$10^2)*(Random!AA178-IF(Controls!$B$7="Normal",Controls!$B$8,(Controls!$B$8+Controls!$B$9)/2)))</f>
        <v/>
      </c>
      <c r="H178" s="10" t="str">
        <f>IF(Random!AB178="","",IF(Controls!$B$7="Normal",Controls!$B$8,(Controls!$B$8+Controls!$B$9)/2)+Controls!$B$10*(H177-IF(Controls!$B$7="Normal",Controls!$B$8,(Controls!$B$8+Controls!$B$9)/2))+SQRT(1-Controls!$B$10^2)*(Random!AB178-IF(Controls!$B$7="Normal",Controls!$B$8,(Controls!$B$8+Controls!$B$9)/2)))</f>
        <v/>
      </c>
      <c r="I178" s="10" t="str">
        <f>IF(Random!AC178="","",IF(Controls!$B$7="Normal",Controls!$B$8,(Controls!$B$8+Controls!$B$9)/2)+Controls!$B$10*(I177-IF(Controls!$B$7="Normal",Controls!$B$8,(Controls!$B$8+Controls!$B$9)/2))+SQRT(1-Controls!$B$10^2)*(Random!AC178-IF(Controls!$B$7="Normal",Controls!$B$8,(Controls!$B$8+Controls!$B$9)/2)))</f>
        <v/>
      </c>
      <c r="J178" s="10" t="str">
        <f>IF(Random!AD178="","",IF(Controls!$B$7="Normal",Controls!$B$8,(Controls!$B$8+Controls!$B$9)/2)+Controls!$B$10*(J177-IF(Controls!$B$7="Normal",Controls!$B$8,(Controls!$B$8+Controls!$B$9)/2))+SQRT(1-Controls!$B$10^2)*(Random!AD178-IF(Controls!$B$7="Normal",Controls!$B$8,(Controls!$B$8+Controls!$B$9)/2)))</f>
        <v/>
      </c>
      <c r="K178" s="10" t="str">
        <f>IF(Random!AE178="","",IF(Controls!$B$7="Normal",Controls!$B$8,(Controls!$B$8+Controls!$B$9)/2)+Controls!$B$10*(K177-IF(Controls!$B$7="Normal",Controls!$B$8,(Controls!$B$8+Controls!$B$9)/2))+SQRT(1-Controls!$B$10^2)*(Random!AE178-IF(Controls!$B$7="Normal",Controls!$B$8,(Controls!$B$8+Controls!$B$9)/2)))</f>
        <v/>
      </c>
      <c r="L178" s="10" t="str">
        <f>IF($A178="","",IF(AND($A178&gt;=Controls!$B$25,$A178&lt;Controls!$B$25+Controls!$C$25),(Controls!$D$25-1)*EXP(-0.5*(($A178-Controls!$B$25-(Controls!$C$25-1)/2)/MAX(Controls!$C$25/4,0.5))^2),0))</f>
        <v/>
      </c>
      <c r="M178" s="10" t="str">
        <f>IF($A178="","",IF(AND($A178&gt;=Controls!$B$26,$A178&lt;Controls!$B$26+Controls!$C$26),(Controls!$D$26-1)*EXP(-0.5*(($A178-Controls!$B$26-(Controls!$C$26-1)/2)/MAX(Controls!$C$26/4,0.5))^2),0))</f>
        <v/>
      </c>
      <c r="N178" s="10" t="str">
        <f>IF($A178="","",IF(AND($A178&gt;=Controls!$B$27,$A178&lt;Controls!$B$27+Controls!$C$27),(Controls!$D$27-1)*EXP(-0.5*(($A178-Controls!$B$27-(Controls!$C$27-1)/2)/MAX(Controls!$C$27/4,0.5))^2),0))</f>
        <v/>
      </c>
      <c r="O178" s="10" t="str">
        <f>IF($A178="","",IF(AND($A178&gt;=Controls!$B$28,$A178&lt;Controls!$B$28+Controls!$C$28),(Controls!$D$28-1)*EXP(-0.5*(($A178-Controls!$B$28-(Controls!$C$28-1)/2)/MAX(Controls!$C$28/4,0.5))^2),0))</f>
        <v/>
      </c>
      <c r="P178" s="4" t="str">
        <f t="shared" si="1"/>
        <v/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21.0" customHeight="1">
      <c r="A179" s="7" t="str">
        <f>IF(178&lt;=Controls!$B$5,Controls!$B$4+177,"")</f>
        <v/>
      </c>
      <c r="B179" s="10" t="str">
        <f>IF(Random!V179="","",IF(Controls!$B$7="Normal",Controls!$B$8,(Controls!$B$8+Controls!$B$9)/2)+Controls!$B$10*(B178-IF(Controls!$B$7="Normal",Controls!$B$8,(Controls!$B$8+Controls!$B$9)/2))+SQRT(1-Controls!$B$10^2)*(Random!V179-IF(Controls!$B$7="Normal",Controls!$B$8,(Controls!$B$8+Controls!$B$9)/2)))</f>
        <v/>
      </c>
      <c r="C179" s="10" t="str">
        <f>IF(Random!W179="","",IF(Controls!$B$7="Normal",Controls!$B$8,(Controls!$B$8+Controls!$B$9)/2)+Controls!$B$10*(C178-IF(Controls!$B$7="Normal",Controls!$B$8,(Controls!$B$8+Controls!$B$9)/2))+SQRT(1-Controls!$B$10^2)*(Random!W179-IF(Controls!$B$7="Normal",Controls!$B$8,(Controls!$B$8+Controls!$B$9)/2)))</f>
        <v/>
      </c>
      <c r="D179" s="10" t="str">
        <f>IF(Random!X179="","",IF(Controls!$B$7="Normal",Controls!$B$8,(Controls!$B$8+Controls!$B$9)/2)+Controls!$B$10*(D178-IF(Controls!$B$7="Normal",Controls!$B$8,(Controls!$B$8+Controls!$B$9)/2))+SQRT(1-Controls!$B$10^2)*(Random!X179-IF(Controls!$B$7="Normal",Controls!$B$8,(Controls!$B$8+Controls!$B$9)/2)))</f>
        <v/>
      </c>
      <c r="E179" s="10" t="str">
        <f>IF(Random!Y179="","",IF(Controls!$B$7="Normal",Controls!$B$8,(Controls!$B$8+Controls!$B$9)/2)+Controls!$B$10*(E178-IF(Controls!$B$7="Normal",Controls!$B$8,(Controls!$B$8+Controls!$B$9)/2))+SQRT(1-Controls!$B$10^2)*(Random!Y179-IF(Controls!$B$7="Normal",Controls!$B$8,(Controls!$B$8+Controls!$B$9)/2)))</f>
        <v/>
      </c>
      <c r="F179" s="10" t="str">
        <f>IF(Random!Z179="","",IF(Controls!$B$7="Normal",Controls!$B$8,(Controls!$B$8+Controls!$B$9)/2)+Controls!$B$10*(F178-IF(Controls!$B$7="Normal",Controls!$B$8,(Controls!$B$8+Controls!$B$9)/2))+SQRT(1-Controls!$B$10^2)*(Random!Z179-IF(Controls!$B$7="Normal",Controls!$B$8,(Controls!$B$8+Controls!$B$9)/2)))</f>
        <v/>
      </c>
      <c r="G179" s="10" t="str">
        <f>IF(Random!AA179="","",IF(Controls!$B$7="Normal",Controls!$B$8,(Controls!$B$8+Controls!$B$9)/2)+Controls!$B$10*(G178-IF(Controls!$B$7="Normal",Controls!$B$8,(Controls!$B$8+Controls!$B$9)/2))+SQRT(1-Controls!$B$10^2)*(Random!AA179-IF(Controls!$B$7="Normal",Controls!$B$8,(Controls!$B$8+Controls!$B$9)/2)))</f>
        <v/>
      </c>
      <c r="H179" s="10" t="str">
        <f>IF(Random!AB179="","",IF(Controls!$B$7="Normal",Controls!$B$8,(Controls!$B$8+Controls!$B$9)/2)+Controls!$B$10*(H178-IF(Controls!$B$7="Normal",Controls!$B$8,(Controls!$B$8+Controls!$B$9)/2))+SQRT(1-Controls!$B$10^2)*(Random!AB179-IF(Controls!$B$7="Normal",Controls!$B$8,(Controls!$B$8+Controls!$B$9)/2)))</f>
        <v/>
      </c>
      <c r="I179" s="10" t="str">
        <f>IF(Random!AC179="","",IF(Controls!$B$7="Normal",Controls!$B$8,(Controls!$B$8+Controls!$B$9)/2)+Controls!$B$10*(I178-IF(Controls!$B$7="Normal",Controls!$B$8,(Controls!$B$8+Controls!$B$9)/2))+SQRT(1-Controls!$B$10^2)*(Random!AC179-IF(Controls!$B$7="Normal",Controls!$B$8,(Controls!$B$8+Controls!$B$9)/2)))</f>
        <v/>
      </c>
      <c r="J179" s="10" t="str">
        <f>IF(Random!AD179="","",IF(Controls!$B$7="Normal",Controls!$B$8,(Controls!$B$8+Controls!$B$9)/2)+Controls!$B$10*(J178-IF(Controls!$B$7="Normal",Controls!$B$8,(Controls!$B$8+Controls!$B$9)/2))+SQRT(1-Controls!$B$10^2)*(Random!AD179-IF(Controls!$B$7="Normal",Controls!$B$8,(Controls!$B$8+Controls!$B$9)/2)))</f>
        <v/>
      </c>
      <c r="K179" s="10" t="str">
        <f>IF(Random!AE179="","",IF(Controls!$B$7="Normal",Controls!$B$8,(Controls!$B$8+Controls!$B$9)/2)+Controls!$B$10*(K178-IF(Controls!$B$7="Normal",Controls!$B$8,(Controls!$B$8+Controls!$B$9)/2))+SQRT(1-Controls!$B$10^2)*(Random!AE179-IF(Controls!$B$7="Normal",Controls!$B$8,(Controls!$B$8+Controls!$B$9)/2)))</f>
        <v/>
      </c>
      <c r="L179" s="10" t="str">
        <f>IF($A179="","",IF(AND($A179&gt;=Controls!$B$25,$A179&lt;Controls!$B$25+Controls!$C$25),(Controls!$D$25-1)*EXP(-0.5*(($A179-Controls!$B$25-(Controls!$C$25-1)/2)/MAX(Controls!$C$25/4,0.5))^2),0))</f>
        <v/>
      </c>
      <c r="M179" s="10" t="str">
        <f>IF($A179="","",IF(AND($A179&gt;=Controls!$B$26,$A179&lt;Controls!$B$26+Controls!$C$26),(Controls!$D$26-1)*EXP(-0.5*(($A179-Controls!$B$26-(Controls!$C$26-1)/2)/MAX(Controls!$C$26/4,0.5))^2),0))</f>
        <v/>
      </c>
      <c r="N179" s="10" t="str">
        <f>IF($A179="","",IF(AND($A179&gt;=Controls!$B$27,$A179&lt;Controls!$B$27+Controls!$C$27),(Controls!$D$27-1)*EXP(-0.5*(($A179-Controls!$B$27-(Controls!$C$27-1)/2)/MAX(Controls!$C$27/4,0.5))^2),0))</f>
        <v/>
      </c>
      <c r="O179" s="10" t="str">
        <f>IF($A179="","",IF(AND($A179&gt;=Controls!$B$28,$A179&lt;Controls!$B$28+Controls!$C$28),(Controls!$D$28-1)*EXP(-0.5*(($A179-Controls!$B$28-(Controls!$C$28-1)/2)/MAX(Controls!$C$28/4,0.5))^2),0))</f>
        <v/>
      </c>
      <c r="P179" s="4" t="str">
        <f t="shared" si="1"/>
        <v/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21.0" customHeight="1">
      <c r="A180" s="7" t="str">
        <f>IF(179&lt;=Controls!$B$5,Controls!$B$4+178,"")</f>
        <v/>
      </c>
      <c r="B180" s="10" t="str">
        <f>IF(Random!V180="","",IF(Controls!$B$7="Normal",Controls!$B$8,(Controls!$B$8+Controls!$B$9)/2)+Controls!$B$10*(B179-IF(Controls!$B$7="Normal",Controls!$B$8,(Controls!$B$8+Controls!$B$9)/2))+SQRT(1-Controls!$B$10^2)*(Random!V180-IF(Controls!$B$7="Normal",Controls!$B$8,(Controls!$B$8+Controls!$B$9)/2)))</f>
        <v/>
      </c>
      <c r="C180" s="10" t="str">
        <f>IF(Random!W180="","",IF(Controls!$B$7="Normal",Controls!$B$8,(Controls!$B$8+Controls!$B$9)/2)+Controls!$B$10*(C179-IF(Controls!$B$7="Normal",Controls!$B$8,(Controls!$B$8+Controls!$B$9)/2))+SQRT(1-Controls!$B$10^2)*(Random!W180-IF(Controls!$B$7="Normal",Controls!$B$8,(Controls!$B$8+Controls!$B$9)/2)))</f>
        <v/>
      </c>
      <c r="D180" s="10" t="str">
        <f>IF(Random!X180="","",IF(Controls!$B$7="Normal",Controls!$B$8,(Controls!$B$8+Controls!$B$9)/2)+Controls!$B$10*(D179-IF(Controls!$B$7="Normal",Controls!$B$8,(Controls!$B$8+Controls!$B$9)/2))+SQRT(1-Controls!$B$10^2)*(Random!X180-IF(Controls!$B$7="Normal",Controls!$B$8,(Controls!$B$8+Controls!$B$9)/2)))</f>
        <v/>
      </c>
      <c r="E180" s="10" t="str">
        <f>IF(Random!Y180="","",IF(Controls!$B$7="Normal",Controls!$B$8,(Controls!$B$8+Controls!$B$9)/2)+Controls!$B$10*(E179-IF(Controls!$B$7="Normal",Controls!$B$8,(Controls!$B$8+Controls!$B$9)/2))+SQRT(1-Controls!$B$10^2)*(Random!Y180-IF(Controls!$B$7="Normal",Controls!$B$8,(Controls!$B$8+Controls!$B$9)/2)))</f>
        <v/>
      </c>
      <c r="F180" s="10" t="str">
        <f>IF(Random!Z180="","",IF(Controls!$B$7="Normal",Controls!$B$8,(Controls!$B$8+Controls!$B$9)/2)+Controls!$B$10*(F179-IF(Controls!$B$7="Normal",Controls!$B$8,(Controls!$B$8+Controls!$B$9)/2))+SQRT(1-Controls!$B$10^2)*(Random!Z180-IF(Controls!$B$7="Normal",Controls!$B$8,(Controls!$B$8+Controls!$B$9)/2)))</f>
        <v/>
      </c>
      <c r="G180" s="10" t="str">
        <f>IF(Random!AA180="","",IF(Controls!$B$7="Normal",Controls!$B$8,(Controls!$B$8+Controls!$B$9)/2)+Controls!$B$10*(G179-IF(Controls!$B$7="Normal",Controls!$B$8,(Controls!$B$8+Controls!$B$9)/2))+SQRT(1-Controls!$B$10^2)*(Random!AA180-IF(Controls!$B$7="Normal",Controls!$B$8,(Controls!$B$8+Controls!$B$9)/2)))</f>
        <v/>
      </c>
      <c r="H180" s="10" t="str">
        <f>IF(Random!AB180="","",IF(Controls!$B$7="Normal",Controls!$B$8,(Controls!$B$8+Controls!$B$9)/2)+Controls!$B$10*(H179-IF(Controls!$B$7="Normal",Controls!$B$8,(Controls!$B$8+Controls!$B$9)/2))+SQRT(1-Controls!$B$10^2)*(Random!AB180-IF(Controls!$B$7="Normal",Controls!$B$8,(Controls!$B$8+Controls!$B$9)/2)))</f>
        <v/>
      </c>
      <c r="I180" s="10" t="str">
        <f>IF(Random!AC180="","",IF(Controls!$B$7="Normal",Controls!$B$8,(Controls!$B$8+Controls!$B$9)/2)+Controls!$B$10*(I179-IF(Controls!$B$7="Normal",Controls!$B$8,(Controls!$B$8+Controls!$B$9)/2))+SQRT(1-Controls!$B$10^2)*(Random!AC180-IF(Controls!$B$7="Normal",Controls!$B$8,(Controls!$B$8+Controls!$B$9)/2)))</f>
        <v/>
      </c>
      <c r="J180" s="10" t="str">
        <f>IF(Random!AD180="","",IF(Controls!$B$7="Normal",Controls!$B$8,(Controls!$B$8+Controls!$B$9)/2)+Controls!$B$10*(J179-IF(Controls!$B$7="Normal",Controls!$B$8,(Controls!$B$8+Controls!$B$9)/2))+SQRT(1-Controls!$B$10^2)*(Random!AD180-IF(Controls!$B$7="Normal",Controls!$B$8,(Controls!$B$8+Controls!$B$9)/2)))</f>
        <v/>
      </c>
      <c r="K180" s="10" t="str">
        <f>IF(Random!AE180="","",IF(Controls!$B$7="Normal",Controls!$B$8,(Controls!$B$8+Controls!$B$9)/2)+Controls!$B$10*(K179-IF(Controls!$B$7="Normal",Controls!$B$8,(Controls!$B$8+Controls!$B$9)/2))+SQRT(1-Controls!$B$10^2)*(Random!AE180-IF(Controls!$B$7="Normal",Controls!$B$8,(Controls!$B$8+Controls!$B$9)/2)))</f>
        <v/>
      </c>
      <c r="L180" s="10" t="str">
        <f>IF($A180="","",IF(AND($A180&gt;=Controls!$B$25,$A180&lt;Controls!$B$25+Controls!$C$25),(Controls!$D$25-1)*EXP(-0.5*(($A180-Controls!$B$25-(Controls!$C$25-1)/2)/MAX(Controls!$C$25/4,0.5))^2),0))</f>
        <v/>
      </c>
      <c r="M180" s="10" t="str">
        <f>IF($A180="","",IF(AND($A180&gt;=Controls!$B$26,$A180&lt;Controls!$B$26+Controls!$C$26),(Controls!$D$26-1)*EXP(-0.5*(($A180-Controls!$B$26-(Controls!$C$26-1)/2)/MAX(Controls!$C$26/4,0.5))^2),0))</f>
        <v/>
      </c>
      <c r="N180" s="10" t="str">
        <f>IF($A180="","",IF(AND($A180&gt;=Controls!$B$27,$A180&lt;Controls!$B$27+Controls!$C$27),(Controls!$D$27-1)*EXP(-0.5*(($A180-Controls!$B$27-(Controls!$C$27-1)/2)/MAX(Controls!$C$27/4,0.5))^2),0))</f>
        <v/>
      </c>
      <c r="O180" s="10" t="str">
        <f>IF($A180="","",IF(AND($A180&gt;=Controls!$B$28,$A180&lt;Controls!$B$28+Controls!$C$28),(Controls!$D$28-1)*EXP(-0.5*(($A180-Controls!$B$28-(Controls!$C$28-1)/2)/MAX(Controls!$C$28/4,0.5))^2),0))</f>
        <v/>
      </c>
      <c r="P180" s="4" t="str">
        <f t="shared" si="1"/>
        <v/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21.0" customHeight="1">
      <c r="A181" s="7" t="str">
        <f>IF(180&lt;=Controls!$B$5,Controls!$B$4+179,"")</f>
        <v/>
      </c>
      <c r="B181" s="10" t="str">
        <f>IF(Random!V181="","",IF(Controls!$B$7="Normal",Controls!$B$8,(Controls!$B$8+Controls!$B$9)/2)+Controls!$B$10*(B180-IF(Controls!$B$7="Normal",Controls!$B$8,(Controls!$B$8+Controls!$B$9)/2))+SQRT(1-Controls!$B$10^2)*(Random!V181-IF(Controls!$B$7="Normal",Controls!$B$8,(Controls!$B$8+Controls!$B$9)/2)))</f>
        <v/>
      </c>
      <c r="C181" s="10" t="str">
        <f>IF(Random!W181="","",IF(Controls!$B$7="Normal",Controls!$B$8,(Controls!$B$8+Controls!$B$9)/2)+Controls!$B$10*(C180-IF(Controls!$B$7="Normal",Controls!$B$8,(Controls!$B$8+Controls!$B$9)/2))+SQRT(1-Controls!$B$10^2)*(Random!W181-IF(Controls!$B$7="Normal",Controls!$B$8,(Controls!$B$8+Controls!$B$9)/2)))</f>
        <v/>
      </c>
      <c r="D181" s="10" t="str">
        <f>IF(Random!X181="","",IF(Controls!$B$7="Normal",Controls!$B$8,(Controls!$B$8+Controls!$B$9)/2)+Controls!$B$10*(D180-IF(Controls!$B$7="Normal",Controls!$B$8,(Controls!$B$8+Controls!$B$9)/2))+SQRT(1-Controls!$B$10^2)*(Random!X181-IF(Controls!$B$7="Normal",Controls!$B$8,(Controls!$B$8+Controls!$B$9)/2)))</f>
        <v/>
      </c>
      <c r="E181" s="10" t="str">
        <f>IF(Random!Y181="","",IF(Controls!$B$7="Normal",Controls!$B$8,(Controls!$B$8+Controls!$B$9)/2)+Controls!$B$10*(E180-IF(Controls!$B$7="Normal",Controls!$B$8,(Controls!$B$8+Controls!$B$9)/2))+SQRT(1-Controls!$B$10^2)*(Random!Y181-IF(Controls!$B$7="Normal",Controls!$B$8,(Controls!$B$8+Controls!$B$9)/2)))</f>
        <v/>
      </c>
      <c r="F181" s="10" t="str">
        <f>IF(Random!Z181="","",IF(Controls!$B$7="Normal",Controls!$B$8,(Controls!$B$8+Controls!$B$9)/2)+Controls!$B$10*(F180-IF(Controls!$B$7="Normal",Controls!$B$8,(Controls!$B$8+Controls!$B$9)/2))+SQRT(1-Controls!$B$10^2)*(Random!Z181-IF(Controls!$B$7="Normal",Controls!$B$8,(Controls!$B$8+Controls!$B$9)/2)))</f>
        <v/>
      </c>
      <c r="G181" s="10" t="str">
        <f>IF(Random!AA181="","",IF(Controls!$B$7="Normal",Controls!$B$8,(Controls!$B$8+Controls!$B$9)/2)+Controls!$B$10*(G180-IF(Controls!$B$7="Normal",Controls!$B$8,(Controls!$B$8+Controls!$B$9)/2))+SQRT(1-Controls!$B$10^2)*(Random!AA181-IF(Controls!$B$7="Normal",Controls!$B$8,(Controls!$B$8+Controls!$B$9)/2)))</f>
        <v/>
      </c>
      <c r="H181" s="10" t="str">
        <f>IF(Random!AB181="","",IF(Controls!$B$7="Normal",Controls!$B$8,(Controls!$B$8+Controls!$B$9)/2)+Controls!$B$10*(H180-IF(Controls!$B$7="Normal",Controls!$B$8,(Controls!$B$8+Controls!$B$9)/2))+SQRT(1-Controls!$B$10^2)*(Random!AB181-IF(Controls!$B$7="Normal",Controls!$B$8,(Controls!$B$8+Controls!$B$9)/2)))</f>
        <v/>
      </c>
      <c r="I181" s="10" t="str">
        <f>IF(Random!AC181="","",IF(Controls!$B$7="Normal",Controls!$B$8,(Controls!$B$8+Controls!$B$9)/2)+Controls!$B$10*(I180-IF(Controls!$B$7="Normal",Controls!$B$8,(Controls!$B$8+Controls!$B$9)/2))+SQRT(1-Controls!$B$10^2)*(Random!AC181-IF(Controls!$B$7="Normal",Controls!$B$8,(Controls!$B$8+Controls!$B$9)/2)))</f>
        <v/>
      </c>
      <c r="J181" s="10" t="str">
        <f>IF(Random!AD181="","",IF(Controls!$B$7="Normal",Controls!$B$8,(Controls!$B$8+Controls!$B$9)/2)+Controls!$B$10*(J180-IF(Controls!$B$7="Normal",Controls!$B$8,(Controls!$B$8+Controls!$B$9)/2))+SQRT(1-Controls!$B$10^2)*(Random!AD181-IF(Controls!$B$7="Normal",Controls!$B$8,(Controls!$B$8+Controls!$B$9)/2)))</f>
        <v/>
      </c>
      <c r="K181" s="10" t="str">
        <f>IF(Random!AE181="","",IF(Controls!$B$7="Normal",Controls!$B$8,(Controls!$B$8+Controls!$B$9)/2)+Controls!$B$10*(K180-IF(Controls!$B$7="Normal",Controls!$B$8,(Controls!$B$8+Controls!$B$9)/2))+SQRT(1-Controls!$B$10^2)*(Random!AE181-IF(Controls!$B$7="Normal",Controls!$B$8,(Controls!$B$8+Controls!$B$9)/2)))</f>
        <v/>
      </c>
      <c r="L181" s="10" t="str">
        <f>IF($A181="","",IF(AND($A181&gt;=Controls!$B$25,$A181&lt;Controls!$B$25+Controls!$C$25),(Controls!$D$25-1)*EXP(-0.5*(($A181-Controls!$B$25-(Controls!$C$25-1)/2)/MAX(Controls!$C$25/4,0.5))^2),0))</f>
        <v/>
      </c>
      <c r="M181" s="10" t="str">
        <f>IF($A181="","",IF(AND($A181&gt;=Controls!$B$26,$A181&lt;Controls!$B$26+Controls!$C$26),(Controls!$D$26-1)*EXP(-0.5*(($A181-Controls!$B$26-(Controls!$C$26-1)/2)/MAX(Controls!$C$26/4,0.5))^2),0))</f>
        <v/>
      </c>
      <c r="N181" s="10" t="str">
        <f>IF($A181="","",IF(AND($A181&gt;=Controls!$B$27,$A181&lt;Controls!$B$27+Controls!$C$27),(Controls!$D$27-1)*EXP(-0.5*(($A181-Controls!$B$27-(Controls!$C$27-1)/2)/MAX(Controls!$C$27/4,0.5))^2),0))</f>
        <v/>
      </c>
      <c r="O181" s="10" t="str">
        <f>IF($A181="","",IF(AND($A181&gt;=Controls!$B$28,$A181&lt;Controls!$B$28+Controls!$C$28),(Controls!$D$28-1)*EXP(-0.5*(($A181-Controls!$B$28-(Controls!$C$28-1)/2)/MAX(Controls!$C$28/4,0.5))^2),0))</f>
        <v/>
      </c>
      <c r="P181" s="4" t="str">
        <f t="shared" si="1"/>
        <v/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21.0" customHeight="1">
      <c r="A182" s="7" t="str">
        <f>IF(181&lt;=Controls!$B$5,Controls!$B$4+180,"")</f>
        <v/>
      </c>
      <c r="B182" s="10" t="str">
        <f>IF(Random!V182="","",IF(Controls!$B$7="Normal",Controls!$B$8,(Controls!$B$8+Controls!$B$9)/2)+Controls!$B$10*(B181-IF(Controls!$B$7="Normal",Controls!$B$8,(Controls!$B$8+Controls!$B$9)/2))+SQRT(1-Controls!$B$10^2)*(Random!V182-IF(Controls!$B$7="Normal",Controls!$B$8,(Controls!$B$8+Controls!$B$9)/2)))</f>
        <v/>
      </c>
      <c r="C182" s="10" t="str">
        <f>IF(Random!W182="","",IF(Controls!$B$7="Normal",Controls!$B$8,(Controls!$B$8+Controls!$B$9)/2)+Controls!$B$10*(C181-IF(Controls!$B$7="Normal",Controls!$B$8,(Controls!$B$8+Controls!$B$9)/2))+SQRT(1-Controls!$B$10^2)*(Random!W182-IF(Controls!$B$7="Normal",Controls!$B$8,(Controls!$B$8+Controls!$B$9)/2)))</f>
        <v/>
      </c>
      <c r="D182" s="10" t="str">
        <f>IF(Random!X182="","",IF(Controls!$B$7="Normal",Controls!$B$8,(Controls!$B$8+Controls!$B$9)/2)+Controls!$B$10*(D181-IF(Controls!$B$7="Normal",Controls!$B$8,(Controls!$B$8+Controls!$B$9)/2))+SQRT(1-Controls!$B$10^2)*(Random!X182-IF(Controls!$B$7="Normal",Controls!$B$8,(Controls!$B$8+Controls!$B$9)/2)))</f>
        <v/>
      </c>
      <c r="E182" s="10" t="str">
        <f>IF(Random!Y182="","",IF(Controls!$B$7="Normal",Controls!$B$8,(Controls!$B$8+Controls!$B$9)/2)+Controls!$B$10*(E181-IF(Controls!$B$7="Normal",Controls!$B$8,(Controls!$B$8+Controls!$B$9)/2))+SQRT(1-Controls!$B$10^2)*(Random!Y182-IF(Controls!$B$7="Normal",Controls!$B$8,(Controls!$B$8+Controls!$B$9)/2)))</f>
        <v/>
      </c>
      <c r="F182" s="10" t="str">
        <f>IF(Random!Z182="","",IF(Controls!$B$7="Normal",Controls!$B$8,(Controls!$B$8+Controls!$B$9)/2)+Controls!$B$10*(F181-IF(Controls!$B$7="Normal",Controls!$B$8,(Controls!$B$8+Controls!$B$9)/2))+SQRT(1-Controls!$B$10^2)*(Random!Z182-IF(Controls!$B$7="Normal",Controls!$B$8,(Controls!$B$8+Controls!$B$9)/2)))</f>
        <v/>
      </c>
      <c r="G182" s="10" t="str">
        <f>IF(Random!AA182="","",IF(Controls!$B$7="Normal",Controls!$B$8,(Controls!$B$8+Controls!$B$9)/2)+Controls!$B$10*(G181-IF(Controls!$B$7="Normal",Controls!$B$8,(Controls!$B$8+Controls!$B$9)/2))+SQRT(1-Controls!$B$10^2)*(Random!AA182-IF(Controls!$B$7="Normal",Controls!$B$8,(Controls!$B$8+Controls!$B$9)/2)))</f>
        <v/>
      </c>
      <c r="H182" s="10" t="str">
        <f>IF(Random!AB182="","",IF(Controls!$B$7="Normal",Controls!$B$8,(Controls!$B$8+Controls!$B$9)/2)+Controls!$B$10*(H181-IF(Controls!$B$7="Normal",Controls!$B$8,(Controls!$B$8+Controls!$B$9)/2))+SQRT(1-Controls!$B$10^2)*(Random!AB182-IF(Controls!$B$7="Normal",Controls!$B$8,(Controls!$B$8+Controls!$B$9)/2)))</f>
        <v/>
      </c>
      <c r="I182" s="10" t="str">
        <f>IF(Random!AC182="","",IF(Controls!$B$7="Normal",Controls!$B$8,(Controls!$B$8+Controls!$B$9)/2)+Controls!$B$10*(I181-IF(Controls!$B$7="Normal",Controls!$B$8,(Controls!$B$8+Controls!$B$9)/2))+SQRT(1-Controls!$B$10^2)*(Random!AC182-IF(Controls!$B$7="Normal",Controls!$B$8,(Controls!$B$8+Controls!$B$9)/2)))</f>
        <v/>
      </c>
      <c r="J182" s="10" t="str">
        <f>IF(Random!AD182="","",IF(Controls!$B$7="Normal",Controls!$B$8,(Controls!$B$8+Controls!$B$9)/2)+Controls!$B$10*(J181-IF(Controls!$B$7="Normal",Controls!$B$8,(Controls!$B$8+Controls!$B$9)/2))+SQRT(1-Controls!$B$10^2)*(Random!AD182-IF(Controls!$B$7="Normal",Controls!$B$8,(Controls!$B$8+Controls!$B$9)/2)))</f>
        <v/>
      </c>
      <c r="K182" s="10" t="str">
        <f>IF(Random!AE182="","",IF(Controls!$B$7="Normal",Controls!$B$8,(Controls!$B$8+Controls!$B$9)/2)+Controls!$B$10*(K181-IF(Controls!$B$7="Normal",Controls!$B$8,(Controls!$B$8+Controls!$B$9)/2))+SQRT(1-Controls!$B$10^2)*(Random!AE182-IF(Controls!$B$7="Normal",Controls!$B$8,(Controls!$B$8+Controls!$B$9)/2)))</f>
        <v/>
      </c>
      <c r="L182" s="10" t="str">
        <f>IF($A182="","",IF(AND($A182&gt;=Controls!$B$25,$A182&lt;Controls!$B$25+Controls!$C$25),(Controls!$D$25-1)*EXP(-0.5*(($A182-Controls!$B$25-(Controls!$C$25-1)/2)/MAX(Controls!$C$25/4,0.5))^2),0))</f>
        <v/>
      </c>
      <c r="M182" s="10" t="str">
        <f>IF($A182="","",IF(AND($A182&gt;=Controls!$B$26,$A182&lt;Controls!$B$26+Controls!$C$26),(Controls!$D$26-1)*EXP(-0.5*(($A182-Controls!$B$26-(Controls!$C$26-1)/2)/MAX(Controls!$C$26/4,0.5))^2),0))</f>
        <v/>
      </c>
      <c r="N182" s="10" t="str">
        <f>IF($A182="","",IF(AND($A182&gt;=Controls!$B$27,$A182&lt;Controls!$B$27+Controls!$C$27),(Controls!$D$27-1)*EXP(-0.5*(($A182-Controls!$B$27-(Controls!$C$27-1)/2)/MAX(Controls!$C$27/4,0.5))^2),0))</f>
        <v/>
      </c>
      <c r="O182" s="10" t="str">
        <f>IF($A182="","",IF(AND($A182&gt;=Controls!$B$28,$A182&lt;Controls!$B$28+Controls!$C$28),(Controls!$D$28-1)*EXP(-0.5*(($A182-Controls!$B$28-(Controls!$C$28-1)/2)/MAX(Controls!$C$28/4,0.5))^2),0))</f>
        <v/>
      </c>
      <c r="P182" s="4" t="str">
        <f t="shared" si="1"/>
        <v/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21.0" customHeight="1">
      <c r="A183" s="7" t="str">
        <f>IF(182&lt;=Controls!$B$5,Controls!$B$4+181,"")</f>
        <v/>
      </c>
      <c r="B183" s="10" t="str">
        <f>IF(Random!V183="","",IF(Controls!$B$7="Normal",Controls!$B$8,(Controls!$B$8+Controls!$B$9)/2)+Controls!$B$10*(B182-IF(Controls!$B$7="Normal",Controls!$B$8,(Controls!$B$8+Controls!$B$9)/2))+SQRT(1-Controls!$B$10^2)*(Random!V183-IF(Controls!$B$7="Normal",Controls!$B$8,(Controls!$B$8+Controls!$B$9)/2)))</f>
        <v/>
      </c>
      <c r="C183" s="10" t="str">
        <f>IF(Random!W183="","",IF(Controls!$B$7="Normal",Controls!$B$8,(Controls!$B$8+Controls!$B$9)/2)+Controls!$B$10*(C182-IF(Controls!$B$7="Normal",Controls!$B$8,(Controls!$B$8+Controls!$B$9)/2))+SQRT(1-Controls!$B$10^2)*(Random!W183-IF(Controls!$B$7="Normal",Controls!$B$8,(Controls!$B$8+Controls!$B$9)/2)))</f>
        <v/>
      </c>
      <c r="D183" s="10" t="str">
        <f>IF(Random!X183="","",IF(Controls!$B$7="Normal",Controls!$B$8,(Controls!$B$8+Controls!$B$9)/2)+Controls!$B$10*(D182-IF(Controls!$B$7="Normal",Controls!$B$8,(Controls!$B$8+Controls!$B$9)/2))+SQRT(1-Controls!$B$10^2)*(Random!X183-IF(Controls!$B$7="Normal",Controls!$B$8,(Controls!$B$8+Controls!$B$9)/2)))</f>
        <v/>
      </c>
      <c r="E183" s="10" t="str">
        <f>IF(Random!Y183="","",IF(Controls!$B$7="Normal",Controls!$B$8,(Controls!$B$8+Controls!$B$9)/2)+Controls!$B$10*(E182-IF(Controls!$B$7="Normal",Controls!$B$8,(Controls!$B$8+Controls!$B$9)/2))+SQRT(1-Controls!$B$10^2)*(Random!Y183-IF(Controls!$B$7="Normal",Controls!$B$8,(Controls!$B$8+Controls!$B$9)/2)))</f>
        <v/>
      </c>
      <c r="F183" s="10" t="str">
        <f>IF(Random!Z183="","",IF(Controls!$B$7="Normal",Controls!$B$8,(Controls!$B$8+Controls!$B$9)/2)+Controls!$B$10*(F182-IF(Controls!$B$7="Normal",Controls!$B$8,(Controls!$B$8+Controls!$B$9)/2))+SQRT(1-Controls!$B$10^2)*(Random!Z183-IF(Controls!$B$7="Normal",Controls!$B$8,(Controls!$B$8+Controls!$B$9)/2)))</f>
        <v/>
      </c>
      <c r="G183" s="10" t="str">
        <f>IF(Random!AA183="","",IF(Controls!$B$7="Normal",Controls!$B$8,(Controls!$B$8+Controls!$B$9)/2)+Controls!$B$10*(G182-IF(Controls!$B$7="Normal",Controls!$B$8,(Controls!$B$8+Controls!$B$9)/2))+SQRT(1-Controls!$B$10^2)*(Random!AA183-IF(Controls!$B$7="Normal",Controls!$B$8,(Controls!$B$8+Controls!$B$9)/2)))</f>
        <v/>
      </c>
      <c r="H183" s="10" t="str">
        <f>IF(Random!AB183="","",IF(Controls!$B$7="Normal",Controls!$B$8,(Controls!$B$8+Controls!$B$9)/2)+Controls!$B$10*(H182-IF(Controls!$B$7="Normal",Controls!$B$8,(Controls!$B$8+Controls!$B$9)/2))+SQRT(1-Controls!$B$10^2)*(Random!AB183-IF(Controls!$B$7="Normal",Controls!$B$8,(Controls!$B$8+Controls!$B$9)/2)))</f>
        <v/>
      </c>
      <c r="I183" s="10" t="str">
        <f>IF(Random!AC183="","",IF(Controls!$B$7="Normal",Controls!$B$8,(Controls!$B$8+Controls!$B$9)/2)+Controls!$B$10*(I182-IF(Controls!$B$7="Normal",Controls!$B$8,(Controls!$B$8+Controls!$B$9)/2))+SQRT(1-Controls!$B$10^2)*(Random!AC183-IF(Controls!$B$7="Normal",Controls!$B$8,(Controls!$B$8+Controls!$B$9)/2)))</f>
        <v/>
      </c>
      <c r="J183" s="10" t="str">
        <f>IF(Random!AD183="","",IF(Controls!$B$7="Normal",Controls!$B$8,(Controls!$B$8+Controls!$B$9)/2)+Controls!$B$10*(J182-IF(Controls!$B$7="Normal",Controls!$B$8,(Controls!$B$8+Controls!$B$9)/2))+SQRT(1-Controls!$B$10^2)*(Random!AD183-IF(Controls!$B$7="Normal",Controls!$B$8,(Controls!$B$8+Controls!$B$9)/2)))</f>
        <v/>
      </c>
      <c r="K183" s="10" t="str">
        <f>IF(Random!AE183="","",IF(Controls!$B$7="Normal",Controls!$B$8,(Controls!$B$8+Controls!$B$9)/2)+Controls!$B$10*(K182-IF(Controls!$B$7="Normal",Controls!$B$8,(Controls!$B$8+Controls!$B$9)/2))+SQRT(1-Controls!$B$10^2)*(Random!AE183-IF(Controls!$B$7="Normal",Controls!$B$8,(Controls!$B$8+Controls!$B$9)/2)))</f>
        <v/>
      </c>
      <c r="L183" s="10" t="str">
        <f>IF($A183="","",IF(AND($A183&gt;=Controls!$B$25,$A183&lt;Controls!$B$25+Controls!$C$25),(Controls!$D$25-1)*EXP(-0.5*(($A183-Controls!$B$25-(Controls!$C$25-1)/2)/MAX(Controls!$C$25/4,0.5))^2),0))</f>
        <v/>
      </c>
      <c r="M183" s="10" t="str">
        <f>IF($A183="","",IF(AND($A183&gt;=Controls!$B$26,$A183&lt;Controls!$B$26+Controls!$C$26),(Controls!$D$26-1)*EXP(-0.5*(($A183-Controls!$B$26-(Controls!$C$26-1)/2)/MAX(Controls!$C$26/4,0.5))^2),0))</f>
        <v/>
      </c>
      <c r="N183" s="10" t="str">
        <f>IF($A183="","",IF(AND($A183&gt;=Controls!$B$27,$A183&lt;Controls!$B$27+Controls!$C$27),(Controls!$D$27-1)*EXP(-0.5*(($A183-Controls!$B$27-(Controls!$C$27-1)/2)/MAX(Controls!$C$27/4,0.5))^2),0))</f>
        <v/>
      </c>
      <c r="O183" s="10" t="str">
        <f>IF($A183="","",IF(AND($A183&gt;=Controls!$B$28,$A183&lt;Controls!$B$28+Controls!$C$28),(Controls!$D$28-1)*EXP(-0.5*(($A183-Controls!$B$28-(Controls!$C$28-1)/2)/MAX(Controls!$C$28/4,0.5))^2),0))</f>
        <v/>
      </c>
      <c r="P183" s="4" t="str">
        <f t="shared" si="1"/>
        <v/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21.0" customHeight="1">
      <c r="A184" s="7" t="str">
        <f>IF(183&lt;=Controls!$B$5,Controls!$B$4+182,"")</f>
        <v/>
      </c>
      <c r="B184" s="10" t="str">
        <f>IF(Random!V184="","",IF(Controls!$B$7="Normal",Controls!$B$8,(Controls!$B$8+Controls!$B$9)/2)+Controls!$B$10*(B183-IF(Controls!$B$7="Normal",Controls!$B$8,(Controls!$B$8+Controls!$B$9)/2))+SQRT(1-Controls!$B$10^2)*(Random!V184-IF(Controls!$B$7="Normal",Controls!$B$8,(Controls!$B$8+Controls!$B$9)/2)))</f>
        <v/>
      </c>
      <c r="C184" s="10" t="str">
        <f>IF(Random!W184="","",IF(Controls!$B$7="Normal",Controls!$B$8,(Controls!$B$8+Controls!$B$9)/2)+Controls!$B$10*(C183-IF(Controls!$B$7="Normal",Controls!$B$8,(Controls!$B$8+Controls!$B$9)/2))+SQRT(1-Controls!$B$10^2)*(Random!W184-IF(Controls!$B$7="Normal",Controls!$B$8,(Controls!$B$8+Controls!$B$9)/2)))</f>
        <v/>
      </c>
      <c r="D184" s="10" t="str">
        <f>IF(Random!X184="","",IF(Controls!$B$7="Normal",Controls!$B$8,(Controls!$B$8+Controls!$B$9)/2)+Controls!$B$10*(D183-IF(Controls!$B$7="Normal",Controls!$B$8,(Controls!$B$8+Controls!$B$9)/2))+SQRT(1-Controls!$B$10^2)*(Random!X184-IF(Controls!$B$7="Normal",Controls!$B$8,(Controls!$B$8+Controls!$B$9)/2)))</f>
        <v/>
      </c>
      <c r="E184" s="10" t="str">
        <f>IF(Random!Y184="","",IF(Controls!$B$7="Normal",Controls!$B$8,(Controls!$B$8+Controls!$B$9)/2)+Controls!$B$10*(E183-IF(Controls!$B$7="Normal",Controls!$B$8,(Controls!$B$8+Controls!$B$9)/2))+SQRT(1-Controls!$B$10^2)*(Random!Y184-IF(Controls!$B$7="Normal",Controls!$B$8,(Controls!$B$8+Controls!$B$9)/2)))</f>
        <v/>
      </c>
      <c r="F184" s="10" t="str">
        <f>IF(Random!Z184="","",IF(Controls!$B$7="Normal",Controls!$B$8,(Controls!$B$8+Controls!$B$9)/2)+Controls!$B$10*(F183-IF(Controls!$B$7="Normal",Controls!$B$8,(Controls!$B$8+Controls!$B$9)/2))+SQRT(1-Controls!$B$10^2)*(Random!Z184-IF(Controls!$B$7="Normal",Controls!$B$8,(Controls!$B$8+Controls!$B$9)/2)))</f>
        <v/>
      </c>
      <c r="G184" s="10" t="str">
        <f>IF(Random!AA184="","",IF(Controls!$B$7="Normal",Controls!$B$8,(Controls!$B$8+Controls!$B$9)/2)+Controls!$B$10*(G183-IF(Controls!$B$7="Normal",Controls!$B$8,(Controls!$B$8+Controls!$B$9)/2))+SQRT(1-Controls!$B$10^2)*(Random!AA184-IF(Controls!$B$7="Normal",Controls!$B$8,(Controls!$B$8+Controls!$B$9)/2)))</f>
        <v/>
      </c>
      <c r="H184" s="10" t="str">
        <f>IF(Random!AB184="","",IF(Controls!$B$7="Normal",Controls!$B$8,(Controls!$B$8+Controls!$B$9)/2)+Controls!$B$10*(H183-IF(Controls!$B$7="Normal",Controls!$B$8,(Controls!$B$8+Controls!$B$9)/2))+SQRT(1-Controls!$B$10^2)*(Random!AB184-IF(Controls!$B$7="Normal",Controls!$B$8,(Controls!$B$8+Controls!$B$9)/2)))</f>
        <v/>
      </c>
      <c r="I184" s="10" t="str">
        <f>IF(Random!AC184="","",IF(Controls!$B$7="Normal",Controls!$B$8,(Controls!$B$8+Controls!$B$9)/2)+Controls!$B$10*(I183-IF(Controls!$B$7="Normal",Controls!$B$8,(Controls!$B$8+Controls!$B$9)/2))+SQRT(1-Controls!$B$10^2)*(Random!AC184-IF(Controls!$B$7="Normal",Controls!$B$8,(Controls!$B$8+Controls!$B$9)/2)))</f>
        <v/>
      </c>
      <c r="J184" s="10" t="str">
        <f>IF(Random!AD184="","",IF(Controls!$B$7="Normal",Controls!$B$8,(Controls!$B$8+Controls!$B$9)/2)+Controls!$B$10*(J183-IF(Controls!$B$7="Normal",Controls!$B$8,(Controls!$B$8+Controls!$B$9)/2))+SQRT(1-Controls!$B$10^2)*(Random!AD184-IF(Controls!$B$7="Normal",Controls!$B$8,(Controls!$B$8+Controls!$B$9)/2)))</f>
        <v/>
      </c>
      <c r="K184" s="10" t="str">
        <f>IF(Random!AE184="","",IF(Controls!$B$7="Normal",Controls!$B$8,(Controls!$B$8+Controls!$B$9)/2)+Controls!$B$10*(K183-IF(Controls!$B$7="Normal",Controls!$B$8,(Controls!$B$8+Controls!$B$9)/2))+SQRT(1-Controls!$B$10^2)*(Random!AE184-IF(Controls!$B$7="Normal",Controls!$B$8,(Controls!$B$8+Controls!$B$9)/2)))</f>
        <v/>
      </c>
      <c r="L184" s="10" t="str">
        <f>IF($A184="","",IF(AND($A184&gt;=Controls!$B$25,$A184&lt;Controls!$B$25+Controls!$C$25),(Controls!$D$25-1)*EXP(-0.5*(($A184-Controls!$B$25-(Controls!$C$25-1)/2)/MAX(Controls!$C$25/4,0.5))^2),0))</f>
        <v/>
      </c>
      <c r="M184" s="10" t="str">
        <f>IF($A184="","",IF(AND($A184&gt;=Controls!$B$26,$A184&lt;Controls!$B$26+Controls!$C$26),(Controls!$D$26-1)*EXP(-0.5*(($A184-Controls!$B$26-(Controls!$C$26-1)/2)/MAX(Controls!$C$26/4,0.5))^2),0))</f>
        <v/>
      </c>
      <c r="N184" s="10" t="str">
        <f>IF($A184="","",IF(AND($A184&gt;=Controls!$B$27,$A184&lt;Controls!$B$27+Controls!$C$27),(Controls!$D$27-1)*EXP(-0.5*(($A184-Controls!$B$27-(Controls!$C$27-1)/2)/MAX(Controls!$C$27/4,0.5))^2),0))</f>
        <v/>
      </c>
      <c r="O184" s="10" t="str">
        <f>IF($A184="","",IF(AND($A184&gt;=Controls!$B$28,$A184&lt;Controls!$B$28+Controls!$C$28),(Controls!$D$28-1)*EXP(-0.5*(($A184-Controls!$B$28-(Controls!$C$28-1)/2)/MAX(Controls!$C$28/4,0.5))^2),0))</f>
        <v/>
      </c>
      <c r="P184" s="4" t="str">
        <f t="shared" si="1"/>
        <v/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21.0" customHeight="1">
      <c r="A185" s="7" t="str">
        <f>IF(184&lt;=Controls!$B$5,Controls!$B$4+183,"")</f>
        <v/>
      </c>
      <c r="B185" s="10" t="str">
        <f>IF(Random!V185="","",IF(Controls!$B$7="Normal",Controls!$B$8,(Controls!$B$8+Controls!$B$9)/2)+Controls!$B$10*(B184-IF(Controls!$B$7="Normal",Controls!$B$8,(Controls!$B$8+Controls!$B$9)/2))+SQRT(1-Controls!$B$10^2)*(Random!V185-IF(Controls!$B$7="Normal",Controls!$B$8,(Controls!$B$8+Controls!$B$9)/2)))</f>
        <v/>
      </c>
      <c r="C185" s="10" t="str">
        <f>IF(Random!W185="","",IF(Controls!$B$7="Normal",Controls!$B$8,(Controls!$B$8+Controls!$B$9)/2)+Controls!$B$10*(C184-IF(Controls!$B$7="Normal",Controls!$B$8,(Controls!$B$8+Controls!$B$9)/2))+SQRT(1-Controls!$B$10^2)*(Random!W185-IF(Controls!$B$7="Normal",Controls!$B$8,(Controls!$B$8+Controls!$B$9)/2)))</f>
        <v/>
      </c>
      <c r="D185" s="10" t="str">
        <f>IF(Random!X185="","",IF(Controls!$B$7="Normal",Controls!$B$8,(Controls!$B$8+Controls!$B$9)/2)+Controls!$B$10*(D184-IF(Controls!$B$7="Normal",Controls!$B$8,(Controls!$B$8+Controls!$B$9)/2))+SQRT(1-Controls!$B$10^2)*(Random!X185-IF(Controls!$B$7="Normal",Controls!$B$8,(Controls!$B$8+Controls!$B$9)/2)))</f>
        <v/>
      </c>
      <c r="E185" s="10" t="str">
        <f>IF(Random!Y185="","",IF(Controls!$B$7="Normal",Controls!$B$8,(Controls!$B$8+Controls!$B$9)/2)+Controls!$B$10*(E184-IF(Controls!$B$7="Normal",Controls!$B$8,(Controls!$B$8+Controls!$B$9)/2))+SQRT(1-Controls!$B$10^2)*(Random!Y185-IF(Controls!$B$7="Normal",Controls!$B$8,(Controls!$B$8+Controls!$B$9)/2)))</f>
        <v/>
      </c>
      <c r="F185" s="10" t="str">
        <f>IF(Random!Z185="","",IF(Controls!$B$7="Normal",Controls!$B$8,(Controls!$B$8+Controls!$B$9)/2)+Controls!$B$10*(F184-IF(Controls!$B$7="Normal",Controls!$B$8,(Controls!$B$8+Controls!$B$9)/2))+SQRT(1-Controls!$B$10^2)*(Random!Z185-IF(Controls!$B$7="Normal",Controls!$B$8,(Controls!$B$8+Controls!$B$9)/2)))</f>
        <v/>
      </c>
      <c r="G185" s="10" t="str">
        <f>IF(Random!AA185="","",IF(Controls!$B$7="Normal",Controls!$B$8,(Controls!$B$8+Controls!$B$9)/2)+Controls!$B$10*(G184-IF(Controls!$B$7="Normal",Controls!$B$8,(Controls!$B$8+Controls!$B$9)/2))+SQRT(1-Controls!$B$10^2)*(Random!AA185-IF(Controls!$B$7="Normal",Controls!$B$8,(Controls!$B$8+Controls!$B$9)/2)))</f>
        <v/>
      </c>
      <c r="H185" s="10" t="str">
        <f>IF(Random!AB185="","",IF(Controls!$B$7="Normal",Controls!$B$8,(Controls!$B$8+Controls!$B$9)/2)+Controls!$B$10*(H184-IF(Controls!$B$7="Normal",Controls!$B$8,(Controls!$B$8+Controls!$B$9)/2))+SQRT(1-Controls!$B$10^2)*(Random!AB185-IF(Controls!$B$7="Normal",Controls!$B$8,(Controls!$B$8+Controls!$B$9)/2)))</f>
        <v/>
      </c>
      <c r="I185" s="10" t="str">
        <f>IF(Random!AC185="","",IF(Controls!$B$7="Normal",Controls!$B$8,(Controls!$B$8+Controls!$B$9)/2)+Controls!$B$10*(I184-IF(Controls!$B$7="Normal",Controls!$B$8,(Controls!$B$8+Controls!$B$9)/2))+SQRT(1-Controls!$B$10^2)*(Random!AC185-IF(Controls!$B$7="Normal",Controls!$B$8,(Controls!$B$8+Controls!$B$9)/2)))</f>
        <v/>
      </c>
      <c r="J185" s="10" t="str">
        <f>IF(Random!AD185="","",IF(Controls!$B$7="Normal",Controls!$B$8,(Controls!$B$8+Controls!$B$9)/2)+Controls!$B$10*(J184-IF(Controls!$B$7="Normal",Controls!$B$8,(Controls!$B$8+Controls!$B$9)/2))+SQRT(1-Controls!$B$10^2)*(Random!AD185-IF(Controls!$B$7="Normal",Controls!$B$8,(Controls!$B$8+Controls!$B$9)/2)))</f>
        <v/>
      </c>
      <c r="K185" s="10" t="str">
        <f>IF(Random!AE185="","",IF(Controls!$B$7="Normal",Controls!$B$8,(Controls!$B$8+Controls!$B$9)/2)+Controls!$B$10*(K184-IF(Controls!$B$7="Normal",Controls!$B$8,(Controls!$B$8+Controls!$B$9)/2))+SQRT(1-Controls!$B$10^2)*(Random!AE185-IF(Controls!$B$7="Normal",Controls!$B$8,(Controls!$B$8+Controls!$B$9)/2)))</f>
        <v/>
      </c>
      <c r="L185" s="10" t="str">
        <f>IF($A185="","",IF(AND($A185&gt;=Controls!$B$25,$A185&lt;Controls!$B$25+Controls!$C$25),(Controls!$D$25-1)*EXP(-0.5*(($A185-Controls!$B$25-(Controls!$C$25-1)/2)/MAX(Controls!$C$25/4,0.5))^2),0))</f>
        <v/>
      </c>
      <c r="M185" s="10" t="str">
        <f>IF($A185="","",IF(AND($A185&gt;=Controls!$B$26,$A185&lt;Controls!$B$26+Controls!$C$26),(Controls!$D$26-1)*EXP(-0.5*(($A185-Controls!$B$26-(Controls!$C$26-1)/2)/MAX(Controls!$C$26/4,0.5))^2),0))</f>
        <v/>
      </c>
      <c r="N185" s="10" t="str">
        <f>IF($A185="","",IF(AND($A185&gt;=Controls!$B$27,$A185&lt;Controls!$B$27+Controls!$C$27),(Controls!$D$27-1)*EXP(-0.5*(($A185-Controls!$B$27-(Controls!$C$27-1)/2)/MAX(Controls!$C$27/4,0.5))^2),0))</f>
        <v/>
      </c>
      <c r="O185" s="10" t="str">
        <f>IF($A185="","",IF(AND($A185&gt;=Controls!$B$28,$A185&lt;Controls!$B$28+Controls!$C$28),(Controls!$D$28-1)*EXP(-0.5*(($A185-Controls!$B$28-(Controls!$C$28-1)/2)/MAX(Controls!$C$28/4,0.5))^2),0))</f>
        <v/>
      </c>
      <c r="P185" s="4" t="str">
        <f t="shared" si="1"/>
        <v/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21.0" customHeight="1">
      <c r="A186" s="7" t="str">
        <f>IF(185&lt;=Controls!$B$5,Controls!$B$4+184,"")</f>
        <v/>
      </c>
      <c r="B186" s="10" t="str">
        <f>IF(Random!V186="","",IF(Controls!$B$7="Normal",Controls!$B$8,(Controls!$B$8+Controls!$B$9)/2)+Controls!$B$10*(B185-IF(Controls!$B$7="Normal",Controls!$B$8,(Controls!$B$8+Controls!$B$9)/2))+SQRT(1-Controls!$B$10^2)*(Random!V186-IF(Controls!$B$7="Normal",Controls!$B$8,(Controls!$B$8+Controls!$B$9)/2)))</f>
        <v/>
      </c>
      <c r="C186" s="10" t="str">
        <f>IF(Random!W186="","",IF(Controls!$B$7="Normal",Controls!$B$8,(Controls!$B$8+Controls!$B$9)/2)+Controls!$B$10*(C185-IF(Controls!$B$7="Normal",Controls!$B$8,(Controls!$B$8+Controls!$B$9)/2))+SQRT(1-Controls!$B$10^2)*(Random!W186-IF(Controls!$B$7="Normal",Controls!$B$8,(Controls!$B$8+Controls!$B$9)/2)))</f>
        <v/>
      </c>
      <c r="D186" s="10" t="str">
        <f>IF(Random!X186="","",IF(Controls!$B$7="Normal",Controls!$B$8,(Controls!$B$8+Controls!$B$9)/2)+Controls!$B$10*(D185-IF(Controls!$B$7="Normal",Controls!$B$8,(Controls!$B$8+Controls!$B$9)/2))+SQRT(1-Controls!$B$10^2)*(Random!X186-IF(Controls!$B$7="Normal",Controls!$B$8,(Controls!$B$8+Controls!$B$9)/2)))</f>
        <v/>
      </c>
      <c r="E186" s="10" t="str">
        <f>IF(Random!Y186="","",IF(Controls!$B$7="Normal",Controls!$B$8,(Controls!$B$8+Controls!$B$9)/2)+Controls!$B$10*(E185-IF(Controls!$B$7="Normal",Controls!$B$8,(Controls!$B$8+Controls!$B$9)/2))+SQRT(1-Controls!$B$10^2)*(Random!Y186-IF(Controls!$B$7="Normal",Controls!$B$8,(Controls!$B$8+Controls!$B$9)/2)))</f>
        <v/>
      </c>
      <c r="F186" s="10" t="str">
        <f>IF(Random!Z186="","",IF(Controls!$B$7="Normal",Controls!$B$8,(Controls!$B$8+Controls!$B$9)/2)+Controls!$B$10*(F185-IF(Controls!$B$7="Normal",Controls!$B$8,(Controls!$B$8+Controls!$B$9)/2))+SQRT(1-Controls!$B$10^2)*(Random!Z186-IF(Controls!$B$7="Normal",Controls!$B$8,(Controls!$B$8+Controls!$B$9)/2)))</f>
        <v/>
      </c>
      <c r="G186" s="10" t="str">
        <f>IF(Random!AA186="","",IF(Controls!$B$7="Normal",Controls!$B$8,(Controls!$B$8+Controls!$B$9)/2)+Controls!$B$10*(G185-IF(Controls!$B$7="Normal",Controls!$B$8,(Controls!$B$8+Controls!$B$9)/2))+SQRT(1-Controls!$B$10^2)*(Random!AA186-IF(Controls!$B$7="Normal",Controls!$B$8,(Controls!$B$8+Controls!$B$9)/2)))</f>
        <v/>
      </c>
      <c r="H186" s="10" t="str">
        <f>IF(Random!AB186="","",IF(Controls!$B$7="Normal",Controls!$B$8,(Controls!$B$8+Controls!$B$9)/2)+Controls!$B$10*(H185-IF(Controls!$B$7="Normal",Controls!$B$8,(Controls!$B$8+Controls!$B$9)/2))+SQRT(1-Controls!$B$10^2)*(Random!AB186-IF(Controls!$B$7="Normal",Controls!$B$8,(Controls!$B$8+Controls!$B$9)/2)))</f>
        <v/>
      </c>
      <c r="I186" s="10" t="str">
        <f>IF(Random!AC186="","",IF(Controls!$B$7="Normal",Controls!$B$8,(Controls!$B$8+Controls!$B$9)/2)+Controls!$B$10*(I185-IF(Controls!$B$7="Normal",Controls!$B$8,(Controls!$B$8+Controls!$B$9)/2))+SQRT(1-Controls!$B$10^2)*(Random!AC186-IF(Controls!$B$7="Normal",Controls!$B$8,(Controls!$B$8+Controls!$B$9)/2)))</f>
        <v/>
      </c>
      <c r="J186" s="10" t="str">
        <f>IF(Random!AD186="","",IF(Controls!$B$7="Normal",Controls!$B$8,(Controls!$B$8+Controls!$B$9)/2)+Controls!$B$10*(J185-IF(Controls!$B$7="Normal",Controls!$B$8,(Controls!$B$8+Controls!$B$9)/2))+SQRT(1-Controls!$B$10^2)*(Random!AD186-IF(Controls!$B$7="Normal",Controls!$B$8,(Controls!$B$8+Controls!$B$9)/2)))</f>
        <v/>
      </c>
      <c r="K186" s="10" t="str">
        <f>IF(Random!AE186="","",IF(Controls!$B$7="Normal",Controls!$B$8,(Controls!$B$8+Controls!$B$9)/2)+Controls!$B$10*(K185-IF(Controls!$B$7="Normal",Controls!$B$8,(Controls!$B$8+Controls!$B$9)/2))+SQRT(1-Controls!$B$10^2)*(Random!AE186-IF(Controls!$B$7="Normal",Controls!$B$8,(Controls!$B$8+Controls!$B$9)/2)))</f>
        <v/>
      </c>
      <c r="L186" s="10" t="str">
        <f>IF($A186="","",IF(AND($A186&gt;=Controls!$B$25,$A186&lt;Controls!$B$25+Controls!$C$25),(Controls!$D$25-1)*EXP(-0.5*(($A186-Controls!$B$25-(Controls!$C$25-1)/2)/MAX(Controls!$C$25/4,0.5))^2),0))</f>
        <v/>
      </c>
      <c r="M186" s="10" t="str">
        <f>IF($A186="","",IF(AND($A186&gt;=Controls!$B$26,$A186&lt;Controls!$B$26+Controls!$C$26),(Controls!$D$26-1)*EXP(-0.5*(($A186-Controls!$B$26-(Controls!$C$26-1)/2)/MAX(Controls!$C$26/4,0.5))^2),0))</f>
        <v/>
      </c>
      <c r="N186" s="10" t="str">
        <f>IF($A186="","",IF(AND($A186&gt;=Controls!$B$27,$A186&lt;Controls!$B$27+Controls!$C$27),(Controls!$D$27-1)*EXP(-0.5*(($A186-Controls!$B$27-(Controls!$C$27-1)/2)/MAX(Controls!$C$27/4,0.5))^2),0))</f>
        <v/>
      </c>
      <c r="O186" s="10" t="str">
        <f>IF($A186="","",IF(AND($A186&gt;=Controls!$B$28,$A186&lt;Controls!$B$28+Controls!$C$28),(Controls!$D$28-1)*EXP(-0.5*(($A186-Controls!$B$28-(Controls!$C$28-1)/2)/MAX(Controls!$C$28/4,0.5))^2),0))</f>
        <v/>
      </c>
      <c r="P186" s="4" t="str">
        <f t="shared" si="1"/>
        <v/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21.0" customHeight="1">
      <c r="A187" s="7" t="str">
        <f>IF(186&lt;=Controls!$B$5,Controls!$B$4+185,"")</f>
        <v/>
      </c>
      <c r="B187" s="10" t="str">
        <f>IF(Random!V187="","",IF(Controls!$B$7="Normal",Controls!$B$8,(Controls!$B$8+Controls!$B$9)/2)+Controls!$B$10*(B186-IF(Controls!$B$7="Normal",Controls!$B$8,(Controls!$B$8+Controls!$B$9)/2))+SQRT(1-Controls!$B$10^2)*(Random!V187-IF(Controls!$B$7="Normal",Controls!$B$8,(Controls!$B$8+Controls!$B$9)/2)))</f>
        <v/>
      </c>
      <c r="C187" s="10" t="str">
        <f>IF(Random!W187="","",IF(Controls!$B$7="Normal",Controls!$B$8,(Controls!$B$8+Controls!$B$9)/2)+Controls!$B$10*(C186-IF(Controls!$B$7="Normal",Controls!$B$8,(Controls!$B$8+Controls!$B$9)/2))+SQRT(1-Controls!$B$10^2)*(Random!W187-IF(Controls!$B$7="Normal",Controls!$B$8,(Controls!$B$8+Controls!$B$9)/2)))</f>
        <v/>
      </c>
      <c r="D187" s="10" t="str">
        <f>IF(Random!X187="","",IF(Controls!$B$7="Normal",Controls!$B$8,(Controls!$B$8+Controls!$B$9)/2)+Controls!$B$10*(D186-IF(Controls!$B$7="Normal",Controls!$B$8,(Controls!$B$8+Controls!$B$9)/2))+SQRT(1-Controls!$B$10^2)*(Random!X187-IF(Controls!$B$7="Normal",Controls!$B$8,(Controls!$B$8+Controls!$B$9)/2)))</f>
        <v/>
      </c>
      <c r="E187" s="10" t="str">
        <f>IF(Random!Y187="","",IF(Controls!$B$7="Normal",Controls!$B$8,(Controls!$B$8+Controls!$B$9)/2)+Controls!$B$10*(E186-IF(Controls!$B$7="Normal",Controls!$B$8,(Controls!$B$8+Controls!$B$9)/2))+SQRT(1-Controls!$B$10^2)*(Random!Y187-IF(Controls!$B$7="Normal",Controls!$B$8,(Controls!$B$8+Controls!$B$9)/2)))</f>
        <v/>
      </c>
      <c r="F187" s="10" t="str">
        <f>IF(Random!Z187="","",IF(Controls!$B$7="Normal",Controls!$B$8,(Controls!$B$8+Controls!$B$9)/2)+Controls!$B$10*(F186-IF(Controls!$B$7="Normal",Controls!$B$8,(Controls!$B$8+Controls!$B$9)/2))+SQRT(1-Controls!$B$10^2)*(Random!Z187-IF(Controls!$B$7="Normal",Controls!$B$8,(Controls!$B$8+Controls!$B$9)/2)))</f>
        <v/>
      </c>
      <c r="G187" s="10" t="str">
        <f>IF(Random!AA187="","",IF(Controls!$B$7="Normal",Controls!$B$8,(Controls!$B$8+Controls!$B$9)/2)+Controls!$B$10*(G186-IF(Controls!$B$7="Normal",Controls!$B$8,(Controls!$B$8+Controls!$B$9)/2))+SQRT(1-Controls!$B$10^2)*(Random!AA187-IF(Controls!$B$7="Normal",Controls!$B$8,(Controls!$B$8+Controls!$B$9)/2)))</f>
        <v/>
      </c>
      <c r="H187" s="10" t="str">
        <f>IF(Random!AB187="","",IF(Controls!$B$7="Normal",Controls!$B$8,(Controls!$B$8+Controls!$B$9)/2)+Controls!$B$10*(H186-IF(Controls!$B$7="Normal",Controls!$B$8,(Controls!$B$8+Controls!$B$9)/2))+SQRT(1-Controls!$B$10^2)*(Random!AB187-IF(Controls!$B$7="Normal",Controls!$B$8,(Controls!$B$8+Controls!$B$9)/2)))</f>
        <v/>
      </c>
      <c r="I187" s="10" t="str">
        <f>IF(Random!AC187="","",IF(Controls!$B$7="Normal",Controls!$B$8,(Controls!$B$8+Controls!$B$9)/2)+Controls!$B$10*(I186-IF(Controls!$B$7="Normal",Controls!$B$8,(Controls!$B$8+Controls!$B$9)/2))+SQRT(1-Controls!$B$10^2)*(Random!AC187-IF(Controls!$B$7="Normal",Controls!$B$8,(Controls!$B$8+Controls!$B$9)/2)))</f>
        <v/>
      </c>
      <c r="J187" s="10" t="str">
        <f>IF(Random!AD187="","",IF(Controls!$B$7="Normal",Controls!$B$8,(Controls!$B$8+Controls!$B$9)/2)+Controls!$B$10*(J186-IF(Controls!$B$7="Normal",Controls!$B$8,(Controls!$B$8+Controls!$B$9)/2))+SQRT(1-Controls!$B$10^2)*(Random!AD187-IF(Controls!$B$7="Normal",Controls!$B$8,(Controls!$B$8+Controls!$B$9)/2)))</f>
        <v/>
      </c>
      <c r="K187" s="10" t="str">
        <f>IF(Random!AE187="","",IF(Controls!$B$7="Normal",Controls!$B$8,(Controls!$B$8+Controls!$B$9)/2)+Controls!$B$10*(K186-IF(Controls!$B$7="Normal",Controls!$B$8,(Controls!$B$8+Controls!$B$9)/2))+SQRT(1-Controls!$B$10^2)*(Random!AE187-IF(Controls!$B$7="Normal",Controls!$B$8,(Controls!$B$8+Controls!$B$9)/2)))</f>
        <v/>
      </c>
      <c r="L187" s="10" t="str">
        <f>IF($A187="","",IF(AND($A187&gt;=Controls!$B$25,$A187&lt;Controls!$B$25+Controls!$C$25),(Controls!$D$25-1)*EXP(-0.5*(($A187-Controls!$B$25-(Controls!$C$25-1)/2)/MAX(Controls!$C$25/4,0.5))^2),0))</f>
        <v/>
      </c>
      <c r="M187" s="10" t="str">
        <f>IF($A187="","",IF(AND($A187&gt;=Controls!$B$26,$A187&lt;Controls!$B$26+Controls!$C$26),(Controls!$D$26-1)*EXP(-0.5*(($A187-Controls!$B$26-(Controls!$C$26-1)/2)/MAX(Controls!$C$26/4,0.5))^2),0))</f>
        <v/>
      </c>
      <c r="N187" s="10" t="str">
        <f>IF($A187="","",IF(AND($A187&gt;=Controls!$B$27,$A187&lt;Controls!$B$27+Controls!$C$27),(Controls!$D$27-1)*EXP(-0.5*(($A187-Controls!$B$27-(Controls!$C$27-1)/2)/MAX(Controls!$C$27/4,0.5))^2),0))</f>
        <v/>
      </c>
      <c r="O187" s="10" t="str">
        <f>IF($A187="","",IF(AND($A187&gt;=Controls!$B$28,$A187&lt;Controls!$B$28+Controls!$C$28),(Controls!$D$28-1)*EXP(-0.5*(($A187-Controls!$B$28-(Controls!$C$28-1)/2)/MAX(Controls!$C$28/4,0.5))^2),0))</f>
        <v/>
      </c>
      <c r="P187" s="4" t="str">
        <f t="shared" si="1"/>
        <v/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21.0" customHeight="1">
      <c r="A188" s="7" t="str">
        <f>IF(187&lt;=Controls!$B$5,Controls!$B$4+186,"")</f>
        <v/>
      </c>
      <c r="B188" s="10" t="str">
        <f>IF(Random!V188="","",IF(Controls!$B$7="Normal",Controls!$B$8,(Controls!$B$8+Controls!$B$9)/2)+Controls!$B$10*(B187-IF(Controls!$B$7="Normal",Controls!$B$8,(Controls!$B$8+Controls!$B$9)/2))+SQRT(1-Controls!$B$10^2)*(Random!V188-IF(Controls!$B$7="Normal",Controls!$B$8,(Controls!$B$8+Controls!$B$9)/2)))</f>
        <v/>
      </c>
      <c r="C188" s="10" t="str">
        <f>IF(Random!W188="","",IF(Controls!$B$7="Normal",Controls!$B$8,(Controls!$B$8+Controls!$B$9)/2)+Controls!$B$10*(C187-IF(Controls!$B$7="Normal",Controls!$B$8,(Controls!$B$8+Controls!$B$9)/2))+SQRT(1-Controls!$B$10^2)*(Random!W188-IF(Controls!$B$7="Normal",Controls!$B$8,(Controls!$B$8+Controls!$B$9)/2)))</f>
        <v/>
      </c>
      <c r="D188" s="10" t="str">
        <f>IF(Random!X188="","",IF(Controls!$B$7="Normal",Controls!$B$8,(Controls!$B$8+Controls!$B$9)/2)+Controls!$B$10*(D187-IF(Controls!$B$7="Normal",Controls!$B$8,(Controls!$B$8+Controls!$B$9)/2))+SQRT(1-Controls!$B$10^2)*(Random!X188-IF(Controls!$B$7="Normal",Controls!$B$8,(Controls!$B$8+Controls!$B$9)/2)))</f>
        <v/>
      </c>
      <c r="E188" s="10" t="str">
        <f>IF(Random!Y188="","",IF(Controls!$B$7="Normal",Controls!$B$8,(Controls!$B$8+Controls!$B$9)/2)+Controls!$B$10*(E187-IF(Controls!$B$7="Normal",Controls!$B$8,(Controls!$B$8+Controls!$B$9)/2))+SQRT(1-Controls!$B$10^2)*(Random!Y188-IF(Controls!$B$7="Normal",Controls!$B$8,(Controls!$B$8+Controls!$B$9)/2)))</f>
        <v/>
      </c>
      <c r="F188" s="10" t="str">
        <f>IF(Random!Z188="","",IF(Controls!$B$7="Normal",Controls!$B$8,(Controls!$B$8+Controls!$B$9)/2)+Controls!$B$10*(F187-IF(Controls!$B$7="Normal",Controls!$B$8,(Controls!$B$8+Controls!$B$9)/2))+SQRT(1-Controls!$B$10^2)*(Random!Z188-IF(Controls!$B$7="Normal",Controls!$B$8,(Controls!$B$8+Controls!$B$9)/2)))</f>
        <v/>
      </c>
      <c r="G188" s="10" t="str">
        <f>IF(Random!AA188="","",IF(Controls!$B$7="Normal",Controls!$B$8,(Controls!$B$8+Controls!$B$9)/2)+Controls!$B$10*(G187-IF(Controls!$B$7="Normal",Controls!$B$8,(Controls!$B$8+Controls!$B$9)/2))+SQRT(1-Controls!$B$10^2)*(Random!AA188-IF(Controls!$B$7="Normal",Controls!$B$8,(Controls!$B$8+Controls!$B$9)/2)))</f>
        <v/>
      </c>
      <c r="H188" s="10" t="str">
        <f>IF(Random!AB188="","",IF(Controls!$B$7="Normal",Controls!$B$8,(Controls!$B$8+Controls!$B$9)/2)+Controls!$B$10*(H187-IF(Controls!$B$7="Normal",Controls!$B$8,(Controls!$B$8+Controls!$B$9)/2))+SQRT(1-Controls!$B$10^2)*(Random!AB188-IF(Controls!$B$7="Normal",Controls!$B$8,(Controls!$B$8+Controls!$B$9)/2)))</f>
        <v/>
      </c>
      <c r="I188" s="10" t="str">
        <f>IF(Random!AC188="","",IF(Controls!$B$7="Normal",Controls!$B$8,(Controls!$B$8+Controls!$B$9)/2)+Controls!$B$10*(I187-IF(Controls!$B$7="Normal",Controls!$B$8,(Controls!$B$8+Controls!$B$9)/2))+SQRT(1-Controls!$B$10^2)*(Random!AC188-IF(Controls!$B$7="Normal",Controls!$B$8,(Controls!$B$8+Controls!$B$9)/2)))</f>
        <v/>
      </c>
      <c r="J188" s="10" t="str">
        <f>IF(Random!AD188="","",IF(Controls!$B$7="Normal",Controls!$B$8,(Controls!$B$8+Controls!$B$9)/2)+Controls!$B$10*(J187-IF(Controls!$B$7="Normal",Controls!$B$8,(Controls!$B$8+Controls!$B$9)/2))+SQRT(1-Controls!$B$10^2)*(Random!AD188-IF(Controls!$B$7="Normal",Controls!$B$8,(Controls!$B$8+Controls!$B$9)/2)))</f>
        <v/>
      </c>
      <c r="K188" s="10" t="str">
        <f>IF(Random!AE188="","",IF(Controls!$B$7="Normal",Controls!$B$8,(Controls!$B$8+Controls!$B$9)/2)+Controls!$B$10*(K187-IF(Controls!$B$7="Normal",Controls!$B$8,(Controls!$B$8+Controls!$B$9)/2))+SQRT(1-Controls!$B$10^2)*(Random!AE188-IF(Controls!$B$7="Normal",Controls!$B$8,(Controls!$B$8+Controls!$B$9)/2)))</f>
        <v/>
      </c>
      <c r="L188" s="10" t="str">
        <f>IF($A188="","",IF(AND($A188&gt;=Controls!$B$25,$A188&lt;Controls!$B$25+Controls!$C$25),(Controls!$D$25-1)*EXP(-0.5*(($A188-Controls!$B$25-(Controls!$C$25-1)/2)/MAX(Controls!$C$25/4,0.5))^2),0))</f>
        <v/>
      </c>
      <c r="M188" s="10" t="str">
        <f>IF($A188="","",IF(AND($A188&gt;=Controls!$B$26,$A188&lt;Controls!$B$26+Controls!$C$26),(Controls!$D$26-1)*EXP(-0.5*(($A188-Controls!$B$26-(Controls!$C$26-1)/2)/MAX(Controls!$C$26/4,0.5))^2),0))</f>
        <v/>
      </c>
      <c r="N188" s="10" t="str">
        <f>IF($A188="","",IF(AND($A188&gt;=Controls!$B$27,$A188&lt;Controls!$B$27+Controls!$C$27),(Controls!$D$27-1)*EXP(-0.5*(($A188-Controls!$B$27-(Controls!$C$27-1)/2)/MAX(Controls!$C$27/4,0.5))^2),0))</f>
        <v/>
      </c>
      <c r="O188" s="10" t="str">
        <f>IF($A188="","",IF(AND($A188&gt;=Controls!$B$28,$A188&lt;Controls!$B$28+Controls!$C$28),(Controls!$D$28-1)*EXP(-0.5*(($A188-Controls!$B$28-(Controls!$C$28-1)/2)/MAX(Controls!$C$28/4,0.5))^2),0))</f>
        <v/>
      </c>
      <c r="P188" s="4" t="str">
        <f t="shared" si="1"/>
        <v/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21.0" customHeight="1">
      <c r="A189" s="7" t="str">
        <f>IF(188&lt;=Controls!$B$5,Controls!$B$4+187,"")</f>
        <v/>
      </c>
      <c r="B189" s="10" t="str">
        <f>IF(Random!V189="","",IF(Controls!$B$7="Normal",Controls!$B$8,(Controls!$B$8+Controls!$B$9)/2)+Controls!$B$10*(B188-IF(Controls!$B$7="Normal",Controls!$B$8,(Controls!$B$8+Controls!$B$9)/2))+SQRT(1-Controls!$B$10^2)*(Random!V189-IF(Controls!$B$7="Normal",Controls!$B$8,(Controls!$B$8+Controls!$B$9)/2)))</f>
        <v/>
      </c>
      <c r="C189" s="10" t="str">
        <f>IF(Random!W189="","",IF(Controls!$B$7="Normal",Controls!$B$8,(Controls!$B$8+Controls!$B$9)/2)+Controls!$B$10*(C188-IF(Controls!$B$7="Normal",Controls!$B$8,(Controls!$B$8+Controls!$B$9)/2))+SQRT(1-Controls!$B$10^2)*(Random!W189-IF(Controls!$B$7="Normal",Controls!$B$8,(Controls!$B$8+Controls!$B$9)/2)))</f>
        <v/>
      </c>
      <c r="D189" s="10" t="str">
        <f>IF(Random!X189="","",IF(Controls!$B$7="Normal",Controls!$B$8,(Controls!$B$8+Controls!$B$9)/2)+Controls!$B$10*(D188-IF(Controls!$B$7="Normal",Controls!$B$8,(Controls!$B$8+Controls!$B$9)/2))+SQRT(1-Controls!$B$10^2)*(Random!X189-IF(Controls!$B$7="Normal",Controls!$B$8,(Controls!$B$8+Controls!$B$9)/2)))</f>
        <v/>
      </c>
      <c r="E189" s="10" t="str">
        <f>IF(Random!Y189="","",IF(Controls!$B$7="Normal",Controls!$B$8,(Controls!$B$8+Controls!$B$9)/2)+Controls!$B$10*(E188-IF(Controls!$B$7="Normal",Controls!$B$8,(Controls!$B$8+Controls!$B$9)/2))+SQRT(1-Controls!$B$10^2)*(Random!Y189-IF(Controls!$B$7="Normal",Controls!$B$8,(Controls!$B$8+Controls!$B$9)/2)))</f>
        <v/>
      </c>
      <c r="F189" s="10" t="str">
        <f>IF(Random!Z189="","",IF(Controls!$B$7="Normal",Controls!$B$8,(Controls!$B$8+Controls!$B$9)/2)+Controls!$B$10*(F188-IF(Controls!$B$7="Normal",Controls!$B$8,(Controls!$B$8+Controls!$B$9)/2))+SQRT(1-Controls!$B$10^2)*(Random!Z189-IF(Controls!$B$7="Normal",Controls!$B$8,(Controls!$B$8+Controls!$B$9)/2)))</f>
        <v/>
      </c>
      <c r="G189" s="10" t="str">
        <f>IF(Random!AA189="","",IF(Controls!$B$7="Normal",Controls!$B$8,(Controls!$B$8+Controls!$B$9)/2)+Controls!$B$10*(G188-IF(Controls!$B$7="Normal",Controls!$B$8,(Controls!$B$8+Controls!$B$9)/2))+SQRT(1-Controls!$B$10^2)*(Random!AA189-IF(Controls!$B$7="Normal",Controls!$B$8,(Controls!$B$8+Controls!$B$9)/2)))</f>
        <v/>
      </c>
      <c r="H189" s="10" t="str">
        <f>IF(Random!AB189="","",IF(Controls!$B$7="Normal",Controls!$B$8,(Controls!$B$8+Controls!$B$9)/2)+Controls!$B$10*(H188-IF(Controls!$B$7="Normal",Controls!$B$8,(Controls!$B$8+Controls!$B$9)/2))+SQRT(1-Controls!$B$10^2)*(Random!AB189-IF(Controls!$B$7="Normal",Controls!$B$8,(Controls!$B$8+Controls!$B$9)/2)))</f>
        <v/>
      </c>
      <c r="I189" s="10" t="str">
        <f>IF(Random!AC189="","",IF(Controls!$B$7="Normal",Controls!$B$8,(Controls!$B$8+Controls!$B$9)/2)+Controls!$B$10*(I188-IF(Controls!$B$7="Normal",Controls!$B$8,(Controls!$B$8+Controls!$B$9)/2))+SQRT(1-Controls!$B$10^2)*(Random!AC189-IF(Controls!$B$7="Normal",Controls!$B$8,(Controls!$B$8+Controls!$B$9)/2)))</f>
        <v/>
      </c>
      <c r="J189" s="10" t="str">
        <f>IF(Random!AD189="","",IF(Controls!$B$7="Normal",Controls!$B$8,(Controls!$B$8+Controls!$B$9)/2)+Controls!$B$10*(J188-IF(Controls!$B$7="Normal",Controls!$B$8,(Controls!$B$8+Controls!$B$9)/2))+SQRT(1-Controls!$B$10^2)*(Random!AD189-IF(Controls!$B$7="Normal",Controls!$B$8,(Controls!$B$8+Controls!$B$9)/2)))</f>
        <v/>
      </c>
      <c r="K189" s="10" t="str">
        <f>IF(Random!AE189="","",IF(Controls!$B$7="Normal",Controls!$B$8,(Controls!$B$8+Controls!$B$9)/2)+Controls!$B$10*(K188-IF(Controls!$B$7="Normal",Controls!$B$8,(Controls!$B$8+Controls!$B$9)/2))+SQRT(1-Controls!$B$10^2)*(Random!AE189-IF(Controls!$B$7="Normal",Controls!$B$8,(Controls!$B$8+Controls!$B$9)/2)))</f>
        <v/>
      </c>
      <c r="L189" s="10" t="str">
        <f>IF($A189="","",IF(AND($A189&gt;=Controls!$B$25,$A189&lt;Controls!$B$25+Controls!$C$25),(Controls!$D$25-1)*EXP(-0.5*(($A189-Controls!$B$25-(Controls!$C$25-1)/2)/MAX(Controls!$C$25/4,0.5))^2),0))</f>
        <v/>
      </c>
      <c r="M189" s="10" t="str">
        <f>IF($A189="","",IF(AND($A189&gt;=Controls!$B$26,$A189&lt;Controls!$B$26+Controls!$C$26),(Controls!$D$26-1)*EXP(-0.5*(($A189-Controls!$B$26-(Controls!$C$26-1)/2)/MAX(Controls!$C$26/4,0.5))^2),0))</f>
        <v/>
      </c>
      <c r="N189" s="10" t="str">
        <f>IF($A189="","",IF(AND($A189&gt;=Controls!$B$27,$A189&lt;Controls!$B$27+Controls!$C$27),(Controls!$D$27-1)*EXP(-0.5*(($A189-Controls!$B$27-(Controls!$C$27-1)/2)/MAX(Controls!$C$27/4,0.5))^2),0))</f>
        <v/>
      </c>
      <c r="O189" s="10" t="str">
        <f>IF($A189="","",IF(AND($A189&gt;=Controls!$B$28,$A189&lt;Controls!$B$28+Controls!$C$28),(Controls!$D$28-1)*EXP(-0.5*(($A189-Controls!$B$28-(Controls!$C$28-1)/2)/MAX(Controls!$C$28/4,0.5))^2),0))</f>
        <v/>
      </c>
      <c r="P189" s="4" t="str">
        <f t="shared" si="1"/>
        <v/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21.0" customHeight="1">
      <c r="A190" s="7" t="str">
        <f>IF(189&lt;=Controls!$B$5,Controls!$B$4+188,"")</f>
        <v/>
      </c>
      <c r="B190" s="10" t="str">
        <f>IF(Random!V190="","",IF(Controls!$B$7="Normal",Controls!$B$8,(Controls!$B$8+Controls!$B$9)/2)+Controls!$B$10*(B189-IF(Controls!$B$7="Normal",Controls!$B$8,(Controls!$B$8+Controls!$B$9)/2))+SQRT(1-Controls!$B$10^2)*(Random!V190-IF(Controls!$B$7="Normal",Controls!$B$8,(Controls!$B$8+Controls!$B$9)/2)))</f>
        <v/>
      </c>
      <c r="C190" s="10" t="str">
        <f>IF(Random!W190="","",IF(Controls!$B$7="Normal",Controls!$B$8,(Controls!$B$8+Controls!$B$9)/2)+Controls!$B$10*(C189-IF(Controls!$B$7="Normal",Controls!$B$8,(Controls!$B$8+Controls!$B$9)/2))+SQRT(1-Controls!$B$10^2)*(Random!W190-IF(Controls!$B$7="Normal",Controls!$B$8,(Controls!$B$8+Controls!$B$9)/2)))</f>
        <v/>
      </c>
      <c r="D190" s="10" t="str">
        <f>IF(Random!X190="","",IF(Controls!$B$7="Normal",Controls!$B$8,(Controls!$B$8+Controls!$B$9)/2)+Controls!$B$10*(D189-IF(Controls!$B$7="Normal",Controls!$B$8,(Controls!$B$8+Controls!$B$9)/2))+SQRT(1-Controls!$B$10^2)*(Random!X190-IF(Controls!$B$7="Normal",Controls!$B$8,(Controls!$B$8+Controls!$B$9)/2)))</f>
        <v/>
      </c>
      <c r="E190" s="10" t="str">
        <f>IF(Random!Y190="","",IF(Controls!$B$7="Normal",Controls!$B$8,(Controls!$B$8+Controls!$B$9)/2)+Controls!$B$10*(E189-IF(Controls!$B$7="Normal",Controls!$B$8,(Controls!$B$8+Controls!$B$9)/2))+SQRT(1-Controls!$B$10^2)*(Random!Y190-IF(Controls!$B$7="Normal",Controls!$B$8,(Controls!$B$8+Controls!$B$9)/2)))</f>
        <v/>
      </c>
      <c r="F190" s="10" t="str">
        <f>IF(Random!Z190="","",IF(Controls!$B$7="Normal",Controls!$B$8,(Controls!$B$8+Controls!$B$9)/2)+Controls!$B$10*(F189-IF(Controls!$B$7="Normal",Controls!$B$8,(Controls!$B$8+Controls!$B$9)/2))+SQRT(1-Controls!$B$10^2)*(Random!Z190-IF(Controls!$B$7="Normal",Controls!$B$8,(Controls!$B$8+Controls!$B$9)/2)))</f>
        <v/>
      </c>
      <c r="G190" s="10" t="str">
        <f>IF(Random!AA190="","",IF(Controls!$B$7="Normal",Controls!$B$8,(Controls!$B$8+Controls!$B$9)/2)+Controls!$B$10*(G189-IF(Controls!$B$7="Normal",Controls!$B$8,(Controls!$B$8+Controls!$B$9)/2))+SQRT(1-Controls!$B$10^2)*(Random!AA190-IF(Controls!$B$7="Normal",Controls!$B$8,(Controls!$B$8+Controls!$B$9)/2)))</f>
        <v/>
      </c>
      <c r="H190" s="10" t="str">
        <f>IF(Random!AB190="","",IF(Controls!$B$7="Normal",Controls!$B$8,(Controls!$B$8+Controls!$B$9)/2)+Controls!$B$10*(H189-IF(Controls!$B$7="Normal",Controls!$B$8,(Controls!$B$8+Controls!$B$9)/2))+SQRT(1-Controls!$B$10^2)*(Random!AB190-IF(Controls!$B$7="Normal",Controls!$B$8,(Controls!$B$8+Controls!$B$9)/2)))</f>
        <v/>
      </c>
      <c r="I190" s="10" t="str">
        <f>IF(Random!AC190="","",IF(Controls!$B$7="Normal",Controls!$B$8,(Controls!$B$8+Controls!$B$9)/2)+Controls!$B$10*(I189-IF(Controls!$B$7="Normal",Controls!$B$8,(Controls!$B$8+Controls!$B$9)/2))+SQRT(1-Controls!$B$10^2)*(Random!AC190-IF(Controls!$B$7="Normal",Controls!$B$8,(Controls!$B$8+Controls!$B$9)/2)))</f>
        <v/>
      </c>
      <c r="J190" s="10" t="str">
        <f>IF(Random!AD190="","",IF(Controls!$B$7="Normal",Controls!$B$8,(Controls!$B$8+Controls!$B$9)/2)+Controls!$B$10*(J189-IF(Controls!$B$7="Normal",Controls!$B$8,(Controls!$B$8+Controls!$B$9)/2))+SQRT(1-Controls!$B$10^2)*(Random!AD190-IF(Controls!$B$7="Normal",Controls!$B$8,(Controls!$B$8+Controls!$B$9)/2)))</f>
        <v/>
      </c>
      <c r="K190" s="10" t="str">
        <f>IF(Random!AE190="","",IF(Controls!$B$7="Normal",Controls!$B$8,(Controls!$B$8+Controls!$B$9)/2)+Controls!$B$10*(K189-IF(Controls!$B$7="Normal",Controls!$B$8,(Controls!$B$8+Controls!$B$9)/2))+SQRT(1-Controls!$B$10^2)*(Random!AE190-IF(Controls!$B$7="Normal",Controls!$B$8,(Controls!$B$8+Controls!$B$9)/2)))</f>
        <v/>
      </c>
      <c r="L190" s="10" t="str">
        <f>IF($A190="","",IF(AND($A190&gt;=Controls!$B$25,$A190&lt;Controls!$B$25+Controls!$C$25),(Controls!$D$25-1)*EXP(-0.5*(($A190-Controls!$B$25-(Controls!$C$25-1)/2)/MAX(Controls!$C$25/4,0.5))^2),0))</f>
        <v/>
      </c>
      <c r="M190" s="10" t="str">
        <f>IF($A190="","",IF(AND($A190&gt;=Controls!$B$26,$A190&lt;Controls!$B$26+Controls!$C$26),(Controls!$D$26-1)*EXP(-0.5*(($A190-Controls!$B$26-(Controls!$C$26-1)/2)/MAX(Controls!$C$26/4,0.5))^2),0))</f>
        <v/>
      </c>
      <c r="N190" s="10" t="str">
        <f>IF($A190="","",IF(AND($A190&gt;=Controls!$B$27,$A190&lt;Controls!$B$27+Controls!$C$27),(Controls!$D$27-1)*EXP(-0.5*(($A190-Controls!$B$27-(Controls!$C$27-1)/2)/MAX(Controls!$C$27/4,0.5))^2),0))</f>
        <v/>
      </c>
      <c r="O190" s="10" t="str">
        <f>IF($A190="","",IF(AND($A190&gt;=Controls!$B$28,$A190&lt;Controls!$B$28+Controls!$C$28),(Controls!$D$28-1)*EXP(-0.5*(($A190-Controls!$B$28-(Controls!$C$28-1)/2)/MAX(Controls!$C$28/4,0.5))^2),0))</f>
        <v/>
      </c>
      <c r="P190" s="4" t="str">
        <f t="shared" si="1"/>
        <v/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21.0" customHeight="1">
      <c r="A191" s="7" t="str">
        <f>IF(190&lt;=Controls!$B$5,Controls!$B$4+189,"")</f>
        <v/>
      </c>
      <c r="B191" s="10" t="str">
        <f>IF(Random!V191="","",IF(Controls!$B$7="Normal",Controls!$B$8,(Controls!$B$8+Controls!$B$9)/2)+Controls!$B$10*(B190-IF(Controls!$B$7="Normal",Controls!$B$8,(Controls!$B$8+Controls!$B$9)/2))+SQRT(1-Controls!$B$10^2)*(Random!V191-IF(Controls!$B$7="Normal",Controls!$B$8,(Controls!$B$8+Controls!$B$9)/2)))</f>
        <v/>
      </c>
      <c r="C191" s="10" t="str">
        <f>IF(Random!W191="","",IF(Controls!$B$7="Normal",Controls!$B$8,(Controls!$B$8+Controls!$B$9)/2)+Controls!$B$10*(C190-IF(Controls!$B$7="Normal",Controls!$B$8,(Controls!$B$8+Controls!$B$9)/2))+SQRT(1-Controls!$B$10^2)*(Random!W191-IF(Controls!$B$7="Normal",Controls!$B$8,(Controls!$B$8+Controls!$B$9)/2)))</f>
        <v/>
      </c>
      <c r="D191" s="10" t="str">
        <f>IF(Random!X191="","",IF(Controls!$B$7="Normal",Controls!$B$8,(Controls!$B$8+Controls!$B$9)/2)+Controls!$B$10*(D190-IF(Controls!$B$7="Normal",Controls!$B$8,(Controls!$B$8+Controls!$B$9)/2))+SQRT(1-Controls!$B$10^2)*(Random!X191-IF(Controls!$B$7="Normal",Controls!$B$8,(Controls!$B$8+Controls!$B$9)/2)))</f>
        <v/>
      </c>
      <c r="E191" s="10" t="str">
        <f>IF(Random!Y191="","",IF(Controls!$B$7="Normal",Controls!$B$8,(Controls!$B$8+Controls!$B$9)/2)+Controls!$B$10*(E190-IF(Controls!$B$7="Normal",Controls!$B$8,(Controls!$B$8+Controls!$B$9)/2))+SQRT(1-Controls!$B$10^2)*(Random!Y191-IF(Controls!$B$7="Normal",Controls!$B$8,(Controls!$B$8+Controls!$B$9)/2)))</f>
        <v/>
      </c>
      <c r="F191" s="10" t="str">
        <f>IF(Random!Z191="","",IF(Controls!$B$7="Normal",Controls!$B$8,(Controls!$B$8+Controls!$B$9)/2)+Controls!$B$10*(F190-IF(Controls!$B$7="Normal",Controls!$B$8,(Controls!$B$8+Controls!$B$9)/2))+SQRT(1-Controls!$B$10^2)*(Random!Z191-IF(Controls!$B$7="Normal",Controls!$B$8,(Controls!$B$8+Controls!$B$9)/2)))</f>
        <v/>
      </c>
      <c r="G191" s="10" t="str">
        <f>IF(Random!AA191="","",IF(Controls!$B$7="Normal",Controls!$B$8,(Controls!$B$8+Controls!$B$9)/2)+Controls!$B$10*(G190-IF(Controls!$B$7="Normal",Controls!$B$8,(Controls!$B$8+Controls!$B$9)/2))+SQRT(1-Controls!$B$10^2)*(Random!AA191-IF(Controls!$B$7="Normal",Controls!$B$8,(Controls!$B$8+Controls!$B$9)/2)))</f>
        <v/>
      </c>
      <c r="H191" s="10" t="str">
        <f>IF(Random!AB191="","",IF(Controls!$B$7="Normal",Controls!$B$8,(Controls!$B$8+Controls!$B$9)/2)+Controls!$B$10*(H190-IF(Controls!$B$7="Normal",Controls!$B$8,(Controls!$B$8+Controls!$B$9)/2))+SQRT(1-Controls!$B$10^2)*(Random!AB191-IF(Controls!$B$7="Normal",Controls!$B$8,(Controls!$B$8+Controls!$B$9)/2)))</f>
        <v/>
      </c>
      <c r="I191" s="10" t="str">
        <f>IF(Random!AC191="","",IF(Controls!$B$7="Normal",Controls!$B$8,(Controls!$B$8+Controls!$B$9)/2)+Controls!$B$10*(I190-IF(Controls!$B$7="Normal",Controls!$B$8,(Controls!$B$8+Controls!$B$9)/2))+SQRT(1-Controls!$B$10^2)*(Random!AC191-IF(Controls!$B$7="Normal",Controls!$B$8,(Controls!$B$8+Controls!$B$9)/2)))</f>
        <v/>
      </c>
      <c r="J191" s="10" t="str">
        <f>IF(Random!AD191="","",IF(Controls!$B$7="Normal",Controls!$B$8,(Controls!$B$8+Controls!$B$9)/2)+Controls!$B$10*(J190-IF(Controls!$B$7="Normal",Controls!$B$8,(Controls!$B$8+Controls!$B$9)/2))+SQRT(1-Controls!$B$10^2)*(Random!AD191-IF(Controls!$B$7="Normal",Controls!$B$8,(Controls!$B$8+Controls!$B$9)/2)))</f>
        <v/>
      </c>
      <c r="K191" s="10" t="str">
        <f>IF(Random!AE191="","",IF(Controls!$B$7="Normal",Controls!$B$8,(Controls!$B$8+Controls!$B$9)/2)+Controls!$B$10*(K190-IF(Controls!$B$7="Normal",Controls!$B$8,(Controls!$B$8+Controls!$B$9)/2))+SQRT(1-Controls!$B$10^2)*(Random!AE191-IF(Controls!$B$7="Normal",Controls!$B$8,(Controls!$B$8+Controls!$B$9)/2)))</f>
        <v/>
      </c>
      <c r="L191" s="10" t="str">
        <f>IF($A191="","",IF(AND($A191&gt;=Controls!$B$25,$A191&lt;Controls!$B$25+Controls!$C$25),(Controls!$D$25-1)*EXP(-0.5*(($A191-Controls!$B$25-(Controls!$C$25-1)/2)/MAX(Controls!$C$25/4,0.5))^2),0))</f>
        <v/>
      </c>
      <c r="M191" s="10" t="str">
        <f>IF($A191="","",IF(AND($A191&gt;=Controls!$B$26,$A191&lt;Controls!$B$26+Controls!$C$26),(Controls!$D$26-1)*EXP(-0.5*(($A191-Controls!$B$26-(Controls!$C$26-1)/2)/MAX(Controls!$C$26/4,0.5))^2),0))</f>
        <v/>
      </c>
      <c r="N191" s="10" t="str">
        <f>IF($A191="","",IF(AND($A191&gt;=Controls!$B$27,$A191&lt;Controls!$B$27+Controls!$C$27),(Controls!$D$27-1)*EXP(-0.5*(($A191-Controls!$B$27-(Controls!$C$27-1)/2)/MAX(Controls!$C$27/4,0.5))^2),0))</f>
        <v/>
      </c>
      <c r="O191" s="10" t="str">
        <f>IF($A191="","",IF(AND($A191&gt;=Controls!$B$28,$A191&lt;Controls!$B$28+Controls!$C$28),(Controls!$D$28-1)*EXP(-0.5*(($A191-Controls!$B$28-(Controls!$C$28-1)/2)/MAX(Controls!$C$28/4,0.5))^2),0))</f>
        <v/>
      </c>
      <c r="P191" s="4" t="str">
        <f t="shared" si="1"/>
        <v/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21.0" customHeight="1">
      <c r="A192" s="7" t="str">
        <f>IF(191&lt;=Controls!$B$5,Controls!$B$4+190,"")</f>
        <v/>
      </c>
      <c r="B192" s="10" t="str">
        <f>IF(Random!V192="","",IF(Controls!$B$7="Normal",Controls!$B$8,(Controls!$B$8+Controls!$B$9)/2)+Controls!$B$10*(B191-IF(Controls!$B$7="Normal",Controls!$B$8,(Controls!$B$8+Controls!$B$9)/2))+SQRT(1-Controls!$B$10^2)*(Random!V192-IF(Controls!$B$7="Normal",Controls!$B$8,(Controls!$B$8+Controls!$B$9)/2)))</f>
        <v/>
      </c>
      <c r="C192" s="10" t="str">
        <f>IF(Random!W192="","",IF(Controls!$B$7="Normal",Controls!$B$8,(Controls!$B$8+Controls!$B$9)/2)+Controls!$B$10*(C191-IF(Controls!$B$7="Normal",Controls!$B$8,(Controls!$B$8+Controls!$B$9)/2))+SQRT(1-Controls!$B$10^2)*(Random!W192-IF(Controls!$B$7="Normal",Controls!$B$8,(Controls!$B$8+Controls!$B$9)/2)))</f>
        <v/>
      </c>
      <c r="D192" s="10" t="str">
        <f>IF(Random!X192="","",IF(Controls!$B$7="Normal",Controls!$B$8,(Controls!$B$8+Controls!$B$9)/2)+Controls!$B$10*(D191-IF(Controls!$B$7="Normal",Controls!$B$8,(Controls!$B$8+Controls!$B$9)/2))+SQRT(1-Controls!$B$10^2)*(Random!X192-IF(Controls!$B$7="Normal",Controls!$B$8,(Controls!$B$8+Controls!$B$9)/2)))</f>
        <v/>
      </c>
      <c r="E192" s="10" t="str">
        <f>IF(Random!Y192="","",IF(Controls!$B$7="Normal",Controls!$B$8,(Controls!$B$8+Controls!$B$9)/2)+Controls!$B$10*(E191-IF(Controls!$B$7="Normal",Controls!$B$8,(Controls!$B$8+Controls!$B$9)/2))+SQRT(1-Controls!$B$10^2)*(Random!Y192-IF(Controls!$B$7="Normal",Controls!$B$8,(Controls!$B$8+Controls!$B$9)/2)))</f>
        <v/>
      </c>
      <c r="F192" s="10" t="str">
        <f>IF(Random!Z192="","",IF(Controls!$B$7="Normal",Controls!$B$8,(Controls!$B$8+Controls!$B$9)/2)+Controls!$B$10*(F191-IF(Controls!$B$7="Normal",Controls!$B$8,(Controls!$B$8+Controls!$B$9)/2))+SQRT(1-Controls!$B$10^2)*(Random!Z192-IF(Controls!$B$7="Normal",Controls!$B$8,(Controls!$B$8+Controls!$B$9)/2)))</f>
        <v/>
      </c>
      <c r="G192" s="10" t="str">
        <f>IF(Random!AA192="","",IF(Controls!$B$7="Normal",Controls!$B$8,(Controls!$B$8+Controls!$B$9)/2)+Controls!$B$10*(G191-IF(Controls!$B$7="Normal",Controls!$B$8,(Controls!$B$8+Controls!$B$9)/2))+SQRT(1-Controls!$B$10^2)*(Random!AA192-IF(Controls!$B$7="Normal",Controls!$B$8,(Controls!$B$8+Controls!$B$9)/2)))</f>
        <v/>
      </c>
      <c r="H192" s="10" t="str">
        <f>IF(Random!AB192="","",IF(Controls!$B$7="Normal",Controls!$B$8,(Controls!$B$8+Controls!$B$9)/2)+Controls!$B$10*(H191-IF(Controls!$B$7="Normal",Controls!$B$8,(Controls!$B$8+Controls!$B$9)/2))+SQRT(1-Controls!$B$10^2)*(Random!AB192-IF(Controls!$B$7="Normal",Controls!$B$8,(Controls!$B$8+Controls!$B$9)/2)))</f>
        <v/>
      </c>
      <c r="I192" s="10" t="str">
        <f>IF(Random!AC192="","",IF(Controls!$B$7="Normal",Controls!$B$8,(Controls!$B$8+Controls!$B$9)/2)+Controls!$B$10*(I191-IF(Controls!$B$7="Normal",Controls!$B$8,(Controls!$B$8+Controls!$B$9)/2))+SQRT(1-Controls!$B$10^2)*(Random!AC192-IF(Controls!$B$7="Normal",Controls!$B$8,(Controls!$B$8+Controls!$B$9)/2)))</f>
        <v/>
      </c>
      <c r="J192" s="10" t="str">
        <f>IF(Random!AD192="","",IF(Controls!$B$7="Normal",Controls!$B$8,(Controls!$B$8+Controls!$B$9)/2)+Controls!$B$10*(J191-IF(Controls!$B$7="Normal",Controls!$B$8,(Controls!$B$8+Controls!$B$9)/2))+SQRT(1-Controls!$B$10^2)*(Random!AD192-IF(Controls!$B$7="Normal",Controls!$B$8,(Controls!$B$8+Controls!$B$9)/2)))</f>
        <v/>
      </c>
      <c r="K192" s="10" t="str">
        <f>IF(Random!AE192="","",IF(Controls!$B$7="Normal",Controls!$B$8,(Controls!$B$8+Controls!$B$9)/2)+Controls!$B$10*(K191-IF(Controls!$B$7="Normal",Controls!$B$8,(Controls!$B$8+Controls!$B$9)/2))+SQRT(1-Controls!$B$10^2)*(Random!AE192-IF(Controls!$B$7="Normal",Controls!$B$8,(Controls!$B$8+Controls!$B$9)/2)))</f>
        <v/>
      </c>
      <c r="L192" s="10" t="str">
        <f>IF($A192="","",IF(AND($A192&gt;=Controls!$B$25,$A192&lt;Controls!$B$25+Controls!$C$25),(Controls!$D$25-1)*EXP(-0.5*(($A192-Controls!$B$25-(Controls!$C$25-1)/2)/MAX(Controls!$C$25/4,0.5))^2),0))</f>
        <v/>
      </c>
      <c r="M192" s="10" t="str">
        <f>IF($A192="","",IF(AND($A192&gt;=Controls!$B$26,$A192&lt;Controls!$B$26+Controls!$C$26),(Controls!$D$26-1)*EXP(-0.5*(($A192-Controls!$B$26-(Controls!$C$26-1)/2)/MAX(Controls!$C$26/4,0.5))^2),0))</f>
        <v/>
      </c>
      <c r="N192" s="10" t="str">
        <f>IF($A192="","",IF(AND($A192&gt;=Controls!$B$27,$A192&lt;Controls!$B$27+Controls!$C$27),(Controls!$D$27-1)*EXP(-0.5*(($A192-Controls!$B$27-(Controls!$C$27-1)/2)/MAX(Controls!$C$27/4,0.5))^2),0))</f>
        <v/>
      </c>
      <c r="O192" s="10" t="str">
        <f>IF($A192="","",IF(AND($A192&gt;=Controls!$B$28,$A192&lt;Controls!$B$28+Controls!$C$28),(Controls!$D$28-1)*EXP(-0.5*(($A192-Controls!$B$28-(Controls!$C$28-1)/2)/MAX(Controls!$C$28/4,0.5))^2),0))</f>
        <v/>
      </c>
      <c r="P192" s="4" t="str">
        <f t="shared" si="1"/>
        <v/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21.0" customHeight="1">
      <c r="A193" s="7" t="str">
        <f>IF(192&lt;=Controls!$B$5,Controls!$B$4+191,"")</f>
        <v/>
      </c>
      <c r="B193" s="10" t="str">
        <f>IF(Random!V193="","",IF(Controls!$B$7="Normal",Controls!$B$8,(Controls!$B$8+Controls!$B$9)/2)+Controls!$B$10*(B192-IF(Controls!$B$7="Normal",Controls!$B$8,(Controls!$B$8+Controls!$B$9)/2))+SQRT(1-Controls!$B$10^2)*(Random!V193-IF(Controls!$B$7="Normal",Controls!$B$8,(Controls!$B$8+Controls!$B$9)/2)))</f>
        <v/>
      </c>
      <c r="C193" s="10" t="str">
        <f>IF(Random!W193="","",IF(Controls!$B$7="Normal",Controls!$B$8,(Controls!$B$8+Controls!$B$9)/2)+Controls!$B$10*(C192-IF(Controls!$B$7="Normal",Controls!$B$8,(Controls!$B$8+Controls!$B$9)/2))+SQRT(1-Controls!$B$10^2)*(Random!W193-IF(Controls!$B$7="Normal",Controls!$B$8,(Controls!$B$8+Controls!$B$9)/2)))</f>
        <v/>
      </c>
      <c r="D193" s="10" t="str">
        <f>IF(Random!X193="","",IF(Controls!$B$7="Normal",Controls!$B$8,(Controls!$B$8+Controls!$B$9)/2)+Controls!$B$10*(D192-IF(Controls!$B$7="Normal",Controls!$B$8,(Controls!$B$8+Controls!$B$9)/2))+SQRT(1-Controls!$B$10^2)*(Random!X193-IF(Controls!$B$7="Normal",Controls!$B$8,(Controls!$B$8+Controls!$B$9)/2)))</f>
        <v/>
      </c>
      <c r="E193" s="10" t="str">
        <f>IF(Random!Y193="","",IF(Controls!$B$7="Normal",Controls!$B$8,(Controls!$B$8+Controls!$B$9)/2)+Controls!$B$10*(E192-IF(Controls!$B$7="Normal",Controls!$B$8,(Controls!$B$8+Controls!$B$9)/2))+SQRT(1-Controls!$B$10^2)*(Random!Y193-IF(Controls!$B$7="Normal",Controls!$B$8,(Controls!$B$8+Controls!$B$9)/2)))</f>
        <v/>
      </c>
      <c r="F193" s="10" t="str">
        <f>IF(Random!Z193="","",IF(Controls!$B$7="Normal",Controls!$B$8,(Controls!$B$8+Controls!$B$9)/2)+Controls!$B$10*(F192-IF(Controls!$B$7="Normal",Controls!$B$8,(Controls!$B$8+Controls!$B$9)/2))+SQRT(1-Controls!$B$10^2)*(Random!Z193-IF(Controls!$B$7="Normal",Controls!$B$8,(Controls!$B$8+Controls!$B$9)/2)))</f>
        <v/>
      </c>
      <c r="G193" s="10" t="str">
        <f>IF(Random!AA193="","",IF(Controls!$B$7="Normal",Controls!$B$8,(Controls!$B$8+Controls!$B$9)/2)+Controls!$B$10*(G192-IF(Controls!$B$7="Normal",Controls!$B$8,(Controls!$B$8+Controls!$B$9)/2))+SQRT(1-Controls!$B$10^2)*(Random!AA193-IF(Controls!$B$7="Normal",Controls!$B$8,(Controls!$B$8+Controls!$B$9)/2)))</f>
        <v/>
      </c>
      <c r="H193" s="10" t="str">
        <f>IF(Random!AB193="","",IF(Controls!$B$7="Normal",Controls!$B$8,(Controls!$B$8+Controls!$B$9)/2)+Controls!$B$10*(H192-IF(Controls!$B$7="Normal",Controls!$B$8,(Controls!$B$8+Controls!$B$9)/2))+SQRT(1-Controls!$B$10^2)*(Random!AB193-IF(Controls!$B$7="Normal",Controls!$B$8,(Controls!$B$8+Controls!$B$9)/2)))</f>
        <v/>
      </c>
      <c r="I193" s="10" t="str">
        <f>IF(Random!AC193="","",IF(Controls!$B$7="Normal",Controls!$B$8,(Controls!$B$8+Controls!$B$9)/2)+Controls!$B$10*(I192-IF(Controls!$B$7="Normal",Controls!$B$8,(Controls!$B$8+Controls!$B$9)/2))+SQRT(1-Controls!$B$10^2)*(Random!AC193-IF(Controls!$B$7="Normal",Controls!$B$8,(Controls!$B$8+Controls!$B$9)/2)))</f>
        <v/>
      </c>
      <c r="J193" s="10" t="str">
        <f>IF(Random!AD193="","",IF(Controls!$B$7="Normal",Controls!$B$8,(Controls!$B$8+Controls!$B$9)/2)+Controls!$B$10*(J192-IF(Controls!$B$7="Normal",Controls!$B$8,(Controls!$B$8+Controls!$B$9)/2))+SQRT(1-Controls!$B$10^2)*(Random!AD193-IF(Controls!$B$7="Normal",Controls!$B$8,(Controls!$B$8+Controls!$B$9)/2)))</f>
        <v/>
      </c>
      <c r="K193" s="10" t="str">
        <f>IF(Random!AE193="","",IF(Controls!$B$7="Normal",Controls!$B$8,(Controls!$B$8+Controls!$B$9)/2)+Controls!$B$10*(K192-IF(Controls!$B$7="Normal",Controls!$B$8,(Controls!$B$8+Controls!$B$9)/2))+SQRT(1-Controls!$B$10^2)*(Random!AE193-IF(Controls!$B$7="Normal",Controls!$B$8,(Controls!$B$8+Controls!$B$9)/2)))</f>
        <v/>
      </c>
      <c r="L193" s="10" t="str">
        <f>IF($A193="","",IF(AND($A193&gt;=Controls!$B$25,$A193&lt;Controls!$B$25+Controls!$C$25),(Controls!$D$25-1)*EXP(-0.5*(($A193-Controls!$B$25-(Controls!$C$25-1)/2)/MAX(Controls!$C$25/4,0.5))^2),0))</f>
        <v/>
      </c>
      <c r="M193" s="10" t="str">
        <f>IF($A193="","",IF(AND($A193&gt;=Controls!$B$26,$A193&lt;Controls!$B$26+Controls!$C$26),(Controls!$D$26-1)*EXP(-0.5*(($A193-Controls!$B$26-(Controls!$C$26-1)/2)/MAX(Controls!$C$26/4,0.5))^2),0))</f>
        <v/>
      </c>
      <c r="N193" s="10" t="str">
        <f>IF($A193="","",IF(AND($A193&gt;=Controls!$B$27,$A193&lt;Controls!$B$27+Controls!$C$27),(Controls!$D$27-1)*EXP(-0.5*(($A193-Controls!$B$27-(Controls!$C$27-1)/2)/MAX(Controls!$C$27/4,0.5))^2),0))</f>
        <v/>
      </c>
      <c r="O193" s="10" t="str">
        <f>IF($A193="","",IF(AND($A193&gt;=Controls!$B$28,$A193&lt;Controls!$B$28+Controls!$C$28),(Controls!$D$28-1)*EXP(-0.5*(($A193-Controls!$B$28-(Controls!$C$28-1)/2)/MAX(Controls!$C$28/4,0.5))^2),0))</f>
        <v/>
      </c>
      <c r="P193" s="4" t="str">
        <f t="shared" si="1"/>
        <v/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21.0" customHeight="1">
      <c r="A194" s="7" t="str">
        <f>IF(193&lt;=Controls!$B$5,Controls!$B$4+192,"")</f>
        <v/>
      </c>
      <c r="B194" s="10" t="str">
        <f>IF(Random!V194="","",IF(Controls!$B$7="Normal",Controls!$B$8,(Controls!$B$8+Controls!$B$9)/2)+Controls!$B$10*(B193-IF(Controls!$B$7="Normal",Controls!$B$8,(Controls!$B$8+Controls!$B$9)/2))+SQRT(1-Controls!$B$10^2)*(Random!V194-IF(Controls!$B$7="Normal",Controls!$B$8,(Controls!$B$8+Controls!$B$9)/2)))</f>
        <v/>
      </c>
      <c r="C194" s="10" t="str">
        <f>IF(Random!W194="","",IF(Controls!$B$7="Normal",Controls!$B$8,(Controls!$B$8+Controls!$B$9)/2)+Controls!$B$10*(C193-IF(Controls!$B$7="Normal",Controls!$B$8,(Controls!$B$8+Controls!$B$9)/2))+SQRT(1-Controls!$B$10^2)*(Random!W194-IF(Controls!$B$7="Normal",Controls!$B$8,(Controls!$B$8+Controls!$B$9)/2)))</f>
        <v/>
      </c>
      <c r="D194" s="10" t="str">
        <f>IF(Random!X194="","",IF(Controls!$B$7="Normal",Controls!$B$8,(Controls!$B$8+Controls!$B$9)/2)+Controls!$B$10*(D193-IF(Controls!$B$7="Normal",Controls!$B$8,(Controls!$B$8+Controls!$B$9)/2))+SQRT(1-Controls!$B$10^2)*(Random!X194-IF(Controls!$B$7="Normal",Controls!$B$8,(Controls!$B$8+Controls!$B$9)/2)))</f>
        <v/>
      </c>
      <c r="E194" s="10" t="str">
        <f>IF(Random!Y194="","",IF(Controls!$B$7="Normal",Controls!$B$8,(Controls!$B$8+Controls!$B$9)/2)+Controls!$B$10*(E193-IF(Controls!$B$7="Normal",Controls!$B$8,(Controls!$B$8+Controls!$B$9)/2))+SQRT(1-Controls!$B$10^2)*(Random!Y194-IF(Controls!$B$7="Normal",Controls!$B$8,(Controls!$B$8+Controls!$B$9)/2)))</f>
        <v/>
      </c>
      <c r="F194" s="10" t="str">
        <f>IF(Random!Z194="","",IF(Controls!$B$7="Normal",Controls!$B$8,(Controls!$B$8+Controls!$B$9)/2)+Controls!$B$10*(F193-IF(Controls!$B$7="Normal",Controls!$B$8,(Controls!$B$8+Controls!$B$9)/2))+SQRT(1-Controls!$B$10^2)*(Random!Z194-IF(Controls!$B$7="Normal",Controls!$B$8,(Controls!$B$8+Controls!$B$9)/2)))</f>
        <v/>
      </c>
      <c r="G194" s="10" t="str">
        <f>IF(Random!AA194="","",IF(Controls!$B$7="Normal",Controls!$B$8,(Controls!$B$8+Controls!$B$9)/2)+Controls!$B$10*(G193-IF(Controls!$B$7="Normal",Controls!$B$8,(Controls!$B$8+Controls!$B$9)/2))+SQRT(1-Controls!$B$10^2)*(Random!AA194-IF(Controls!$B$7="Normal",Controls!$B$8,(Controls!$B$8+Controls!$B$9)/2)))</f>
        <v/>
      </c>
      <c r="H194" s="10" t="str">
        <f>IF(Random!AB194="","",IF(Controls!$B$7="Normal",Controls!$B$8,(Controls!$B$8+Controls!$B$9)/2)+Controls!$B$10*(H193-IF(Controls!$B$7="Normal",Controls!$B$8,(Controls!$B$8+Controls!$B$9)/2))+SQRT(1-Controls!$B$10^2)*(Random!AB194-IF(Controls!$B$7="Normal",Controls!$B$8,(Controls!$B$8+Controls!$B$9)/2)))</f>
        <v/>
      </c>
      <c r="I194" s="10" t="str">
        <f>IF(Random!AC194="","",IF(Controls!$B$7="Normal",Controls!$B$8,(Controls!$B$8+Controls!$B$9)/2)+Controls!$B$10*(I193-IF(Controls!$B$7="Normal",Controls!$B$8,(Controls!$B$8+Controls!$B$9)/2))+SQRT(1-Controls!$B$10^2)*(Random!AC194-IF(Controls!$B$7="Normal",Controls!$B$8,(Controls!$B$8+Controls!$B$9)/2)))</f>
        <v/>
      </c>
      <c r="J194" s="10" t="str">
        <f>IF(Random!AD194="","",IF(Controls!$B$7="Normal",Controls!$B$8,(Controls!$B$8+Controls!$B$9)/2)+Controls!$B$10*(J193-IF(Controls!$B$7="Normal",Controls!$B$8,(Controls!$B$8+Controls!$B$9)/2))+SQRT(1-Controls!$B$10^2)*(Random!AD194-IF(Controls!$B$7="Normal",Controls!$B$8,(Controls!$B$8+Controls!$B$9)/2)))</f>
        <v/>
      </c>
      <c r="K194" s="10" t="str">
        <f>IF(Random!AE194="","",IF(Controls!$B$7="Normal",Controls!$B$8,(Controls!$B$8+Controls!$B$9)/2)+Controls!$B$10*(K193-IF(Controls!$B$7="Normal",Controls!$B$8,(Controls!$B$8+Controls!$B$9)/2))+SQRT(1-Controls!$B$10^2)*(Random!AE194-IF(Controls!$B$7="Normal",Controls!$B$8,(Controls!$B$8+Controls!$B$9)/2)))</f>
        <v/>
      </c>
      <c r="L194" s="10" t="str">
        <f>IF($A194="","",IF(AND($A194&gt;=Controls!$B$25,$A194&lt;Controls!$B$25+Controls!$C$25),(Controls!$D$25-1)*EXP(-0.5*(($A194-Controls!$B$25-(Controls!$C$25-1)/2)/MAX(Controls!$C$25/4,0.5))^2),0))</f>
        <v/>
      </c>
      <c r="M194" s="10" t="str">
        <f>IF($A194="","",IF(AND($A194&gt;=Controls!$B$26,$A194&lt;Controls!$B$26+Controls!$C$26),(Controls!$D$26-1)*EXP(-0.5*(($A194-Controls!$B$26-(Controls!$C$26-1)/2)/MAX(Controls!$C$26/4,0.5))^2),0))</f>
        <v/>
      </c>
      <c r="N194" s="10" t="str">
        <f>IF($A194="","",IF(AND($A194&gt;=Controls!$B$27,$A194&lt;Controls!$B$27+Controls!$C$27),(Controls!$D$27-1)*EXP(-0.5*(($A194-Controls!$B$27-(Controls!$C$27-1)/2)/MAX(Controls!$C$27/4,0.5))^2),0))</f>
        <v/>
      </c>
      <c r="O194" s="10" t="str">
        <f>IF($A194="","",IF(AND($A194&gt;=Controls!$B$28,$A194&lt;Controls!$B$28+Controls!$C$28),(Controls!$D$28-1)*EXP(-0.5*(($A194-Controls!$B$28-(Controls!$C$28-1)/2)/MAX(Controls!$C$28/4,0.5))^2),0))</f>
        <v/>
      </c>
      <c r="P194" s="4" t="str">
        <f t="shared" si="1"/>
        <v/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21.0" customHeight="1">
      <c r="A195" s="7" t="str">
        <f>IF(194&lt;=Controls!$B$5,Controls!$B$4+193,"")</f>
        <v/>
      </c>
      <c r="B195" s="10" t="str">
        <f>IF(Random!V195="","",IF(Controls!$B$7="Normal",Controls!$B$8,(Controls!$B$8+Controls!$B$9)/2)+Controls!$B$10*(B194-IF(Controls!$B$7="Normal",Controls!$B$8,(Controls!$B$8+Controls!$B$9)/2))+SQRT(1-Controls!$B$10^2)*(Random!V195-IF(Controls!$B$7="Normal",Controls!$B$8,(Controls!$B$8+Controls!$B$9)/2)))</f>
        <v/>
      </c>
      <c r="C195" s="10" t="str">
        <f>IF(Random!W195="","",IF(Controls!$B$7="Normal",Controls!$B$8,(Controls!$B$8+Controls!$B$9)/2)+Controls!$B$10*(C194-IF(Controls!$B$7="Normal",Controls!$B$8,(Controls!$B$8+Controls!$B$9)/2))+SQRT(1-Controls!$B$10^2)*(Random!W195-IF(Controls!$B$7="Normal",Controls!$B$8,(Controls!$B$8+Controls!$B$9)/2)))</f>
        <v/>
      </c>
      <c r="D195" s="10" t="str">
        <f>IF(Random!X195="","",IF(Controls!$B$7="Normal",Controls!$B$8,(Controls!$B$8+Controls!$B$9)/2)+Controls!$B$10*(D194-IF(Controls!$B$7="Normal",Controls!$B$8,(Controls!$B$8+Controls!$B$9)/2))+SQRT(1-Controls!$B$10^2)*(Random!X195-IF(Controls!$B$7="Normal",Controls!$B$8,(Controls!$B$8+Controls!$B$9)/2)))</f>
        <v/>
      </c>
      <c r="E195" s="10" t="str">
        <f>IF(Random!Y195="","",IF(Controls!$B$7="Normal",Controls!$B$8,(Controls!$B$8+Controls!$B$9)/2)+Controls!$B$10*(E194-IF(Controls!$B$7="Normal",Controls!$B$8,(Controls!$B$8+Controls!$B$9)/2))+SQRT(1-Controls!$B$10^2)*(Random!Y195-IF(Controls!$B$7="Normal",Controls!$B$8,(Controls!$B$8+Controls!$B$9)/2)))</f>
        <v/>
      </c>
      <c r="F195" s="10" t="str">
        <f>IF(Random!Z195="","",IF(Controls!$B$7="Normal",Controls!$B$8,(Controls!$B$8+Controls!$B$9)/2)+Controls!$B$10*(F194-IF(Controls!$B$7="Normal",Controls!$B$8,(Controls!$B$8+Controls!$B$9)/2))+SQRT(1-Controls!$B$10^2)*(Random!Z195-IF(Controls!$B$7="Normal",Controls!$B$8,(Controls!$B$8+Controls!$B$9)/2)))</f>
        <v/>
      </c>
      <c r="G195" s="10" t="str">
        <f>IF(Random!AA195="","",IF(Controls!$B$7="Normal",Controls!$B$8,(Controls!$B$8+Controls!$B$9)/2)+Controls!$B$10*(G194-IF(Controls!$B$7="Normal",Controls!$B$8,(Controls!$B$8+Controls!$B$9)/2))+SQRT(1-Controls!$B$10^2)*(Random!AA195-IF(Controls!$B$7="Normal",Controls!$B$8,(Controls!$B$8+Controls!$B$9)/2)))</f>
        <v/>
      </c>
      <c r="H195" s="10" t="str">
        <f>IF(Random!AB195="","",IF(Controls!$B$7="Normal",Controls!$B$8,(Controls!$B$8+Controls!$B$9)/2)+Controls!$B$10*(H194-IF(Controls!$B$7="Normal",Controls!$B$8,(Controls!$B$8+Controls!$B$9)/2))+SQRT(1-Controls!$B$10^2)*(Random!AB195-IF(Controls!$B$7="Normal",Controls!$B$8,(Controls!$B$8+Controls!$B$9)/2)))</f>
        <v/>
      </c>
      <c r="I195" s="10" t="str">
        <f>IF(Random!AC195="","",IF(Controls!$B$7="Normal",Controls!$B$8,(Controls!$B$8+Controls!$B$9)/2)+Controls!$B$10*(I194-IF(Controls!$B$7="Normal",Controls!$B$8,(Controls!$B$8+Controls!$B$9)/2))+SQRT(1-Controls!$B$10^2)*(Random!AC195-IF(Controls!$B$7="Normal",Controls!$B$8,(Controls!$B$8+Controls!$B$9)/2)))</f>
        <v/>
      </c>
      <c r="J195" s="10" t="str">
        <f>IF(Random!AD195="","",IF(Controls!$B$7="Normal",Controls!$B$8,(Controls!$B$8+Controls!$B$9)/2)+Controls!$B$10*(J194-IF(Controls!$B$7="Normal",Controls!$B$8,(Controls!$B$8+Controls!$B$9)/2))+SQRT(1-Controls!$B$10^2)*(Random!AD195-IF(Controls!$B$7="Normal",Controls!$B$8,(Controls!$B$8+Controls!$B$9)/2)))</f>
        <v/>
      </c>
      <c r="K195" s="10" t="str">
        <f>IF(Random!AE195="","",IF(Controls!$B$7="Normal",Controls!$B$8,(Controls!$B$8+Controls!$B$9)/2)+Controls!$B$10*(K194-IF(Controls!$B$7="Normal",Controls!$B$8,(Controls!$B$8+Controls!$B$9)/2))+SQRT(1-Controls!$B$10^2)*(Random!AE195-IF(Controls!$B$7="Normal",Controls!$B$8,(Controls!$B$8+Controls!$B$9)/2)))</f>
        <v/>
      </c>
      <c r="L195" s="10" t="str">
        <f>IF($A195="","",IF(AND($A195&gt;=Controls!$B$25,$A195&lt;Controls!$B$25+Controls!$C$25),(Controls!$D$25-1)*EXP(-0.5*(($A195-Controls!$B$25-(Controls!$C$25-1)/2)/MAX(Controls!$C$25/4,0.5))^2),0))</f>
        <v/>
      </c>
      <c r="M195" s="10" t="str">
        <f>IF($A195="","",IF(AND($A195&gt;=Controls!$B$26,$A195&lt;Controls!$B$26+Controls!$C$26),(Controls!$D$26-1)*EXP(-0.5*(($A195-Controls!$B$26-(Controls!$C$26-1)/2)/MAX(Controls!$C$26/4,0.5))^2),0))</f>
        <v/>
      </c>
      <c r="N195" s="10" t="str">
        <f>IF($A195="","",IF(AND($A195&gt;=Controls!$B$27,$A195&lt;Controls!$B$27+Controls!$C$27),(Controls!$D$27-1)*EXP(-0.5*(($A195-Controls!$B$27-(Controls!$C$27-1)/2)/MAX(Controls!$C$27/4,0.5))^2),0))</f>
        <v/>
      </c>
      <c r="O195" s="10" t="str">
        <f>IF($A195="","",IF(AND($A195&gt;=Controls!$B$28,$A195&lt;Controls!$B$28+Controls!$C$28),(Controls!$D$28-1)*EXP(-0.5*(($A195-Controls!$B$28-(Controls!$C$28-1)/2)/MAX(Controls!$C$28/4,0.5))^2),0))</f>
        <v/>
      </c>
      <c r="P195" s="4" t="str">
        <f t="shared" si="1"/>
        <v/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21.0" customHeight="1">
      <c r="A196" s="7" t="str">
        <f>IF(195&lt;=Controls!$B$5,Controls!$B$4+194,"")</f>
        <v/>
      </c>
      <c r="B196" s="10" t="str">
        <f>IF(Random!V196="","",IF(Controls!$B$7="Normal",Controls!$B$8,(Controls!$B$8+Controls!$B$9)/2)+Controls!$B$10*(B195-IF(Controls!$B$7="Normal",Controls!$B$8,(Controls!$B$8+Controls!$B$9)/2))+SQRT(1-Controls!$B$10^2)*(Random!V196-IF(Controls!$B$7="Normal",Controls!$B$8,(Controls!$B$8+Controls!$B$9)/2)))</f>
        <v/>
      </c>
      <c r="C196" s="10" t="str">
        <f>IF(Random!W196="","",IF(Controls!$B$7="Normal",Controls!$B$8,(Controls!$B$8+Controls!$B$9)/2)+Controls!$B$10*(C195-IF(Controls!$B$7="Normal",Controls!$B$8,(Controls!$B$8+Controls!$B$9)/2))+SQRT(1-Controls!$B$10^2)*(Random!W196-IF(Controls!$B$7="Normal",Controls!$B$8,(Controls!$B$8+Controls!$B$9)/2)))</f>
        <v/>
      </c>
      <c r="D196" s="10" t="str">
        <f>IF(Random!X196="","",IF(Controls!$B$7="Normal",Controls!$B$8,(Controls!$B$8+Controls!$B$9)/2)+Controls!$B$10*(D195-IF(Controls!$B$7="Normal",Controls!$B$8,(Controls!$B$8+Controls!$B$9)/2))+SQRT(1-Controls!$B$10^2)*(Random!X196-IF(Controls!$B$7="Normal",Controls!$B$8,(Controls!$B$8+Controls!$B$9)/2)))</f>
        <v/>
      </c>
      <c r="E196" s="10" t="str">
        <f>IF(Random!Y196="","",IF(Controls!$B$7="Normal",Controls!$B$8,(Controls!$B$8+Controls!$B$9)/2)+Controls!$B$10*(E195-IF(Controls!$B$7="Normal",Controls!$B$8,(Controls!$B$8+Controls!$B$9)/2))+SQRT(1-Controls!$B$10^2)*(Random!Y196-IF(Controls!$B$7="Normal",Controls!$B$8,(Controls!$B$8+Controls!$B$9)/2)))</f>
        <v/>
      </c>
      <c r="F196" s="10" t="str">
        <f>IF(Random!Z196="","",IF(Controls!$B$7="Normal",Controls!$B$8,(Controls!$B$8+Controls!$B$9)/2)+Controls!$B$10*(F195-IF(Controls!$B$7="Normal",Controls!$B$8,(Controls!$B$8+Controls!$B$9)/2))+SQRT(1-Controls!$B$10^2)*(Random!Z196-IF(Controls!$B$7="Normal",Controls!$B$8,(Controls!$B$8+Controls!$B$9)/2)))</f>
        <v/>
      </c>
      <c r="G196" s="10" t="str">
        <f>IF(Random!AA196="","",IF(Controls!$B$7="Normal",Controls!$B$8,(Controls!$B$8+Controls!$B$9)/2)+Controls!$B$10*(G195-IF(Controls!$B$7="Normal",Controls!$B$8,(Controls!$B$8+Controls!$B$9)/2))+SQRT(1-Controls!$B$10^2)*(Random!AA196-IF(Controls!$B$7="Normal",Controls!$B$8,(Controls!$B$8+Controls!$B$9)/2)))</f>
        <v/>
      </c>
      <c r="H196" s="10" t="str">
        <f>IF(Random!AB196="","",IF(Controls!$B$7="Normal",Controls!$B$8,(Controls!$B$8+Controls!$B$9)/2)+Controls!$B$10*(H195-IF(Controls!$B$7="Normal",Controls!$B$8,(Controls!$B$8+Controls!$B$9)/2))+SQRT(1-Controls!$B$10^2)*(Random!AB196-IF(Controls!$B$7="Normal",Controls!$B$8,(Controls!$B$8+Controls!$B$9)/2)))</f>
        <v/>
      </c>
      <c r="I196" s="10" t="str">
        <f>IF(Random!AC196="","",IF(Controls!$B$7="Normal",Controls!$B$8,(Controls!$B$8+Controls!$B$9)/2)+Controls!$B$10*(I195-IF(Controls!$B$7="Normal",Controls!$B$8,(Controls!$B$8+Controls!$B$9)/2))+SQRT(1-Controls!$B$10^2)*(Random!AC196-IF(Controls!$B$7="Normal",Controls!$B$8,(Controls!$B$8+Controls!$B$9)/2)))</f>
        <v/>
      </c>
      <c r="J196" s="10" t="str">
        <f>IF(Random!AD196="","",IF(Controls!$B$7="Normal",Controls!$B$8,(Controls!$B$8+Controls!$B$9)/2)+Controls!$B$10*(J195-IF(Controls!$B$7="Normal",Controls!$B$8,(Controls!$B$8+Controls!$B$9)/2))+SQRT(1-Controls!$B$10^2)*(Random!AD196-IF(Controls!$B$7="Normal",Controls!$B$8,(Controls!$B$8+Controls!$B$9)/2)))</f>
        <v/>
      </c>
      <c r="K196" s="10" t="str">
        <f>IF(Random!AE196="","",IF(Controls!$B$7="Normal",Controls!$B$8,(Controls!$B$8+Controls!$B$9)/2)+Controls!$B$10*(K195-IF(Controls!$B$7="Normal",Controls!$B$8,(Controls!$B$8+Controls!$B$9)/2))+SQRT(1-Controls!$B$10^2)*(Random!AE196-IF(Controls!$B$7="Normal",Controls!$B$8,(Controls!$B$8+Controls!$B$9)/2)))</f>
        <v/>
      </c>
      <c r="L196" s="10" t="str">
        <f>IF($A196="","",IF(AND($A196&gt;=Controls!$B$25,$A196&lt;Controls!$B$25+Controls!$C$25),(Controls!$D$25-1)*EXP(-0.5*(($A196-Controls!$B$25-(Controls!$C$25-1)/2)/MAX(Controls!$C$25/4,0.5))^2),0))</f>
        <v/>
      </c>
      <c r="M196" s="10" t="str">
        <f>IF($A196="","",IF(AND($A196&gt;=Controls!$B$26,$A196&lt;Controls!$B$26+Controls!$C$26),(Controls!$D$26-1)*EXP(-0.5*(($A196-Controls!$B$26-(Controls!$C$26-1)/2)/MAX(Controls!$C$26/4,0.5))^2),0))</f>
        <v/>
      </c>
      <c r="N196" s="10" t="str">
        <f>IF($A196="","",IF(AND($A196&gt;=Controls!$B$27,$A196&lt;Controls!$B$27+Controls!$C$27),(Controls!$D$27-1)*EXP(-0.5*(($A196-Controls!$B$27-(Controls!$C$27-1)/2)/MAX(Controls!$C$27/4,0.5))^2),0))</f>
        <v/>
      </c>
      <c r="O196" s="10" t="str">
        <f>IF($A196="","",IF(AND($A196&gt;=Controls!$B$28,$A196&lt;Controls!$B$28+Controls!$C$28),(Controls!$D$28-1)*EXP(-0.5*(($A196-Controls!$B$28-(Controls!$C$28-1)/2)/MAX(Controls!$C$28/4,0.5))^2),0))</f>
        <v/>
      </c>
      <c r="P196" s="4" t="str">
        <f t="shared" si="1"/>
        <v/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21.0" customHeight="1">
      <c r="A197" s="7" t="str">
        <f>IF(196&lt;=Controls!$B$5,Controls!$B$4+195,"")</f>
        <v/>
      </c>
      <c r="B197" s="10" t="str">
        <f>IF(Random!V197="","",IF(Controls!$B$7="Normal",Controls!$B$8,(Controls!$B$8+Controls!$B$9)/2)+Controls!$B$10*(B196-IF(Controls!$B$7="Normal",Controls!$B$8,(Controls!$B$8+Controls!$B$9)/2))+SQRT(1-Controls!$B$10^2)*(Random!V197-IF(Controls!$B$7="Normal",Controls!$B$8,(Controls!$B$8+Controls!$B$9)/2)))</f>
        <v/>
      </c>
      <c r="C197" s="10" t="str">
        <f>IF(Random!W197="","",IF(Controls!$B$7="Normal",Controls!$B$8,(Controls!$B$8+Controls!$B$9)/2)+Controls!$B$10*(C196-IF(Controls!$B$7="Normal",Controls!$B$8,(Controls!$B$8+Controls!$B$9)/2))+SQRT(1-Controls!$B$10^2)*(Random!W197-IF(Controls!$B$7="Normal",Controls!$B$8,(Controls!$B$8+Controls!$B$9)/2)))</f>
        <v/>
      </c>
      <c r="D197" s="10" t="str">
        <f>IF(Random!X197="","",IF(Controls!$B$7="Normal",Controls!$B$8,(Controls!$B$8+Controls!$B$9)/2)+Controls!$B$10*(D196-IF(Controls!$B$7="Normal",Controls!$B$8,(Controls!$B$8+Controls!$B$9)/2))+SQRT(1-Controls!$B$10^2)*(Random!X197-IF(Controls!$B$7="Normal",Controls!$B$8,(Controls!$B$8+Controls!$B$9)/2)))</f>
        <v/>
      </c>
      <c r="E197" s="10" t="str">
        <f>IF(Random!Y197="","",IF(Controls!$B$7="Normal",Controls!$B$8,(Controls!$B$8+Controls!$B$9)/2)+Controls!$B$10*(E196-IF(Controls!$B$7="Normal",Controls!$B$8,(Controls!$B$8+Controls!$B$9)/2))+SQRT(1-Controls!$B$10^2)*(Random!Y197-IF(Controls!$B$7="Normal",Controls!$B$8,(Controls!$B$8+Controls!$B$9)/2)))</f>
        <v/>
      </c>
      <c r="F197" s="10" t="str">
        <f>IF(Random!Z197="","",IF(Controls!$B$7="Normal",Controls!$B$8,(Controls!$B$8+Controls!$B$9)/2)+Controls!$B$10*(F196-IF(Controls!$B$7="Normal",Controls!$B$8,(Controls!$B$8+Controls!$B$9)/2))+SQRT(1-Controls!$B$10^2)*(Random!Z197-IF(Controls!$B$7="Normal",Controls!$B$8,(Controls!$B$8+Controls!$B$9)/2)))</f>
        <v/>
      </c>
      <c r="G197" s="10" t="str">
        <f>IF(Random!AA197="","",IF(Controls!$B$7="Normal",Controls!$B$8,(Controls!$B$8+Controls!$B$9)/2)+Controls!$B$10*(G196-IF(Controls!$B$7="Normal",Controls!$B$8,(Controls!$B$8+Controls!$B$9)/2))+SQRT(1-Controls!$B$10^2)*(Random!AA197-IF(Controls!$B$7="Normal",Controls!$B$8,(Controls!$B$8+Controls!$B$9)/2)))</f>
        <v/>
      </c>
      <c r="H197" s="10" t="str">
        <f>IF(Random!AB197="","",IF(Controls!$B$7="Normal",Controls!$B$8,(Controls!$B$8+Controls!$B$9)/2)+Controls!$B$10*(H196-IF(Controls!$B$7="Normal",Controls!$B$8,(Controls!$B$8+Controls!$B$9)/2))+SQRT(1-Controls!$B$10^2)*(Random!AB197-IF(Controls!$B$7="Normal",Controls!$B$8,(Controls!$B$8+Controls!$B$9)/2)))</f>
        <v/>
      </c>
      <c r="I197" s="10" t="str">
        <f>IF(Random!AC197="","",IF(Controls!$B$7="Normal",Controls!$B$8,(Controls!$B$8+Controls!$B$9)/2)+Controls!$B$10*(I196-IF(Controls!$B$7="Normal",Controls!$B$8,(Controls!$B$8+Controls!$B$9)/2))+SQRT(1-Controls!$B$10^2)*(Random!AC197-IF(Controls!$B$7="Normal",Controls!$B$8,(Controls!$B$8+Controls!$B$9)/2)))</f>
        <v/>
      </c>
      <c r="J197" s="10" t="str">
        <f>IF(Random!AD197="","",IF(Controls!$B$7="Normal",Controls!$B$8,(Controls!$B$8+Controls!$B$9)/2)+Controls!$B$10*(J196-IF(Controls!$B$7="Normal",Controls!$B$8,(Controls!$B$8+Controls!$B$9)/2))+SQRT(1-Controls!$B$10^2)*(Random!AD197-IF(Controls!$B$7="Normal",Controls!$B$8,(Controls!$B$8+Controls!$B$9)/2)))</f>
        <v/>
      </c>
      <c r="K197" s="10" t="str">
        <f>IF(Random!AE197="","",IF(Controls!$B$7="Normal",Controls!$B$8,(Controls!$B$8+Controls!$B$9)/2)+Controls!$B$10*(K196-IF(Controls!$B$7="Normal",Controls!$B$8,(Controls!$B$8+Controls!$B$9)/2))+SQRT(1-Controls!$B$10^2)*(Random!AE197-IF(Controls!$B$7="Normal",Controls!$B$8,(Controls!$B$8+Controls!$B$9)/2)))</f>
        <v/>
      </c>
      <c r="L197" s="10" t="str">
        <f>IF($A197="","",IF(AND($A197&gt;=Controls!$B$25,$A197&lt;Controls!$B$25+Controls!$C$25),(Controls!$D$25-1)*EXP(-0.5*(($A197-Controls!$B$25-(Controls!$C$25-1)/2)/MAX(Controls!$C$25/4,0.5))^2),0))</f>
        <v/>
      </c>
      <c r="M197" s="10" t="str">
        <f>IF($A197="","",IF(AND($A197&gt;=Controls!$B$26,$A197&lt;Controls!$B$26+Controls!$C$26),(Controls!$D$26-1)*EXP(-0.5*(($A197-Controls!$B$26-(Controls!$C$26-1)/2)/MAX(Controls!$C$26/4,0.5))^2),0))</f>
        <v/>
      </c>
      <c r="N197" s="10" t="str">
        <f>IF($A197="","",IF(AND($A197&gt;=Controls!$B$27,$A197&lt;Controls!$B$27+Controls!$C$27),(Controls!$D$27-1)*EXP(-0.5*(($A197-Controls!$B$27-(Controls!$C$27-1)/2)/MAX(Controls!$C$27/4,0.5))^2),0))</f>
        <v/>
      </c>
      <c r="O197" s="10" t="str">
        <f>IF($A197="","",IF(AND($A197&gt;=Controls!$B$28,$A197&lt;Controls!$B$28+Controls!$C$28),(Controls!$D$28-1)*EXP(-0.5*(($A197-Controls!$B$28-(Controls!$C$28-1)/2)/MAX(Controls!$C$28/4,0.5))^2),0))</f>
        <v/>
      </c>
      <c r="P197" s="4" t="str">
        <f t="shared" si="1"/>
        <v/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21.0" customHeight="1">
      <c r="A198" s="7" t="str">
        <f>IF(197&lt;=Controls!$B$5,Controls!$B$4+196,"")</f>
        <v/>
      </c>
      <c r="B198" s="10" t="str">
        <f>IF(Random!V198="","",IF(Controls!$B$7="Normal",Controls!$B$8,(Controls!$B$8+Controls!$B$9)/2)+Controls!$B$10*(B197-IF(Controls!$B$7="Normal",Controls!$B$8,(Controls!$B$8+Controls!$B$9)/2))+SQRT(1-Controls!$B$10^2)*(Random!V198-IF(Controls!$B$7="Normal",Controls!$B$8,(Controls!$B$8+Controls!$B$9)/2)))</f>
        <v/>
      </c>
      <c r="C198" s="10" t="str">
        <f>IF(Random!W198="","",IF(Controls!$B$7="Normal",Controls!$B$8,(Controls!$B$8+Controls!$B$9)/2)+Controls!$B$10*(C197-IF(Controls!$B$7="Normal",Controls!$B$8,(Controls!$B$8+Controls!$B$9)/2))+SQRT(1-Controls!$B$10^2)*(Random!W198-IF(Controls!$B$7="Normal",Controls!$B$8,(Controls!$B$8+Controls!$B$9)/2)))</f>
        <v/>
      </c>
      <c r="D198" s="10" t="str">
        <f>IF(Random!X198="","",IF(Controls!$B$7="Normal",Controls!$B$8,(Controls!$B$8+Controls!$B$9)/2)+Controls!$B$10*(D197-IF(Controls!$B$7="Normal",Controls!$B$8,(Controls!$B$8+Controls!$B$9)/2))+SQRT(1-Controls!$B$10^2)*(Random!X198-IF(Controls!$B$7="Normal",Controls!$B$8,(Controls!$B$8+Controls!$B$9)/2)))</f>
        <v/>
      </c>
      <c r="E198" s="10" t="str">
        <f>IF(Random!Y198="","",IF(Controls!$B$7="Normal",Controls!$B$8,(Controls!$B$8+Controls!$B$9)/2)+Controls!$B$10*(E197-IF(Controls!$B$7="Normal",Controls!$B$8,(Controls!$B$8+Controls!$B$9)/2))+SQRT(1-Controls!$B$10^2)*(Random!Y198-IF(Controls!$B$7="Normal",Controls!$B$8,(Controls!$B$8+Controls!$B$9)/2)))</f>
        <v/>
      </c>
      <c r="F198" s="10" t="str">
        <f>IF(Random!Z198="","",IF(Controls!$B$7="Normal",Controls!$B$8,(Controls!$B$8+Controls!$B$9)/2)+Controls!$B$10*(F197-IF(Controls!$B$7="Normal",Controls!$B$8,(Controls!$B$8+Controls!$B$9)/2))+SQRT(1-Controls!$B$10^2)*(Random!Z198-IF(Controls!$B$7="Normal",Controls!$B$8,(Controls!$B$8+Controls!$B$9)/2)))</f>
        <v/>
      </c>
      <c r="G198" s="10" t="str">
        <f>IF(Random!AA198="","",IF(Controls!$B$7="Normal",Controls!$B$8,(Controls!$B$8+Controls!$B$9)/2)+Controls!$B$10*(G197-IF(Controls!$B$7="Normal",Controls!$B$8,(Controls!$B$8+Controls!$B$9)/2))+SQRT(1-Controls!$B$10^2)*(Random!AA198-IF(Controls!$B$7="Normal",Controls!$B$8,(Controls!$B$8+Controls!$B$9)/2)))</f>
        <v/>
      </c>
      <c r="H198" s="10" t="str">
        <f>IF(Random!AB198="","",IF(Controls!$B$7="Normal",Controls!$B$8,(Controls!$B$8+Controls!$B$9)/2)+Controls!$B$10*(H197-IF(Controls!$B$7="Normal",Controls!$B$8,(Controls!$B$8+Controls!$B$9)/2))+SQRT(1-Controls!$B$10^2)*(Random!AB198-IF(Controls!$B$7="Normal",Controls!$B$8,(Controls!$B$8+Controls!$B$9)/2)))</f>
        <v/>
      </c>
      <c r="I198" s="10" t="str">
        <f>IF(Random!AC198="","",IF(Controls!$B$7="Normal",Controls!$B$8,(Controls!$B$8+Controls!$B$9)/2)+Controls!$B$10*(I197-IF(Controls!$B$7="Normal",Controls!$B$8,(Controls!$B$8+Controls!$B$9)/2))+SQRT(1-Controls!$B$10^2)*(Random!AC198-IF(Controls!$B$7="Normal",Controls!$B$8,(Controls!$B$8+Controls!$B$9)/2)))</f>
        <v/>
      </c>
      <c r="J198" s="10" t="str">
        <f>IF(Random!AD198="","",IF(Controls!$B$7="Normal",Controls!$B$8,(Controls!$B$8+Controls!$B$9)/2)+Controls!$B$10*(J197-IF(Controls!$B$7="Normal",Controls!$B$8,(Controls!$B$8+Controls!$B$9)/2))+SQRT(1-Controls!$B$10^2)*(Random!AD198-IF(Controls!$B$7="Normal",Controls!$B$8,(Controls!$B$8+Controls!$B$9)/2)))</f>
        <v/>
      </c>
      <c r="K198" s="10" t="str">
        <f>IF(Random!AE198="","",IF(Controls!$B$7="Normal",Controls!$B$8,(Controls!$B$8+Controls!$B$9)/2)+Controls!$B$10*(K197-IF(Controls!$B$7="Normal",Controls!$B$8,(Controls!$B$8+Controls!$B$9)/2))+SQRT(1-Controls!$B$10^2)*(Random!AE198-IF(Controls!$B$7="Normal",Controls!$B$8,(Controls!$B$8+Controls!$B$9)/2)))</f>
        <v/>
      </c>
      <c r="L198" s="10" t="str">
        <f>IF($A198="","",IF(AND($A198&gt;=Controls!$B$25,$A198&lt;Controls!$B$25+Controls!$C$25),(Controls!$D$25-1)*EXP(-0.5*(($A198-Controls!$B$25-(Controls!$C$25-1)/2)/MAX(Controls!$C$25/4,0.5))^2),0))</f>
        <v/>
      </c>
      <c r="M198" s="10" t="str">
        <f>IF($A198="","",IF(AND($A198&gt;=Controls!$B$26,$A198&lt;Controls!$B$26+Controls!$C$26),(Controls!$D$26-1)*EXP(-0.5*(($A198-Controls!$B$26-(Controls!$C$26-1)/2)/MAX(Controls!$C$26/4,0.5))^2),0))</f>
        <v/>
      </c>
      <c r="N198" s="10" t="str">
        <f>IF($A198="","",IF(AND($A198&gt;=Controls!$B$27,$A198&lt;Controls!$B$27+Controls!$C$27),(Controls!$D$27-1)*EXP(-0.5*(($A198-Controls!$B$27-(Controls!$C$27-1)/2)/MAX(Controls!$C$27/4,0.5))^2),0))</f>
        <v/>
      </c>
      <c r="O198" s="10" t="str">
        <f>IF($A198="","",IF(AND($A198&gt;=Controls!$B$28,$A198&lt;Controls!$B$28+Controls!$C$28),(Controls!$D$28-1)*EXP(-0.5*(($A198-Controls!$B$28-(Controls!$C$28-1)/2)/MAX(Controls!$C$28/4,0.5))^2),0))</f>
        <v/>
      </c>
      <c r="P198" s="4" t="str">
        <f t="shared" si="1"/>
        <v/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21.0" customHeight="1">
      <c r="A199" s="7" t="str">
        <f>IF(198&lt;=Controls!$B$5,Controls!$B$4+197,"")</f>
        <v/>
      </c>
      <c r="B199" s="10" t="str">
        <f>IF(Random!V199="","",IF(Controls!$B$7="Normal",Controls!$B$8,(Controls!$B$8+Controls!$B$9)/2)+Controls!$B$10*(B198-IF(Controls!$B$7="Normal",Controls!$B$8,(Controls!$B$8+Controls!$B$9)/2))+SQRT(1-Controls!$B$10^2)*(Random!V199-IF(Controls!$B$7="Normal",Controls!$B$8,(Controls!$B$8+Controls!$B$9)/2)))</f>
        <v/>
      </c>
      <c r="C199" s="10" t="str">
        <f>IF(Random!W199="","",IF(Controls!$B$7="Normal",Controls!$B$8,(Controls!$B$8+Controls!$B$9)/2)+Controls!$B$10*(C198-IF(Controls!$B$7="Normal",Controls!$B$8,(Controls!$B$8+Controls!$B$9)/2))+SQRT(1-Controls!$B$10^2)*(Random!W199-IF(Controls!$B$7="Normal",Controls!$B$8,(Controls!$B$8+Controls!$B$9)/2)))</f>
        <v/>
      </c>
      <c r="D199" s="10" t="str">
        <f>IF(Random!X199="","",IF(Controls!$B$7="Normal",Controls!$B$8,(Controls!$B$8+Controls!$B$9)/2)+Controls!$B$10*(D198-IF(Controls!$B$7="Normal",Controls!$B$8,(Controls!$B$8+Controls!$B$9)/2))+SQRT(1-Controls!$B$10^2)*(Random!X199-IF(Controls!$B$7="Normal",Controls!$B$8,(Controls!$B$8+Controls!$B$9)/2)))</f>
        <v/>
      </c>
      <c r="E199" s="10" t="str">
        <f>IF(Random!Y199="","",IF(Controls!$B$7="Normal",Controls!$B$8,(Controls!$B$8+Controls!$B$9)/2)+Controls!$B$10*(E198-IF(Controls!$B$7="Normal",Controls!$B$8,(Controls!$B$8+Controls!$B$9)/2))+SQRT(1-Controls!$B$10^2)*(Random!Y199-IF(Controls!$B$7="Normal",Controls!$B$8,(Controls!$B$8+Controls!$B$9)/2)))</f>
        <v/>
      </c>
      <c r="F199" s="10" t="str">
        <f>IF(Random!Z199="","",IF(Controls!$B$7="Normal",Controls!$B$8,(Controls!$B$8+Controls!$B$9)/2)+Controls!$B$10*(F198-IF(Controls!$B$7="Normal",Controls!$B$8,(Controls!$B$8+Controls!$B$9)/2))+SQRT(1-Controls!$B$10^2)*(Random!Z199-IF(Controls!$B$7="Normal",Controls!$B$8,(Controls!$B$8+Controls!$B$9)/2)))</f>
        <v/>
      </c>
      <c r="G199" s="10" t="str">
        <f>IF(Random!AA199="","",IF(Controls!$B$7="Normal",Controls!$B$8,(Controls!$B$8+Controls!$B$9)/2)+Controls!$B$10*(G198-IF(Controls!$B$7="Normal",Controls!$B$8,(Controls!$B$8+Controls!$B$9)/2))+SQRT(1-Controls!$B$10^2)*(Random!AA199-IF(Controls!$B$7="Normal",Controls!$B$8,(Controls!$B$8+Controls!$B$9)/2)))</f>
        <v/>
      </c>
      <c r="H199" s="10" t="str">
        <f>IF(Random!AB199="","",IF(Controls!$B$7="Normal",Controls!$B$8,(Controls!$B$8+Controls!$B$9)/2)+Controls!$B$10*(H198-IF(Controls!$B$7="Normal",Controls!$B$8,(Controls!$B$8+Controls!$B$9)/2))+SQRT(1-Controls!$B$10^2)*(Random!AB199-IF(Controls!$B$7="Normal",Controls!$B$8,(Controls!$B$8+Controls!$B$9)/2)))</f>
        <v/>
      </c>
      <c r="I199" s="10" t="str">
        <f>IF(Random!AC199="","",IF(Controls!$B$7="Normal",Controls!$B$8,(Controls!$B$8+Controls!$B$9)/2)+Controls!$B$10*(I198-IF(Controls!$B$7="Normal",Controls!$B$8,(Controls!$B$8+Controls!$B$9)/2))+SQRT(1-Controls!$B$10^2)*(Random!AC199-IF(Controls!$B$7="Normal",Controls!$B$8,(Controls!$B$8+Controls!$B$9)/2)))</f>
        <v/>
      </c>
      <c r="J199" s="10" t="str">
        <f>IF(Random!AD199="","",IF(Controls!$B$7="Normal",Controls!$B$8,(Controls!$B$8+Controls!$B$9)/2)+Controls!$B$10*(J198-IF(Controls!$B$7="Normal",Controls!$B$8,(Controls!$B$8+Controls!$B$9)/2))+SQRT(1-Controls!$B$10^2)*(Random!AD199-IF(Controls!$B$7="Normal",Controls!$B$8,(Controls!$B$8+Controls!$B$9)/2)))</f>
        <v/>
      </c>
      <c r="K199" s="10" t="str">
        <f>IF(Random!AE199="","",IF(Controls!$B$7="Normal",Controls!$B$8,(Controls!$B$8+Controls!$B$9)/2)+Controls!$B$10*(K198-IF(Controls!$B$7="Normal",Controls!$B$8,(Controls!$B$8+Controls!$B$9)/2))+SQRT(1-Controls!$B$10^2)*(Random!AE199-IF(Controls!$B$7="Normal",Controls!$B$8,(Controls!$B$8+Controls!$B$9)/2)))</f>
        <v/>
      </c>
      <c r="L199" s="10" t="str">
        <f>IF($A199="","",IF(AND($A199&gt;=Controls!$B$25,$A199&lt;Controls!$B$25+Controls!$C$25),(Controls!$D$25-1)*EXP(-0.5*(($A199-Controls!$B$25-(Controls!$C$25-1)/2)/MAX(Controls!$C$25/4,0.5))^2),0))</f>
        <v/>
      </c>
      <c r="M199" s="10" t="str">
        <f>IF($A199="","",IF(AND($A199&gt;=Controls!$B$26,$A199&lt;Controls!$B$26+Controls!$C$26),(Controls!$D$26-1)*EXP(-0.5*(($A199-Controls!$B$26-(Controls!$C$26-1)/2)/MAX(Controls!$C$26/4,0.5))^2),0))</f>
        <v/>
      </c>
      <c r="N199" s="10" t="str">
        <f>IF($A199="","",IF(AND($A199&gt;=Controls!$B$27,$A199&lt;Controls!$B$27+Controls!$C$27),(Controls!$D$27-1)*EXP(-0.5*(($A199-Controls!$B$27-(Controls!$C$27-1)/2)/MAX(Controls!$C$27/4,0.5))^2),0))</f>
        <v/>
      </c>
      <c r="O199" s="10" t="str">
        <f>IF($A199="","",IF(AND($A199&gt;=Controls!$B$28,$A199&lt;Controls!$B$28+Controls!$C$28),(Controls!$D$28-1)*EXP(-0.5*(($A199-Controls!$B$28-(Controls!$C$28-1)/2)/MAX(Controls!$C$28/4,0.5))^2),0))</f>
        <v/>
      </c>
      <c r="P199" s="4" t="str">
        <f t="shared" si="1"/>
        <v/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21.0" customHeight="1">
      <c r="A200" s="7" t="str">
        <f>IF(199&lt;=Controls!$B$5,Controls!$B$4+198,"")</f>
        <v/>
      </c>
      <c r="B200" s="10" t="str">
        <f>IF(Random!V200="","",IF(Controls!$B$7="Normal",Controls!$B$8,(Controls!$B$8+Controls!$B$9)/2)+Controls!$B$10*(B199-IF(Controls!$B$7="Normal",Controls!$B$8,(Controls!$B$8+Controls!$B$9)/2))+SQRT(1-Controls!$B$10^2)*(Random!V200-IF(Controls!$B$7="Normal",Controls!$B$8,(Controls!$B$8+Controls!$B$9)/2)))</f>
        <v/>
      </c>
      <c r="C200" s="10" t="str">
        <f>IF(Random!W200="","",IF(Controls!$B$7="Normal",Controls!$B$8,(Controls!$B$8+Controls!$B$9)/2)+Controls!$B$10*(C199-IF(Controls!$B$7="Normal",Controls!$B$8,(Controls!$B$8+Controls!$B$9)/2))+SQRT(1-Controls!$B$10^2)*(Random!W200-IF(Controls!$B$7="Normal",Controls!$B$8,(Controls!$B$8+Controls!$B$9)/2)))</f>
        <v/>
      </c>
      <c r="D200" s="10" t="str">
        <f>IF(Random!X200="","",IF(Controls!$B$7="Normal",Controls!$B$8,(Controls!$B$8+Controls!$B$9)/2)+Controls!$B$10*(D199-IF(Controls!$B$7="Normal",Controls!$B$8,(Controls!$B$8+Controls!$B$9)/2))+SQRT(1-Controls!$B$10^2)*(Random!X200-IF(Controls!$B$7="Normal",Controls!$B$8,(Controls!$B$8+Controls!$B$9)/2)))</f>
        <v/>
      </c>
      <c r="E200" s="10" t="str">
        <f>IF(Random!Y200="","",IF(Controls!$B$7="Normal",Controls!$B$8,(Controls!$B$8+Controls!$B$9)/2)+Controls!$B$10*(E199-IF(Controls!$B$7="Normal",Controls!$B$8,(Controls!$B$8+Controls!$B$9)/2))+SQRT(1-Controls!$B$10^2)*(Random!Y200-IF(Controls!$B$7="Normal",Controls!$B$8,(Controls!$B$8+Controls!$B$9)/2)))</f>
        <v/>
      </c>
      <c r="F200" s="10" t="str">
        <f>IF(Random!Z200="","",IF(Controls!$B$7="Normal",Controls!$B$8,(Controls!$B$8+Controls!$B$9)/2)+Controls!$B$10*(F199-IF(Controls!$B$7="Normal",Controls!$B$8,(Controls!$B$8+Controls!$B$9)/2))+SQRT(1-Controls!$B$10^2)*(Random!Z200-IF(Controls!$B$7="Normal",Controls!$B$8,(Controls!$B$8+Controls!$B$9)/2)))</f>
        <v/>
      </c>
      <c r="G200" s="10" t="str">
        <f>IF(Random!AA200="","",IF(Controls!$B$7="Normal",Controls!$B$8,(Controls!$B$8+Controls!$B$9)/2)+Controls!$B$10*(G199-IF(Controls!$B$7="Normal",Controls!$B$8,(Controls!$B$8+Controls!$B$9)/2))+SQRT(1-Controls!$B$10^2)*(Random!AA200-IF(Controls!$B$7="Normal",Controls!$B$8,(Controls!$B$8+Controls!$B$9)/2)))</f>
        <v/>
      </c>
      <c r="H200" s="10" t="str">
        <f>IF(Random!AB200="","",IF(Controls!$B$7="Normal",Controls!$B$8,(Controls!$B$8+Controls!$B$9)/2)+Controls!$B$10*(H199-IF(Controls!$B$7="Normal",Controls!$B$8,(Controls!$B$8+Controls!$B$9)/2))+SQRT(1-Controls!$B$10^2)*(Random!AB200-IF(Controls!$B$7="Normal",Controls!$B$8,(Controls!$B$8+Controls!$B$9)/2)))</f>
        <v/>
      </c>
      <c r="I200" s="10" t="str">
        <f>IF(Random!AC200="","",IF(Controls!$B$7="Normal",Controls!$B$8,(Controls!$B$8+Controls!$B$9)/2)+Controls!$B$10*(I199-IF(Controls!$B$7="Normal",Controls!$B$8,(Controls!$B$8+Controls!$B$9)/2))+SQRT(1-Controls!$B$10^2)*(Random!AC200-IF(Controls!$B$7="Normal",Controls!$B$8,(Controls!$B$8+Controls!$B$9)/2)))</f>
        <v/>
      </c>
      <c r="J200" s="10" t="str">
        <f>IF(Random!AD200="","",IF(Controls!$B$7="Normal",Controls!$B$8,(Controls!$B$8+Controls!$B$9)/2)+Controls!$B$10*(J199-IF(Controls!$B$7="Normal",Controls!$B$8,(Controls!$B$8+Controls!$B$9)/2))+SQRT(1-Controls!$B$10^2)*(Random!AD200-IF(Controls!$B$7="Normal",Controls!$B$8,(Controls!$B$8+Controls!$B$9)/2)))</f>
        <v/>
      </c>
      <c r="K200" s="10" t="str">
        <f>IF(Random!AE200="","",IF(Controls!$B$7="Normal",Controls!$B$8,(Controls!$B$8+Controls!$B$9)/2)+Controls!$B$10*(K199-IF(Controls!$B$7="Normal",Controls!$B$8,(Controls!$B$8+Controls!$B$9)/2))+SQRT(1-Controls!$B$10^2)*(Random!AE200-IF(Controls!$B$7="Normal",Controls!$B$8,(Controls!$B$8+Controls!$B$9)/2)))</f>
        <v/>
      </c>
      <c r="L200" s="10" t="str">
        <f>IF($A200="","",IF(AND($A200&gt;=Controls!$B$25,$A200&lt;Controls!$B$25+Controls!$C$25),(Controls!$D$25-1)*EXP(-0.5*(($A200-Controls!$B$25-(Controls!$C$25-1)/2)/MAX(Controls!$C$25/4,0.5))^2),0))</f>
        <v/>
      </c>
      <c r="M200" s="10" t="str">
        <f>IF($A200="","",IF(AND($A200&gt;=Controls!$B$26,$A200&lt;Controls!$B$26+Controls!$C$26),(Controls!$D$26-1)*EXP(-0.5*(($A200-Controls!$B$26-(Controls!$C$26-1)/2)/MAX(Controls!$C$26/4,0.5))^2),0))</f>
        <v/>
      </c>
      <c r="N200" s="10" t="str">
        <f>IF($A200="","",IF(AND($A200&gt;=Controls!$B$27,$A200&lt;Controls!$B$27+Controls!$C$27),(Controls!$D$27-1)*EXP(-0.5*(($A200-Controls!$B$27-(Controls!$C$27-1)/2)/MAX(Controls!$C$27/4,0.5))^2),0))</f>
        <v/>
      </c>
      <c r="O200" s="10" t="str">
        <f>IF($A200="","",IF(AND($A200&gt;=Controls!$B$28,$A200&lt;Controls!$B$28+Controls!$C$28),(Controls!$D$28-1)*EXP(-0.5*(($A200-Controls!$B$28-(Controls!$C$28-1)/2)/MAX(Controls!$C$28/4,0.5))^2),0))</f>
        <v/>
      </c>
      <c r="P200" s="4" t="str">
        <f t="shared" si="1"/>
        <v/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21.0" customHeight="1">
      <c r="A201" s="7" t="str">
        <f>IF(200&lt;=Controls!$B$5,Controls!$B$4+199,"")</f>
        <v/>
      </c>
      <c r="B201" s="10" t="str">
        <f>IF(Random!V201="","",IF(Controls!$B$7="Normal",Controls!$B$8,(Controls!$B$8+Controls!$B$9)/2)+Controls!$B$10*(B200-IF(Controls!$B$7="Normal",Controls!$B$8,(Controls!$B$8+Controls!$B$9)/2))+SQRT(1-Controls!$B$10^2)*(Random!V201-IF(Controls!$B$7="Normal",Controls!$B$8,(Controls!$B$8+Controls!$B$9)/2)))</f>
        <v/>
      </c>
      <c r="C201" s="10" t="str">
        <f>IF(Random!W201="","",IF(Controls!$B$7="Normal",Controls!$B$8,(Controls!$B$8+Controls!$B$9)/2)+Controls!$B$10*(C200-IF(Controls!$B$7="Normal",Controls!$B$8,(Controls!$B$8+Controls!$B$9)/2))+SQRT(1-Controls!$B$10^2)*(Random!W201-IF(Controls!$B$7="Normal",Controls!$B$8,(Controls!$B$8+Controls!$B$9)/2)))</f>
        <v/>
      </c>
      <c r="D201" s="10" t="str">
        <f>IF(Random!X201="","",IF(Controls!$B$7="Normal",Controls!$B$8,(Controls!$B$8+Controls!$B$9)/2)+Controls!$B$10*(D200-IF(Controls!$B$7="Normal",Controls!$B$8,(Controls!$B$8+Controls!$B$9)/2))+SQRT(1-Controls!$B$10^2)*(Random!X201-IF(Controls!$B$7="Normal",Controls!$B$8,(Controls!$B$8+Controls!$B$9)/2)))</f>
        <v/>
      </c>
      <c r="E201" s="10" t="str">
        <f>IF(Random!Y201="","",IF(Controls!$B$7="Normal",Controls!$B$8,(Controls!$B$8+Controls!$B$9)/2)+Controls!$B$10*(E200-IF(Controls!$B$7="Normal",Controls!$B$8,(Controls!$B$8+Controls!$B$9)/2))+SQRT(1-Controls!$B$10^2)*(Random!Y201-IF(Controls!$B$7="Normal",Controls!$B$8,(Controls!$B$8+Controls!$B$9)/2)))</f>
        <v/>
      </c>
      <c r="F201" s="10" t="str">
        <f>IF(Random!Z201="","",IF(Controls!$B$7="Normal",Controls!$B$8,(Controls!$B$8+Controls!$B$9)/2)+Controls!$B$10*(F200-IF(Controls!$B$7="Normal",Controls!$B$8,(Controls!$B$8+Controls!$B$9)/2))+SQRT(1-Controls!$B$10^2)*(Random!Z201-IF(Controls!$B$7="Normal",Controls!$B$8,(Controls!$B$8+Controls!$B$9)/2)))</f>
        <v/>
      </c>
      <c r="G201" s="10" t="str">
        <f>IF(Random!AA201="","",IF(Controls!$B$7="Normal",Controls!$B$8,(Controls!$B$8+Controls!$B$9)/2)+Controls!$B$10*(G200-IF(Controls!$B$7="Normal",Controls!$B$8,(Controls!$B$8+Controls!$B$9)/2))+SQRT(1-Controls!$B$10^2)*(Random!AA201-IF(Controls!$B$7="Normal",Controls!$B$8,(Controls!$B$8+Controls!$B$9)/2)))</f>
        <v/>
      </c>
      <c r="H201" s="10" t="str">
        <f>IF(Random!AB201="","",IF(Controls!$B$7="Normal",Controls!$B$8,(Controls!$B$8+Controls!$B$9)/2)+Controls!$B$10*(H200-IF(Controls!$B$7="Normal",Controls!$B$8,(Controls!$B$8+Controls!$B$9)/2))+SQRT(1-Controls!$B$10^2)*(Random!AB201-IF(Controls!$B$7="Normal",Controls!$B$8,(Controls!$B$8+Controls!$B$9)/2)))</f>
        <v/>
      </c>
      <c r="I201" s="10" t="str">
        <f>IF(Random!AC201="","",IF(Controls!$B$7="Normal",Controls!$B$8,(Controls!$B$8+Controls!$B$9)/2)+Controls!$B$10*(I200-IF(Controls!$B$7="Normal",Controls!$B$8,(Controls!$B$8+Controls!$B$9)/2))+SQRT(1-Controls!$B$10^2)*(Random!AC201-IF(Controls!$B$7="Normal",Controls!$B$8,(Controls!$B$8+Controls!$B$9)/2)))</f>
        <v/>
      </c>
      <c r="J201" s="10" t="str">
        <f>IF(Random!AD201="","",IF(Controls!$B$7="Normal",Controls!$B$8,(Controls!$B$8+Controls!$B$9)/2)+Controls!$B$10*(J200-IF(Controls!$B$7="Normal",Controls!$B$8,(Controls!$B$8+Controls!$B$9)/2))+SQRT(1-Controls!$B$10^2)*(Random!AD201-IF(Controls!$B$7="Normal",Controls!$B$8,(Controls!$B$8+Controls!$B$9)/2)))</f>
        <v/>
      </c>
      <c r="K201" s="10" t="str">
        <f>IF(Random!AE201="","",IF(Controls!$B$7="Normal",Controls!$B$8,(Controls!$B$8+Controls!$B$9)/2)+Controls!$B$10*(K200-IF(Controls!$B$7="Normal",Controls!$B$8,(Controls!$B$8+Controls!$B$9)/2))+SQRT(1-Controls!$B$10^2)*(Random!AE201-IF(Controls!$B$7="Normal",Controls!$B$8,(Controls!$B$8+Controls!$B$9)/2)))</f>
        <v/>
      </c>
      <c r="L201" s="10" t="str">
        <f>IF($A201="","",IF(AND($A201&gt;=Controls!$B$25,$A201&lt;Controls!$B$25+Controls!$C$25),(Controls!$D$25-1)*EXP(-0.5*(($A201-Controls!$B$25-(Controls!$C$25-1)/2)/MAX(Controls!$C$25/4,0.5))^2),0))</f>
        <v/>
      </c>
      <c r="M201" s="10" t="str">
        <f>IF($A201="","",IF(AND($A201&gt;=Controls!$B$26,$A201&lt;Controls!$B$26+Controls!$C$26),(Controls!$D$26-1)*EXP(-0.5*(($A201-Controls!$B$26-(Controls!$C$26-1)/2)/MAX(Controls!$C$26/4,0.5))^2),0))</f>
        <v/>
      </c>
      <c r="N201" s="10" t="str">
        <f>IF($A201="","",IF(AND($A201&gt;=Controls!$B$27,$A201&lt;Controls!$B$27+Controls!$C$27),(Controls!$D$27-1)*EXP(-0.5*(($A201-Controls!$B$27-(Controls!$C$27-1)/2)/MAX(Controls!$C$27/4,0.5))^2),0))</f>
        <v/>
      </c>
      <c r="O201" s="10" t="str">
        <f>IF($A201="","",IF(AND($A201&gt;=Controls!$B$28,$A201&lt;Controls!$B$28+Controls!$C$28),(Controls!$D$28-1)*EXP(-0.5*(($A201-Controls!$B$28-(Controls!$C$28-1)/2)/MAX(Controls!$C$28/4,0.5))^2),0))</f>
        <v/>
      </c>
      <c r="P201" s="4" t="str">
        <f t="shared" si="1"/>
        <v/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21.0" customHeight="1">
      <c r="A202" s="7" t="str">
        <f>IF(201&lt;=Controls!$B$5,Controls!$B$4+200,"")</f>
        <v/>
      </c>
      <c r="B202" s="10" t="str">
        <f>IF(Random!V202="","",IF(Controls!$B$7="Normal",Controls!$B$8,(Controls!$B$8+Controls!$B$9)/2)+Controls!$B$10*(B201-IF(Controls!$B$7="Normal",Controls!$B$8,(Controls!$B$8+Controls!$B$9)/2))+SQRT(1-Controls!$B$10^2)*(Random!V202-IF(Controls!$B$7="Normal",Controls!$B$8,(Controls!$B$8+Controls!$B$9)/2)))</f>
        <v/>
      </c>
      <c r="C202" s="10" t="str">
        <f>IF(Random!W202="","",IF(Controls!$B$7="Normal",Controls!$B$8,(Controls!$B$8+Controls!$B$9)/2)+Controls!$B$10*(C201-IF(Controls!$B$7="Normal",Controls!$B$8,(Controls!$B$8+Controls!$B$9)/2))+SQRT(1-Controls!$B$10^2)*(Random!W202-IF(Controls!$B$7="Normal",Controls!$B$8,(Controls!$B$8+Controls!$B$9)/2)))</f>
        <v/>
      </c>
      <c r="D202" s="10" t="str">
        <f>IF(Random!X202="","",IF(Controls!$B$7="Normal",Controls!$B$8,(Controls!$B$8+Controls!$B$9)/2)+Controls!$B$10*(D201-IF(Controls!$B$7="Normal",Controls!$B$8,(Controls!$B$8+Controls!$B$9)/2))+SQRT(1-Controls!$B$10^2)*(Random!X202-IF(Controls!$B$7="Normal",Controls!$B$8,(Controls!$B$8+Controls!$B$9)/2)))</f>
        <v/>
      </c>
      <c r="E202" s="10" t="str">
        <f>IF(Random!Y202="","",IF(Controls!$B$7="Normal",Controls!$B$8,(Controls!$B$8+Controls!$B$9)/2)+Controls!$B$10*(E201-IF(Controls!$B$7="Normal",Controls!$B$8,(Controls!$B$8+Controls!$B$9)/2))+SQRT(1-Controls!$B$10^2)*(Random!Y202-IF(Controls!$B$7="Normal",Controls!$B$8,(Controls!$B$8+Controls!$B$9)/2)))</f>
        <v/>
      </c>
      <c r="F202" s="10" t="str">
        <f>IF(Random!Z202="","",IF(Controls!$B$7="Normal",Controls!$B$8,(Controls!$B$8+Controls!$B$9)/2)+Controls!$B$10*(F201-IF(Controls!$B$7="Normal",Controls!$B$8,(Controls!$B$8+Controls!$B$9)/2))+SQRT(1-Controls!$B$10^2)*(Random!Z202-IF(Controls!$B$7="Normal",Controls!$B$8,(Controls!$B$8+Controls!$B$9)/2)))</f>
        <v/>
      </c>
      <c r="G202" s="10" t="str">
        <f>IF(Random!AA202="","",IF(Controls!$B$7="Normal",Controls!$B$8,(Controls!$B$8+Controls!$B$9)/2)+Controls!$B$10*(G201-IF(Controls!$B$7="Normal",Controls!$B$8,(Controls!$B$8+Controls!$B$9)/2))+SQRT(1-Controls!$B$10^2)*(Random!AA202-IF(Controls!$B$7="Normal",Controls!$B$8,(Controls!$B$8+Controls!$B$9)/2)))</f>
        <v/>
      </c>
      <c r="H202" s="10" t="str">
        <f>IF(Random!AB202="","",IF(Controls!$B$7="Normal",Controls!$B$8,(Controls!$B$8+Controls!$B$9)/2)+Controls!$B$10*(H201-IF(Controls!$B$7="Normal",Controls!$B$8,(Controls!$B$8+Controls!$B$9)/2))+SQRT(1-Controls!$B$10^2)*(Random!AB202-IF(Controls!$B$7="Normal",Controls!$B$8,(Controls!$B$8+Controls!$B$9)/2)))</f>
        <v/>
      </c>
      <c r="I202" s="10" t="str">
        <f>IF(Random!AC202="","",IF(Controls!$B$7="Normal",Controls!$B$8,(Controls!$B$8+Controls!$B$9)/2)+Controls!$B$10*(I201-IF(Controls!$B$7="Normal",Controls!$B$8,(Controls!$B$8+Controls!$B$9)/2))+SQRT(1-Controls!$B$10^2)*(Random!AC202-IF(Controls!$B$7="Normal",Controls!$B$8,(Controls!$B$8+Controls!$B$9)/2)))</f>
        <v/>
      </c>
      <c r="J202" s="10" t="str">
        <f>IF(Random!AD202="","",IF(Controls!$B$7="Normal",Controls!$B$8,(Controls!$B$8+Controls!$B$9)/2)+Controls!$B$10*(J201-IF(Controls!$B$7="Normal",Controls!$B$8,(Controls!$B$8+Controls!$B$9)/2))+SQRT(1-Controls!$B$10^2)*(Random!AD202-IF(Controls!$B$7="Normal",Controls!$B$8,(Controls!$B$8+Controls!$B$9)/2)))</f>
        <v/>
      </c>
      <c r="K202" s="10" t="str">
        <f>IF(Random!AE202="","",IF(Controls!$B$7="Normal",Controls!$B$8,(Controls!$B$8+Controls!$B$9)/2)+Controls!$B$10*(K201-IF(Controls!$B$7="Normal",Controls!$B$8,(Controls!$B$8+Controls!$B$9)/2))+SQRT(1-Controls!$B$10^2)*(Random!AE202-IF(Controls!$B$7="Normal",Controls!$B$8,(Controls!$B$8+Controls!$B$9)/2)))</f>
        <v/>
      </c>
      <c r="L202" s="10" t="str">
        <f>IF($A202="","",IF(AND($A202&gt;=Controls!$B$25,$A202&lt;Controls!$B$25+Controls!$C$25),(Controls!$D$25-1)*EXP(-0.5*(($A202-Controls!$B$25-(Controls!$C$25-1)/2)/MAX(Controls!$C$25/4,0.5))^2),0))</f>
        <v/>
      </c>
      <c r="M202" s="10" t="str">
        <f>IF($A202="","",IF(AND($A202&gt;=Controls!$B$26,$A202&lt;Controls!$B$26+Controls!$C$26),(Controls!$D$26-1)*EXP(-0.5*(($A202-Controls!$B$26-(Controls!$C$26-1)/2)/MAX(Controls!$C$26/4,0.5))^2),0))</f>
        <v/>
      </c>
      <c r="N202" s="10" t="str">
        <f>IF($A202="","",IF(AND($A202&gt;=Controls!$B$27,$A202&lt;Controls!$B$27+Controls!$C$27),(Controls!$D$27-1)*EXP(-0.5*(($A202-Controls!$B$27-(Controls!$C$27-1)/2)/MAX(Controls!$C$27/4,0.5))^2),0))</f>
        <v/>
      </c>
      <c r="O202" s="10" t="str">
        <f>IF($A202="","",IF(AND($A202&gt;=Controls!$B$28,$A202&lt;Controls!$B$28+Controls!$C$28),(Controls!$D$28-1)*EXP(-0.5*(($A202-Controls!$B$28-(Controls!$C$28-1)/2)/MAX(Controls!$C$28/4,0.5))^2),0))</f>
        <v/>
      </c>
      <c r="P202" s="4" t="str">
        <f t="shared" si="1"/>
        <v/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21.0" customHeight="1">
      <c r="A203" s="7" t="str">
        <f>IF(202&lt;=Controls!$B$5,Controls!$B$4+201,"")</f>
        <v/>
      </c>
      <c r="B203" s="10" t="str">
        <f>IF(Random!V203="","",IF(Controls!$B$7="Normal",Controls!$B$8,(Controls!$B$8+Controls!$B$9)/2)+Controls!$B$10*(B202-IF(Controls!$B$7="Normal",Controls!$B$8,(Controls!$B$8+Controls!$B$9)/2))+SQRT(1-Controls!$B$10^2)*(Random!V203-IF(Controls!$B$7="Normal",Controls!$B$8,(Controls!$B$8+Controls!$B$9)/2)))</f>
        <v/>
      </c>
      <c r="C203" s="10" t="str">
        <f>IF(Random!W203="","",IF(Controls!$B$7="Normal",Controls!$B$8,(Controls!$B$8+Controls!$B$9)/2)+Controls!$B$10*(C202-IF(Controls!$B$7="Normal",Controls!$B$8,(Controls!$B$8+Controls!$B$9)/2))+SQRT(1-Controls!$B$10^2)*(Random!W203-IF(Controls!$B$7="Normal",Controls!$B$8,(Controls!$B$8+Controls!$B$9)/2)))</f>
        <v/>
      </c>
      <c r="D203" s="10" t="str">
        <f>IF(Random!X203="","",IF(Controls!$B$7="Normal",Controls!$B$8,(Controls!$B$8+Controls!$B$9)/2)+Controls!$B$10*(D202-IF(Controls!$B$7="Normal",Controls!$B$8,(Controls!$B$8+Controls!$B$9)/2))+SQRT(1-Controls!$B$10^2)*(Random!X203-IF(Controls!$B$7="Normal",Controls!$B$8,(Controls!$B$8+Controls!$B$9)/2)))</f>
        <v/>
      </c>
      <c r="E203" s="10" t="str">
        <f>IF(Random!Y203="","",IF(Controls!$B$7="Normal",Controls!$B$8,(Controls!$B$8+Controls!$B$9)/2)+Controls!$B$10*(E202-IF(Controls!$B$7="Normal",Controls!$B$8,(Controls!$B$8+Controls!$B$9)/2))+SQRT(1-Controls!$B$10^2)*(Random!Y203-IF(Controls!$B$7="Normal",Controls!$B$8,(Controls!$B$8+Controls!$B$9)/2)))</f>
        <v/>
      </c>
      <c r="F203" s="10" t="str">
        <f>IF(Random!Z203="","",IF(Controls!$B$7="Normal",Controls!$B$8,(Controls!$B$8+Controls!$B$9)/2)+Controls!$B$10*(F202-IF(Controls!$B$7="Normal",Controls!$B$8,(Controls!$B$8+Controls!$B$9)/2))+SQRT(1-Controls!$B$10^2)*(Random!Z203-IF(Controls!$B$7="Normal",Controls!$B$8,(Controls!$B$8+Controls!$B$9)/2)))</f>
        <v/>
      </c>
      <c r="G203" s="10" t="str">
        <f>IF(Random!AA203="","",IF(Controls!$B$7="Normal",Controls!$B$8,(Controls!$B$8+Controls!$B$9)/2)+Controls!$B$10*(G202-IF(Controls!$B$7="Normal",Controls!$B$8,(Controls!$B$8+Controls!$B$9)/2))+SQRT(1-Controls!$B$10^2)*(Random!AA203-IF(Controls!$B$7="Normal",Controls!$B$8,(Controls!$B$8+Controls!$B$9)/2)))</f>
        <v/>
      </c>
      <c r="H203" s="10" t="str">
        <f>IF(Random!AB203="","",IF(Controls!$B$7="Normal",Controls!$B$8,(Controls!$B$8+Controls!$B$9)/2)+Controls!$B$10*(H202-IF(Controls!$B$7="Normal",Controls!$B$8,(Controls!$B$8+Controls!$B$9)/2))+SQRT(1-Controls!$B$10^2)*(Random!AB203-IF(Controls!$B$7="Normal",Controls!$B$8,(Controls!$B$8+Controls!$B$9)/2)))</f>
        <v/>
      </c>
      <c r="I203" s="10" t="str">
        <f>IF(Random!AC203="","",IF(Controls!$B$7="Normal",Controls!$B$8,(Controls!$B$8+Controls!$B$9)/2)+Controls!$B$10*(I202-IF(Controls!$B$7="Normal",Controls!$B$8,(Controls!$B$8+Controls!$B$9)/2))+SQRT(1-Controls!$B$10^2)*(Random!AC203-IF(Controls!$B$7="Normal",Controls!$B$8,(Controls!$B$8+Controls!$B$9)/2)))</f>
        <v/>
      </c>
      <c r="J203" s="10" t="str">
        <f>IF(Random!AD203="","",IF(Controls!$B$7="Normal",Controls!$B$8,(Controls!$B$8+Controls!$B$9)/2)+Controls!$B$10*(J202-IF(Controls!$B$7="Normal",Controls!$B$8,(Controls!$B$8+Controls!$B$9)/2))+SQRT(1-Controls!$B$10^2)*(Random!AD203-IF(Controls!$B$7="Normal",Controls!$B$8,(Controls!$B$8+Controls!$B$9)/2)))</f>
        <v/>
      </c>
      <c r="K203" s="10" t="str">
        <f>IF(Random!AE203="","",IF(Controls!$B$7="Normal",Controls!$B$8,(Controls!$B$8+Controls!$B$9)/2)+Controls!$B$10*(K202-IF(Controls!$B$7="Normal",Controls!$B$8,(Controls!$B$8+Controls!$B$9)/2))+SQRT(1-Controls!$B$10^2)*(Random!AE203-IF(Controls!$B$7="Normal",Controls!$B$8,(Controls!$B$8+Controls!$B$9)/2)))</f>
        <v/>
      </c>
      <c r="L203" s="10" t="str">
        <f>IF($A203="","",IF(AND($A203&gt;=Controls!$B$25,$A203&lt;Controls!$B$25+Controls!$C$25),(Controls!$D$25-1)*EXP(-0.5*(($A203-Controls!$B$25-(Controls!$C$25-1)/2)/MAX(Controls!$C$25/4,0.5))^2),0))</f>
        <v/>
      </c>
      <c r="M203" s="10" t="str">
        <f>IF($A203="","",IF(AND($A203&gt;=Controls!$B$26,$A203&lt;Controls!$B$26+Controls!$C$26),(Controls!$D$26-1)*EXP(-0.5*(($A203-Controls!$B$26-(Controls!$C$26-1)/2)/MAX(Controls!$C$26/4,0.5))^2),0))</f>
        <v/>
      </c>
      <c r="N203" s="10" t="str">
        <f>IF($A203="","",IF(AND($A203&gt;=Controls!$B$27,$A203&lt;Controls!$B$27+Controls!$C$27),(Controls!$D$27-1)*EXP(-0.5*(($A203-Controls!$B$27-(Controls!$C$27-1)/2)/MAX(Controls!$C$27/4,0.5))^2),0))</f>
        <v/>
      </c>
      <c r="O203" s="10" t="str">
        <f>IF($A203="","",IF(AND($A203&gt;=Controls!$B$28,$A203&lt;Controls!$B$28+Controls!$C$28),(Controls!$D$28-1)*EXP(-0.5*(($A203-Controls!$B$28-(Controls!$C$28-1)/2)/MAX(Controls!$C$28/4,0.5))^2),0))</f>
        <v/>
      </c>
      <c r="P203" s="4" t="str">
        <f t="shared" si="1"/>
        <v/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21.0" customHeight="1">
      <c r="A204" s="7" t="str">
        <f>IF(203&lt;=Controls!$B$5,Controls!$B$4+202,"")</f>
        <v/>
      </c>
      <c r="B204" s="10" t="str">
        <f>IF(Random!V204="","",IF(Controls!$B$7="Normal",Controls!$B$8,(Controls!$B$8+Controls!$B$9)/2)+Controls!$B$10*(B203-IF(Controls!$B$7="Normal",Controls!$B$8,(Controls!$B$8+Controls!$B$9)/2))+SQRT(1-Controls!$B$10^2)*(Random!V204-IF(Controls!$B$7="Normal",Controls!$B$8,(Controls!$B$8+Controls!$B$9)/2)))</f>
        <v/>
      </c>
      <c r="C204" s="10" t="str">
        <f>IF(Random!W204="","",IF(Controls!$B$7="Normal",Controls!$B$8,(Controls!$B$8+Controls!$B$9)/2)+Controls!$B$10*(C203-IF(Controls!$B$7="Normal",Controls!$B$8,(Controls!$B$8+Controls!$B$9)/2))+SQRT(1-Controls!$B$10^2)*(Random!W204-IF(Controls!$B$7="Normal",Controls!$B$8,(Controls!$B$8+Controls!$B$9)/2)))</f>
        <v/>
      </c>
      <c r="D204" s="10" t="str">
        <f>IF(Random!X204="","",IF(Controls!$B$7="Normal",Controls!$B$8,(Controls!$B$8+Controls!$B$9)/2)+Controls!$B$10*(D203-IF(Controls!$B$7="Normal",Controls!$B$8,(Controls!$B$8+Controls!$B$9)/2))+SQRT(1-Controls!$B$10^2)*(Random!X204-IF(Controls!$B$7="Normal",Controls!$B$8,(Controls!$B$8+Controls!$B$9)/2)))</f>
        <v/>
      </c>
      <c r="E204" s="10" t="str">
        <f>IF(Random!Y204="","",IF(Controls!$B$7="Normal",Controls!$B$8,(Controls!$B$8+Controls!$B$9)/2)+Controls!$B$10*(E203-IF(Controls!$B$7="Normal",Controls!$B$8,(Controls!$B$8+Controls!$B$9)/2))+SQRT(1-Controls!$B$10^2)*(Random!Y204-IF(Controls!$B$7="Normal",Controls!$B$8,(Controls!$B$8+Controls!$B$9)/2)))</f>
        <v/>
      </c>
      <c r="F204" s="10" t="str">
        <f>IF(Random!Z204="","",IF(Controls!$B$7="Normal",Controls!$B$8,(Controls!$B$8+Controls!$B$9)/2)+Controls!$B$10*(F203-IF(Controls!$B$7="Normal",Controls!$B$8,(Controls!$B$8+Controls!$B$9)/2))+SQRT(1-Controls!$B$10^2)*(Random!Z204-IF(Controls!$B$7="Normal",Controls!$B$8,(Controls!$B$8+Controls!$B$9)/2)))</f>
        <v/>
      </c>
      <c r="G204" s="10" t="str">
        <f>IF(Random!AA204="","",IF(Controls!$B$7="Normal",Controls!$B$8,(Controls!$B$8+Controls!$B$9)/2)+Controls!$B$10*(G203-IF(Controls!$B$7="Normal",Controls!$B$8,(Controls!$B$8+Controls!$B$9)/2))+SQRT(1-Controls!$B$10^2)*(Random!AA204-IF(Controls!$B$7="Normal",Controls!$B$8,(Controls!$B$8+Controls!$B$9)/2)))</f>
        <v/>
      </c>
      <c r="H204" s="10" t="str">
        <f>IF(Random!AB204="","",IF(Controls!$B$7="Normal",Controls!$B$8,(Controls!$B$8+Controls!$B$9)/2)+Controls!$B$10*(H203-IF(Controls!$B$7="Normal",Controls!$B$8,(Controls!$B$8+Controls!$B$9)/2))+SQRT(1-Controls!$B$10^2)*(Random!AB204-IF(Controls!$B$7="Normal",Controls!$B$8,(Controls!$B$8+Controls!$B$9)/2)))</f>
        <v/>
      </c>
      <c r="I204" s="10" t="str">
        <f>IF(Random!AC204="","",IF(Controls!$B$7="Normal",Controls!$B$8,(Controls!$B$8+Controls!$B$9)/2)+Controls!$B$10*(I203-IF(Controls!$B$7="Normal",Controls!$B$8,(Controls!$B$8+Controls!$B$9)/2))+SQRT(1-Controls!$B$10^2)*(Random!AC204-IF(Controls!$B$7="Normal",Controls!$B$8,(Controls!$B$8+Controls!$B$9)/2)))</f>
        <v/>
      </c>
      <c r="J204" s="10" t="str">
        <f>IF(Random!AD204="","",IF(Controls!$B$7="Normal",Controls!$B$8,(Controls!$B$8+Controls!$B$9)/2)+Controls!$B$10*(J203-IF(Controls!$B$7="Normal",Controls!$B$8,(Controls!$B$8+Controls!$B$9)/2))+SQRT(1-Controls!$B$10^2)*(Random!AD204-IF(Controls!$B$7="Normal",Controls!$B$8,(Controls!$B$8+Controls!$B$9)/2)))</f>
        <v/>
      </c>
      <c r="K204" s="10" t="str">
        <f>IF(Random!AE204="","",IF(Controls!$B$7="Normal",Controls!$B$8,(Controls!$B$8+Controls!$B$9)/2)+Controls!$B$10*(K203-IF(Controls!$B$7="Normal",Controls!$B$8,(Controls!$B$8+Controls!$B$9)/2))+SQRT(1-Controls!$B$10^2)*(Random!AE204-IF(Controls!$B$7="Normal",Controls!$B$8,(Controls!$B$8+Controls!$B$9)/2)))</f>
        <v/>
      </c>
      <c r="L204" s="10" t="str">
        <f>IF($A204="","",IF(AND($A204&gt;=Controls!$B$25,$A204&lt;Controls!$B$25+Controls!$C$25),(Controls!$D$25-1)*EXP(-0.5*(($A204-Controls!$B$25-(Controls!$C$25-1)/2)/MAX(Controls!$C$25/4,0.5))^2),0))</f>
        <v/>
      </c>
      <c r="M204" s="10" t="str">
        <f>IF($A204="","",IF(AND($A204&gt;=Controls!$B$26,$A204&lt;Controls!$B$26+Controls!$C$26),(Controls!$D$26-1)*EXP(-0.5*(($A204-Controls!$B$26-(Controls!$C$26-1)/2)/MAX(Controls!$C$26/4,0.5))^2),0))</f>
        <v/>
      </c>
      <c r="N204" s="10" t="str">
        <f>IF($A204="","",IF(AND($A204&gt;=Controls!$B$27,$A204&lt;Controls!$B$27+Controls!$C$27),(Controls!$D$27-1)*EXP(-0.5*(($A204-Controls!$B$27-(Controls!$C$27-1)/2)/MAX(Controls!$C$27/4,0.5))^2),0))</f>
        <v/>
      </c>
      <c r="O204" s="10" t="str">
        <f>IF($A204="","",IF(AND($A204&gt;=Controls!$B$28,$A204&lt;Controls!$B$28+Controls!$C$28),(Controls!$D$28-1)*EXP(-0.5*(($A204-Controls!$B$28-(Controls!$C$28-1)/2)/MAX(Controls!$C$28/4,0.5))^2),0))</f>
        <v/>
      </c>
      <c r="P204" s="4" t="str">
        <f t="shared" si="1"/>
        <v/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21.0" customHeight="1">
      <c r="A205" s="7" t="str">
        <f>IF(204&lt;=Controls!$B$5,Controls!$B$4+203,"")</f>
        <v/>
      </c>
      <c r="B205" s="10" t="str">
        <f>IF(Random!V205="","",IF(Controls!$B$7="Normal",Controls!$B$8,(Controls!$B$8+Controls!$B$9)/2)+Controls!$B$10*(B204-IF(Controls!$B$7="Normal",Controls!$B$8,(Controls!$B$8+Controls!$B$9)/2))+SQRT(1-Controls!$B$10^2)*(Random!V205-IF(Controls!$B$7="Normal",Controls!$B$8,(Controls!$B$8+Controls!$B$9)/2)))</f>
        <v/>
      </c>
      <c r="C205" s="10" t="str">
        <f>IF(Random!W205="","",IF(Controls!$B$7="Normal",Controls!$B$8,(Controls!$B$8+Controls!$B$9)/2)+Controls!$B$10*(C204-IF(Controls!$B$7="Normal",Controls!$B$8,(Controls!$B$8+Controls!$B$9)/2))+SQRT(1-Controls!$B$10^2)*(Random!W205-IF(Controls!$B$7="Normal",Controls!$B$8,(Controls!$B$8+Controls!$B$9)/2)))</f>
        <v/>
      </c>
      <c r="D205" s="10" t="str">
        <f>IF(Random!X205="","",IF(Controls!$B$7="Normal",Controls!$B$8,(Controls!$B$8+Controls!$B$9)/2)+Controls!$B$10*(D204-IF(Controls!$B$7="Normal",Controls!$B$8,(Controls!$B$8+Controls!$B$9)/2))+SQRT(1-Controls!$B$10^2)*(Random!X205-IF(Controls!$B$7="Normal",Controls!$B$8,(Controls!$B$8+Controls!$B$9)/2)))</f>
        <v/>
      </c>
      <c r="E205" s="10" t="str">
        <f>IF(Random!Y205="","",IF(Controls!$B$7="Normal",Controls!$B$8,(Controls!$B$8+Controls!$B$9)/2)+Controls!$B$10*(E204-IF(Controls!$B$7="Normal",Controls!$B$8,(Controls!$B$8+Controls!$B$9)/2))+SQRT(1-Controls!$B$10^2)*(Random!Y205-IF(Controls!$B$7="Normal",Controls!$B$8,(Controls!$B$8+Controls!$B$9)/2)))</f>
        <v/>
      </c>
      <c r="F205" s="10" t="str">
        <f>IF(Random!Z205="","",IF(Controls!$B$7="Normal",Controls!$B$8,(Controls!$B$8+Controls!$B$9)/2)+Controls!$B$10*(F204-IF(Controls!$B$7="Normal",Controls!$B$8,(Controls!$B$8+Controls!$B$9)/2))+SQRT(1-Controls!$B$10^2)*(Random!Z205-IF(Controls!$B$7="Normal",Controls!$B$8,(Controls!$B$8+Controls!$B$9)/2)))</f>
        <v/>
      </c>
      <c r="G205" s="10" t="str">
        <f>IF(Random!AA205="","",IF(Controls!$B$7="Normal",Controls!$B$8,(Controls!$B$8+Controls!$B$9)/2)+Controls!$B$10*(G204-IF(Controls!$B$7="Normal",Controls!$B$8,(Controls!$B$8+Controls!$B$9)/2))+SQRT(1-Controls!$B$10^2)*(Random!AA205-IF(Controls!$B$7="Normal",Controls!$B$8,(Controls!$B$8+Controls!$B$9)/2)))</f>
        <v/>
      </c>
      <c r="H205" s="10" t="str">
        <f>IF(Random!AB205="","",IF(Controls!$B$7="Normal",Controls!$B$8,(Controls!$B$8+Controls!$B$9)/2)+Controls!$B$10*(H204-IF(Controls!$B$7="Normal",Controls!$B$8,(Controls!$B$8+Controls!$B$9)/2))+SQRT(1-Controls!$B$10^2)*(Random!AB205-IF(Controls!$B$7="Normal",Controls!$B$8,(Controls!$B$8+Controls!$B$9)/2)))</f>
        <v/>
      </c>
      <c r="I205" s="10" t="str">
        <f>IF(Random!AC205="","",IF(Controls!$B$7="Normal",Controls!$B$8,(Controls!$B$8+Controls!$B$9)/2)+Controls!$B$10*(I204-IF(Controls!$B$7="Normal",Controls!$B$8,(Controls!$B$8+Controls!$B$9)/2))+SQRT(1-Controls!$B$10^2)*(Random!AC205-IF(Controls!$B$7="Normal",Controls!$B$8,(Controls!$B$8+Controls!$B$9)/2)))</f>
        <v/>
      </c>
      <c r="J205" s="10" t="str">
        <f>IF(Random!AD205="","",IF(Controls!$B$7="Normal",Controls!$B$8,(Controls!$B$8+Controls!$B$9)/2)+Controls!$B$10*(J204-IF(Controls!$B$7="Normal",Controls!$B$8,(Controls!$B$8+Controls!$B$9)/2))+SQRT(1-Controls!$B$10^2)*(Random!AD205-IF(Controls!$B$7="Normal",Controls!$B$8,(Controls!$B$8+Controls!$B$9)/2)))</f>
        <v/>
      </c>
      <c r="K205" s="10" t="str">
        <f>IF(Random!AE205="","",IF(Controls!$B$7="Normal",Controls!$B$8,(Controls!$B$8+Controls!$B$9)/2)+Controls!$B$10*(K204-IF(Controls!$B$7="Normal",Controls!$B$8,(Controls!$B$8+Controls!$B$9)/2))+SQRT(1-Controls!$B$10^2)*(Random!AE205-IF(Controls!$B$7="Normal",Controls!$B$8,(Controls!$B$8+Controls!$B$9)/2)))</f>
        <v/>
      </c>
      <c r="L205" s="10" t="str">
        <f>IF($A205="","",IF(AND($A205&gt;=Controls!$B$25,$A205&lt;Controls!$B$25+Controls!$C$25),(Controls!$D$25-1)*EXP(-0.5*(($A205-Controls!$B$25-(Controls!$C$25-1)/2)/MAX(Controls!$C$25/4,0.5))^2),0))</f>
        <v/>
      </c>
      <c r="M205" s="10" t="str">
        <f>IF($A205="","",IF(AND($A205&gt;=Controls!$B$26,$A205&lt;Controls!$B$26+Controls!$C$26),(Controls!$D$26-1)*EXP(-0.5*(($A205-Controls!$B$26-(Controls!$C$26-1)/2)/MAX(Controls!$C$26/4,0.5))^2),0))</f>
        <v/>
      </c>
      <c r="N205" s="10" t="str">
        <f>IF($A205="","",IF(AND($A205&gt;=Controls!$B$27,$A205&lt;Controls!$B$27+Controls!$C$27),(Controls!$D$27-1)*EXP(-0.5*(($A205-Controls!$B$27-(Controls!$C$27-1)/2)/MAX(Controls!$C$27/4,0.5))^2),0))</f>
        <v/>
      </c>
      <c r="O205" s="10" t="str">
        <f>IF($A205="","",IF(AND($A205&gt;=Controls!$B$28,$A205&lt;Controls!$B$28+Controls!$C$28),(Controls!$D$28-1)*EXP(-0.5*(($A205-Controls!$B$28-(Controls!$C$28-1)/2)/MAX(Controls!$C$28/4,0.5))^2),0))</f>
        <v/>
      </c>
      <c r="P205" s="4" t="str">
        <f t="shared" si="1"/>
        <v/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21.0" customHeight="1">
      <c r="A206" s="7" t="str">
        <f>IF(205&lt;=Controls!$B$5,Controls!$B$4+204,"")</f>
        <v/>
      </c>
      <c r="B206" s="10" t="str">
        <f>IF(Random!V206="","",IF(Controls!$B$7="Normal",Controls!$B$8,(Controls!$B$8+Controls!$B$9)/2)+Controls!$B$10*(B205-IF(Controls!$B$7="Normal",Controls!$B$8,(Controls!$B$8+Controls!$B$9)/2))+SQRT(1-Controls!$B$10^2)*(Random!V206-IF(Controls!$B$7="Normal",Controls!$B$8,(Controls!$B$8+Controls!$B$9)/2)))</f>
        <v/>
      </c>
      <c r="C206" s="10" t="str">
        <f>IF(Random!W206="","",IF(Controls!$B$7="Normal",Controls!$B$8,(Controls!$B$8+Controls!$B$9)/2)+Controls!$B$10*(C205-IF(Controls!$B$7="Normal",Controls!$B$8,(Controls!$B$8+Controls!$B$9)/2))+SQRT(1-Controls!$B$10^2)*(Random!W206-IF(Controls!$B$7="Normal",Controls!$B$8,(Controls!$B$8+Controls!$B$9)/2)))</f>
        <v/>
      </c>
      <c r="D206" s="10" t="str">
        <f>IF(Random!X206="","",IF(Controls!$B$7="Normal",Controls!$B$8,(Controls!$B$8+Controls!$B$9)/2)+Controls!$B$10*(D205-IF(Controls!$B$7="Normal",Controls!$B$8,(Controls!$B$8+Controls!$B$9)/2))+SQRT(1-Controls!$B$10^2)*(Random!X206-IF(Controls!$B$7="Normal",Controls!$B$8,(Controls!$B$8+Controls!$B$9)/2)))</f>
        <v/>
      </c>
      <c r="E206" s="10" t="str">
        <f>IF(Random!Y206="","",IF(Controls!$B$7="Normal",Controls!$B$8,(Controls!$B$8+Controls!$B$9)/2)+Controls!$B$10*(E205-IF(Controls!$B$7="Normal",Controls!$B$8,(Controls!$B$8+Controls!$B$9)/2))+SQRT(1-Controls!$B$10^2)*(Random!Y206-IF(Controls!$B$7="Normal",Controls!$B$8,(Controls!$B$8+Controls!$B$9)/2)))</f>
        <v/>
      </c>
      <c r="F206" s="10" t="str">
        <f>IF(Random!Z206="","",IF(Controls!$B$7="Normal",Controls!$B$8,(Controls!$B$8+Controls!$B$9)/2)+Controls!$B$10*(F205-IF(Controls!$B$7="Normal",Controls!$B$8,(Controls!$B$8+Controls!$B$9)/2))+SQRT(1-Controls!$B$10^2)*(Random!Z206-IF(Controls!$B$7="Normal",Controls!$B$8,(Controls!$B$8+Controls!$B$9)/2)))</f>
        <v/>
      </c>
      <c r="G206" s="10" t="str">
        <f>IF(Random!AA206="","",IF(Controls!$B$7="Normal",Controls!$B$8,(Controls!$B$8+Controls!$B$9)/2)+Controls!$B$10*(G205-IF(Controls!$B$7="Normal",Controls!$B$8,(Controls!$B$8+Controls!$B$9)/2))+SQRT(1-Controls!$B$10^2)*(Random!AA206-IF(Controls!$B$7="Normal",Controls!$B$8,(Controls!$B$8+Controls!$B$9)/2)))</f>
        <v/>
      </c>
      <c r="H206" s="10" t="str">
        <f>IF(Random!AB206="","",IF(Controls!$B$7="Normal",Controls!$B$8,(Controls!$B$8+Controls!$B$9)/2)+Controls!$B$10*(H205-IF(Controls!$B$7="Normal",Controls!$B$8,(Controls!$B$8+Controls!$B$9)/2))+SQRT(1-Controls!$B$10^2)*(Random!AB206-IF(Controls!$B$7="Normal",Controls!$B$8,(Controls!$B$8+Controls!$B$9)/2)))</f>
        <v/>
      </c>
      <c r="I206" s="10" t="str">
        <f>IF(Random!AC206="","",IF(Controls!$B$7="Normal",Controls!$B$8,(Controls!$B$8+Controls!$B$9)/2)+Controls!$B$10*(I205-IF(Controls!$B$7="Normal",Controls!$B$8,(Controls!$B$8+Controls!$B$9)/2))+SQRT(1-Controls!$B$10^2)*(Random!AC206-IF(Controls!$B$7="Normal",Controls!$B$8,(Controls!$B$8+Controls!$B$9)/2)))</f>
        <v/>
      </c>
      <c r="J206" s="10" t="str">
        <f>IF(Random!AD206="","",IF(Controls!$B$7="Normal",Controls!$B$8,(Controls!$B$8+Controls!$B$9)/2)+Controls!$B$10*(J205-IF(Controls!$B$7="Normal",Controls!$B$8,(Controls!$B$8+Controls!$B$9)/2))+SQRT(1-Controls!$B$10^2)*(Random!AD206-IF(Controls!$B$7="Normal",Controls!$B$8,(Controls!$B$8+Controls!$B$9)/2)))</f>
        <v/>
      </c>
      <c r="K206" s="10" t="str">
        <f>IF(Random!AE206="","",IF(Controls!$B$7="Normal",Controls!$B$8,(Controls!$B$8+Controls!$B$9)/2)+Controls!$B$10*(K205-IF(Controls!$B$7="Normal",Controls!$B$8,(Controls!$B$8+Controls!$B$9)/2))+SQRT(1-Controls!$B$10^2)*(Random!AE206-IF(Controls!$B$7="Normal",Controls!$B$8,(Controls!$B$8+Controls!$B$9)/2)))</f>
        <v/>
      </c>
      <c r="L206" s="10" t="str">
        <f>IF($A206="","",IF(AND($A206&gt;=Controls!$B$25,$A206&lt;Controls!$B$25+Controls!$C$25),(Controls!$D$25-1)*EXP(-0.5*(($A206-Controls!$B$25-(Controls!$C$25-1)/2)/MAX(Controls!$C$25/4,0.5))^2),0))</f>
        <v/>
      </c>
      <c r="M206" s="10" t="str">
        <f>IF($A206="","",IF(AND($A206&gt;=Controls!$B$26,$A206&lt;Controls!$B$26+Controls!$C$26),(Controls!$D$26-1)*EXP(-0.5*(($A206-Controls!$B$26-(Controls!$C$26-1)/2)/MAX(Controls!$C$26/4,0.5))^2),0))</f>
        <v/>
      </c>
      <c r="N206" s="10" t="str">
        <f>IF($A206="","",IF(AND($A206&gt;=Controls!$B$27,$A206&lt;Controls!$B$27+Controls!$C$27),(Controls!$D$27-1)*EXP(-0.5*(($A206-Controls!$B$27-(Controls!$C$27-1)/2)/MAX(Controls!$C$27/4,0.5))^2),0))</f>
        <v/>
      </c>
      <c r="O206" s="10" t="str">
        <f>IF($A206="","",IF(AND($A206&gt;=Controls!$B$28,$A206&lt;Controls!$B$28+Controls!$C$28),(Controls!$D$28-1)*EXP(-0.5*(($A206-Controls!$B$28-(Controls!$C$28-1)/2)/MAX(Controls!$C$28/4,0.5))^2),0))</f>
        <v/>
      </c>
      <c r="P206" s="4" t="str">
        <f t="shared" si="1"/>
        <v/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21.0" customHeight="1">
      <c r="A207" s="7" t="str">
        <f>IF(206&lt;=Controls!$B$5,Controls!$B$4+205,"")</f>
        <v/>
      </c>
      <c r="B207" s="10" t="str">
        <f>IF(Random!V207="","",IF(Controls!$B$7="Normal",Controls!$B$8,(Controls!$B$8+Controls!$B$9)/2)+Controls!$B$10*(B206-IF(Controls!$B$7="Normal",Controls!$B$8,(Controls!$B$8+Controls!$B$9)/2))+SQRT(1-Controls!$B$10^2)*(Random!V207-IF(Controls!$B$7="Normal",Controls!$B$8,(Controls!$B$8+Controls!$B$9)/2)))</f>
        <v/>
      </c>
      <c r="C207" s="10" t="str">
        <f>IF(Random!W207="","",IF(Controls!$B$7="Normal",Controls!$B$8,(Controls!$B$8+Controls!$B$9)/2)+Controls!$B$10*(C206-IF(Controls!$B$7="Normal",Controls!$B$8,(Controls!$B$8+Controls!$B$9)/2))+SQRT(1-Controls!$B$10^2)*(Random!W207-IF(Controls!$B$7="Normal",Controls!$B$8,(Controls!$B$8+Controls!$B$9)/2)))</f>
        <v/>
      </c>
      <c r="D207" s="10" t="str">
        <f>IF(Random!X207="","",IF(Controls!$B$7="Normal",Controls!$B$8,(Controls!$B$8+Controls!$B$9)/2)+Controls!$B$10*(D206-IF(Controls!$B$7="Normal",Controls!$B$8,(Controls!$B$8+Controls!$B$9)/2))+SQRT(1-Controls!$B$10^2)*(Random!X207-IF(Controls!$B$7="Normal",Controls!$B$8,(Controls!$B$8+Controls!$B$9)/2)))</f>
        <v/>
      </c>
      <c r="E207" s="10" t="str">
        <f>IF(Random!Y207="","",IF(Controls!$B$7="Normal",Controls!$B$8,(Controls!$B$8+Controls!$B$9)/2)+Controls!$B$10*(E206-IF(Controls!$B$7="Normal",Controls!$B$8,(Controls!$B$8+Controls!$B$9)/2))+SQRT(1-Controls!$B$10^2)*(Random!Y207-IF(Controls!$B$7="Normal",Controls!$B$8,(Controls!$B$8+Controls!$B$9)/2)))</f>
        <v/>
      </c>
      <c r="F207" s="10" t="str">
        <f>IF(Random!Z207="","",IF(Controls!$B$7="Normal",Controls!$B$8,(Controls!$B$8+Controls!$B$9)/2)+Controls!$B$10*(F206-IF(Controls!$B$7="Normal",Controls!$B$8,(Controls!$B$8+Controls!$B$9)/2))+SQRT(1-Controls!$B$10^2)*(Random!Z207-IF(Controls!$B$7="Normal",Controls!$B$8,(Controls!$B$8+Controls!$B$9)/2)))</f>
        <v/>
      </c>
      <c r="G207" s="10" t="str">
        <f>IF(Random!AA207="","",IF(Controls!$B$7="Normal",Controls!$B$8,(Controls!$B$8+Controls!$B$9)/2)+Controls!$B$10*(G206-IF(Controls!$B$7="Normal",Controls!$B$8,(Controls!$B$8+Controls!$B$9)/2))+SQRT(1-Controls!$B$10^2)*(Random!AA207-IF(Controls!$B$7="Normal",Controls!$B$8,(Controls!$B$8+Controls!$B$9)/2)))</f>
        <v/>
      </c>
      <c r="H207" s="10" t="str">
        <f>IF(Random!AB207="","",IF(Controls!$B$7="Normal",Controls!$B$8,(Controls!$B$8+Controls!$B$9)/2)+Controls!$B$10*(H206-IF(Controls!$B$7="Normal",Controls!$B$8,(Controls!$B$8+Controls!$B$9)/2))+SQRT(1-Controls!$B$10^2)*(Random!AB207-IF(Controls!$B$7="Normal",Controls!$B$8,(Controls!$B$8+Controls!$B$9)/2)))</f>
        <v/>
      </c>
      <c r="I207" s="10" t="str">
        <f>IF(Random!AC207="","",IF(Controls!$B$7="Normal",Controls!$B$8,(Controls!$B$8+Controls!$B$9)/2)+Controls!$B$10*(I206-IF(Controls!$B$7="Normal",Controls!$B$8,(Controls!$B$8+Controls!$B$9)/2))+SQRT(1-Controls!$B$10^2)*(Random!AC207-IF(Controls!$B$7="Normal",Controls!$B$8,(Controls!$B$8+Controls!$B$9)/2)))</f>
        <v/>
      </c>
      <c r="J207" s="10" t="str">
        <f>IF(Random!AD207="","",IF(Controls!$B$7="Normal",Controls!$B$8,(Controls!$B$8+Controls!$B$9)/2)+Controls!$B$10*(J206-IF(Controls!$B$7="Normal",Controls!$B$8,(Controls!$B$8+Controls!$B$9)/2))+SQRT(1-Controls!$B$10^2)*(Random!AD207-IF(Controls!$B$7="Normal",Controls!$B$8,(Controls!$B$8+Controls!$B$9)/2)))</f>
        <v/>
      </c>
      <c r="K207" s="10" t="str">
        <f>IF(Random!AE207="","",IF(Controls!$B$7="Normal",Controls!$B$8,(Controls!$B$8+Controls!$B$9)/2)+Controls!$B$10*(K206-IF(Controls!$B$7="Normal",Controls!$B$8,(Controls!$B$8+Controls!$B$9)/2))+SQRT(1-Controls!$B$10^2)*(Random!AE207-IF(Controls!$B$7="Normal",Controls!$B$8,(Controls!$B$8+Controls!$B$9)/2)))</f>
        <v/>
      </c>
      <c r="L207" s="10" t="str">
        <f>IF($A207="","",IF(AND($A207&gt;=Controls!$B$25,$A207&lt;Controls!$B$25+Controls!$C$25),(Controls!$D$25-1)*EXP(-0.5*(($A207-Controls!$B$25-(Controls!$C$25-1)/2)/MAX(Controls!$C$25/4,0.5))^2),0))</f>
        <v/>
      </c>
      <c r="M207" s="10" t="str">
        <f>IF($A207="","",IF(AND($A207&gt;=Controls!$B$26,$A207&lt;Controls!$B$26+Controls!$C$26),(Controls!$D$26-1)*EXP(-0.5*(($A207-Controls!$B$26-(Controls!$C$26-1)/2)/MAX(Controls!$C$26/4,0.5))^2),0))</f>
        <v/>
      </c>
      <c r="N207" s="10" t="str">
        <f>IF($A207="","",IF(AND($A207&gt;=Controls!$B$27,$A207&lt;Controls!$B$27+Controls!$C$27),(Controls!$D$27-1)*EXP(-0.5*(($A207-Controls!$B$27-(Controls!$C$27-1)/2)/MAX(Controls!$C$27/4,0.5))^2),0))</f>
        <v/>
      </c>
      <c r="O207" s="10" t="str">
        <f>IF($A207="","",IF(AND($A207&gt;=Controls!$B$28,$A207&lt;Controls!$B$28+Controls!$C$28),(Controls!$D$28-1)*EXP(-0.5*(($A207-Controls!$B$28-(Controls!$C$28-1)/2)/MAX(Controls!$C$28/4,0.5))^2),0))</f>
        <v/>
      </c>
      <c r="P207" s="4" t="str">
        <f t="shared" si="1"/>
        <v/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21.0" customHeight="1">
      <c r="A208" s="7" t="str">
        <f>IF(207&lt;=Controls!$B$5,Controls!$B$4+206,"")</f>
        <v/>
      </c>
      <c r="B208" s="10" t="str">
        <f>IF(Random!V208="","",IF(Controls!$B$7="Normal",Controls!$B$8,(Controls!$B$8+Controls!$B$9)/2)+Controls!$B$10*(B207-IF(Controls!$B$7="Normal",Controls!$B$8,(Controls!$B$8+Controls!$B$9)/2))+SQRT(1-Controls!$B$10^2)*(Random!V208-IF(Controls!$B$7="Normal",Controls!$B$8,(Controls!$B$8+Controls!$B$9)/2)))</f>
        <v/>
      </c>
      <c r="C208" s="10" t="str">
        <f>IF(Random!W208="","",IF(Controls!$B$7="Normal",Controls!$B$8,(Controls!$B$8+Controls!$B$9)/2)+Controls!$B$10*(C207-IF(Controls!$B$7="Normal",Controls!$B$8,(Controls!$B$8+Controls!$B$9)/2))+SQRT(1-Controls!$B$10^2)*(Random!W208-IF(Controls!$B$7="Normal",Controls!$B$8,(Controls!$B$8+Controls!$B$9)/2)))</f>
        <v/>
      </c>
      <c r="D208" s="10" t="str">
        <f>IF(Random!X208="","",IF(Controls!$B$7="Normal",Controls!$B$8,(Controls!$B$8+Controls!$B$9)/2)+Controls!$B$10*(D207-IF(Controls!$B$7="Normal",Controls!$B$8,(Controls!$B$8+Controls!$B$9)/2))+SQRT(1-Controls!$B$10^2)*(Random!X208-IF(Controls!$B$7="Normal",Controls!$B$8,(Controls!$B$8+Controls!$B$9)/2)))</f>
        <v/>
      </c>
      <c r="E208" s="10" t="str">
        <f>IF(Random!Y208="","",IF(Controls!$B$7="Normal",Controls!$B$8,(Controls!$B$8+Controls!$B$9)/2)+Controls!$B$10*(E207-IF(Controls!$B$7="Normal",Controls!$B$8,(Controls!$B$8+Controls!$B$9)/2))+SQRT(1-Controls!$B$10^2)*(Random!Y208-IF(Controls!$B$7="Normal",Controls!$B$8,(Controls!$B$8+Controls!$B$9)/2)))</f>
        <v/>
      </c>
      <c r="F208" s="10" t="str">
        <f>IF(Random!Z208="","",IF(Controls!$B$7="Normal",Controls!$B$8,(Controls!$B$8+Controls!$B$9)/2)+Controls!$B$10*(F207-IF(Controls!$B$7="Normal",Controls!$B$8,(Controls!$B$8+Controls!$B$9)/2))+SQRT(1-Controls!$B$10^2)*(Random!Z208-IF(Controls!$B$7="Normal",Controls!$B$8,(Controls!$B$8+Controls!$B$9)/2)))</f>
        <v/>
      </c>
      <c r="G208" s="10" t="str">
        <f>IF(Random!AA208="","",IF(Controls!$B$7="Normal",Controls!$B$8,(Controls!$B$8+Controls!$B$9)/2)+Controls!$B$10*(G207-IF(Controls!$B$7="Normal",Controls!$B$8,(Controls!$B$8+Controls!$B$9)/2))+SQRT(1-Controls!$B$10^2)*(Random!AA208-IF(Controls!$B$7="Normal",Controls!$B$8,(Controls!$B$8+Controls!$B$9)/2)))</f>
        <v/>
      </c>
      <c r="H208" s="10" t="str">
        <f>IF(Random!AB208="","",IF(Controls!$B$7="Normal",Controls!$B$8,(Controls!$B$8+Controls!$B$9)/2)+Controls!$B$10*(H207-IF(Controls!$B$7="Normal",Controls!$B$8,(Controls!$B$8+Controls!$B$9)/2))+SQRT(1-Controls!$B$10^2)*(Random!AB208-IF(Controls!$B$7="Normal",Controls!$B$8,(Controls!$B$8+Controls!$B$9)/2)))</f>
        <v/>
      </c>
      <c r="I208" s="10" t="str">
        <f>IF(Random!AC208="","",IF(Controls!$B$7="Normal",Controls!$B$8,(Controls!$B$8+Controls!$B$9)/2)+Controls!$B$10*(I207-IF(Controls!$B$7="Normal",Controls!$B$8,(Controls!$B$8+Controls!$B$9)/2))+SQRT(1-Controls!$B$10^2)*(Random!AC208-IF(Controls!$B$7="Normal",Controls!$B$8,(Controls!$B$8+Controls!$B$9)/2)))</f>
        <v/>
      </c>
      <c r="J208" s="10" t="str">
        <f>IF(Random!AD208="","",IF(Controls!$B$7="Normal",Controls!$B$8,(Controls!$B$8+Controls!$B$9)/2)+Controls!$B$10*(J207-IF(Controls!$B$7="Normal",Controls!$B$8,(Controls!$B$8+Controls!$B$9)/2))+SQRT(1-Controls!$B$10^2)*(Random!AD208-IF(Controls!$B$7="Normal",Controls!$B$8,(Controls!$B$8+Controls!$B$9)/2)))</f>
        <v/>
      </c>
      <c r="K208" s="10" t="str">
        <f>IF(Random!AE208="","",IF(Controls!$B$7="Normal",Controls!$B$8,(Controls!$B$8+Controls!$B$9)/2)+Controls!$B$10*(K207-IF(Controls!$B$7="Normal",Controls!$B$8,(Controls!$B$8+Controls!$B$9)/2))+SQRT(1-Controls!$B$10^2)*(Random!AE208-IF(Controls!$B$7="Normal",Controls!$B$8,(Controls!$B$8+Controls!$B$9)/2)))</f>
        <v/>
      </c>
      <c r="L208" s="10" t="str">
        <f>IF($A208="","",IF(AND($A208&gt;=Controls!$B$25,$A208&lt;Controls!$B$25+Controls!$C$25),(Controls!$D$25-1)*EXP(-0.5*(($A208-Controls!$B$25-(Controls!$C$25-1)/2)/MAX(Controls!$C$25/4,0.5))^2),0))</f>
        <v/>
      </c>
      <c r="M208" s="10" t="str">
        <f>IF($A208="","",IF(AND($A208&gt;=Controls!$B$26,$A208&lt;Controls!$B$26+Controls!$C$26),(Controls!$D$26-1)*EXP(-0.5*(($A208-Controls!$B$26-(Controls!$C$26-1)/2)/MAX(Controls!$C$26/4,0.5))^2),0))</f>
        <v/>
      </c>
      <c r="N208" s="10" t="str">
        <f>IF($A208="","",IF(AND($A208&gt;=Controls!$B$27,$A208&lt;Controls!$B$27+Controls!$C$27),(Controls!$D$27-1)*EXP(-0.5*(($A208-Controls!$B$27-(Controls!$C$27-1)/2)/MAX(Controls!$C$27/4,0.5))^2),0))</f>
        <v/>
      </c>
      <c r="O208" s="10" t="str">
        <f>IF($A208="","",IF(AND($A208&gt;=Controls!$B$28,$A208&lt;Controls!$B$28+Controls!$C$28),(Controls!$D$28-1)*EXP(-0.5*(($A208-Controls!$B$28-(Controls!$C$28-1)/2)/MAX(Controls!$C$28/4,0.5))^2),0))</f>
        <v/>
      </c>
      <c r="P208" s="4" t="str">
        <f t="shared" si="1"/>
        <v/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21.0" customHeight="1">
      <c r="A209" s="7" t="str">
        <f>IF(208&lt;=Controls!$B$5,Controls!$B$4+207,"")</f>
        <v/>
      </c>
      <c r="B209" s="10" t="str">
        <f>IF(Random!V209="","",IF(Controls!$B$7="Normal",Controls!$B$8,(Controls!$B$8+Controls!$B$9)/2)+Controls!$B$10*(B208-IF(Controls!$B$7="Normal",Controls!$B$8,(Controls!$B$8+Controls!$B$9)/2))+SQRT(1-Controls!$B$10^2)*(Random!V209-IF(Controls!$B$7="Normal",Controls!$B$8,(Controls!$B$8+Controls!$B$9)/2)))</f>
        <v/>
      </c>
      <c r="C209" s="10" t="str">
        <f>IF(Random!W209="","",IF(Controls!$B$7="Normal",Controls!$B$8,(Controls!$B$8+Controls!$B$9)/2)+Controls!$B$10*(C208-IF(Controls!$B$7="Normal",Controls!$B$8,(Controls!$B$8+Controls!$B$9)/2))+SQRT(1-Controls!$B$10^2)*(Random!W209-IF(Controls!$B$7="Normal",Controls!$B$8,(Controls!$B$8+Controls!$B$9)/2)))</f>
        <v/>
      </c>
      <c r="D209" s="10" t="str">
        <f>IF(Random!X209="","",IF(Controls!$B$7="Normal",Controls!$B$8,(Controls!$B$8+Controls!$B$9)/2)+Controls!$B$10*(D208-IF(Controls!$B$7="Normal",Controls!$B$8,(Controls!$B$8+Controls!$B$9)/2))+SQRT(1-Controls!$B$10^2)*(Random!X209-IF(Controls!$B$7="Normal",Controls!$B$8,(Controls!$B$8+Controls!$B$9)/2)))</f>
        <v/>
      </c>
      <c r="E209" s="10" t="str">
        <f>IF(Random!Y209="","",IF(Controls!$B$7="Normal",Controls!$B$8,(Controls!$B$8+Controls!$B$9)/2)+Controls!$B$10*(E208-IF(Controls!$B$7="Normal",Controls!$B$8,(Controls!$B$8+Controls!$B$9)/2))+SQRT(1-Controls!$B$10^2)*(Random!Y209-IF(Controls!$B$7="Normal",Controls!$B$8,(Controls!$B$8+Controls!$B$9)/2)))</f>
        <v/>
      </c>
      <c r="F209" s="10" t="str">
        <f>IF(Random!Z209="","",IF(Controls!$B$7="Normal",Controls!$B$8,(Controls!$B$8+Controls!$B$9)/2)+Controls!$B$10*(F208-IF(Controls!$B$7="Normal",Controls!$B$8,(Controls!$B$8+Controls!$B$9)/2))+SQRT(1-Controls!$B$10^2)*(Random!Z209-IF(Controls!$B$7="Normal",Controls!$B$8,(Controls!$B$8+Controls!$B$9)/2)))</f>
        <v/>
      </c>
      <c r="G209" s="10" t="str">
        <f>IF(Random!AA209="","",IF(Controls!$B$7="Normal",Controls!$B$8,(Controls!$B$8+Controls!$B$9)/2)+Controls!$B$10*(G208-IF(Controls!$B$7="Normal",Controls!$B$8,(Controls!$B$8+Controls!$B$9)/2))+SQRT(1-Controls!$B$10^2)*(Random!AA209-IF(Controls!$B$7="Normal",Controls!$B$8,(Controls!$B$8+Controls!$B$9)/2)))</f>
        <v/>
      </c>
      <c r="H209" s="10" t="str">
        <f>IF(Random!AB209="","",IF(Controls!$B$7="Normal",Controls!$B$8,(Controls!$B$8+Controls!$B$9)/2)+Controls!$B$10*(H208-IF(Controls!$B$7="Normal",Controls!$B$8,(Controls!$B$8+Controls!$B$9)/2))+SQRT(1-Controls!$B$10^2)*(Random!AB209-IF(Controls!$B$7="Normal",Controls!$B$8,(Controls!$B$8+Controls!$B$9)/2)))</f>
        <v/>
      </c>
      <c r="I209" s="10" t="str">
        <f>IF(Random!AC209="","",IF(Controls!$B$7="Normal",Controls!$B$8,(Controls!$B$8+Controls!$B$9)/2)+Controls!$B$10*(I208-IF(Controls!$B$7="Normal",Controls!$B$8,(Controls!$B$8+Controls!$B$9)/2))+SQRT(1-Controls!$B$10^2)*(Random!AC209-IF(Controls!$B$7="Normal",Controls!$B$8,(Controls!$B$8+Controls!$B$9)/2)))</f>
        <v/>
      </c>
      <c r="J209" s="10" t="str">
        <f>IF(Random!AD209="","",IF(Controls!$B$7="Normal",Controls!$B$8,(Controls!$B$8+Controls!$B$9)/2)+Controls!$B$10*(J208-IF(Controls!$B$7="Normal",Controls!$B$8,(Controls!$B$8+Controls!$B$9)/2))+SQRT(1-Controls!$B$10^2)*(Random!AD209-IF(Controls!$B$7="Normal",Controls!$B$8,(Controls!$B$8+Controls!$B$9)/2)))</f>
        <v/>
      </c>
      <c r="K209" s="10" t="str">
        <f>IF(Random!AE209="","",IF(Controls!$B$7="Normal",Controls!$B$8,(Controls!$B$8+Controls!$B$9)/2)+Controls!$B$10*(K208-IF(Controls!$B$7="Normal",Controls!$B$8,(Controls!$B$8+Controls!$B$9)/2))+SQRT(1-Controls!$B$10^2)*(Random!AE209-IF(Controls!$B$7="Normal",Controls!$B$8,(Controls!$B$8+Controls!$B$9)/2)))</f>
        <v/>
      </c>
      <c r="L209" s="10" t="str">
        <f>IF($A209="","",IF(AND($A209&gt;=Controls!$B$25,$A209&lt;Controls!$B$25+Controls!$C$25),(Controls!$D$25-1)*EXP(-0.5*(($A209-Controls!$B$25-(Controls!$C$25-1)/2)/MAX(Controls!$C$25/4,0.5))^2),0))</f>
        <v/>
      </c>
      <c r="M209" s="10" t="str">
        <f>IF($A209="","",IF(AND($A209&gt;=Controls!$B$26,$A209&lt;Controls!$B$26+Controls!$C$26),(Controls!$D$26-1)*EXP(-0.5*(($A209-Controls!$B$26-(Controls!$C$26-1)/2)/MAX(Controls!$C$26/4,0.5))^2),0))</f>
        <v/>
      </c>
      <c r="N209" s="10" t="str">
        <f>IF($A209="","",IF(AND($A209&gt;=Controls!$B$27,$A209&lt;Controls!$B$27+Controls!$C$27),(Controls!$D$27-1)*EXP(-0.5*(($A209-Controls!$B$27-(Controls!$C$27-1)/2)/MAX(Controls!$C$27/4,0.5))^2),0))</f>
        <v/>
      </c>
      <c r="O209" s="10" t="str">
        <f>IF($A209="","",IF(AND($A209&gt;=Controls!$B$28,$A209&lt;Controls!$B$28+Controls!$C$28),(Controls!$D$28-1)*EXP(-0.5*(($A209-Controls!$B$28-(Controls!$C$28-1)/2)/MAX(Controls!$C$28/4,0.5))^2),0))</f>
        <v/>
      </c>
      <c r="P209" s="4" t="str">
        <f t="shared" si="1"/>
        <v/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21.0" customHeight="1">
      <c r="A210" s="7" t="str">
        <f>IF(209&lt;=Controls!$B$5,Controls!$B$4+208,"")</f>
        <v/>
      </c>
      <c r="B210" s="10" t="str">
        <f>IF(Random!V210="","",IF(Controls!$B$7="Normal",Controls!$B$8,(Controls!$B$8+Controls!$B$9)/2)+Controls!$B$10*(B209-IF(Controls!$B$7="Normal",Controls!$B$8,(Controls!$B$8+Controls!$B$9)/2))+SQRT(1-Controls!$B$10^2)*(Random!V210-IF(Controls!$B$7="Normal",Controls!$B$8,(Controls!$B$8+Controls!$B$9)/2)))</f>
        <v/>
      </c>
      <c r="C210" s="10" t="str">
        <f>IF(Random!W210="","",IF(Controls!$B$7="Normal",Controls!$B$8,(Controls!$B$8+Controls!$B$9)/2)+Controls!$B$10*(C209-IF(Controls!$B$7="Normal",Controls!$B$8,(Controls!$B$8+Controls!$B$9)/2))+SQRT(1-Controls!$B$10^2)*(Random!W210-IF(Controls!$B$7="Normal",Controls!$B$8,(Controls!$B$8+Controls!$B$9)/2)))</f>
        <v/>
      </c>
      <c r="D210" s="10" t="str">
        <f>IF(Random!X210="","",IF(Controls!$B$7="Normal",Controls!$B$8,(Controls!$B$8+Controls!$B$9)/2)+Controls!$B$10*(D209-IF(Controls!$B$7="Normal",Controls!$B$8,(Controls!$B$8+Controls!$B$9)/2))+SQRT(1-Controls!$B$10^2)*(Random!X210-IF(Controls!$B$7="Normal",Controls!$B$8,(Controls!$B$8+Controls!$B$9)/2)))</f>
        <v/>
      </c>
      <c r="E210" s="10" t="str">
        <f>IF(Random!Y210="","",IF(Controls!$B$7="Normal",Controls!$B$8,(Controls!$B$8+Controls!$B$9)/2)+Controls!$B$10*(E209-IF(Controls!$B$7="Normal",Controls!$B$8,(Controls!$B$8+Controls!$B$9)/2))+SQRT(1-Controls!$B$10^2)*(Random!Y210-IF(Controls!$B$7="Normal",Controls!$B$8,(Controls!$B$8+Controls!$B$9)/2)))</f>
        <v/>
      </c>
      <c r="F210" s="10" t="str">
        <f>IF(Random!Z210="","",IF(Controls!$B$7="Normal",Controls!$B$8,(Controls!$B$8+Controls!$B$9)/2)+Controls!$B$10*(F209-IF(Controls!$B$7="Normal",Controls!$B$8,(Controls!$B$8+Controls!$B$9)/2))+SQRT(1-Controls!$B$10^2)*(Random!Z210-IF(Controls!$B$7="Normal",Controls!$B$8,(Controls!$B$8+Controls!$B$9)/2)))</f>
        <v/>
      </c>
      <c r="G210" s="10" t="str">
        <f>IF(Random!AA210="","",IF(Controls!$B$7="Normal",Controls!$B$8,(Controls!$B$8+Controls!$B$9)/2)+Controls!$B$10*(G209-IF(Controls!$B$7="Normal",Controls!$B$8,(Controls!$B$8+Controls!$B$9)/2))+SQRT(1-Controls!$B$10^2)*(Random!AA210-IF(Controls!$B$7="Normal",Controls!$B$8,(Controls!$B$8+Controls!$B$9)/2)))</f>
        <v/>
      </c>
      <c r="H210" s="10" t="str">
        <f>IF(Random!AB210="","",IF(Controls!$B$7="Normal",Controls!$B$8,(Controls!$B$8+Controls!$B$9)/2)+Controls!$B$10*(H209-IF(Controls!$B$7="Normal",Controls!$B$8,(Controls!$B$8+Controls!$B$9)/2))+SQRT(1-Controls!$B$10^2)*(Random!AB210-IF(Controls!$B$7="Normal",Controls!$B$8,(Controls!$B$8+Controls!$B$9)/2)))</f>
        <v/>
      </c>
      <c r="I210" s="10" t="str">
        <f>IF(Random!AC210="","",IF(Controls!$B$7="Normal",Controls!$B$8,(Controls!$B$8+Controls!$B$9)/2)+Controls!$B$10*(I209-IF(Controls!$B$7="Normal",Controls!$B$8,(Controls!$B$8+Controls!$B$9)/2))+SQRT(1-Controls!$B$10^2)*(Random!AC210-IF(Controls!$B$7="Normal",Controls!$B$8,(Controls!$B$8+Controls!$B$9)/2)))</f>
        <v/>
      </c>
      <c r="J210" s="10" t="str">
        <f>IF(Random!AD210="","",IF(Controls!$B$7="Normal",Controls!$B$8,(Controls!$B$8+Controls!$B$9)/2)+Controls!$B$10*(J209-IF(Controls!$B$7="Normal",Controls!$B$8,(Controls!$B$8+Controls!$B$9)/2))+SQRT(1-Controls!$B$10^2)*(Random!AD210-IF(Controls!$B$7="Normal",Controls!$B$8,(Controls!$B$8+Controls!$B$9)/2)))</f>
        <v/>
      </c>
      <c r="K210" s="10" t="str">
        <f>IF(Random!AE210="","",IF(Controls!$B$7="Normal",Controls!$B$8,(Controls!$B$8+Controls!$B$9)/2)+Controls!$B$10*(K209-IF(Controls!$B$7="Normal",Controls!$B$8,(Controls!$B$8+Controls!$B$9)/2))+SQRT(1-Controls!$B$10^2)*(Random!AE210-IF(Controls!$B$7="Normal",Controls!$B$8,(Controls!$B$8+Controls!$B$9)/2)))</f>
        <v/>
      </c>
      <c r="L210" s="10" t="str">
        <f>IF($A210="","",IF(AND($A210&gt;=Controls!$B$25,$A210&lt;Controls!$B$25+Controls!$C$25),(Controls!$D$25-1)*EXP(-0.5*(($A210-Controls!$B$25-(Controls!$C$25-1)/2)/MAX(Controls!$C$25/4,0.5))^2),0))</f>
        <v/>
      </c>
      <c r="M210" s="10" t="str">
        <f>IF($A210="","",IF(AND($A210&gt;=Controls!$B$26,$A210&lt;Controls!$B$26+Controls!$C$26),(Controls!$D$26-1)*EXP(-0.5*(($A210-Controls!$B$26-(Controls!$C$26-1)/2)/MAX(Controls!$C$26/4,0.5))^2),0))</f>
        <v/>
      </c>
      <c r="N210" s="10" t="str">
        <f>IF($A210="","",IF(AND($A210&gt;=Controls!$B$27,$A210&lt;Controls!$B$27+Controls!$C$27),(Controls!$D$27-1)*EXP(-0.5*(($A210-Controls!$B$27-(Controls!$C$27-1)/2)/MAX(Controls!$C$27/4,0.5))^2),0))</f>
        <v/>
      </c>
      <c r="O210" s="10" t="str">
        <f>IF($A210="","",IF(AND($A210&gt;=Controls!$B$28,$A210&lt;Controls!$B$28+Controls!$C$28),(Controls!$D$28-1)*EXP(-0.5*(($A210-Controls!$B$28-(Controls!$C$28-1)/2)/MAX(Controls!$C$28/4,0.5))^2),0))</f>
        <v/>
      </c>
      <c r="P210" s="4" t="str">
        <f t="shared" si="1"/>
        <v/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21.0" customHeight="1">
      <c r="A211" s="7" t="str">
        <f>IF(210&lt;=Controls!$B$5,Controls!$B$4+209,"")</f>
        <v/>
      </c>
      <c r="B211" s="10" t="str">
        <f>IF(Random!V211="","",IF(Controls!$B$7="Normal",Controls!$B$8,(Controls!$B$8+Controls!$B$9)/2)+Controls!$B$10*(B210-IF(Controls!$B$7="Normal",Controls!$B$8,(Controls!$B$8+Controls!$B$9)/2))+SQRT(1-Controls!$B$10^2)*(Random!V211-IF(Controls!$B$7="Normal",Controls!$B$8,(Controls!$B$8+Controls!$B$9)/2)))</f>
        <v/>
      </c>
      <c r="C211" s="10" t="str">
        <f>IF(Random!W211="","",IF(Controls!$B$7="Normal",Controls!$B$8,(Controls!$B$8+Controls!$B$9)/2)+Controls!$B$10*(C210-IF(Controls!$B$7="Normal",Controls!$B$8,(Controls!$B$8+Controls!$B$9)/2))+SQRT(1-Controls!$B$10^2)*(Random!W211-IF(Controls!$B$7="Normal",Controls!$B$8,(Controls!$B$8+Controls!$B$9)/2)))</f>
        <v/>
      </c>
      <c r="D211" s="10" t="str">
        <f>IF(Random!X211="","",IF(Controls!$B$7="Normal",Controls!$B$8,(Controls!$B$8+Controls!$B$9)/2)+Controls!$B$10*(D210-IF(Controls!$B$7="Normal",Controls!$B$8,(Controls!$B$8+Controls!$B$9)/2))+SQRT(1-Controls!$B$10^2)*(Random!X211-IF(Controls!$B$7="Normal",Controls!$B$8,(Controls!$B$8+Controls!$B$9)/2)))</f>
        <v/>
      </c>
      <c r="E211" s="10" t="str">
        <f>IF(Random!Y211="","",IF(Controls!$B$7="Normal",Controls!$B$8,(Controls!$B$8+Controls!$B$9)/2)+Controls!$B$10*(E210-IF(Controls!$B$7="Normal",Controls!$B$8,(Controls!$B$8+Controls!$B$9)/2))+SQRT(1-Controls!$B$10^2)*(Random!Y211-IF(Controls!$B$7="Normal",Controls!$B$8,(Controls!$B$8+Controls!$B$9)/2)))</f>
        <v/>
      </c>
      <c r="F211" s="10" t="str">
        <f>IF(Random!Z211="","",IF(Controls!$B$7="Normal",Controls!$B$8,(Controls!$B$8+Controls!$B$9)/2)+Controls!$B$10*(F210-IF(Controls!$B$7="Normal",Controls!$B$8,(Controls!$B$8+Controls!$B$9)/2))+SQRT(1-Controls!$B$10^2)*(Random!Z211-IF(Controls!$B$7="Normal",Controls!$B$8,(Controls!$B$8+Controls!$B$9)/2)))</f>
        <v/>
      </c>
      <c r="G211" s="10" t="str">
        <f>IF(Random!AA211="","",IF(Controls!$B$7="Normal",Controls!$B$8,(Controls!$B$8+Controls!$B$9)/2)+Controls!$B$10*(G210-IF(Controls!$B$7="Normal",Controls!$B$8,(Controls!$B$8+Controls!$B$9)/2))+SQRT(1-Controls!$B$10^2)*(Random!AA211-IF(Controls!$B$7="Normal",Controls!$B$8,(Controls!$B$8+Controls!$B$9)/2)))</f>
        <v/>
      </c>
      <c r="H211" s="10" t="str">
        <f>IF(Random!AB211="","",IF(Controls!$B$7="Normal",Controls!$B$8,(Controls!$B$8+Controls!$B$9)/2)+Controls!$B$10*(H210-IF(Controls!$B$7="Normal",Controls!$B$8,(Controls!$B$8+Controls!$B$9)/2))+SQRT(1-Controls!$B$10^2)*(Random!AB211-IF(Controls!$B$7="Normal",Controls!$B$8,(Controls!$B$8+Controls!$B$9)/2)))</f>
        <v/>
      </c>
      <c r="I211" s="10" t="str">
        <f>IF(Random!AC211="","",IF(Controls!$B$7="Normal",Controls!$B$8,(Controls!$B$8+Controls!$B$9)/2)+Controls!$B$10*(I210-IF(Controls!$B$7="Normal",Controls!$B$8,(Controls!$B$8+Controls!$B$9)/2))+SQRT(1-Controls!$B$10^2)*(Random!AC211-IF(Controls!$B$7="Normal",Controls!$B$8,(Controls!$B$8+Controls!$B$9)/2)))</f>
        <v/>
      </c>
      <c r="J211" s="10" t="str">
        <f>IF(Random!AD211="","",IF(Controls!$B$7="Normal",Controls!$B$8,(Controls!$B$8+Controls!$B$9)/2)+Controls!$B$10*(J210-IF(Controls!$B$7="Normal",Controls!$B$8,(Controls!$B$8+Controls!$B$9)/2))+SQRT(1-Controls!$B$10^2)*(Random!AD211-IF(Controls!$B$7="Normal",Controls!$B$8,(Controls!$B$8+Controls!$B$9)/2)))</f>
        <v/>
      </c>
      <c r="K211" s="10" t="str">
        <f>IF(Random!AE211="","",IF(Controls!$B$7="Normal",Controls!$B$8,(Controls!$B$8+Controls!$B$9)/2)+Controls!$B$10*(K210-IF(Controls!$B$7="Normal",Controls!$B$8,(Controls!$B$8+Controls!$B$9)/2))+SQRT(1-Controls!$B$10^2)*(Random!AE211-IF(Controls!$B$7="Normal",Controls!$B$8,(Controls!$B$8+Controls!$B$9)/2)))</f>
        <v/>
      </c>
      <c r="L211" s="10" t="str">
        <f>IF($A211="","",IF(AND($A211&gt;=Controls!$B$25,$A211&lt;Controls!$B$25+Controls!$C$25),(Controls!$D$25-1)*EXP(-0.5*(($A211-Controls!$B$25-(Controls!$C$25-1)/2)/MAX(Controls!$C$25/4,0.5))^2),0))</f>
        <v/>
      </c>
      <c r="M211" s="10" t="str">
        <f>IF($A211="","",IF(AND($A211&gt;=Controls!$B$26,$A211&lt;Controls!$B$26+Controls!$C$26),(Controls!$D$26-1)*EXP(-0.5*(($A211-Controls!$B$26-(Controls!$C$26-1)/2)/MAX(Controls!$C$26/4,0.5))^2),0))</f>
        <v/>
      </c>
      <c r="N211" s="10" t="str">
        <f>IF($A211="","",IF(AND($A211&gt;=Controls!$B$27,$A211&lt;Controls!$B$27+Controls!$C$27),(Controls!$D$27-1)*EXP(-0.5*(($A211-Controls!$B$27-(Controls!$C$27-1)/2)/MAX(Controls!$C$27/4,0.5))^2),0))</f>
        <v/>
      </c>
      <c r="O211" s="10" t="str">
        <f>IF($A211="","",IF(AND($A211&gt;=Controls!$B$28,$A211&lt;Controls!$B$28+Controls!$C$28),(Controls!$D$28-1)*EXP(-0.5*(($A211-Controls!$B$28-(Controls!$C$28-1)/2)/MAX(Controls!$C$28/4,0.5))^2),0))</f>
        <v/>
      </c>
      <c r="P211" s="4" t="str">
        <f t="shared" si="1"/>
        <v/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21.0" customHeight="1">
      <c r="A212" s="7" t="str">
        <f>IF(211&lt;=Controls!$B$5,Controls!$B$4+210,"")</f>
        <v/>
      </c>
      <c r="B212" s="10" t="str">
        <f>IF(Random!V212="","",IF(Controls!$B$7="Normal",Controls!$B$8,(Controls!$B$8+Controls!$B$9)/2)+Controls!$B$10*(B211-IF(Controls!$B$7="Normal",Controls!$B$8,(Controls!$B$8+Controls!$B$9)/2))+SQRT(1-Controls!$B$10^2)*(Random!V212-IF(Controls!$B$7="Normal",Controls!$B$8,(Controls!$B$8+Controls!$B$9)/2)))</f>
        <v/>
      </c>
      <c r="C212" s="10" t="str">
        <f>IF(Random!W212="","",IF(Controls!$B$7="Normal",Controls!$B$8,(Controls!$B$8+Controls!$B$9)/2)+Controls!$B$10*(C211-IF(Controls!$B$7="Normal",Controls!$B$8,(Controls!$B$8+Controls!$B$9)/2))+SQRT(1-Controls!$B$10^2)*(Random!W212-IF(Controls!$B$7="Normal",Controls!$B$8,(Controls!$B$8+Controls!$B$9)/2)))</f>
        <v/>
      </c>
      <c r="D212" s="10" t="str">
        <f>IF(Random!X212="","",IF(Controls!$B$7="Normal",Controls!$B$8,(Controls!$B$8+Controls!$B$9)/2)+Controls!$B$10*(D211-IF(Controls!$B$7="Normal",Controls!$B$8,(Controls!$B$8+Controls!$B$9)/2))+SQRT(1-Controls!$B$10^2)*(Random!X212-IF(Controls!$B$7="Normal",Controls!$B$8,(Controls!$B$8+Controls!$B$9)/2)))</f>
        <v/>
      </c>
      <c r="E212" s="10" t="str">
        <f>IF(Random!Y212="","",IF(Controls!$B$7="Normal",Controls!$B$8,(Controls!$B$8+Controls!$B$9)/2)+Controls!$B$10*(E211-IF(Controls!$B$7="Normal",Controls!$B$8,(Controls!$B$8+Controls!$B$9)/2))+SQRT(1-Controls!$B$10^2)*(Random!Y212-IF(Controls!$B$7="Normal",Controls!$B$8,(Controls!$B$8+Controls!$B$9)/2)))</f>
        <v/>
      </c>
      <c r="F212" s="10" t="str">
        <f>IF(Random!Z212="","",IF(Controls!$B$7="Normal",Controls!$B$8,(Controls!$B$8+Controls!$B$9)/2)+Controls!$B$10*(F211-IF(Controls!$B$7="Normal",Controls!$B$8,(Controls!$B$8+Controls!$B$9)/2))+SQRT(1-Controls!$B$10^2)*(Random!Z212-IF(Controls!$B$7="Normal",Controls!$B$8,(Controls!$B$8+Controls!$B$9)/2)))</f>
        <v/>
      </c>
      <c r="G212" s="10" t="str">
        <f>IF(Random!AA212="","",IF(Controls!$B$7="Normal",Controls!$B$8,(Controls!$B$8+Controls!$B$9)/2)+Controls!$B$10*(G211-IF(Controls!$B$7="Normal",Controls!$B$8,(Controls!$B$8+Controls!$B$9)/2))+SQRT(1-Controls!$B$10^2)*(Random!AA212-IF(Controls!$B$7="Normal",Controls!$B$8,(Controls!$B$8+Controls!$B$9)/2)))</f>
        <v/>
      </c>
      <c r="H212" s="10" t="str">
        <f>IF(Random!AB212="","",IF(Controls!$B$7="Normal",Controls!$B$8,(Controls!$B$8+Controls!$B$9)/2)+Controls!$B$10*(H211-IF(Controls!$B$7="Normal",Controls!$B$8,(Controls!$B$8+Controls!$B$9)/2))+SQRT(1-Controls!$B$10^2)*(Random!AB212-IF(Controls!$B$7="Normal",Controls!$B$8,(Controls!$B$8+Controls!$B$9)/2)))</f>
        <v/>
      </c>
      <c r="I212" s="10" t="str">
        <f>IF(Random!AC212="","",IF(Controls!$B$7="Normal",Controls!$B$8,(Controls!$B$8+Controls!$B$9)/2)+Controls!$B$10*(I211-IF(Controls!$B$7="Normal",Controls!$B$8,(Controls!$B$8+Controls!$B$9)/2))+SQRT(1-Controls!$B$10^2)*(Random!AC212-IF(Controls!$B$7="Normal",Controls!$B$8,(Controls!$B$8+Controls!$B$9)/2)))</f>
        <v/>
      </c>
      <c r="J212" s="10" t="str">
        <f>IF(Random!AD212="","",IF(Controls!$B$7="Normal",Controls!$B$8,(Controls!$B$8+Controls!$B$9)/2)+Controls!$B$10*(J211-IF(Controls!$B$7="Normal",Controls!$B$8,(Controls!$B$8+Controls!$B$9)/2))+SQRT(1-Controls!$B$10^2)*(Random!AD212-IF(Controls!$B$7="Normal",Controls!$B$8,(Controls!$B$8+Controls!$B$9)/2)))</f>
        <v/>
      </c>
      <c r="K212" s="10" t="str">
        <f>IF(Random!AE212="","",IF(Controls!$B$7="Normal",Controls!$B$8,(Controls!$B$8+Controls!$B$9)/2)+Controls!$B$10*(K211-IF(Controls!$B$7="Normal",Controls!$B$8,(Controls!$B$8+Controls!$B$9)/2))+SQRT(1-Controls!$B$10^2)*(Random!AE212-IF(Controls!$B$7="Normal",Controls!$B$8,(Controls!$B$8+Controls!$B$9)/2)))</f>
        <v/>
      </c>
      <c r="L212" s="10" t="str">
        <f>IF($A212="","",IF(AND($A212&gt;=Controls!$B$25,$A212&lt;Controls!$B$25+Controls!$C$25),(Controls!$D$25-1)*EXP(-0.5*(($A212-Controls!$B$25-(Controls!$C$25-1)/2)/MAX(Controls!$C$25/4,0.5))^2),0))</f>
        <v/>
      </c>
      <c r="M212" s="10" t="str">
        <f>IF($A212="","",IF(AND($A212&gt;=Controls!$B$26,$A212&lt;Controls!$B$26+Controls!$C$26),(Controls!$D$26-1)*EXP(-0.5*(($A212-Controls!$B$26-(Controls!$C$26-1)/2)/MAX(Controls!$C$26/4,0.5))^2),0))</f>
        <v/>
      </c>
      <c r="N212" s="10" t="str">
        <f>IF($A212="","",IF(AND($A212&gt;=Controls!$B$27,$A212&lt;Controls!$B$27+Controls!$C$27),(Controls!$D$27-1)*EXP(-0.5*(($A212-Controls!$B$27-(Controls!$C$27-1)/2)/MAX(Controls!$C$27/4,0.5))^2),0))</f>
        <v/>
      </c>
      <c r="O212" s="10" t="str">
        <f>IF($A212="","",IF(AND($A212&gt;=Controls!$B$28,$A212&lt;Controls!$B$28+Controls!$C$28),(Controls!$D$28-1)*EXP(-0.5*(($A212-Controls!$B$28-(Controls!$C$28-1)/2)/MAX(Controls!$C$28/4,0.5))^2),0))</f>
        <v/>
      </c>
      <c r="P212" s="4" t="str">
        <f t="shared" si="1"/>
        <v/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21.0" customHeight="1">
      <c r="A213" s="7" t="str">
        <f>IF(212&lt;=Controls!$B$5,Controls!$B$4+211,"")</f>
        <v/>
      </c>
      <c r="B213" s="10" t="str">
        <f>IF(Random!V213="","",IF(Controls!$B$7="Normal",Controls!$B$8,(Controls!$B$8+Controls!$B$9)/2)+Controls!$B$10*(B212-IF(Controls!$B$7="Normal",Controls!$B$8,(Controls!$B$8+Controls!$B$9)/2))+SQRT(1-Controls!$B$10^2)*(Random!V213-IF(Controls!$B$7="Normal",Controls!$B$8,(Controls!$B$8+Controls!$B$9)/2)))</f>
        <v/>
      </c>
      <c r="C213" s="10" t="str">
        <f>IF(Random!W213="","",IF(Controls!$B$7="Normal",Controls!$B$8,(Controls!$B$8+Controls!$B$9)/2)+Controls!$B$10*(C212-IF(Controls!$B$7="Normal",Controls!$B$8,(Controls!$B$8+Controls!$B$9)/2))+SQRT(1-Controls!$B$10^2)*(Random!W213-IF(Controls!$B$7="Normal",Controls!$B$8,(Controls!$B$8+Controls!$B$9)/2)))</f>
        <v/>
      </c>
      <c r="D213" s="10" t="str">
        <f>IF(Random!X213="","",IF(Controls!$B$7="Normal",Controls!$B$8,(Controls!$B$8+Controls!$B$9)/2)+Controls!$B$10*(D212-IF(Controls!$B$7="Normal",Controls!$B$8,(Controls!$B$8+Controls!$B$9)/2))+SQRT(1-Controls!$B$10^2)*(Random!X213-IF(Controls!$B$7="Normal",Controls!$B$8,(Controls!$B$8+Controls!$B$9)/2)))</f>
        <v/>
      </c>
      <c r="E213" s="10" t="str">
        <f>IF(Random!Y213="","",IF(Controls!$B$7="Normal",Controls!$B$8,(Controls!$B$8+Controls!$B$9)/2)+Controls!$B$10*(E212-IF(Controls!$B$7="Normal",Controls!$B$8,(Controls!$B$8+Controls!$B$9)/2))+SQRT(1-Controls!$B$10^2)*(Random!Y213-IF(Controls!$B$7="Normal",Controls!$B$8,(Controls!$B$8+Controls!$B$9)/2)))</f>
        <v/>
      </c>
      <c r="F213" s="10" t="str">
        <f>IF(Random!Z213="","",IF(Controls!$B$7="Normal",Controls!$B$8,(Controls!$B$8+Controls!$B$9)/2)+Controls!$B$10*(F212-IF(Controls!$B$7="Normal",Controls!$B$8,(Controls!$B$8+Controls!$B$9)/2))+SQRT(1-Controls!$B$10^2)*(Random!Z213-IF(Controls!$B$7="Normal",Controls!$B$8,(Controls!$B$8+Controls!$B$9)/2)))</f>
        <v/>
      </c>
      <c r="G213" s="10" t="str">
        <f>IF(Random!AA213="","",IF(Controls!$B$7="Normal",Controls!$B$8,(Controls!$B$8+Controls!$B$9)/2)+Controls!$B$10*(G212-IF(Controls!$B$7="Normal",Controls!$B$8,(Controls!$B$8+Controls!$B$9)/2))+SQRT(1-Controls!$B$10^2)*(Random!AA213-IF(Controls!$B$7="Normal",Controls!$B$8,(Controls!$B$8+Controls!$B$9)/2)))</f>
        <v/>
      </c>
      <c r="H213" s="10" t="str">
        <f>IF(Random!AB213="","",IF(Controls!$B$7="Normal",Controls!$B$8,(Controls!$B$8+Controls!$B$9)/2)+Controls!$B$10*(H212-IF(Controls!$B$7="Normal",Controls!$B$8,(Controls!$B$8+Controls!$B$9)/2))+SQRT(1-Controls!$B$10^2)*(Random!AB213-IF(Controls!$B$7="Normal",Controls!$B$8,(Controls!$B$8+Controls!$B$9)/2)))</f>
        <v/>
      </c>
      <c r="I213" s="10" t="str">
        <f>IF(Random!AC213="","",IF(Controls!$B$7="Normal",Controls!$B$8,(Controls!$B$8+Controls!$B$9)/2)+Controls!$B$10*(I212-IF(Controls!$B$7="Normal",Controls!$B$8,(Controls!$B$8+Controls!$B$9)/2))+SQRT(1-Controls!$B$10^2)*(Random!AC213-IF(Controls!$B$7="Normal",Controls!$B$8,(Controls!$B$8+Controls!$B$9)/2)))</f>
        <v/>
      </c>
      <c r="J213" s="10" t="str">
        <f>IF(Random!AD213="","",IF(Controls!$B$7="Normal",Controls!$B$8,(Controls!$B$8+Controls!$B$9)/2)+Controls!$B$10*(J212-IF(Controls!$B$7="Normal",Controls!$B$8,(Controls!$B$8+Controls!$B$9)/2))+SQRT(1-Controls!$B$10^2)*(Random!AD213-IF(Controls!$B$7="Normal",Controls!$B$8,(Controls!$B$8+Controls!$B$9)/2)))</f>
        <v/>
      </c>
      <c r="K213" s="10" t="str">
        <f>IF(Random!AE213="","",IF(Controls!$B$7="Normal",Controls!$B$8,(Controls!$B$8+Controls!$B$9)/2)+Controls!$B$10*(K212-IF(Controls!$B$7="Normal",Controls!$B$8,(Controls!$B$8+Controls!$B$9)/2))+SQRT(1-Controls!$B$10^2)*(Random!AE213-IF(Controls!$B$7="Normal",Controls!$B$8,(Controls!$B$8+Controls!$B$9)/2)))</f>
        <v/>
      </c>
      <c r="L213" s="10" t="str">
        <f>IF($A213="","",IF(AND($A213&gt;=Controls!$B$25,$A213&lt;Controls!$B$25+Controls!$C$25),(Controls!$D$25-1)*EXP(-0.5*(($A213-Controls!$B$25-(Controls!$C$25-1)/2)/MAX(Controls!$C$25/4,0.5))^2),0))</f>
        <v/>
      </c>
      <c r="M213" s="10" t="str">
        <f>IF($A213="","",IF(AND($A213&gt;=Controls!$B$26,$A213&lt;Controls!$B$26+Controls!$C$26),(Controls!$D$26-1)*EXP(-0.5*(($A213-Controls!$B$26-(Controls!$C$26-1)/2)/MAX(Controls!$C$26/4,0.5))^2),0))</f>
        <v/>
      </c>
      <c r="N213" s="10" t="str">
        <f>IF($A213="","",IF(AND($A213&gt;=Controls!$B$27,$A213&lt;Controls!$B$27+Controls!$C$27),(Controls!$D$27-1)*EXP(-0.5*(($A213-Controls!$B$27-(Controls!$C$27-1)/2)/MAX(Controls!$C$27/4,0.5))^2),0))</f>
        <v/>
      </c>
      <c r="O213" s="10" t="str">
        <f>IF($A213="","",IF(AND($A213&gt;=Controls!$B$28,$A213&lt;Controls!$B$28+Controls!$C$28),(Controls!$D$28-1)*EXP(-0.5*(($A213-Controls!$B$28-(Controls!$C$28-1)/2)/MAX(Controls!$C$28/4,0.5))^2),0))</f>
        <v/>
      </c>
      <c r="P213" s="4" t="str">
        <f t="shared" si="1"/>
        <v/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21.0" customHeight="1">
      <c r="A214" s="7" t="str">
        <f>IF(213&lt;=Controls!$B$5,Controls!$B$4+212,"")</f>
        <v/>
      </c>
      <c r="B214" s="10" t="str">
        <f>IF(Random!V214="","",IF(Controls!$B$7="Normal",Controls!$B$8,(Controls!$B$8+Controls!$B$9)/2)+Controls!$B$10*(B213-IF(Controls!$B$7="Normal",Controls!$B$8,(Controls!$B$8+Controls!$B$9)/2))+SQRT(1-Controls!$B$10^2)*(Random!V214-IF(Controls!$B$7="Normal",Controls!$B$8,(Controls!$B$8+Controls!$B$9)/2)))</f>
        <v/>
      </c>
      <c r="C214" s="10" t="str">
        <f>IF(Random!W214="","",IF(Controls!$B$7="Normal",Controls!$B$8,(Controls!$B$8+Controls!$B$9)/2)+Controls!$B$10*(C213-IF(Controls!$B$7="Normal",Controls!$B$8,(Controls!$B$8+Controls!$B$9)/2))+SQRT(1-Controls!$B$10^2)*(Random!W214-IF(Controls!$B$7="Normal",Controls!$B$8,(Controls!$B$8+Controls!$B$9)/2)))</f>
        <v/>
      </c>
      <c r="D214" s="10" t="str">
        <f>IF(Random!X214="","",IF(Controls!$B$7="Normal",Controls!$B$8,(Controls!$B$8+Controls!$B$9)/2)+Controls!$B$10*(D213-IF(Controls!$B$7="Normal",Controls!$B$8,(Controls!$B$8+Controls!$B$9)/2))+SQRT(1-Controls!$B$10^2)*(Random!X214-IF(Controls!$B$7="Normal",Controls!$B$8,(Controls!$B$8+Controls!$B$9)/2)))</f>
        <v/>
      </c>
      <c r="E214" s="10" t="str">
        <f>IF(Random!Y214="","",IF(Controls!$B$7="Normal",Controls!$B$8,(Controls!$B$8+Controls!$B$9)/2)+Controls!$B$10*(E213-IF(Controls!$B$7="Normal",Controls!$B$8,(Controls!$B$8+Controls!$B$9)/2))+SQRT(1-Controls!$B$10^2)*(Random!Y214-IF(Controls!$B$7="Normal",Controls!$B$8,(Controls!$B$8+Controls!$B$9)/2)))</f>
        <v/>
      </c>
      <c r="F214" s="10" t="str">
        <f>IF(Random!Z214="","",IF(Controls!$B$7="Normal",Controls!$B$8,(Controls!$B$8+Controls!$B$9)/2)+Controls!$B$10*(F213-IF(Controls!$B$7="Normal",Controls!$B$8,(Controls!$B$8+Controls!$B$9)/2))+SQRT(1-Controls!$B$10^2)*(Random!Z214-IF(Controls!$B$7="Normal",Controls!$B$8,(Controls!$B$8+Controls!$B$9)/2)))</f>
        <v/>
      </c>
      <c r="G214" s="10" t="str">
        <f>IF(Random!AA214="","",IF(Controls!$B$7="Normal",Controls!$B$8,(Controls!$B$8+Controls!$B$9)/2)+Controls!$B$10*(G213-IF(Controls!$B$7="Normal",Controls!$B$8,(Controls!$B$8+Controls!$B$9)/2))+SQRT(1-Controls!$B$10^2)*(Random!AA214-IF(Controls!$B$7="Normal",Controls!$B$8,(Controls!$B$8+Controls!$B$9)/2)))</f>
        <v/>
      </c>
      <c r="H214" s="10" t="str">
        <f>IF(Random!AB214="","",IF(Controls!$B$7="Normal",Controls!$B$8,(Controls!$B$8+Controls!$B$9)/2)+Controls!$B$10*(H213-IF(Controls!$B$7="Normal",Controls!$B$8,(Controls!$B$8+Controls!$B$9)/2))+SQRT(1-Controls!$B$10^2)*(Random!AB214-IF(Controls!$B$7="Normal",Controls!$B$8,(Controls!$B$8+Controls!$B$9)/2)))</f>
        <v/>
      </c>
      <c r="I214" s="10" t="str">
        <f>IF(Random!AC214="","",IF(Controls!$B$7="Normal",Controls!$B$8,(Controls!$B$8+Controls!$B$9)/2)+Controls!$B$10*(I213-IF(Controls!$B$7="Normal",Controls!$B$8,(Controls!$B$8+Controls!$B$9)/2))+SQRT(1-Controls!$B$10^2)*(Random!AC214-IF(Controls!$B$7="Normal",Controls!$B$8,(Controls!$B$8+Controls!$B$9)/2)))</f>
        <v/>
      </c>
      <c r="J214" s="10" t="str">
        <f>IF(Random!AD214="","",IF(Controls!$B$7="Normal",Controls!$B$8,(Controls!$B$8+Controls!$B$9)/2)+Controls!$B$10*(J213-IF(Controls!$B$7="Normal",Controls!$B$8,(Controls!$B$8+Controls!$B$9)/2))+SQRT(1-Controls!$B$10^2)*(Random!AD214-IF(Controls!$B$7="Normal",Controls!$B$8,(Controls!$B$8+Controls!$B$9)/2)))</f>
        <v/>
      </c>
      <c r="K214" s="10" t="str">
        <f>IF(Random!AE214="","",IF(Controls!$B$7="Normal",Controls!$B$8,(Controls!$B$8+Controls!$B$9)/2)+Controls!$B$10*(K213-IF(Controls!$B$7="Normal",Controls!$B$8,(Controls!$B$8+Controls!$B$9)/2))+SQRT(1-Controls!$B$10^2)*(Random!AE214-IF(Controls!$B$7="Normal",Controls!$B$8,(Controls!$B$8+Controls!$B$9)/2)))</f>
        <v/>
      </c>
      <c r="L214" s="10" t="str">
        <f>IF($A214="","",IF(AND($A214&gt;=Controls!$B$25,$A214&lt;Controls!$B$25+Controls!$C$25),(Controls!$D$25-1)*EXP(-0.5*(($A214-Controls!$B$25-(Controls!$C$25-1)/2)/MAX(Controls!$C$25/4,0.5))^2),0))</f>
        <v/>
      </c>
      <c r="M214" s="10" t="str">
        <f>IF($A214="","",IF(AND($A214&gt;=Controls!$B$26,$A214&lt;Controls!$B$26+Controls!$C$26),(Controls!$D$26-1)*EXP(-0.5*(($A214-Controls!$B$26-(Controls!$C$26-1)/2)/MAX(Controls!$C$26/4,0.5))^2),0))</f>
        <v/>
      </c>
      <c r="N214" s="10" t="str">
        <f>IF($A214="","",IF(AND($A214&gt;=Controls!$B$27,$A214&lt;Controls!$B$27+Controls!$C$27),(Controls!$D$27-1)*EXP(-0.5*(($A214-Controls!$B$27-(Controls!$C$27-1)/2)/MAX(Controls!$C$27/4,0.5))^2),0))</f>
        <v/>
      </c>
      <c r="O214" s="10" t="str">
        <f>IF($A214="","",IF(AND($A214&gt;=Controls!$B$28,$A214&lt;Controls!$B$28+Controls!$C$28),(Controls!$D$28-1)*EXP(-0.5*(($A214-Controls!$B$28-(Controls!$C$28-1)/2)/MAX(Controls!$C$28/4,0.5))^2),0))</f>
        <v/>
      </c>
      <c r="P214" s="4" t="str">
        <f t="shared" si="1"/>
        <v/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21.0" customHeight="1">
      <c r="A215" s="7" t="str">
        <f>IF(214&lt;=Controls!$B$5,Controls!$B$4+213,"")</f>
        <v/>
      </c>
      <c r="B215" s="10" t="str">
        <f>IF(Random!V215="","",IF(Controls!$B$7="Normal",Controls!$B$8,(Controls!$B$8+Controls!$B$9)/2)+Controls!$B$10*(B214-IF(Controls!$B$7="Normal",Controls!$B$8,(Controls!$B$8+Controls!$B$9)/2))+SQRT(1-Controls!$B$10^2)*(Random!V215-IF(Controls!$B$7="Normal",Controls!$B$8,(Controls!$B$8+Controls!$B$9)/2)))</f>
        <v/>
      </c>
      <c r="C215" s="10" t="str">
        <f>IF(Random!W215="","",IF(Controls!$B$7="Normal",Controls!$B$8,(Controls!$B$8+Controls!$B$9)/2)+Controls!$B$10*(C214-IF(Controls!$B$7="Normal",Controls!$B$8,(Controls!$B$8+Controls!$B$9)/2))+SQRT(1-Controls!$B$10^2)*(Random!W215-IF(Controls!$B$7="Normal",Controls!$B$8,(Controls!$B$8+Controls!$B$9)/2)))</f>
        <v/>
      </c>
      <c r="D215" s="10" t="str">
        <f>IF(Random!X215="","",IF(Controls!$B$7="Normal",Controls!$B$8,(Controls!$B$8+Controls!$B$9)/2)+Controls!$B$10*(D214-IF(Controls!$B$7="Normal",Controls!$B$8,(Controls!$B$8+Controls!$B$9)/2))+SQRT(1-Controls!$B$10^2)*(Random!X215-IF(Controls!$B$7="Normal",Controls!$B$8,(Controls!$B$8+Controls!$B$9)/2)))</f>
        <v/>
      </c>
      <c r="E215" s="10" t="str">
        <f>IF(Random!Y215="","",IF(Controls!$B$7="Normal",Controls!$B$8,(Controls!$B$8+Controls!$B$9)/2)+Controls!$B$10*(E214-IF(Controls!$B$7="Normal",Controls!$B$8,(Controls!$B$8+Controls!$B$9)/2))+SQRT(1-Controls!$B$10^2)*(Random!Y215-IF(Controls!$B$7="Normal",Controls!$B$8,(Controls!$B$8+Controls!$B$9)/2)))</f>
        <v/>
      </c>
      <c r="F215" s="10" t="str">
        <f>IF(Random!Z215="","",IF(Controls!$B$7="Normal",Controls!$B$8,(Controls!$B$8+Controls!$B$9)/2)+Controls!$B$10*(F214-IF(Controls!$B$7="Normal",Controls!$B$8,(Controls!$B$8+Controls!$B$9)/2))+SQRT(1-Controls!$B$10^2)*(Random!Z215-IF(Controls!$B$7="Normal",Controls!$B$8,(Controls!$B$8+Controls!$B$9)/2)))</f>
        <v/>
      </c>
      <c r="G215" s="10" t="str">
        <f>IF(Random!AA215="","",IF(Controls!$B$7="Normal",Controls!$B$8,(Controls!$B$8+Controls!$B$9)/2)+Controls!$B$10*(G214-IF(Controls!$B$7="Normal",Controls!$B$8,(Controls!$B$8+Controls!$B$9)/2))+SQRT(1-Controls!$B$10^2)*(Random!AA215-IF(Controls!$B$7="Normal",Controls!$B$8,(Controls!$B$8+Controls!$B$9)/2)))</f>
        <v/>
      </c>
      <c r="H215" s="10" t="str">
        <f>IF(Random!AB215="","",IF(Controls!$B$7="Normal",Controls!$B$8,(Controls!$B$8+Controls!$B$9)/2)+Controls!$B$10*(H214-IF(Controls!$B$7="Normal",Controls!$B$8,(Controls!$B$8+Controls!$B$9)/2))+SQRT(1-Controls!$B$10^2)*(Random!AB215-IF(Controls!$B$7="Normal",Controls!$B$8,(Controls!$B$8+Controls!$B$9)/2)))</f>
        <v/>
      </c>
      <c r="I215" s="10" t="str">
        <f>IF(Random!AC215="","",IF(Controls!$B$7="Normal",Controls!$B$8,(Controls!$B$8+Controls!$B$9)/2)+Controls!$B$10*(I214-IF(Controls!$B$7="Normal",Controls!$B$8,(Controls!$B$8+Controls!$B$9)/2))+SQRT(1-Controls!$B$10^2)*(Random!AC215-IF(Controls!$B$7="Normal",Controls!$B$8,(Controls!$B$8+Controls!$B$9)/2)))</f>
        <v/>
      </c>
      <c r="J215" s="10" t="str">
        <f>IF(Random!AD215="","",IF(Controls!$B$7="Normal",Controls!$B$8,(Controls!$B$8+Controls!$B$9)/2)+Controls!$B$10*(J214-IF(Controls!$B$7="Normal",Controls!$B$8,(Controls!$B$8+Controls!$B$9)/2))+SQRT(1-Controls!$B$10^2)*(Random!AD215-IF(Controls!$B$7="Normal",Controls!$B$8,(Controls!$B$8+Controls!$B$9)/2)))</f>
        <v/>
      </c>
      <c r="K215" s="10" t="str">
        <f>IF(Random!AE215="","",IF(Controls!$B$7="Normal",Controls!$B$8,(Controls!$B$8+Controls!$B$9)/2)+Controls!$B$10*(K214-IF(Controls!$B$7="Normal",Controls!$B$8,(Controls!$B$8+Controls!$B$9)/2))+SQRT(1-Controls!$B$10^2)*(Random!AE215-IF(Controls!$B$7="Normal",Controls!$B$8,(Controls!$B$8+Controls!$B$9)/2)))</f>
        <v/>
      </c>
      <c r="L215" s="10" t="str">
        <f>IF($A215="","",IF(AND($A215&gt;=Controls!$B$25,$A215&lt;Controls!$B$25+Controls!$C$25),(Controls!$D$25-1)*EXP(-0.5*(($A215-Controls!$B$25-(Controls!$C$25-1)/2)/MAX(Controls!$C$25/4,0.5))^2),0))</f>
        <v/>
      </c>
      <c r="M215" s="10" t="str">
        <f>IF($A215="","",IF(AND($A215&gt;=Controls!$B$26,$A215&lt;Controls!$B$26+Controls!$C$26),(Controls!$D$26-1)*EXP(-0.5*(($A215-Controls!$B$26-(Controls!$C$26-1)/2)/MAX(Controls!$C$26/4,0.5))^2),0))</f>
        <v/>
      </c>
      <c r="N215" s="10" t="str">
        <f>IF($A215="","",IF(AND($A215&gt;=Controls!$B$27,$A215&lt;Controls!$B$27+Controls!$C$27),(Controls!$D$27-1)*EXP(-0.5*(($A215-Controls!$B$27-(Controls!$C$27-1)/2)/MAX(Controls!$C$27/4,0.5))^2),0))</f>
        <v/>
      </c>
      <c r="O215" s="10" t="str">
        <f>IF($A215="","",IF(AND($A215&gt;=Controls!$B$28,$A215&lt;Controls!$B$28+Controls!$C$28),(Controls!$D$28-1)*EXP(-0.5*(($A215-Controls!$B$28-(Controls!$C$28-1)/2)/MAX(Controls!$C$28/4,0.5))^2),0))</f>
        <v/>
      </c>
      <c r="P215" s="4" t="str">
        <f t="shared" si="1"/>
        <v/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21.0" customHeight="1">
      <c r="A216" s="7" t="str">
        <f>IF(215&lt;=Controls!$B$5,Controls!$B$4+214,"")</f>
        <v/>
      </c>
      <c r="B216" s="10" t="str">
        <f>IF(Random!V216="","",IF(Controls!$B$7="Normal",Controls!$B$8,(Controls!$B$8+Controls!$B$9)/2)+Controls!$B$10*(B215-IF(Controls!$B$7="Normal",Controls!$B$8,(Controls!$B$8+Controls!$B$9)/2))+SQRT(1-Controls!$B$10^2)*(Random!V216-IF(Controls!$B$7="Normal",Controls!$B$8,(Controls!$B$8+Controls!$B$9)/2)))</f>
        <v/>
      </c>
      <c r="C216" s="10" t="str">
        <f>IF(Random!W216="","",IF(Controls!$B$7="Normal",Controls!$B$8,(Controls!$B$8+Controls!$B$9)/2)+Controls!$B$10*(C215-IF(Controls!$B$7="Normal",Controls!$B$8,(Controls!$B$8+Controls!$B$9)/2))+SQRT(1-Controls!$B$10^2)*(Random!W216-IF(Controls!$B$7="Normal",Controls!$B$8,(Controls!$B$8+Controls!$B$9)/2)))</f>
        <v/>
      </c>
      <c r="D216" s="10" t="str">
        <f>IF(Random!X216="","",IF(Controls!$B$7="Normal",Controls!$B$8,(Controls!$B$8+Controls!$B$9)/2)+Controls!$B$10*(D215-IF(Controls!$B$7="Normal",Controls!$B$8,(Controls!$B$8+Controls!$B$9)/2))+SQRT(1-Controls!$B$10^2)*(Random!X216-IF(Controls!$B$7="Normal",Controls!$B$8,(Controls!$B$8+Controls!$B$9)/2)))</f>
        <v/>
      </c>
      <c r="E216" s="10" t="str">
        <f>IF(Random!Y216="","",IF(Controls!$B$7="Normal",Controls!$B$8,(Controls!$B$8+Controls!$B$9)/2)+Controls!$B$10*(E215-IF(Controls!$B$7="Normal",Controls!$B$8,(Controls!$B$8+Controls!$B$9)/2))+SQRT(1-Controls!$B$10^2)*(Random!Y216-IF(Controls!$B$7="Normal",Controls!$B$8,(Controls!$B$8+Controls!$B$9)/2)))</f>
        <v/>
      </c>
      <c r="F216" s="10" t="str">
        <f>IF(Random!Z216="","",IF(Controls!$B$7="Normal",Controls!$B$8,(Controls!$B$8+Controls!$B$9)/2)+Controls!$B$10*(F215-IF(Controls!$B$7="Normal",Controls!$B$8,(Controls!$B$8+Controls!$B$9)/2))+SQRT(1-Controls!$B$10^2)*(Random!Z216-IF(Controls!$B$7="Normal",Controls!$B$8,(Controls!$B$8+Controls!$B$9)/2)))</f>
        <v/>
      </c>
      <c r="G216" s="10" t="str">
        <f>IF(Random!AA216="","",IF(Controls!$B$7="Normal",Controls!$B$8,(Controls!$B$8+Controls!$B$9)/2)+Controls!$B$10*(G215-IF(Controls!$B$7="Normal",Controls!$B$8,(Controls!$B$8+Controls!$B$9)/2))+SQRT(1-Controls!$B$10^2)*(Random!AA216-IF(Controls!$B$7="Normal",Controls!$B$8,(Controls!$B$8+Controls!$B$9)/2)))</f>
        <v/>
      </c>
      <c r="H216" s="10" t="str">
        <f>IF(Random!AB216="","",IF(Controls!$B$7="Normal",Controls!$B$8,(Controls!$B$8+Controls!$B$9)/2)+Controls!$B$10*(H215-IF(Controls!$B$7="Normal",Controls!$B$8,(Controls!$B$8+Controls!$B$9)/2))+SQRT(1-Controls!$B$10^2)*(Random!AB216-IF(Controls!$B$7="Normal",Controls!$B$8,(Controls!$B$8+Controls!$B$9)/2)))</f>
        <v/>
      </c>
      <c r="I216" s="10" t="str">
        <f>IF(Random!AC216="","",IF(Controls!$B$7="Normal",Controls!$B$8,(Controls!$B$8+Controls!$B$9)/2)+Controls!$B$10*(I215-IF(Controls!$B$7="Normal",Controls!$B$8,(Controls!$B$8+Controls!$B$9)/2))+SQRT(1-Controls!$B$10^2)*(Random!AC216-IF(Controls!$B$7="Normal",Controls!$B$8,(Controls!$B$8+Controls!$B$9)/2)))</f>
        <v/>
      </c>
      <c r="J216" s="10" t="str">
        <f>IF(Random!AD216="","",IF(Controls!$B$7="Normal",Controls!$B$8,(Controls!$B$8+Controls!$B$9)/2)+Controls!$B$10*(J215-IF(Controls!$B$7="Normal",Controls!$B$8,(Controls!$B$8+Controls!$B$9)/2))+SQRT(1-Controls!$B$10^2)*(Random!AD216-IF(Controls!$B$7="Normal",Controls!$B$8,(Controls!$B$8+Controls!$B$9)/2)))</f>
        <v/>
      </c>
      <c r="K216" s="10" t="str">
        <f>IF(Random!AE216="","",IF(Controls!$B$7="Normal",Controls!$B$8,(Controls!$B$8+Controls!$B$9)/2)+Controls!$B$10*(K215-IF(Controls!$B$7="Normal",Controls!$B$8,(Controls!$B$8+Controls!$B$9)/2))+SQRT(1-Controls!$B$10^2)*(Random!AE216-IF(Controls!$B$7="Normal",Controls!$B$8,(Controls!$B$8+Controls!$B$9)/2)))</f>
        <v/>
      </c>
      <c r="L216" s="10" t="str">
        <f>IF($A216="","",IF(AND($A216&gt;=Controls!$B$25,$A216&lt;Controls!$B$25+Controls!$C$25),(Controls!$D$25-1)*EXP(-0.5*(($A216-Controls!$B$25-(Controls!$C$25-1)/2)/MAX(Controls!$C$25/4,0.5))^2),0))</f>
        <v/>
      </c>
      <c r="M216" s="10" t="str">
        <f>IF($A216="","",IF(AND($A216&gt;=Controls!$B$26,$A216&lt;Controls!$B$26+Controls!$C$26),(Controls!$D$26-1)*EXP(-0.5*(($A216-Controls!$B$26-(Controls!$C$26-1)/2)/MAX(Controls!$C$26/4,0.5))^2),0))</f>
        <v/>
      </c>
      <c r="N216" s="10" t="str">
        <f>IF($A216="","",IF(AND($A216&gt;=Controls!$B$27,$A216&lt;Controls!$B$27+Controls!$C$27),(Controls!$D$27-1)*EXP(-0.5*(($A216-Controls!$B$27-(Controls!$C$27-1)/2)/MAX(Controls!$C$27/4,0.5))^2),0))</f>
        <v/>
      </c>
      <c r="O216" s="10" t="str">
        <f>IF($A216="","",IF(AND($A216&gt;=Controls!$B$28,$A216&lt;Controls!$B$28+Controls!$C$28),(Controls!$D$28-1)*EXP(-0.5*(($A216-Controls!$B$28-(Controls!$C$28-1)/2)/MAX(Controls!$C$28/4,0.5))^2),0))</f>
        <v/>
      </c>
      <c r="P216" s="4" t="str">
        <f t="shared" si="1"/>
        <v/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21.0" customHeight="1">
      <c r="A217" s="7" t="str">
        <f>IF(216&lt;=Controls!$B$5,Controls!$B$4+215,"")</f>
        <v/>
      </c>
      <c r="B217" s="10" t="str">
        <f>IF(Random!V217="","",IF(Controls!$B$7="Normal",Controls!$B$8,(Controls!$B$8+Controls!$B$9)/2)+Controls!$B$10*(B216-IF(Controls!$B$7="Normal",Controls!$B$8,(Controls!$B$8+Controls!$B$9)/2))+SQRT(1-Controls!$B$10^2)*(Random!V217-IF(Controls!$B$7="Normal",Controls!$B$8,(Controls!$B$8+Controls!$B$9)/2)))</f>
        <v/>
      </c>
      <c r="C217" s="10" t="str">
        <f>IF(Random!W217="","",IF(Controls!$B$7="Normal",Controls!$B$8,(Controls!$B$8+Controls!$B$9)/2)+Controls!$B$10*(C216-IF(Controls!$B$7="Normal",Controls!$B$8,(Controls!$B$8+Controls!$B$9)/2))+SQRT(1-Controls!$B$10^2)*(Random!W217-IF(Controls!$B$7="Normal",Controls!$B$8,(Controls!$B$8+Controls!$B$9)/2)))</f>
        <v/>
      </c>
      <c r="D217" s="10" t="str">
        <f>IF(Random!X217="","",IF(Controls!$B$7="Normal",Controls!$B$8,(Controls!$B$8+Controls!$B$9)/2)+Controls!$B$10*(D216-IF(Controls!$B$7="Normal",Controls!$B$8,(Controls!$B$8+Controls!$B$9)/2))+SQRT(1-Controls!$B$10^2)*(Random!X217-IF(Controls!$B$7="Normal",Controls!$B$8,(Controls!$B$8+Controls!$B$9)/2)))</f>
        <v/>
      </c>
      <c r="E217" s="10" t="str">
        <f>IF(Random!Y217="","",IF(Controls!$B$7="Normal",Controls!$B$8,(Controls!$B$8+Controls!$B$9)/2)+Controls!$B$10*(E216-IF(Controls!$B$7="Normal",Controls!$B$8,(Controls!$B$8+Controls!$B$9)/2))+SQRT(1-Controls!$B$10^2)*(Random!Y217-IF(Controls!$B$7="Normal",Controls!$B$8,(Controls!$B$8+Controls!$B$9)/2)))</f>
        <v/>
      </c>
      <c r="F217" s="10" t="str">
        <f>IF(Random!Z217="","",IF(Controls!$B$7="Normal",Controls!$B$8,(Controls!$B$8+Controls!$B$9)/2)+Controls!$B$10*(F216-IF(Controls!$B$7="Normal",Controls!$B$8,(Controls!$B$8+Controls!$B$9)/2))+SQRT(1-Controls!$B$10^2)*(Random!Z217-IF(Controls!$B$7="Normal",Controls!$B$8,(Controls!$B$8+Controls!$B$9)/2)))</f>
        <v/>
      </c>
      <c r="G217" s="10" t="str">
        <f>IF(Random!AA217="","",IF(Controls!$B$7="Normal",Controls!$B$8,(Controls!$B$8+Controls!$B$9)/2)+Controls!$B$10*(G216-IF(Controls!$B$7="Normal",Controls!$B$8,(Controls!$B$8+Controls!$B$9)/2))+SQRT(1-Controls!$B$10^2)*(Random!AA217-IF(Controls!$B$7="Normal",Controls!$B$8,(Controls!$B$8+Controls!$B$9)/2)))</f>
        <v/>
      </c>
      <c r="H217" s="10" t="str">
        <f>IF(Random!AB217="","",IF(Controls!$B$7="Normal",Controls!$B$8,(Controls!$B$8+Controls!$B$9)/2)+Controls!$B$10*(H216-IF(Controls!$B$7="Normal",Controls!$B$8,(Controls!$B$8+Controls!$B$9)/2))+SQRT(1-Controls!$B$10^2)*(Random!AB217-IF(Controls!$B$7="Normal",Controls!$B$8,(Controls!$B$8+Controls!$B$9)/2)))</f>
        <v/>
      </c>
      <c r="I217" s="10" t="str">
        <f>IF(Random!AC217="","",IF(Controls!$B$7="Normal",Controls!$B$8,(Controls!$B$8+Controls!$B$9)/2)+Controls!$B$10*(I216-IF(Controls!$B$7="Normal",Controls!$B$8,(Controls!$B$8+Controls!$B$9)/2))+SQRT(1-Controls!$B$10^2)*(Random!AC217-IF(Controls!$B$7="Normal",Controls!$B$8,(Controls!$B$8+Controls!$B$9)/2)))</f>
        <v/>
      </c>
      <c r="J217" s="10" t="str">
        <f>IF(Random!AD217="","",IF(Controls!$B$7="Normal",Controls!$B$8,(Controls!$B$8+Controls!$B$9)/2)+Controls!$B$10*(J216-IF(Controls!$B$7="Normal",Controls!$B$8,(Controls!$B$8+Controls!$B$9)/2))+SQRT(1-Controls!$B$10^2)*(Random!AD217-IF(Controls!$B$7="Normal",Controls!$B$8,(Controls!$B$8+Controls!$B$9)/2)))</f>
        <v/>
      </c>
      <c r="K217" s="10" t="str">
        <f>IF(Random!AE217="","",IF(Controls!$B$7="Normal",Controls!$B$8,(Controls!$B$8+Controls!$B$9)/2)+Controls!$B$10*(K216-IF(Controls!$B$7="Normal",Controls!$B$8,(Controls!$B$8+Controls!$B$9)/2))+SQRT(1-Controls!$B$10^2)*(Random!AE217-IF(Controls!$B$7="Normal",Controls!$B$8,(Controls!$B$8+Controls!$B$9)/2)))</f>
        <v/>
      </c>
      <c r="L217" s="10" t="str">
        <f>IF($A217="","",IF(AND($A217&gt;=Controls!$B$25,$A217&lt;Controls!$B$25+Controls!$C$25),(Controls!$D$25-1)*EXP(-0.5*(($A217-Controls!$B$25-(Controls!$C$25-1)/2)/MAX(Controls!$C$25/4,0.5))^2),0))</f>
        <v/>
      </c>
      <c r="M217" s="10" t="str">
        <f>IF($A217="","",IF(AND($A217&gt;=Controls!$B$26,$A217&lt;Controls!$B$26+Controls!$C$26),(Controls!$D$26-1)*EXP(-0.5*(($A217-Controls!$B$26-(Controls!$C$26-1)/2)/MAX(Controls!$C$26/4,0.5))^2),0))</f>
        <v/>
      </c>
      <c r="N217" s="10" t="str">
        <f>IF($A217="","",IF(AND($A217&gt;=Controls!$B$27,$A217&lt;Controls!$B$27+Controls!$C$27),(Controls!$D$27-1)*EXP(-0.5*(($A217-Controls!$B$27-(Controls!$C$27-1)/2)/MAX(Controls!$C$27/4,0.5))^2),0))</f>
        <v/>
      </c>
      <c r="O217" s="10" t="str">
        <f>IF($A217="","",IF(AND($A217&gt;=Controls!$B$28,$A217&lt;Controls!$B$28+Controls!$C$28),(Controls!$D$28-1)*EXP(-0.5*(($A217-Controls!$B$28-(Controls!$C$28-1)/2)/MAX(Controls!$C$28/4,0.5))^2),0))</f>
        <v/>
      </c>
      <c r="P217" s="4" t="str">
        <f t="shared" si="1"/>
        <v/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21.0" customHeight="1">
      <c r="A218" s="7" t="str">
        <f>IF(217&lt;=Controls!$B$5,Controls!$B$4+216,"")</f>
        <v/>
      </c>
      <c r="B218" s="10" t="str">
        <f>IF(Random!V218="","",IF(Controls!$B$7="Normal",Controls!$B$8,(Controls!$B$8+Controls!$B$9)/2)+Controls!$B$10*(B217-IF(Controls!$B$7="Normal",Controls!$B$8,(Controls!$B$8+Controls!$B$9)/2))+SQRT(1-Controls!$B$10^2)*(Random!V218-IF(Controls!$B$7="Normal",Controls!$B$8,(Controls!$B$8+Controls!$B$9)/2)))</f>
        <v/>
      </c>
      <c r="C218" s="10" t="str">
        <f>IF(Random!W218="","",IF(Controls!$B$7="Normal",Controls!$B$8,(Controls!$B$8+Controls!$B$9)/2)+Controls!$B$10*(C217-IF(Controls!$B$7="Normal",Controls!$B$8,(Controls!$B$8+Controls!$B$9)/2))+SQRT(1-Controls!$B$10^2)*(Random!W218-IF(Controls!$B$7="Normal",Controls!$B$8,(Controls!$B$8+Controls!$B$9)/2)))</f>
        <v/>
      </c>
      <c r="D218" s="10" t="str">
        <f>IF(Random!X218="","",IF(Controls!$B$7="Normal",Controls!$B$8,(Controls!$B$8+Controls!$B$9)/2)+Controls!$B$10*(D217-IF(Controls!$B$7="Normal",Controls!$B$8,(Controls!$B$8+Controls!$B$9)/2))+SQRT(1-Controls!$B$10^2)*(Random!X218-IF(Controls!$B$7="Normal",Controls!$B$8,(Controls!$B$8+Controls!$B$9)/2)))</f>
        <v/>
      </c>
      <c r="E218" s="10" t="str">
        <f>IF(Random!Y218="","",IF(Controls!$B$7="Normal",Controls!$B$8,(Controls!$B$8+Controls!$B$9)/2)+Controls!$B$10*(E217-IF(Controls!$B$7="Normal",Controls!$B$8,(Controls!$B$8+Controls!$B$9)/2))+SQRT(1-Controls!$B$10^2)*(Random!Y218-IF(Controls!$B$7="Normal",Controls!$B$8,(Controls!$B$8+Controls!$B$9)/2)))</f>
        <v/>
      </c>
      <c r="F218" s="10" t="str">
        <f>IF(Random!Z218="","",IF(Controls!$B$7="Normal",Controls!$B$8,(Controls!$B$8+Controls!$B$9)/2)+Controls!$B$10*(F217-IF(Controls!$B$7="Normal",Controls!$B$8,(Controls!$B$8+Controls!$B$9)/2))+SQRT(1-Controls!$B$10^2)*(Random!Z218-IF(Controls!$B$7="Normal",Controls!$B$8,(Controls!$B$8+Controls!$B$9)/2)))</f>
        <v/>
      </c>
      <c r="G218" s="10" t="str">
        <f>IF(Random!AA218="","",IF(Controls!$B$7="Normal",Controls!$B$8,(Controls!$B$8+Controls!$B$9)/2)+Controls!$B$10*(G217-IF(Controls!$B$7="Normal",Controls!$B$8,(Controls!$B$8+Controls!$B$9)/2))+SQRT(1-Controls!$B$10^2)*(Random!AA218-IF(Controls!$B$7="Normal",Controls!$B$8,(Controls!$B$8+Controls!$B$9)/2)))</f>
        <v/>
      </c>
      <c r="H218" s="10" t="str">
        <f>IF(Random!AB218="","",IF(Controls!$B$7="Normal",Controls!$B$8,(Controls!$B$8+Controls!$B$9)/2)+Controls!$B$10*(H217-IF(Controls!$B$7="Normal",Controls!$B$8,(Controls!$B$8+Controls!$B$9)/2))+SQRT(1-Controls!$B$10^2)*(Random!AB218-IF(Controls!$B$7="Normal",Controls!$B$8,(Controls!$B$8+Controls!$B$9)/2)))</f>
        <v/>
      </c>
      <c r="I218" s="10" t="str">
        <f>IF(Random!AC218="","",IF(Controls!$B$7="Normal",Controls!$B$8,(Controls!$B$8+Controls!$B$9)/2)+Controls!$B$10*(I217-IF(Controls!$B$7="Normal",Controls!$B$8,(Controls!$B$8+Controls!$B$9)/2))+SQRT(1-Controls!$B$10^2)*(Random!AC218-IF(Controls!$B$7="Normal",Controls!$B$8,(Controls!$B$8+Controls!$B$9)/2)))</f>
        <v/>
      </c>
      <c r="J218" s="10" t="str">
        <f>IF(Random!AD218="","",IF(Controls!$B$7="Normal",Controls!$B$8,(Controls!$B$8+Controls!$B$9)/2)+Controls!$B$10*(J217-IF(Controls!$B$7="Normal",Controls!$B$8,(Controls!$B$8+Controls!$B$9)/2))+SQRT(1-Controls!$B$10^2)*(Random!AD218-IF(Controls!$B$7="Normal",Controls!$B$8,(Controls!$B$8+Controls!$B$9)/2)))</f>
        <v/>
      </c>
      <c r="K218" s="10" t="str">
        <f>IF(Random!AE218="","",IF(Controls!$B$7="Normal",Controls!$B$8,(Controls!$B$8+Controls!$B$9)/2)+Controls!$B$10*(K217-IF(Controls!$B$7="Normal",Controls!$B$8,(Controls!$B$8+Controls!$B$9)/2))+SQRT(1-Controls!$B$10^2)*(Random!AE218-IF(Controls!$B$7="Normal",Controls!$B$8,(Controls!$B$8+Controls!$B$9)/2)))</f>
        <v/>
      </c>
      <c r="L218" s="10" t="str">
        <f>IF($A218="","",IF(AND($A218&gt;=Controls!$B$25,$A218&lt;Controls!$B$25+Controls!$C$25),(Controls!$D$25-1)*EXP(-0.5*(($A218-Controls!$B$25-(Controls!$C$25-1)/2)/MAX(Controls!$C$25/4,0.5))^2),0))</f>
        <v/>
      </c>
      <c r="M218" s="10" t="str">
        <f>IF($A218="","",IF(AND($A218&gt;=Controls!$B$26,$A218&lt;Controls!$B$26+Controls!$C$26),(Controls!$D$26-1)*EXP(-0.5*(($A218-Controls!$B$26-(Controls!$C$26-1)/2)/MAX(Controls!$C$26/4,0.5))^2),0))</f>
        <v/>
      </c>
      <c r="N218" s="10" t="str">
        <f>IF($A218="","",IF(AND($A218&gt;=Controls!$B$27,$A218&lt;Controls!$B$27+Controls!$C$27),(Controls!$D$27-1)*EXP(-0.5*(($A218-Controls!$B$27-(Controls!$C$27-1)/2)/MAX(Controls!$C$27/4,0.5))^2),0))</f>
        <v/>
      </c>
      <c r="O218" s="10" t="str">
        <f>IF($A218="","",IF(AND($A218&gt;=Controls!$B$28,$A218&lt;Controls!$B$28+Controls!$C$28),(Controls!$D$28-1)*EXP(-0.5*(($A218-Controls!$B$28-(Controls!$C$28-1)/2)/MAX(Controls!$C$28/4,0.5))^2),0))</f>
        <v/>
      </c>
      <c r="P218" s="4" t="str">
        <f t="shared" si="1"/>
        <v/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21.0" customHeight="1">
      <c r="A219" s="7" t="str">
        <f>IF(218&lt;=Controls!$B$5,Controls!$B$4+217,"")</f>
        <v/>
      </c>
      <c r="B219" s="10" t="str">
        <f>IF(Random!V219="","",IF(Controls!$B$7="Normal",Controls!$B$8,(Controls!$B$8+Controls!$B$9)/2)+Controls!$B$10*(B218-IF(Controls!$B$7="Normal",Controls!$B$8,(Controls!$B$8+Controls!$B$9)/2))+SQRT(1-Controls!$B$10^2)*(Random!V219-IF(Controls!$B$7="Normal",Controls!$B$8,(Controls!$B$8+Controls!$B$9)/2)))</f>
        <v/>
      </c>
      <c r="C219" s="10" t="str">
        <f>IF(Random!W219="","",IF(Controls!$B$7="Normal",Controls!$B$8,(Controls!$B$8+Controls!$B$9)/2)+Controls!$B$10*(C218-IF(Controls!$B$7="Normal",Controls!$B$8,(Controls!$B$8+Controls!$B$9)/2))+SQRT(1-Controls!$B$10^2)*(Random!W219-IF(Controls!$B$7="Normal",Controls!$B$8,(Controls!$B$8+Controls!$B$9)/2)))</f>
        <v/>
      </c>
      <c r="D219" s="10" t="str">
        <f>IF(Random!X219="","",IF(Controls!$B$7="Normal",Controls!$B$8,(Controls!$B$8+Controls!$B$9)/2)+Controls!$B$10*(D218-IF(Controls!$B$7="Normal",Controls!$B$8,(Controls!$B$8+Controls!$B$9)/2))+SQRT(1-Controls!$B$10^2)*(Random!X219-IF(Controls!$B$7="Normal",Controls!$B$8,(Controls!$B$8+Controls!$B$9)/2)))</f>
        <v/>
      </c>
      <c r="E219" s="10" t="str">
        <f>IF(Random!Y219="","",IF(Controls!$B$7="Normal",Controls!$B$8,(Controls!$B$8+Controls!$B$9)/2)+Controls!$B$10*(E218-IF(Controls!$B$7="Normal",Controls!$B$8,(Controls!$B$8+Controls!$B$9)/2))+SQRT(1-Controls!$B$10^2)*(Random!Y219-IF(Controls!$B$7="Normal",Controls!$B$8,(Controls!$B$8+Controls!$B$9)/2)))</f>
        <v/>
      </c>
      <c r="F219" s="10" t="str">
        <f>IF(Random!Z219="","",IF(Controls!$B$7="Normal",Controls!$B$8,(Controls!$B$8+Controls!$B$9)/2)+Controls!$B$10*(F218-IF(Controls!$B$7="Normal",Controls!$B$8,(Controls!$B$8+Controls!$B$9)/2))+SQRT(1-Controls!$B$10^2)*(Random!Z219-IF(Controls!$B$7="Normal",Controls!$B$8,(Controls!$B$8+Controls!$B$9)/2)))</f>
        <v/>
      </c>
      <c r="G219" s="10" t="str">
        <f>IF(Random!AA219="","",IF(Controls!$B$7="Normal",Controls!$B$8,(Controls!$B$8+Controls!$B$9)/2)+Controls!$B$10*(G218-IF(Controls!$B$7="Normal",Controls!$B$8,(Controls!$B$8+Controls!$B$9)/2))+SQRT(1-Controls!$B$10^2)*(Random!AA219-IF(Controls!$B$7="Normal",Controls!$B$8,(Controls!$B$8+Controls!$B$9)/2)))</f>
        <v/>
      </c>
      <c r="H219" s="10" t="str">
        <f>IF(Random!AB219="","",IF(Controls!$B$7="Normal",Controls!$B$8,(Controls!$B$8+Controls!$B$9)/2)+Controls!$B$10*(H218-IF(Controls!$B$7="Normal",Controls!$B$8,(Controls!$B$8+Controls!$B$9)/2))+SQRT(1-Controls!$B$10^2)*(Random!AB219-IF(Controls!$B$7="Normal",Controls!$B$8,(Controls!$B$8+Controls!$B$9)/2)))</f>
        <v/>
      </c>
      <c r="I219" s="10" t="str">
        <f>IF(Random!AC219="","",IF(Controls!$B$7="Normal",Controls!$B$8,(Controls!$B$8+Controls!$B$9)/2)+Controls!$B$10*(I218-IF(Controls!$B$7="Normal",Controls!$B$8,(Controls!$B$8+Controls!$B$9)/2))+SQRT(1-Controls!$B$10^2)*(Random!AC219-IF(Controls!$B$7="Normal",Controls!$B$8,(Controls!$B$8+Controls!$B$9)/2)))</f>
        <v/>
      </c>
      <c r="J219" s="10" t="str">
        <f>IF(Random!AD219="","",IF(Controls!$B$7="Normal",Controls!$B$8,(Controls!$B$8+Controls!$B$9)/2)+Controls!$B$10*(J218-IF(Controls!$B$7="Normal",Controls!$B$8,(Controls!$B$8+Controls!$B$9)/2))+SQRT(1-Controls!$B$10^2)*(Random!AD219-IF(Controls!$B$7="Normal",Controls!$B$8,(Controls!$B$8+Controls!$B$9)/2)))</f>
        <v/>
      </c>
      <c r="K219" s="10" t="str">
        <f>IF(Random!AE219="","",IF(Controls!$B$7="Normal",Controls!$B$8,(Controls!$B$8+Controls!$B$9)/2)+Controls!$B$10*(K218-IF(Controls!$B$7="Normal",Controls!$B$8,(Controls!$B$8+Controls!$B$9)/2))+SQRT(1-Controls!$B$10^2)*(Random!AE219-IF(Controls!$B$7="Normal",Controls!$B$8,(Controls!$B$8+Controls!$B$9)/2)))</f>
        <v/>
      </c>
      <c r="L219" s="10" t="str">
        <f>IF($A219="","",IF(AND($A219&gt;=Controls!$B$25,$A219&lt;Controls!$B$25+Controls!$C$25),(Controls!$D$25-1)*EXP(-0.5*(($A219-Controls!$B$25-(Controls!$C$25-1)/2)/MAX(Controls!$C$25/4,0.5))^2),0))</f>
        <v/>
      </c>
      <c r="M219" s="10" t="str">
        <f>IF($A219="","",IF(AND($A219&gt;=Controls!$B$26,$A219&lt;Controls!$B$26+Controls!$C$26),(Controls!$D$26-1)*EXP(-0.5*(($A219-Controls!$B$26-(Controls!$C$26-1)/2)/MAX(Controls!$C$26/4,0.5))^2),0))</f>
        <v/>
      </c>
      <c r="N219" s="10" t="str">
        <f>IF($A219="","",IF(AND($A219&gt;=Controls!$B$27,$A219&lt;Controls!$B$27+Controls!$C$27),(Controls!$D$27-1)*EXP(-0.5*(($A219-Controls!$B$27-(Controls!$C$27-1)/2)/MAX(Controls!$C$27/4,0.5))^2),0))</f>
        <v/>
      </c>
      <c r="O219" s="10" t="str">
        <f>IF($A219="","",IF(AND($A219&gt;=Controls!$B$28,$A219&lt;Controls!$B$28+Controls!$C$28),(Controls!$D$28-1)*EXP(-0.5*(($A219-Controls!$B$28-(Controls!$C$28-1)/2)/MAX(Controls!$C$28/4,0.5))^2),0))</f>
        <v/>
      </c>
      <c r="P219" s="4" t="str">
        <f t="shared" si="1"/>
        <v/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21.0" customHeight="1">
      <c r="A220" s="7" t="str">
        <f>IF(219&lt;=Controls!$B$5,Controls!$B$4+218,"")</f>
        <v/>
      </c>
      <c r="B220" s="10" t="str">
        <f>IF(Random!V220="","",IF(Controls!$B$7="Normal",Controls!$B$8,(Controls!$B$8+Controls!$B$9)/2)+Controls!$B$10*(B219-IF(Controls!$B$7="Normal",Controls!$B$8,(Controls!$B$8+Controls!$B$9)/2))+SQRT(1-Controls!$B$10^2)*(Random!V220-IF(Controls!$B$7="Normal",Controls!$B$8,(Controls!$B$8+Controls!$B$9)/2)))</f>
        <v/>
      </c>
      <c r="C220" s="10" t="str">
        <f>IF(Random!W220="","",IF(Controls!$B$7="Normal",Controls!$B$8,(Controls!$B$8+Controls!$B$9)/2)+Controls!$B$10*(C219-IF(Controls!$B$7="Normal",Controls!$B$8,(Controls!$B$8+Controls!$B$9)/2))+SQRT(1-Controls!$B$10^2)*(Random!W220-IF(Controls!$B$7="Normal",Controls!$B$8,(Controls!$B$8+Controls!$B$9)/2)))</f>
        <v/>
      </c>
      <c r="D220" s="10" t="str">
        <f>IF(Random!X220="","",IF(Controls!$B$7="Normal",Controls!$B$8,(Controls!$B$8+Controls!$B$9)/2)+Controls!$B$10*(D219-IF(Controls!$B$7="Normal",Controls!$B$8,(Controls!$B$8+Controls!$B$9)/2))+SQRT(1-Controls!$B$10^2)*(Random!X220-IF(Controls!$B$7="Normal",Controls!$B$8,(Controls!$B$8+Controls!$B$9)/2)))</f>
        <v/>
      </c>
      <c r="E220" s="10" t="str">
        <f>IF(Random!Y220="","",IF(Controls!$B$7="Normal",Controls!$B$8,(Controls!$B$8+Controls!$B$9)/2)+Controls!$B$10*(E219-IF(Controls!$B$7="Normal",Controls!$B$8,(Controls!$B$8+Controls!$B$9)/2))+SQRT(1-Controls!$B$10^2)*(Random!Y220-IF(Controls!$B$7="Normal",Controls!$B$8,(Controls!$B$8+Controls!$B$9)/2)))</f>
        <v/>
      </c>
      <c r="F220" s="10" t="str">
        <f>IF(Random!Z220="","",IF(Controls!$B$7="Normal",Controls!$B$8,(Controls!$B$8+Controls!$B$9)/2)+Controls!$B$10*(F219-IF(Controls!$B$7="Normal",Controls!$B$8,(Controls!$B$8+Controls!$B$9)/2))+SQRT(1-Controls!$B$10^2)*(Random!Z220-IF(Controls!$B$7="Normal",Controls!$B$8,(Controls!$B$8+Controls!$B$9)/2)))</f>
        <v/>
      </c>
      <c r="G220" s="10" t="str">
        <f>IF(Random!AA220="","",IF(Controls!$B$7="Normal",Controls!$B$8,(Controls!$B$8+Controls!$B$9)/2)+Controls!$B$10*(G219-IF(Controls!$B$7="Normal",Controls!$B$8,(Controls!$B$8+Controls!$B$9)/2))+SQRT(1-Controls!$B$10^2)*(Random!AA220-IF(Controls!$B$7="Normal",Controls!$B$8,(Controls!$B$8+Controls!$B$9)/2)))</f>
        <v/>
      </c>
      <c r="H220" s="10" t="str">
        <f>IF(Random!AB220="","",IF(Controls!$B$7="Normal",Controls!$B$8,(Controls!$B$8+Controls!$B$9)/2)+Controls!$B$10*(H219-IF(Controls!$B$7="Normal",Controls!$B$8,(Controls!$B$8+Controls!$B$9)/2))+SQRT(1-Controls!$B$10^2)*(Random!AB220-IF(Controls!$B$7="Normal",Controls!$B$8,(Controls!$B$8+Controls!$B$9)/2)))</f>
        <v/>
      </c>
      <c r="I220" s="10" t="str">
        <f>IF(Random!AC220="","",IF(Controls!$B$7="Normal",Controls!$B$8,(Controls!$B$8+Controls!$B$9)/2)+Controls!$B$10*(I219-IF(Controls!$B$7="Normal",Controls!$B$8,(Controls!$B$8+Controls!$B$9)/2))+SQRT(1-Controls!$B$10^2)*(Random!AC220-IF(Controls!$B$7="Normal",Controls!$B$8,(Controls!$B$8+Controls!$B$9)/2)))</f>
        <v/>
      </c>
      <c r="J220" s="10" t="str">
        <f>IF(Random!AD220="","",IF(Controls!$B$7="Normal",Controls!$B$8,(Controls!$B$8+Controls!$B$9)/2)+Controls!$B$10*(J219-IF(Controls!$B$7="Normal",Controls!$B$8,(Controls!$B$8+Controls!$B$9)/2))+SQRT(1-Controls!$B$10^2)*(Random!AD220-IF(Controls!$B$7="Normal",Controls!$B$8,(Controls!$B$8+Controls!$B$9)/2)))</f>
        <v/>
      </c>
      <c r="K220" s="10" t="str">
        <f>IF(Random!AE220="","",IF(Controls!$B$7="Normal",Controls!$B$8,(Controls!$B$8+Controls!$B$9)/2)+Controls!$B$10*(K219-IF(Controls!$B$7="Normal",Controls!$B$8,(Controls!$B$8+Controls!$B$9)/2))+SQRT(1-Controls!$B$10^2)*(Random!AE220-IF(Controls!$B$7="Normal",Controls!$B$8,(Controls!$B$8+Controls!$B$9)/2)))</f>
        <v/>
      </c>
      <c r="L220" s="10" t="str">
        <f>IF($A220="","",IF(AND($A220&gt;=Controls!$B$25,$A220&lt;Controls!$B$25+Controls!$C$25),(Controls!$D$25-1)*EXP(-0.5*(($A220-Controls!$B$25-(Controls!$C$25-1)/2)/MAX(Controls!$C$25/4,0.5))^2),0))</f>
        <v/>
      </c>
      <c r="M220" s="10" t="str">
        <f>IF($A220="","",IF(AND($A220&gt;=Controls!$B$26,$A220&lt;Controls!$B$26+Controls!$C$26),(Controls!$D$26-1)*EXP(-0.5*(($A220-Controls!$B$26-(Controls!$C$26-1)/2)/MAX(Controls!$C$26/4,0.5))^2),0))</f>
        <v/>
      </c>
      <c r="N220" s="10" t="str">
        <f>IF($A220="","",IF(AND($A220&gt;=Controls!$B$27,$A220&lt;Controls!$B$27+Controls!$C$27),(Controls!$D$27-1)*EXP(-0.5*(($A220-Controls!$B$27-(Controls!$C$27-1)/2)/MAX(Controls!$C$27/4,0.5))^2),0))</f>
        <v/>
      </c>
      <c r="O220" s="10" t="str">
        <f>IF($A220="","",IF(AND($A220&gt;=Controls!$B$28,$A220&lt;Controls!$B$28+Controls!$C$28),(Controls!$D$28-1)*EXP(-0.5*(($A220-Controls!$B$28-(Controls!$C$28-1)/2)/MAX(Controls!$C$28/4,0.5))^2),0))</f>
        <v/>
      </c>
      <c r="P220" s="4" t="str">
        <f t="shared" si="1"/>
        <v/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21.0" customHeight="1">
      <c r="A221" s="7" t="str">
        <f>IF(220&lt;=Controls!$B$5,Controls!$B$4+219,"")</f>
        <v/>
      </c>
      <c r="B221" s="10" t="str">
        <f>IF(Random!V221="","",IF(Controls!$B$7="Normal",Controls!$B$8,(Controls!$B$8+Controls!$B$9)/2)+Controls!$B$10*(B220-IF(Controls!$B$7="Normal",Controls!$B$8,(Controls!$B$8+Controls!$B$9)/2))+SQRT(1-Controls!$B$10^2)*(Random!V221-IF(Controls!$B$7="Normal",Controls!$B$8,(Controls!$B$8+Controls!$B$9)/2)))</f>
        <v/>
      </c>
      <c r="C221" s="10" t="str">
        <f>IF(Random!W221="","",IF(Controls!$B$7="Normal",Controls!$B$8,(Controls!$B$8+Controls!$B$9)/2)+Controls!$B$10*(C220-IF(Controls!$B$7="Normal",Controls!$B$8,(Controls!$B$8+Controls!$B$9)/2))+SQRT(1-Controls!$B$10^2)*(Random!W221-IF(Controls!$B$7="Normal",Controls!$B$8,(Controls!$B$8+Controls!$B$9)/2)))</f>
        <v/>
      </c>
      <c r="D221" s="10" t="str">
        <f>IF(Random!X221="","",IF(Controls!$B$7="Normal",Controls!$B$8,(Controls!$B$8+Controls!$B$9)/2)+Controls!$B$10*(D220-IF(Controls!$B$7="Normal",Controls!$B$8,(Controls!$B$8+Controls!$B$9)/2))+SQRT(1-Controls!$B$10^2)*(Random!X221-IF(Controls!$B$7="Normal",Controls!$B$8,(Controls!$B$8+Controls!$B$9)/2)))</f>
        <v/>
      </c>
      <c r="E221" s="10" t="str">
        <f>IF(Random!Y221="","",IF(Controls!$B$7="Normal",Controls!$B$8,(Controls!$B$8+Controls!$B$9)/2)+Controls!$B$10*(E220-IF(Controls!$B$7="Normal",Controls!$B$8,(Controls!$B$8+Controls!$B$9)/2))+SQRT(1-Controls!$B$10^2)*(Random!Y221-IF(Controls!$B$7="Normal",Controls!$B$8,(Controls!$B$8+Controls!$B$9)/2)))</f>
        <v/>
      </c>
      <c r="F221" s="10" t="str">
        <f>IF(Random!Z221="","",IF(Controls!$B$7="Normal",Controls!$B$8,(Controls!$B$8+Controls!$B$9)/2)+Controls!$B$10*(F220-IF(Controls!$B$7="Normal",Controls!$B$8,(Controls!$B$8+Controls!$B$9)/2))+SQRT(1-Controls!$B$10^2)*(Random!Z221-IF(Controls!$B$7="Normal",Controls!$B$8,(Controls!$B$8+Controls!$B$9)/2)))</f>
        <v/>
      </c>
      <c r="G221" s="10" t="str">
        <f>IF(Random!AA221="","",IF(Controls!$B$7="Normal",Controls!$B$8,(Controls!$B$8+Controls!$B$9)/2)+Controls!$B$10*(G220-IF(Controls!$B$7="Normal",Controls!$B$8,(Controls!$B$8+Controls!$B$9)/2))+SQRT(1-Controls!$B$10^2)*(Random!AA221-IF(Controls!$B$7="Normal",Controls!$B$8,(Controls!$B$8+Controls!$B$9)/2)))</f>
        <v/>
      </c>
      <c r="H221" s="10" t="str">
        <f>IF(Random!AB221="","",IF(Controls!$B$7="Normal",Controls!$B$8,(Controls!$B$8+Controls!$B$9)/2)+Controls!$B$10*(H220-IF(Controls!$B$7="Normal",Controls!$B$8,(Controls!$B$8+Controls!$B$9)/2))+SQRT(1-Controls!$B$10^2)*(Random!AB221-IF(Controls!$B$7="Normal",Controls!$B$8,(Controls!$B$8+Controls!$B$9)/2)))</f>
        <v/>
      </c>
      <c r="I221" s="10" t="str">
        <f>IF(Random!AC221="","",IF(Controls!$B$7="Normal",Controls!$B$8,(Controls!$B$8+Controls!$B$9)/2)+Controls!$B$10*(I220-IF(Controls!$B$7="Normal",Controls!$B$8,(Controls!$B$8+Controls!$B$9)/2))+SQRT(1-Controls!$B$10^2)*(Random!AC221-IF(Controls!$B$7="Normal",Controls!$B$8,(Controls!$B$8+Controls!$B$9)/2)))</f>
        <v/>
      </c>
      <c r="J221" s="10" t="str">
        <f>IF(Random!AD221="","",IF(Controls!$B$7="Normal",Controls!$B$8,(Controls!$B$8+Controls!$B$9)/2)+Controls!$B$10*(J220-IF(Controls!$B$7="Normal",Controls!$B$8,(Controls!$B$8+Controls!$B$9)/2))+SQRT(1-Controls!$B$10^2)*(Random!AD221-IF(Controls!$B$7="Normal",Controls!$B$8,(Controls!$B$8+Controls!$B$9)/2)))</f>
        <v/>
      </c>
      <c r="K221" s="10" t="str">
        <f>IF(Random!AE221="","",IF(Controls!$B$7="Normal",Controls!$B$8,(Controls!$B$8+Controls!$B$9)/2)+Controls!$B$10*(K220-IF(Controls!$B$7="Normal",Controls!$B$8,(Controls!$B$8+Controls!$B$9)/2))+SQRT(1-Controls!$B$10^2)*(Random!AE221-IF(Controls!$B$7="Normal",Controls!$B$8,(Controls!$B$8+Controls!$B$9)/2)))</f>
        <v/>
      </c>
      <c r="L221" s="10" t="str">
        <f>IF($A221="","",IF(AND($A221&gt;=Controls!$B$25,$A221&lt;Controls!$B$25+Controls!$C$25),(Controls!$D$25-1)*EXP(-0.5*(($A221-Controls!$B$25-(Controls!$C$25-1)/2)/MAX(Controls!$C$25/4,0.5))^2),0))</f>
        <v/>
      </c>
      <c r="M221" s="10" t="str">
        <f>IF($A221="","",IF(AND($A221&gt;=Controls!$B$26,$A221&lt;Controls!$B$26+Controls!$C$26),(Controls!$D$26-1)*EXP(-0.5*(($A221-Controls!$B$26-(Controls!$C$26-1)/2)/MAX(Controls!$C$26/4,0.5))^2),0))</f>
        <v/>
      </c>
      <c r="N221" s="10" t="str">
        <f>IF($A221="","",IF(AND($A221&gt;=Controls!$B$27,$A221&lt;Controls!$B$27+Controls!$C$27),(Controls!$D$27-1)*EXP(-0.5*(($A221-Controls!$B$27-(Controls!$C$27-1)/2)/MAX(Controls!$C$27/4,0.5))^2),0))</f>
        <v/>
      </c>
      <c r="O221" s="10" t="str">
        <f>IF($A221="","",IF(AND($A221&gt;=Controls!$B$28,$A221&lt;Controls!$B$28+Controls!$C$28),(Controls!$D$28-1)*EXP(-0.5*(($A221-Controls!$B$28-(Controls!$C$28-1)/2)/MAX(Controls!$C$28/4,0.5))^2),0))</f>
        <v/>
      </c>
      <c r="P221" s="4" t="str">
        <f t="shared" si="1"/>
        <v/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21.0" customHeight="1">
      <c r="A222" s="7" t="str">
        <f>IF(221&lt;=Controls!$B$5,Controls!$B$4+220,"")</f>
        <v/>
      </c>
      <c r="B222" s="10" t="str">
        <f>IF(Random!V222="","",IF(Controls!$B$7="Normal",Controls!$B$8,(Controls!$B$8+Controls!$B$9)/2)+Controls!$B$10*(B221-IF(Controls!$B$7="Normal",Controls!$B$8,(Controls!$B$8+Controls!$B$9)/2))+SQRT(1-Controls!$B$10^2)*(Random!V222-IF(Controls!$B$7="Normal",Controls!$B$8,(Controls!$B$8+Controls!$B$9)/2)))</f>
        <v/>
      </c>
      <c r="C222" s="10" t="str">
        <f>IF(Random!W222="","",IF(Controls!$B$7="Normal",Controls!$B$8,(Controls!$B$8+Controls!$B$9)/2)+Controls!$B$10*(C221-IF(Controls!$B$7="Normal",Controls!$B$8,(Controls!$B$8+Controls!$B$9)/2))+SQRT(1-Controls!$B$10^2)*(Random!W222-IF(Controls!$B$7="Normal",Controls!$B$8,(Controls!$B$8+Controls!$B$9)/2)))</f>
        <v/>
      </c>
      <c r="D222" s="10" t="str">
        <f>IF(Random!X222="","",IF(Controls!$B$7="Normal",Controls!$B$8,(Controls!$B$8+Controls!$B$9)/2)+Controls!$B$10*(D221-IF(Controls!$B$7="Normal",Controls!$B$8,(Controls!$B$8+Controls!$B$9)/2))+SQRT(1-Controls!$B$10^2)*(Random!X222-IF(Controls!$B$7="Normal",Controls!$B$8,(Controls!$B$8+Controls!$B$9)/2)))</f>
        <v/>
      </c>
      <c r="E222" s="10" t="str">
        <f>IF(Random!Y222="","",IF(Controls!$B$7="Normal",Controls!$B$8,(Controls!$B$8+Controls!$B$9)/2)+Controls!$B$10*(E221-IF(Controls!$B$7="Normal",Controls!$B$8,(Controls!$B$8+Controls!$B$9)/2))+SQRT(1-Controls!$B$10^2)*(Random!Y222-IF(Controls!$B$7="Normal",Controls!$B$8,(Controls!$B$8+Controls!$B$9)/2)))</f>
        <v/>
      </c>
      <c r="F222" s="10" t="str">
        <f>IF(Random!Z222="","",IF(Controls!$B$7="Normal",Controls!$B$8,(Controls!$B$8+Controls!$B$9)/2)+Controls!$B$10*(F221-IF(Controls!$B$7="Normal",Controls!$B$8,(Controls!$B$8+Controls!$B$9)/2))+SQRT(1-Controls!$B$10^2)*(Random!Z222-IF(Controls!$B$7="Normal",Controls!$B$8,(Controls!$B$8+Controls!$B$9)/2)))</f>
        <v/>
      </c>
      <c r="G222" s="10" t="str">
        <f>IF(Random!AA222="","",IF(Controls!$B$7="Normal",Controls!$B$8,(Controls!$B$8+Controls!$B$9)/2)+Controls!$B$10*(G221-IF(Controls!$B$7="Normal",Controls!$B$8,(Controls!$B$8+Controls!$B$9)/2))+SQRT(1-Controls!$B$10^2)*(Random!AA222-IF(Controls!$B$7="Normal",Controls!$B$8,(Controls!$B$8+Controls!$B$9)/2)))</f>
        <v/>
      </c>
      <c r="H222" s="10" t="str">
        <f>IF(Random!AB222="","",IF(Controls!$B$7="Normal",Controls!$B$8,(Controls!$B$8+Controls!$B$9)/2)+Controls!$B$10*(H221-IF(Controls!$B$7="Normal",Controls!$B$8,(Controls!$B$8+Controls!$B$9)/2))+SQRT(1-Controls!$B$10^2)*(Random!AB222-IF(Controls!$B$7="Normal",Controls!$B$8,(Controls!$B$8+Controls!$B$9)/2)))</f>
        <v/>
      </c>
      <c r="I222" s="10" t="str">
        <f>IF(Random!AC222="","",IF(Controls!$B$7="Normal",Controls!$B$8,(Controls!$B$8+Controls!$B$9)/2)+Controls!$B$10*(I221-IF(Controls!$B$7="Normal",Controls!$B$8,(Controls!$B$8+Controls!$B$9)/2))+SQRT(1-Controls!$B$10^2)*(Random!AC222-IF(Controls!$B$7="Normal",Controls!$B$8,(Controls!$B$8+Controls!$B$9)/2)))</f>
        <v/>
      </c>
      <c r="J222" s="10" t="str">
        <f>IF(Random!AD222="","",IF(Controls!$B$7="Normal",Controls!$B$8,(Controls!$B$8+Controls!$B$9)/2)+Controls!$B$10*(J221-IF(Controls!$B$7="Normal",Controls!$B$8,(Controls!$B$8+Controls!$B$9)/2))+SQRT(1-Controls!$B$10^2)*(Random!AD222-IF(Controls!$B$7="Normal",Controls!$B$8,(Controls!$B$8+Controls!$B$9)/2)))</f>
        <v/>
      </c>
      <c r="K222" s="10" t="str">
        <f>IF(Random!AE222="","",IF(Controls!$B$7="Normal",Controls!$B$8,(Controls!$B$8+Controls!$B$9)/2)+Controls!$B$10*(K221-IF(Controls!$B$7="Normal",Controls!$B$8,(Controls!$B$8+Controls!$B$9)/2))+SQRT(1-Controls!$B$10^2)*(Random!AE222-IF(Controls!$B$7="Normal",Controls!$B$8,(Controls!$B$8+Controls!$B$9)/2)))</f>
        <v/>
      </c>
      <c r="L222" s="10" t="str">
        <f>IF($A222="","",IF(AND($A222&gt;=Controls!$B$25,$A222&lt;Controls!$B$25+Controls!$C$25),(Controls!$D$25-1)*EXP(-0.5*(($A222-Controls!$B$25-(Controls!$C$25-1)/2)/MAX(Controls!$C$25/4,0.5))^2),0))</f>
        <v/>
      </c>
      <c r="M222" s="10" t="str">
        <f>IF($A222="","",IF(AND($A222&gt;=Controls!$B$26,$A222&lt;Controls!$B$26+Controls!$C$26),(Controls!$D$26-1)*EXP(-0.5*(($A222-Controls!$B$26-(Controls!$C$26-1)/2)/MAX(Controls!$C$26/4,0.5))^2),0))</f>
        <v/>
      </c>
      <c r="N222" s="10" t="str">
        <f>IF($A222="","",IF(AND($A222&gt;=Controls!$B$27,$A222&lt;Controls!$B$27+Controls!$C$27),(Controls!$D$27-1)*EXP(-0.5*(($A222-Controls!$B$27-(Controls!$C$27-1)/2)/MAX(Controls!$C$27/4,0.5))^2),0))</f>
        <v/>
      </c>
      <c r="O222" s="10" t="str">
        <f>IF($A222="","",IF(AND($A222&gt;=Controls!$B$28,$A222&lt;Controls!$B$28+Controls!$C$28),(Controls!$D$28-1)*EXP(-0.5*(($A222-Controls!$B$28-(Controls!$C$28-1)/2)/MAX(Controls!$C$28/4,0.5))^2),0))</f>
        <v/>
      </c>
      <c r="P222" s="4" t="str">
        <f t="shared" si="1"/>
        <v/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21.0" customHeight="1">
      <c r="A223" s="7" t="str">
        <f>IF(222&lt;=Controls!$B$5,Controls!$B$4+221,"")</f>
        <v/>
      </c>
      <c r="B223" s="10" t="str">
        <f>IF(Random!V223="","",IF(Controls!$B$7="Normal",Controls!$B$8,(Controls!$B$8+Controls!$B$9)/2)+Controls!$B$10*(B222-IF(Controls!$B$7="Normal",Controls!$B$8,(Controls!$B$8+Controls!$B$9)/2))+SQRT(1-Controls!$B$10^2)*(Random!V223-IF(Controls!$B$7="Normal",Controls!$B$8,(Controls!$B$8+Controls!$B$9)/2)))</f>
        <v/>
      </c>
      <c r="C223" s="10" t="str">
        <f>IF(Random!W223="","",IF(Controls!$B$7="Normal",Controls!$B$8,(Controls!$B$8+Controls!$B$9)/2)+Controls!$B$10*(C222-IF(Controls!$B$7="Normal",Controls!$B$8,(Controls!$B$8+Controls!$B$9)/2))+SQRT(1-Controls!$B$10^2)*(Random!W223-IF(Controls!$B$7="Normal",Controls!$B$8,(Controls!$B$8+Controls!$B$9)/2)))</f>
        <v/>
      </c>
      <c r="D223" s="10" t="str">
        <f>IF(Random!X223="","",IF(Controls!$B$7="Normal",Controls!$B$8,(Controls!$B$8+Controls!$B$9)/2)+Controls!$B$10*(D222-IF(Controls!$B$7="Normal",Controls!$B$8,(Controls!$B$8+Controls!$B$9)/2))+SQRT(1-Controls!$B$10^2)*(Random!X223-IF(Controls!$B$7="Normal",Controls!$B$8,(Controls!$B$8+Controls!$B$9)/2)))</f>
        <v/>
      </c>
      <c r="E223" s="10" t="str">
        <f>IF(Random!Y223="","",IF(Controls!$B$7="Normal",Controls!$B$8,(Controls!$B$8+Controls!$B$9)/2)+Controls!$B$10*(E222-IF(Controls!$B$7="Normal",Controls!$B$8,(Controls!$B$8+Controls!$B$9)/2))+SQRT(1-Controls!$B$10^2)*(Random!Y223-IF(Controls!$B$7="Normal",Controls!$B$8,(Controls!$B$8+Controls!$B$9)/2)))</f>
        <v/>
      </c>
      <c r="F223" s="10" t="str">
        <f>IF(Random!Z223="","",IF(Controls!$B$7="Normal",Controls!$B$8,(Controls!$B$8+Controls!$B$9)/2)+Controls!$B$10*(F222-IF(Controls!$B$7="Normal",Controls!$B$8,(Controls!$B$8+Controls!$B$9)/2))+SQRT(1-Controls!$B$10^2)*(Random!Z223-IF(Controls!$B$7="Normal",Controls!$B$8,(Controls!$B$8+Controls!$B$9)/2)))</f>
        <v/>
      </c>
      <c r="G223" s="10" t="str">
        <f>IF(Random!AA223="","",IF(Controls!$B$7="Normal",Controls!$B$8,(Controls!$B$8+Controls!$B$9)/2)+Controls!$B$10*(G222-IF(Controls!$B$7="Normal",Controls!$B$8,(Controls!$B$8+Controls!$B$9)/2))+SQRT(1-Controls!$B$10^2)*(Random!AA223-IF(Controls!$B$7="Normal",Controls!$B$8,(Controls!$B$8+Controls!$B$9)/2)))</f>
        <v/>
      </c>
      <c r="H223" s="10" t="str">
        <f>IF(Random!AB223="","",IF(Controls!$B$7="Normal",Controls!$B$8,(Controls!$B$8+Controls!$B$9)/2)+Controls!$B$10*(H222-IF(Controls!$B$7="Normal",Controls!$B$8,(Controls!$B$8+Controls!$B$9)/2))+SQRT(1-Controls!$B$10^2)*(Random!AB223-IF(Controls!$B$7="Normal",Controls!$B$8,(Controls!$B$8+Controls!$B$9)/2)))</f>
        <v/>
      </c>
      <c r="I223" s="10" t="str">
        <f>IF(Random!AC223="","",IF(Controls!$B$7="Normal",Controls!$B$8,(Controls!$B$8+Controls!$B$9)/2)+Controls!$B$10*(I222-IF(Controls!$B$7="Normal",Controls!$B$8,(Controls!$B$8+Controls!$B$9)/2))+SQRT(1-Controls!$B$10^2)*(Random!AC223-IF(Controls!$B$7="Normal",Controls!$B$8,(Controls!$B$8+Controls!$B$9)/2)))</f>
        <v/>
      </c>
      <c r="J223" s="10" t="str">
        <f>IF(Random!AD223="","",IF(Controls!$B$7="Normal",Controls!$B$8,(Controls!$B$8+Controls!$B$9)/2)+Controls!$B$10*(J222-IF(Controls!$B$7="Normal",Controls!$B$8,(Controls!$B$8+Controls!$B$9)/2))+SQRT(1-Controls!$B$10^2)*(Random!AD223-IF(Controls!$B$7="Normal",Controls!$B$8,(Controls!$B$8+Controls!$B$9)/2)))</f>
        <v/>
      </c>
      <c r="K223" s="10" t="str">
        <f>IF(Random!AE223="","",IF(Controls!$B$7="Normal",Controls!$B$8,(Controls!$B$8+Controls!$B$9)/2)+Controls!$B$10*(K222-IF(Controls!$B$7="Normal",Controls!$B$8,(Controls!$B$8+Controls!$B$9)/2))+SQRT(1-Controls!$B$10^2)*(Random!AE223-IF(Controls!$B$7="Normal",Controls!$B$8,(Controls!$B$8+Controls!$B$9)/2)))</f>
        <v/>
      </c>
      <c r="L223" s="10" t="str">
        <f>IF($A223="","",IF(AND($A223&gt;=Controls!$B$25,$A223&lt;Controls!$B$25+Controls!$C$25),(Controls!$D$25-1)*EXP(-0.5*(($A223-Controls!$B$25-(Controls!$C$25-1)/2)/MAX(Controls!$C$25/4,0.5))^2),0))</f>
        <v/>
      </c>
      <c r="M223" s="10" t="str">
        <f>IF($A223="","",IF(AND($A223&gt;=Controls!$B$26,$A223&lt;Controls!$B$26+Controls!$C$26),(Controls!$D$26-1)*EXP(-0.5*(($A223-Controls!$B$26-(Controls!$C$26-1)/2)/MAX(Controls!$C$26/4,0.5))^2),0))</f>
        <v/>
      </c>
      <c r="N223" s="10" t="str">
        <f>IF($A223="","",IF(AND($A223&gt;=Controls!$B$27,$A223&lt;Controls!$B$27+Controls!$C$27),(Controls!$D$27-1)*EXP(-0.5*(($A223-Controls!$B$27-(Controls!$C$27-1)/2)/MAX(Controls!$C$27/4,0.5))^2),0))</f>
        <v/>
      </c>
      <c r="O223" s="10" t="str">
        <f>IF($A223="","",IF(AND($A223&gt;=Controls!$B$28,$A223&lt;Controls!$B$28+Controls!$C$28),(Controls!$D$28-1)*EXP(-0.5*(($A223-Controls!$B$28-(Controls!$C$28-1)/2)/MAX(Controls!$C$28/4,0.5))^2),0))</f>
        <v/>
      </c>
      <c r="P223" s="4" t="str">
        <f t="shared" si="1"/>
        <v/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21.0" customHeight="1">
      <c r="A224" s="7" t="str">
        <f>IF(223&lt;=Controls!$B$5,Controls!$B$4+222,"")</f>
        <v/>
      </c>
      <c r="B224" s="10" t="str">
        <f>IF(Random!V224="","",IF(Controls!$B$7="Normal",Controls!$B$8,(Controls!$B$8+Controls!$B$9)/2)+Controls!$B$10*(B223-IF(Controls!$B$7="Normal",Controls!$B$8,(Controls!$B$8+Controls!$B$9)/2))+SQRT(1-Controls!$B$10^2)*(Random!V224-IF(Controls!$B$7="Normal",Controls!$B$8,(Controls!$B$8+Controls!$B$9)/2)))</f>
        <v/>
      </c>
      <c r="C224" s="10" t="str">
        <f>IF(Random!W224="","",IF(Controls!$B$7="Normal",Controls!$B$8,(Controls!$B$8+Controls!$B$9)/2)+Controls!$B$10*(C223-IF(Controls!$B$7="Normal",Controls!$B$8,(Controls!$B$8+Controls!$B$9)/2))+SQRT(1-Controls!$B$10^2)*(Random!W224-IF(Controls!$B$7="Normal",Controls!$B$8,(Controls!$B$8+Controls!$B$9)/2)))</f>
        <v/>
      </c>
      <c r="D224" s="10" t="str">
        <f>IF(Random!X224="","",IF(Controls!$B$7="Normal",Controls!$B$8,(Controls!$B$8+Controls!$B$9)/2)+Controls!$B$10*(D223-IF(Controls!$B$7="Normal",Controls!$B$8,(Controls!$B$8+Controls!$B$9)/2))+SQRT(1-Controls!$B$10^2)*(Random!X224-IF(Controls!$B$7="Normal",Controls!$B$8,(Controls!$B$8+Controls!$B$9)/2)))</f>
        <v/>
      </c>
      <c r="E224" s="10" t="str">
        <f>IF(Random!Y224="","",IF(Controls!$B$7="Normal",Controls!$B$8,(Controls!$B$8+Controls!$B$9)/2)+Controls!$B$10*(E223-IF(Controls!$B$7="Normal",Controls!$B$8,(Controls!$B$8+Controls!$B$9)/2))+SQRT(1-Controls!$B$10^2)*(Random!Y224-IF(Controls!$B$7="Normal",Controls!$B$8,(Controls!$B$8+Controls!$B$9)/2)))</f>
        <v/>
      </c>
      <c r="F224" s="10" t="str">
        <f>IF(Random!Z224="","",IF(Controls!$B$7="Normal",Controls!$B$8,(Controls!$B$8+Controls!$B$9)/2)+Controls!$B$10*(F223-IF(Controls!$B$7="Normal",Controls!$B$8,(Controls!$B$8+Controls!$B$9)/2))+SQRT(1-Controls!$B$10^2)*(Random!Z224-IF(Controls!$B$7="Normal",Controls!$B$8,(Controls!$B$8+Controls!$B$9)/2)))</f>
        <v/>
      </c>
      <c r="G224" s="10" t="str">
        <f>IF(Random!AA224="","",IF(Controls!$B$7="Normal",Controls!$B$8,(Controls!$B$8+Controls!$B$9)/2)+Controls!$B$10*(G223-IF(Controls!$B$7="Normal",Controls!$B$8,(Controls!$B$8+Controls!$B$9)/2))+SQRT(1-Controls!$B$10^2)*(Random!AA224-IF(Controls!$B$7="Normal",Controls!$B$8,(Controls!$B$8+Controls!$B$9)/2)))</f>
        <v/>
      </c>
      <c r="H224" s="10" t="str">
        <f>IF(Random!AB224="","",IF(Controls!$B$7="Normal",Controls!$B$8,(Controls!$B$8+Controls!$B$9)/2)+Controls!$B$10*(H223-IF(Controls!$B$7="Normal",Controls!$B$8,(Controls!$B$8+Controls!$B$9)/2))+SQRT(1-Controls!$B$10^2)*(Random!AB224-IF(Controls!$B$7="Normal",Controls!$B$8,(Controls!$B$8+Controls!$B$9)/2)))</f>
        <v/>
      </c>
      <c r="I224" s="10" t="str">
        <f>IF(Random!AC224="","",IF(Controls!$B$7="Normal",Controls!$B$8,(Controls!$B$8+Controls!$B$9)/2)+Controls!$B$10*(I223-IF(Controls!$B$7="Normal",Controls!$B$8,(Controls!$B$8+Controls!$B$9)/2))+SQRT(1-Controls!$B$10^2)*(Random!AC224-IF(Controls!$B$7="Normal",Controls!$B$8,(Controls!$B$8+Controls!$B$9)/2)))</f>
        <v/>
      </c>
      <c r="J224" s="10" t="str">
        <f>IF(Random!AD224="","",IF(Controls!$B$7="Normal",Controls!$B$8,(Controls!$B$8+Controls!$B$9)/2)+Controls!$B$10*(J223-IF(Controls!$B$7="Normal",Controls!$B$8,(Controls!$B$8+Controls!$B$9)/2))+SQRT(1-Controls!$B$10^2)*(Random!AD224-IF(Controls!$B$7="Normal",Controls!$B$8,(Controls!$B$8+Controls!$B$9)/2)))</f>
        <v/>
      </c>
      <c r="K224" s="10" t="str">
        <f>IF(Random!AE224="","",IF(Controls!$B$7="Normal",Controls!$B$8,(Controls!$B$8+Controls!$B$9)/2)+Controls!$B$10*(K223-IF(Controls!$B$7="Normal",Controls!$B$8,(Controls!$B$8+Controls!$B$9)/2))+SQRT(1-Controls!$B$10^2)*(Random!AE224-IF(Controls!$B$7="Normal",Controls!$B$8,(Controls!$B$8+Controls!$B$9)/2)))</f>
        <v/>
      </c>
      <c r="L224" s="10" t="str">
        <f>IF($A224="","",IF(AND($A224&gt;=Controls!$B$25,$A224&lt;Controls!$B$25+Controls!$C$25),(Controls!$D$25-1)*EXP(-0.5*(($A224-Controls!$B$25-(Controls!$C$25-1)/2)/MAX(Controls!$C$25/4,0.5))^2),0))</f>
        <v/>
      </c>
      <c r="M224" s="10" t="str">
        <f>IF($A224="","",IF(AND($A224&gt;=Controls!$B$26,$A224&lt;Controls!$B$26+Controls!$C$26),(Controls!$D$26-1)*EXP(-0.5*(($A224-Controls!$B$26-(Controls!$C$26-1)/2)/MAX(Controls!$C$26/4,0.5))^2),0))</f>
        <v/>
      </c>
      <c r="N224" s="10" t="str">
        <f>IF($A224="","",IF(AND($A224&gt;=Controls!$B$27,$A224&lt;Controls!$B$27+Controls!$C$27),(Controls!$D$27-1)*EXP(-0.5*(($A224-Controls!$B$27-(Controls!$C$27-1)/2)/MAX(Controls!$C$27/4,0.5))^2),0))</f>
        <v/>
      </c>
      <c r="O224" s="10" t="str">
        <f>IF($A224="","",IF(AND($A224&gt;=Controls!$B$28,$A224&lt;Controls!$B$28+Controls!$C$28),(Controls!$D$28-1)*EXP(-0.5*(($A224-Controls!$B$28-(Controls!$C$28-1)/2)/MAX(Controls!$C$28/4,0.5))^2),0))</f>
        <v/>
      </c>
      <c r="P224" s="4" t="str">
        <f t="shared" si="1"/>
        <v/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21.0" customHeight="1">
      <c r="A225" s="7" t="str">
        <f>IF(224&lt;=Controls!$B$5,Controls!$B$4+223,"")</f>
        <v/>
      </c>
      <c r="B225" s="10" t="str">
        <f>IF(Random!V225="","",IF(Controls!$B$7="Normal",Controls!$B$8,(Controls!$B$8+Controls!$B$9)/2)+Controls!$B$10*(B224-IF(Controls!$B$7="Normal",Controls!$B$8,(Controls!$B$8+Controls!$B$9)/2))+SQRT(1-Controls!$B$10^2)*(Random!V225-IF(Controls!$B$7="Normal",Controls!$B$8,(Controls!$B$8+Controls!$B$9)/2)))</f>
        <v/>
      </c>
      <c r="C225" s="10" t="str">
        <f>IF(Random!W225="","",IF(Controls!$B$7="Normal",Controls!$B$8,(Controls!$B$8+Controls!$B$9)/2)+Controls!$B$10*(C224-IF(Controls!$B$7="Normal",Controls!$B$8,(Controls!$B$8+Controls!$B$9)/2))+SQRT(1-Controls!$B$10^2)*(Random!W225-IF(Controls!$B$7="Normal",Controls!$B$8,(Controls!$B$8+Controls!$B$9)/2)))</f>
        <v/>
      </c>
      <c r="D225" s="10" t="str">
        <f>IF(Random!X225="","",IF(Controls!$B$7="Normal",Controls!$B$8,(Controls!$B$8+Controls!$B$9)/2)+Controls!$B$10*(D224-IF(Controls!$B$7="Normal",Controls!$B$8,(Controls!$B$8+Controls!$B$9)/2))+SQRT(1-Controls!$B$10^2)*(Random!X225-IF(Controls!$B$7="Normal",Controls!$B$8,(Controls!$B$8+Controls!$B$9)/2)))</f>
        <v/>
      </c>
      <c r="E225" s="10" t="str">
        <f>IF(Random!Y225="","",IF(Controls!$B$7="Normal",Controls!$B$8,(Controls!$B$8+Controls!$B$9)/2)+Controls!$B$10*(E224-IF(Controls!$B$7="Normal",Controls!$B$8,(Controls!$B$8+Controls!$B$9)/2))+SQRT(1-Controls!$B$10^2)*(Random!Y225-IF(Controls!$B$7="Normal",Controls!$B$8,(Controls!$B$8+Controls!$B$9)/2)))</f>
        <v/>
      </c>
      <c r="F225" s="10" t="str">
        <f>IF(Random!Z225="","",IF(Controls!$B$7="Normal",Controls!$B$8,(Controls!$B$8+Controls!$B$9)/2)+Controls!$B$10*(F224-IF(Controls!$B$7="Normal",Controls!$B$8,(Controls!$B$8+Controls!$B$9)/2))+SQRT(1-Controls!$B$10^2)*(Random!Z225-IF(Controls!$B$7="Normal",Controls!$B$8,(Controls!$B$8+Controls!$B$9)/2)))</f>
        <v/>
      </c>
      <c r="G225" s="10" t="str">
        <f>IF(Random!AA225="","",IF(Controls!$B$7="Normal",Controls!$B$8,(Controls!$B$8+Controls!$B$9)/2)+Controls!$B$10*(G224-IF(Controls!$B$7="Normal",Controls!$B$8,(Controls!$B$8+Controls!$B$9)/2))+SQRT(1-Controls!$B$10^2)*(Random!AA225-IF(Controls!$B$7="Normal",Controls!$B$8,(Controls!$B$8+Controls!$B$9)/2)))</f>
        <v/>
      </c>
      <c r="H225" s="10" t="str">
        <f>IF(Random!AB225="","",IF(Controls!$B$7="Normal",Controls!$B$8,(Controls!$B$8+Controls!$B$9)/2)+Controls!$B$10*(H224-IF(Controls!$B$7="Normal",Controls!$B$8,(Controls!$B$8+Controls!$B$9)/2))+SQRT(1-Controls!$B$10^2)*(Random!AB225-IF(Controls!$B$7="Normal",Controls!$B$8,(Controls!$B$8+Controls!$B$9)/2)))</f>
        <v/>
      </c>
      <c r="I225" s="10" t="str">
        <f>IF(Random!AC225="","",IF(Controls!$B$7="Normal",Controls!$B$8,(Controls!$B$8+Controls!$B$9)/2)+Controls!$B$10*(I224-IF(Controls!$B$7="Normal",Controls!$B$8,(Controls!$B$8+Controls!$B$9)/2))+SQRT(1-Controls!$B$10^2)*(Random!AC225-IF(Controls!$B$7="Normal",Controls!$B$8,(Controls!$B$8+Controls!$B$9)/2)))</f>
        <v/>
      </c>
      <c r="J225" s="10" t="str">
        <f>IF(Random!AD225="","",IF(Controls!$B$7="Normal",Controls!$B$8,(Controls!$B$8+Controls!$B$9)/2)+Controls!$B$10*(J224-IF(Controls!$B$7="Normal",Controls!$B$8,(Controls!$B$8+Controls!$B$9)/2))+SQRT(1-Controls!$B$10^2)*(Random!AD225-IF(Controls!$B$7="Normal",Controls!$B$8,(Controls!$B$8+Controls!$B$9)/2)))</f>
        <v/>
      </c>
      <c r="K225" s="10" t="str">
        <f>IF(Random!AE225="","",IF(Controls!$B$7="Normal",Controls!$B$8,(Controls!$B$8+Controls!$B$9)/2)+Controls!$B$10*(K224-IF(Controls!$B$7="Normal",Controls!$B$8,(Controls!$B$8+Controls!$B$9)/2))+SQRT(1-Controls!$B$10^2)*(Random!AE225-IF(Controls!$B$7="Normal",Controls!$B$8,(Controls!$B$8+Controls!$B$9)/2)))</f>
        <v/>
      </c>
      <c r="L225" s="10" t="str">
        <f>IF($A225="","",IF(AND($A225&gt;=Controls!$B$25,$A225&lt;Controls!$B$25+Controls!$C$25),(Controls!$D$25-1)*EXP(-0.5*(($A225-Controls!$B$25-(Controls!$C$25-1)/2)/MAX(Controls!$C$25/4,0.5))^2),0))</f>
        <v/>
      </c>
      <c r="M225" s="10" t="str">
        <f>IF($A225="","",IF(AND($A225&gt;=Controls!$B$26,$A225&lt;Controls!$B$26+Controls!$C$26),(Controls!$D$26-1)*EXP(-0.5*(($A225-Controls!$B$26-(Controls!$C$26-1)/2)/MAX(Controls!$C$26/4,0.5))^2),0))</f>
        <v/>
      </c>
      <c r="N225" s="10" t="str">
        <f>IF($A225="","",IF(AND($A225&gt;=Controls!$B$27,$A225&lt;Controls!$B$27+Controls!$C$27),(Controls!$D$27-1)*EXP(-0.5*(($A225-Controls!$B$27-(Controls!$C$27-1)/2)/MAX(Controls!$C$27/4,0.5))^2),0))</f>
        <v/>
      </c>
      <c r="O225" s="10" t="str">
        <f>IF($A225="","",IF(AND($A225&gt;=Controls!$B$28,$A225&lt;Controls!$B$28+Controls!$C$28),(Controls!$D$28-1)*EXP(-0.5*(($A225-Controls!$B$28-(Controls!$C$28-1)/2)/MAX(Controls!$C$28/4,0.5))^2),0))</f>
        <v/>
      </c>
      <c r="P225" s="4" t="str">
        <f t="shared" si="1"/>
        <v/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21.0" customHeight="1">
      <c r="A226" s="7" t="str">
        <f>IF(225&lt;=Controls!$B$5,Controls!$B$4+224,"")</f>
        <v/>
      </c>
      <c r="B226" s="10" t="str">
        <f>IF(Random!V226="","",IF(Controls!$B$7="Normal",Controls!$B$8,(Controls!$B$8+Controls!$B$9)/2)+Controls!$B$10*(B225-IF(Controls!$B$7="Normal",Controls!$B$8,(Controls!$B$8+Controls!$B$9)/2))+SQRT(1-Controls!$B$10^2)*(Random!V226-IF(Controls!$B$7="Normal",Controls!$B$8,(Controls!$B$8+Controls!$B$9)/2)))</f>
        <v/>
      </c>
      <c r="C226" s="10" t="str">
        <f>IF(Random!W226="","",IF(Controls!$B$7="Normal",Controls!$B$8,(Controls!$B$8+Controls!$B$9)/2)+Controls!$B$10*(C225-IF(Controls!$B$7="Normal",Controls!$B$8,(Controls!$B$8+Controls!$B$9)/2))+SQRT(1-Controls!$B$10^2)*(Random!W226-IF(Controls!$B$7="Normal",Controls!$B$8,(Controls!$B$8+Controls!$B$9)/2)))</f>
        <v/>
      </c>
      <c r="D226" s="10" t="str">
        <f>IF(Random!X226="","",IF(Controls!$B$7="Normal",Controls!$B$8,(Controls!$B$8+Controls!$B$9)/2)+Controls!$B$10*(D225-IF(Controls!$B$7="Normal",Controls!$B$8,(Controls!$B$8+Controls!$B$9)/2))+SQRT(1-Controls!$B$10^2)*(Random!X226-IF(Controls!$B$7="Normal",Controls!$B$8,(Controls!$B$8+Controls!$B$9)/2)))</f>
        <v/>
      </c>
      <c r="E226" s="10" t="str">
        <f>IF(Random!Y226="","",IF(Controls!$B$7="Normal",Controls!$B$8,(Controls!$B$8+Controls!$B$9)/2)+Controls!$B$10*(E225-IF(Controls!$B$7="Normal",Controls!$B$8,(Controls!$B$8+Controls!$B$9)/2))+SQRT(1-Controls!$B$10^2)*(Random!Y226-IF(Controls!$B$7="Normal",Controls!$B$8,(Controls!$B$8+Controls!$B$9)/2)))</f>
        <v/>
      </c>
      <c r="F226" s="10" t="str">
        <f>IF(Random!Z226="","",IF(Controls!$B$7="Normal",Controls!$B$8,(Controls!$B$8+Controls!$B$9)/2)+Controls!$B$10*(F225-IF(Controls!$B$7="Normal",Controls!$B$8,(Controls!$B$8+Controls!$B$9)/2))+SQRT(1-Controls!$B$10^2)*(Random!Z226-IF(Controls!$B$7="Normal",Controls!$B$8,(Controls!$B$8+Controls!$B$9)/2)))</f>
        <v/>
      </c>
      <c r="G226" s="10" t="str">
        <f>IF(Random!AA226="","",IF(Controls!$B$7="Normal",Controls!$B$8,(Controls!$B$8+Controls!$B$9)/2)+Controls!$B$10*(G225-IF(Controls!$B$7="Normal",Controls!$B$8,(Controls!$B$8+Controls!$B$9)/2))+SQRT(1-Controls!$B$10^2)*(Random!AA226-IF(Controls!$B$7="Normal",Controls!$B$8,(Controls!$B$8+Controls!$B$9)/2)))</f>
        <v/>
      </c>
      <c r="H226" s="10" t="str">
        <f>IF(Random!AB226="","",IF(Controls!$B$7="Normal",Controls!$B$8,(Controls!$B$8+Controls!$B$9)/2)+Controls!$B$10*(H225-IF(Controls!$B$7="Normal",Controls!$B$8,(Controls!$B$8+Controls!$B$9)/2))+SQRT(1-Controls!$B$10^2)*(Random!AB226-IF(Controls!$B$7="Normal",Controls!$B$8,(Controls!$B$8+Controls!$B$9)/2)))</f>
        <v/>
      </c>
      <c r="I226" s="10" t="str">
        <f>IF(Random!AC226="","",IF(Controls!$B$7="Normal",Controls!$B$8,(Controls!$B$8+Controls!$B$9)/2)+Controls!$B$10*(I225-IF(Controls!$B$7="Normal",Controls!$B$8,(Controls!$B$8+Controls!$B$9)/2))+SQRT(1-Controls!$B$10^2)*(Random!AC226-IF(Controls!$B$7="Normal",Controls!$B$8,(Controls!$B$8+Controls!$B$9)/2)))</f>
        <v/>
      </c>
      <c r="J226" s="10" t="str">
        <f>IF(Random!AD226="","",IF(Controls!$B$7="Normal",Controls!$B$8,(Controls!$B$8+Controls!$B$9)/2)+Controls!$B$10*(J225-IF(Controls!$B$7="Normal",Controls!$B$8,(Controls!$B$8+Controls!$B$9)/2))+SQRT(1-Controls!$B$10^2)*(Random!AD226-IF(Controls!$B$7="Normal",Controls!$B$8,(Controls!$B$8+Controls!$B$9)/2)))</f>
        <v/>
      </c>
      <c r="K226" s="10" t="str">
        <f>IF(Random!AE226="","",IF(Controls!$B$7="Normal",Controls!$B$8,(Controls!$B$8+Controls!$B$9)/2)+Controls!$B$10*(K225-IF(Controls!$B$7="Normal",Controls!$B$8,(Controls!$B$8+Controls!$B$9)/2))+SQRT(1-Controls!$B$10^2)*(Random!AE226-IF(Controls!$B$7="Normal",Controls!$B$8,(Controls!$B$8+Controls!$B$9)/2)))</f>
        <v/>
      </c>
      <c r="L226" s="10" t="str">
        <f>IF($A226="","",IF(AND($A226&gt;=Controls!$B$25,$A226&lt;Controls!$B$25+Controls!$C$25),(Controls!$D$25-1)*EXP(-0.5*(($A226-Controls!$B$25-(Controls!$C$25-1)/2)/MAX(Controls!$C$25/4,0.5))^2),0))</f>
        <v/>
      </c>
      <c r="M226" s="10" t="str">
        <f>IF($A226="","",IF(AND($A226&gt;=Controls!$B$26,$A226&lt;Controls!$B$26+Controls!$C$26),(Controls!$D$26-1)*EXP(-0.5*(($A226-Controls!$B$26-(Controls!$C$26-1)/2)/MAX(Controls!$C$26/4,0.5))^2),0))</f>
        <v/>
      </c>
      <c r="N226" s="10" t="str">
        <f>IF($A226="","",IF(AND($A226&gt;=Controls!$B$27,$A226&lt;Controls!$B$27+Controls!$C$27),(Controls!$D$27-1)*EXP(-0.5*(($A226-Controls!$B$27-(Controls!$C$27-1)/2)/MAX(Controls!$C$27/4,0.5))^2),0))</f>
        <v/>
      </c>
      <c r="O226" s="10" t="str">
        <f>IF($A226="","",IF(AND($A226&gt;=Controls!$B$28,$A226&lt;Controls!$B$28+Controls!$C$28),(Controls!$D$28-1)*EXP(-0.5*(($A226-Controls!$B$28-(Controls!$C$28-1)/2)/MAX(Controls!$C$28/4,0.5))^2),0))</f>
        <v/>
      </c>
      <c r="P226" s="4" t="str">
        <f t="shared" si="1"/>
        <v/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21.0" customHeight="1">
      <c r="A227" s="7" t="str">
        <f>IF(226&lt;=Controls!$B$5,Controls!$B$4+225,"")</f>
        <v/>
      </c>
      <c r="B227" s="10" t="str">
        <f>IF(Random!V227="","",IF(Controls!$B$7="Normal",Controls!$B$8,(Controls!$B$8+Controls!$B$9)/2)+Controls!$B$10*(B226-IF(Controls!$B$7="Normal",Controls!$B$8,(Controls!$B$8+Controls!$B$9)/2))+SQRT(1-Controls!$B$10^2)*(Random!V227-IF(Controls!$B$7="Normal",Controls!$B$8,(Controls!$B$8+Controls!$B$9)/2)))</f>
        <v/>
      </c>
      <c r="C227" s="10" t="str">
        <f>IF(Random!W227="","",IF(Controls!$B$7="Normal",Controls!$B$8,(Controls!$B$8+Controls!$B$9)/2)+Controls!$B$10*(C226-IF(Controls!$B$7="Normal",Controls!$B$8,(Controls!$B$8+Controls!$B$9)/2))+SQRT(1-Controls!$B$10^2)*(Random!W227-IF(Controls!$B$7="Normal",Controls!$B$8,(Controls!$B$8+Controls!$B$9)/2)))</f>
        <v/>
      </c>
      <c r="D227" s="10" t="str">
        <f>IF(Random!X227="","",IF(Controls!$B$7="Normal",Controls!$B$8,(Controls!$B$8+Controls!$B$9)/2)+Controls!$B$10*(D226-IF(Controls!$B$7="Normal",Controls!$B$8,(Controls!$B$8+Controls!$B$9)/2))+SQRT(1-Controls!$B$10^2)*(Random!X227-IF(Controls!$B$7="Normal",Controls!$B$8,(Controls!$B$8+Controls!$B$9)/2)))</f>
        <v/>
      </c>
      <c r="E227" s="10" t="str">
        <f>IF(Random!Y227="","",IF(Controls!$B$7="Normal",Controls!$B$8,(Controls!$B$8+Controls!$B$9)/2)+Controls!$B$10*(E226-IF(Controls!$B$7="Normal",Controls!$B$8,(Controls!$B$8+Controls!$B$9)/2))+SQRT(1-Controls!$B$10^2)*(Random!Y227-IF(Controls!$B$7="Normal",Controls!$B$8,(Controls!$B$8+Controls!$B$9)/2)))</f>
        <v/>
      </c>
      <c r="F227" s="10" t="str">
        <f>IF(Random!Z227="","",IF(Controls!$B$7="Normal",Controls!$B$8,(Controls!$B$8+Controls!$B$9)/2)+Controls!$B$10*(F226-IF(Controls!$B$7="Normal",Controls!$B$8,(Controls!$B$8+Controls!$B$9)/2))+SQRT(1-Controls!$B$10^2)*(Random!Z227-IF(Controls!$B$7="Normal",Controls!$B$8,(Controls!$B$8+Controls!$B$9)/2)))</f>
        <v/>
      </c>
      <c r="G227" s="10" t="str">
        <f>IF(Random!AA227="","",IF(Controls!$B$7="Normal",Controls!$B$8,(Controls!$B$8+Controls!$B$9)/2)+Controls!$B$10*(G226-IF(Controls!$B$7="Normal",Controls!$B$8,(Controls!$B$8+Controls!$B$9)/2))+SQRT(1-Controls!$B$10^2)*(Random!AA227-IF(Controls!$B$7="Normal",Controls!$B$8,(Controls!$B$8+Controls!$B$9)/2)))</f>
        <v/>
      </c>
      <c r="H227" s="10" t="str">
        <f>IF(Random!AB227="","",IF(Controls!$B$7="Normal",Controls!$B$8,(Controls!$B$8+Controls!$B$9)/2)+Controls!$B$10*(H226-IF(Controls!$B$7="Normal",Controls!$B$8,(Controls!$B$8+Controls!$B$9)/2))+SQRT(1-Controls!$B$10^2)*(Random!AB227-IF(Controls!$B$7="Normal",Controls!$B$8,(Controls!$B$8+Controls!$B$9)/2)))</f>
        <v/>
      </c>
      <c r="I227" s="10" t="str">
        <f>IF(Random!AC227="","",IF(Controls!$B$7="Normal",Controls!$B$8,(Controls!$B$8+Controls!$B$9)/2)+Controls!$B$10*(I226-IF(Controls!$B$7="Normal",Controls!$B$8,(Controls!$B$8+Controls!$B$9)/2))+SQRT(1-Controls!$B$10^2)*(Random!AC227-IF(Controls!$B$7="Normal",Controls!$B$8,(Controls!$B$8+Controls!$B$9)/2)))</f>
        <v/>
      </c>
      <c r="J227" s="10" t="str">
        <f>IF(Random!AD227="","",IF(Controls!$B$7="Normal",Controls!$B$8,(Controls!$B$8+Controls!$B$9)/2)+Controls!$B$10*(J226-IF(Controls!$B$7="Normal",Controls!$B$8,(Controls!$B$8+Controls!$B$9)/2))+SQRT(1-Controls!$B$10^2)*(Random!AD227-IF(Controls!$B$7="Normal",Controls!$B$8,(Controls!$B$8+Controls!$B$9)/2)))</f>
        <v/>
      </c>
      <c r="K227" s="10" t="str">
        <f>IF(Random!AE227="","",IF(Controls!$B$7="Normal",Controls!$B$8,(Controls!$B$8+Controls!$B$9)/2)+Controls!$B$10*(K226-IF(Controls!$B$7="Normal",Controls!$B$8,(Controls!$B$8+Controls!$B$9)/2))+SQRT(1-Controls!$B$10^2)*(Random!AE227-IF(Controls!$B$7="Normal",Controls!$B$8,(Controls!$B$8+Controls!$B$9)/2)))</f>
        <v/>
      </c>
      <c r="L227" s="10" t="str">
        <f>IF($A227="","",IF(AND($A227&gt;=Controls!$B$25,$A227&lt;Controls!$B$25+Controls!$C$25),(Controls!$D$25-1)*EXP(-0.5*(($A227-Controls!$B$25-(Controls!$C$25-1)/2)/MAX(Controls!$C$25/4,0.5))^2),0))</f>
        <v/>
      </c>
      <c r="M227" s="10" t="str">
        <f>IF($A227="","",IF(AND($A227&gt;=Controls!$B$26,$A227&lt;Controls!$B$26+Controls!$C$26),(Controls!$D$26-1)*EXP(-0.5*(($A227-Controls!$B$26-(Controls!$C$26-1)/2)/MAX(Controls!$C$26/4,0.5))^2),0))</f>
        <v/>
      </c>
      <c r="N227" s="10" t="str">
        <f>IF($A227="","",IF(AND($A227&gt;=Controls!$B$27,$A227&lt;Controls!$B$27+Controls!$C$27),(Controls!$D$27-1)*EXP(-0.5*(($A227-Controls!$B$27-(Controls!$C$27-1)/2)/MAX(Controls!$C$27/4,0.5))^2),0))</f>
        <v/>
      </c>
      <c r="O227" s="10" t="str">
        <f>IF($A227="","",IF(AND($A227&gt;=Controls!$B$28,$A227&lt;Controls!$B$28+Controls!$C$28),(Controls!$D$28-1)*EXP(-0.5*(($A227-Controls!$B$28-(Controls!$C$28-1)/2)/MAX(Controls!$C$28/4,0.5))^2),0))</f>
        <v/>
      </c>
      <c r="P227" s="4" t="str">
        <f t="shared" si="1"/>
        <v/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21.0" customHeight="1">
      <c r="A228" s="7" t="str">
        <f>IF(227&lt;=Controls!$B$5,Controls!$B$4+226,"")</f>
        <v/>
      </c>
      <c r="B228" s="10" t="str">
        <f>IF(Random!V228="","",IF(Controls!$B$7="Normal",Controls!$B$8,(Controls!$B$8+Controls!$B$9)/2)+Controls!$B$10*(B227-IF(Controls!$B$7="Normal",Controls!$B$8,(Controls!$B$8+Controls!$B$9)/2))+SQRT(1-Controls!$B$10^2)*(Random!V228-IF(Controls!$B$7="Normal",Controls!$B$8,(Controls!$B$8+Controls!$B$9)/2)))</f>
        <v/>
      </c>
      <c r="C228" s="10" t="str">
        <f>IF(Random!W228="","",IF(Controls!$B$7="Normal",Controls!$B$8,(Controls!$B$8+Controls!$B$9)/2)+Controls!$B$10*(C227-IF(Controls!$B$7="Normal",Controls!$B$8,(Controls!$B$8+Controls!$B$9)/2))+SQRT(1-Controls!$B$10^2)*(Random!W228-IF(Controls!$B$7="Normal",Controls!$B$8,(Controls!$B$8+Controls!$B$9)/2)))</f>
        <v/>
      </c>
      <c r="D228" s="10" t="str">
        <f>IF(Random!X228="","",IF(Controls!$B$7="Normal",Controls!$B$8,(Controls!$B$8+Controls!$B$9)/2)+Controls!$B$10*(D227-IF(Controls!$B$7="Normal",Controls!$B$8,(Controls!$B$8+Controls!$B$9)/2))+SQRT(1-Controls!$B$10^2)*(Random!X228-IF(Controls!$B$7="Normal",Controls!$B$8,(Controls!$B$8+Controls!$B$9)/2)))</f>
        <v/>
      </c>
      <c r="E228" s="10" t="str">
        <f>IF(Random!Y228="","",IF(Controls!$B$7="Normal",Controls!$B$8,(Controls!$B$8+Controls!$B$9)/2)+Controls!$B$10*(E227-IF(Controls!$B$7="Normal",Controls!$B$8,(Controls!$B$8+Controls!$B$9)/2))+SQRT(1-Controls!$B$10^2)*(Random!Y228-IF(Controls!$B$7="Normal",Controls!$B$8,(Controls!$B$8+Controls!$B$9)/2)))</f>
        <v/>
      </c>
      <c r="F228" s="10" t="str">
        <f>IF(Random!Z228="","",IF(Controls!$B$7="Normal",Controls!$B$8,(Controls!$B$8+Controls!$B$9)/2)+Controls!$B$10*(F227-IF(Controls!$B$7="Normal",Controls!$B$8,(Controls!$B$8+Controls!$B$9)/2))+SQRT(1-Controls!$B$10^2)*(Random!Z228-IF(Controls!$B$7="Normal",Controls!$B$8,(Controls!$B$8+Controls!$B$9)/2)))</f>
        <v/>
      </c>
      <c r="G228" s="10" t="str">
        <f>IF(Random!AA228="","",IF(Controls!$B$7="Normal",Controls!$B$8,(Controls!$B$8+Controls!$B$9)/2)+Controls!$B$10*(G227-IF(Controls!$B$7="Normal",Controls!$B$8,(Controls!$B$8+Controls!$B$9)/2))+SQRT(1-Controls!$B$10^2)*(Random!AA228-IF(Controls!$B$7="Normal",Controls!$B$8,(Controls!$B$8+Controls!$B$9)/2)))</f>
        <v/>
      </c>
      <c r="H228" s="10" t="str">
        <f>IF(Random!AB228="","",IF(Controls!$B$7="Normal",Controls!$B$8,(Controls!$B$8+Controls!$B$9)/2)+Controls!$B$10*(H227-IF(Controls!$B$7="Normal",Controls!$B$8,(Controls!$B$8+Controls!$B$9)/2))+SQRT(1-Controls!$B$10^2)*(Random!AB228-IF(Controls!$B$7="Normal",Controls!$B$8,(Controls!$B$8+Controls!$B$9)/2)))</f>
        <v/>
      </c>
      <c r="I228" s="10" t="str">
        <f>IF(Random!AC228="","",IF(Controls!$B$7="Normal",Controls!$B$8,(Controls!$B$8+Controls!$B$9)/2)+Controls!$B$10*(I227-IF(Controls!$B$7="Normal",Controls!$B$8,(Controls!$B$8+Controls!$B$9)/2))+SQRT(1-Controls!$B$10^2)*(Random!AC228-IF(Controls!$B$7="Normal",Controls!$B$8,(Controls!$B$8+Controls!$B$9)/2)))</f>
        <v/>
      </c>
      <c r="J228" s="10" t="str">
        <f>IF(Random!AD228="","",IF(Controls!$B$7="Normal",Controls!$B$8,(Controls!$B$8+Controls!$B$9)/2)+Controls!$B$10*(J227-IF(Controls!$B$7="Normal",Controls!$B$8,(Controls!$B$8+Controls!$B$9)/2))+SQRT(1-Controls!$B$10^2)*(Random!AD228-IF(Controls!$B$7="Normal",Controls!$B$8,(Controls!$B$8+Controls!$B$9)/2)))</f>
        <v/>
      </c>
      <c r="K228" s="10" t="str">
        <f>IF(Random!AE228="","",IF(Controls!$B$7="Normal",Controls!$B$8,(Controls!$B$8+Controls!$B$9)/2)+Controls!$B$10*(K227-IF(Controls!$B$7="Normal",Controls!$B$8,(Controls!$B$8+Controls!$B$9)/2))+SQRT(1-Controls!$B$10^2)*(Random!AE228-IF(Controls!$B$7="Normal",Controls!$B$8,(Controls!$B$8+Controls!$B$9)/2)))</f>
        <v/>
      </c>
      <c r="L228" s="10" t="str">
        <f>IF($A228="","",IF(AND($A228&gt;=Controls!$B$25,$A228&lt;Controls!$B$25+Controls!$C$25),(Controls!$D$25-1)*EXP(-0.5*(($A228-Controls!$B$25-(Controls!$C$25-1)/2)/MAX(Controls!$C$25/4,0.5))^2),0))</f>
        <v/>
      </c>
      <c r="M228" s="10" t="str">
        <f>IF($A228="","",IF(AND($A228&gt;=Controls!$B$26,$A228&lt;Controls!$B$26+Controls!$C$26),(Controls!$D$26-1)*EXP(-0.5*(($A228-Controls!$B$26-(Controls!$C$26-1)/2)/MAX(Controls!$C$26/4,0.5))^2),0))</f>
        <v/>
      </c>
      <c r="N228" s="10" t="str">
        <f>IF($A228="","",IF(AND($A228&gt;=Controls!$B$27,$A228&lt;Controls!$B$27+Controls!$C$27),(Controls!$D$27-1)*EXP(-0.5*(($A228-Controls!$B$27-(Controls!$C$27-1)/2)/MAX(Controls!$C$27/4,0.5))^2),0))</f>
        <v/>
      </c>
      <c r="O228" s="10" t="str">
        <f>IF($A228="","",IF(AND($A228&gt;=Controls!$B$28,$A228&lt;Controls!$B$28+Controls!$C$28),(Controls!$D$28-1)*EXP(-0.5*(($A228-Controls!$B$28-(Controls!$C$28-1)/2)/MAX(Controls!$C$28/4,0.5))^2),0))</f>
        <v/>
      </c>
      <c r="P228" s="4" t="str">
        <f t="shared" si="1"/>
        <v/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21.0" customHeight="1">
      <c r="A229" s="7" t="str">
        <f>IF(228&lt;=Controls!$B$5,Controls!$B$4+227,"")</f>
        <v/>
      </c>
      <c r="B229" s="10" t="str">
        <f>IF(Random!V229="","",IF(Controls!$B$7="Normal",Controls!$B$8,(Controls!$B$8+Controls!$B$9)/2)+Controls!$B$10*(B228-IF(Controls!$B$7="Normal",Controls!$B$8,(Controls!$B$8+Controls!$B$9)/2))+SQRT(1-Controls!$B$10^2)*(Random!V229-IF(Controls!$B$7="Normal",Controls!$B$8,(Controls!$B$8+Controls!$B$9)/2)))</f>
        <v/>
      </c>
      <c r="C229" s="10" t="str">
        <f>IF(Random!W229="","",IF(Controls!$B$7="Normal",Controls!$B$8,(Controls!$B$8+Controls!$B$9)/2)+Controls!$B$10*(C228-IF(Controls!$B$7="Normal",Controls!$B$8,(Controls!$B$8+Controls!$B$9)/2))+SQRT(1-Controls!$B$10^2)*(Random!W229-IF(Controls!$B$7="Normal",Controls!$B$8,(Controls!$B$8+Controls!$B$9)/2)))</f>
        <v/>
      </c>
      <c r="D229" s="10" t="str">
        <f>IF(Random!X229="","",IF(Controls!$B$7="Normal",Controls!$B$8,(Controls!$B$8+Controls!$B$9)/2)+Controls!$B$10*(D228-IF(Controls!$B$7="Normal",Controls!$B$8,(Controls!$B$8+Controls!$B$9)/2))+SQRT(1-Controls!$B$10^2)*(Random!X229-IF(Controls!$B$7="Normal",Controls!$B$8,(Controls!$B$8+Controls!$B$9)/2)))</f>
        <v/>
      </c>
      <c r="E229" s="10" t="str">
        <f>IF(Random!Y229="","",IF(Controls!$B$7="Normal",Controls!$B$8,(Controls!$B$8+Controls!$B$9)/2)+Controls!$B$10*(E228-IF(Controls!$B$7="Normal",Controls!$B$8,(Controls!$B$8+Controls!$B$9)/2))+SQRT(1-Controls!$B$10^2)*(Random!Y229-IF(Controls!$B$7="Normal",Controls!$B$8,(Controls!$B$8+Controls!$B$9)/2)))</f>
        <v/>
      </c>
      <c r="F229" s="10" t="str">
        <f>IF(Random!Z229="","",IF(Controls!$B$7="Normal",Controls!$B$8,(Controls!$B$8+Controls!$B$9)/2)+Controls!$B$10*(F228-IF(Controls!$B$7="Normal",Controls!$B$8,(Controls!$B$8+Controls!$B$9)/2))+SQRT(1-Controls!$B$10^2)*(Random!Z229-IF(Controls!$B$7="Normal",Controls!$B$8,(Controls!$B$8+Controls!$B$9)/2)))</f>
        <v/>
      </c>
      <c r="G229" s="10" t="str">
        <f>IF(Random!AA229="","",IF(Controls!$B$7="Normal",Controls!$B$8,(Controls!$B$8+Controls!$B$9)/2)+Controls!$B$10*(G228-IF(Controls!$B$7="Normal",Controls!$B$8,(Controls!$B$8+Controls!$B$9)/2))+SQRT(1-Controls!$B$10^2)*(Random!AA229-IF(Controls!$B$7="Normal",Controls!$B$8,(Controls!$B$8+Controls!$B$9)/2)))</f>
        <v/>
      </c>
      <c r="H229" s="10" t="str">
        <f>IF(Random!AB229="","",IF(Controls!$B$7="Normal",Controls!$B$8,(Controls!$B$8+Controls!$B$9)/2)+Controls!$B$10*(H228-IF(Controls!$B$7="Normal",Controls!$B$8,(Controls!$B$8+Controls!$B$9)/2))+SQRT(1-Controls!$B$10^2)*(Random!AB229-IF(Controls!$B$7="Normal",Controls!$B$8,(Controls!$B$8+Controls!$B$9)/2)))</f>
        <v/>
      </c>
      <c r="I229" s="10" t="str">
        <f>IF(Random!AC229="","",IF(Controls!$B$7="Normal",Controls!$B$8,(Controls!$B$8+Controls!$B$9)/2)+Controls!$B$10*(I228-IF(Controls!$B$7="Normal",Controls!$B$8,(Controls!$B$8+Controls!$B$9)/2))+SQRT(1-Controls!$B$10^2)*(Random!AC229-IF(Controls!$B$7="Normal",Controls!$B$8,(Controls!$B$8+Controls!$B$9)/2)))</f>
        <v/>
      </c>
      <c r="J229" s="10" t="str">
        <f>IF(Random!AD229="","",IF(Controls!$B$7="Normal",Controls!$B$8,(Controls!$B$8+Controls!$B$9)/2)+Controls!$B$10*(J228-IF(Controls!$B$7="Normal",Controls!$B$8,(Controls!$B$8+Controls!$B$9)/2))+SQRT(1-Controls!$B$10^2)*(Random!AD229-IF(Controls!$B$7="Normal",Controls!$B$8,(Controls!$B$8+Controls!$B$9)/2)))</f>
        <v/>
      </c>
      <c r="K229" s="10" t="str">
        <f>IF(Random!AE229="","",IF(Controls!$B$7="Normal",Controls!$B$8,(Controls!$B$8+Controls!$B$9)/2)+Controls!$B$10*(K228-IF(Controls!$B$7="Normal",Controls!$B$8,(Controls!$B$8+Controls!$B$9)/2))+SQRT(1-Controls!$B$10^2)*(Random!AE229-IF(Controls!$B$7="Normal",Controls!$B$8,(Controls!$B$8+Controls!$B$9)/2)))</f>
        <v/>
      </c>
      <c r="L229" s="10" t="str">
        <f>IF($A229="","",IF(AND($A229&gt;=Controls!$B$25,$A229&lt;Controls!$B$25+Controls!$C$25),(Controls!$D$25-1)*EXP(-0.5*(($A229-Controls!$B$25-(Controls!$C$25-1)/2)/MAX(Controls!$C$25/4,0.5))^2),0))</f>
        <v/>
      </c>
      <c r="M229" s="10" t="str">
        <f>IF($A229="","",IF(AND($A229&gt;=Controls!$B$26,$A229&lt;Controls!$B$26+Controls!$C$26),(Controls!$D$26-1)*EXP(-0.5*(($A229-Controls!$B$26-(Controls!$C$26-1)/2)/MAX(Controls!$C$26/4,0.5))^2),0))</f>
        <v/>
      </c>
      <c r="N229" s="10" t="str">
        <f>IF($A229="","",IF(AND($A229&gt;=Controls!$B$27,$A229&lt;Controls!$B$27+Controls!$C$27),(Controls!$D$27-1)*EXP(-0.5*(($A229-Controls!$B$27-(Controls!$C$27-1)/2)/MAX(Controls!$C$27/4,0.5))^2),0))</f>
        <v/>
      </c>
      <c r="O229" s="10" t="str">
        <f>IF($A229="","",IF(AND($A229&gt;=Controls!$B$28,$A229&lt;Controls!$B$28+Controls!$C$28),(Controls!$D$28-1)*EXP(-0.5*(($A229-Controls!$B$28-(Controls!$C$28-1)/2)/MAX(Controls!$C$28/4,0.5))^2),0))</f>
        <v/>
      </c>
      <c r="P229" s="4" t="str">
        <f t="shared" si="1"/>
        <v/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21.0" customHeight="1">
      <c r="A230" s="7" t="str">
        <f>IF(229&lt;=Controls!$B$5,Controls!$B$4+228,"")</f>
        <v/>
      </c>
      <c r="B230" s="10" t="str">
        <f>IF(Random!V230="","",IF(Controls!$B$7="Normal",Controls!$B$8,(Controls!$B$8+Controls!$B$9)/2)+Controls!$B$10*(B229-IF(Controls!$B$7="Normal",Controls!$B$8,(Controls!$B$8+Controls!$B$9)/2))+SQRT(1-Controls!$B$10^2)*(Random!V230-IF(Controls!$B$7="Normal",Controls!$B$8,(Controls!$B$8+Controls!$B$9)/2)))</f>
        <v/>
      </c>
      <c r="C230" s="10" t="str">
        <f>IF(Random!W230="","",IF(Controls!$B$7="Normal",Controls!$B$8,(Controls!$B$8+Controls!$B$9)/2)+Controls!$B$10*(C229-IF(Controls!$B$7="Normal",Controls!$B$8,(Controls!$B$8+Controls!$B$9)/2))+SQRT(1-Controls!$B$10^2)*(Random!W230-IF(Controls!$B$7="Normal",Controls!$B$8,(Controls!$B$8+Controls!$B$9)/2)))</f>
        <v/>
      </c>
      <c r="D230" s="10" t="str">
        <f>IF(Random!X230="","",IF(Controls!$B$7="Normal",Controls!$B$8,(Controls!$B$8+Controls!$B$9)/2)+Controls!$B$10*(D229-IF(Controls!$B$7="Normal",Controls!$B$8,(Controls!$B$8+Controls!$B$9)/2))+SQRT(1-Controls!$B$10^2)*(Random!X230-IF(Controls!$B$7="Normal",Controls!$B$8,(Controls!$B$8+Controls!$B$9)/2)))</f>
        <v/>
      </c>
      <c r="E230" s="10" t="str">
        <f>IF(Random!Y230="","",IF(Controls!$B$7="Normal",Controls!$B$8,(Controls!$B$8+Controls!$B$9)/2)+Controls!$B$10*(E229-IF(Controls!$B$7="Normal",Controls!$B$8,(Controls!$B$8+Controls!$B$9)/2))+SQRT(1-Controls!$B$10^2)*(Random!Y230-IF(Controls!$B$7="Normal",Controls!$B$8,(Controls!$B$8+Controls!$B$9)/2)))</f>
        <v/>
      </c>
      <c r="F230" s="10" t="str">
        <f>IF(Random!Z230="","",IF(Controls!$B$7="Normal",Controls!$B$8,(Controls!$B$8+Controls!$B$9)/2)+Controls!$B$10*(F229-IF(Controls!$B$7="Normal",Controls!$B$8,(Controls!$B$8+Controls!$B$9)/2))+SQRT(1-Controls!$B$10^2)*(Random!Z230-IF(Controls!$B$7="Normal",Controls!$B$8,(Controls!$B$8+Controls!$B$9)/2)))</f>
        <v/>
      </c>
      <c r="G230" s="10" t="str">
        <f>IF(Random!AA230="","",IF(Controls!$B$7="Normal",Controls!$B$8,(Controls!$B$8+Controls!$B$9)/2)+Controls!$B$10*(G229-IF(Controls!$B$7="Normal",Controls!$B$8,(Controls!$B$8+Controls!$B$9)/2))+SQRT(1-Controls!$B$10^2)*(Random!AA230-IF(Controls!$B$7="Normal",Controls!$B$8,(Controls!$B$8+Controls!$B$9)/2)))</f>
        <v/>
      </c>
      <c r="H230" s="10" t="str">
        <f>IF(Random!AB230="","",IF(Controls!$B$7="Normal",Controls!$B$8,(Controls!$B$8+Controls!$B$9)/2)+Controls!$B$10*(H229-IF(Controls!$B$7="Normal",Controls!$B$8,(Controls!$B$8+Controls!$B$9)/2))+SQRT(1-Controls!$B$10^2)*(Random!AB230-IF(Controls!$B$7="Normal",Controls!$B$8,(Controls!$B$8+Controls!$B$9)/2)))</f>
        <v/>
      </c>
      <c r="I230" s="10" t="str">
        <f>IF(Random!AC230="","",IF(Controls!$B$7="Normal",Controls!$B$8,(Controls!$B$8+Controls!$B$9)/2)+Controls!$B$10*(I229-IF(Controls!$B$7="Normal",Controls!$B$8,(Controls!$B$8+Controls!$B$9)/2))+SQRT(1-Controls!$B$10^2)*(Random!AC230-IF(Controls!$B$7="Normal",Controls!$B$8,(Controls!$B$8+Controls!$B$9)/2)))</f>
        <v/>
      </c>
      <c r="J230" s="10" t="str">
        <f>IF(Random!AD230="","",IF(Controls!$B$7="Normal",Controls!$B$8,(Controls!$B$8+Controls!$B$9)/2)+Controls!$B$10*(J229-IF(Controls!$B$7="Normal",Controls!$B$8,(Controls!$B$8+Controls!$B$9)/2))+SQRT(1-Controls!$B$10^2)*(Random!AD230-IF(Controls!$B$7="Normal",Controls!$B$8,(Controls!$B$8+Controls!$B$9)/2)))</f>
        <v/>
      </c>
      <c r="K230" s="10" t="str">
        <f>IF(Random!AE230="","",IF(Controls!$B$7="Normal",Controls!$B$8,(Controls!$B$8+Controls!$B$9)/2)+Controls!$B$10*(K229-IF(Controls!$B$7="Normal",Controls!$B$8,(Controls!$B$8+Controls!$B$9)/2))+SQRT(1-Controls!$B$10^2)*(Random!AE230-IF(Controls!$B$7="Normal",Controls!$B$8,(Controls!$B$8+Controls!$B$9)/2)))</f>
        <v/>
      </c>
      <c r="L230" s="10" t="str">
        <f>IF($A230="","",IF(AND($A230&gt;=Controls!$B$25,$A230&lt;Controls!$B$25+Controls!$C$25),(Controls!$D$25-1)*EXP(-0.5*(($A230-Controls!$B$25-(Controls!$C$25-1)/2)/MAX(Controls!$C$25/4,0.5))^2),0))</f>
        <v/>
      </c>
      <c r="M230" s="10" t="str">
        <f>IF($A230="","",IF(AND($A230&gt;=Controls!$B$26,$A230&lt;Controls!$B$26+Controls!$C$26),(Controls!$D$26-1)*EXP(-0.5*(($A230-Controls!$B$26-(Controls!$C$26-1)/2)/MAX(Controls!$C$26/4,0.5))^2),0))</f>
        <v/>
      </c>
      <c r="N230" s="10" t="str">
        <f>IF($A230="","",IF(AND($A230&gt;=Controls!$B$27,$A230&lt;Controls!$B$27+Controls!$C$27),(Controls!$D$27-1)*EXP(-0.5*(($A230-Controls!$B$27-(Controls!$C$27-1)/2)/MAX(Controls!$C$27/4,0.5))^2),0))</f>
        <v/>
      </c>
      <c r="O230" s="10" t="str">
        <f>IF($A230="","",IF(AND($A230&gt;=Controls!$B$28,$A230&lt;Controls!$B$28+Controls!$C$28),(Controls!$D$28-1)*EXP(-0.5*(($A230-Controls!$B$28-(Controls!$C$28-1)/2)/MAX(Controls!$C$28/4,0.5))^2),0))</f>
        <v/>
      </c>
      <c r="P230" s="4" t="str">
        <f t="shared" si="1"/>
        <v/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21.0" customHeight="1">
      <c r="A231" s="7" t="str">
        <f>IF(230&lt;=Controls!$B$5,Controls!$B$4+229,"")</f>
        <v/>
      </c>
      <c r="B231" s="10" t="str">
        <f>IF(Random!V231="","",IF(Controls!$B$7="Normal",Controls!$B$8,(Controls!$B$8+Controls!$B$9)/2)+Controls!$B$10*(B230-IF(Controls!$B$7="Normal",Controls!$B$8,(Controls!$B$8+Controls!$B$9)/2))+SQRT(1-Controls!$B$10^2)*(Random!V231-IF(Controls!$B$7="Normal",Controls!$B$8,(Controls!$B$8+Controls!$B$9)/2)))</f>
        <v/>
      </c>
      <c r="C231" s="10" t="str">
        <f>IF(Random!W231="","",IF(Controls!$B$7="Normal",Controls!$B$8,(Controls!$B$8+Controls!$B$9)/2)+Controls!$B$10*(C230-IF(Controls!$B$7="Normal",Controls!$B$8,(Controls!$B$8+Controls!$B$9)/2))+SQRT(1-Controls!$B$10^2)*(Random!W231-IF(Controls!$B$7="Normal",Controls!$B$8,(Controls!$B$8+Controls!$B$9)/2)))</f>
        <v/>
      </c>
      <c r="D231" s="10" t="str">
        <f>IF(Random!X231="","",IF(Controls!$B$7="Normal",Controls!$B$8,(Controls!$B$8+Controls!$B$9)/2)+Controls!$B$10*(D230-IF(Controls!$B$7="Normal",Controls!$B$8,(Controls!$B$8+Controls!$B$9)/2))+SQRT(1-Controls!$B$10^2)*(Random!X231-IF(Controls!$B$7="Normal",Controls!$B$8,(Controls!$B$8+Controls!$B$9)/2)))</f>
        <v/>
      </c>
      <c r="E231" s="10" t="str">
        <f>IF(Random!Y231="","",IF(Controls!$B$7="Normal",Controls!$B$8,(Controls!$B$8+Controls!$B$9)/2)+Controls!$B$10*(E230-IF(Controls!$B$7="Normal",Controls!$B$8,(Controls!$B$8+Controls!$B$9)/2))+SQRT(1-Controls!$B$10^2)*(Random!Y231-IF(Controls!$B$7="Normal",Controls!$B$8,(Controls!$B$8+Controls!$B$9)/2)))</f>
        <v/>
      </c>
      <c r="F231" s="10" t="str">
        <f>IF(Random!Z231="","",IF(Controls!$B$7="Normal",Controls!$B$8,(Controls!$B$8+Controls!$B$9)/2)+Controls!$B$10*(F230-IF(Controls!$B$7="Normal",Controls!$B$8,(Controls!$B$8+Controls!$B$9)/2))+SQRT(1-Controls!$B$10^2)*(Random!Z231-IF(Controls!$B$7="Normal",Controls!$B$8,(Controls!$B$8+Controls!$B$9)/2)))</f>
        <v/>
      </c>
      <c r="G231" s="10" t="str">
        <f>IF(Random!AA231="","",IF(Controls!$B$7="Normal",Controls!$B$8,(Controls!$B$8+Controls!$B$9)/2)+Controls!$B$10*(G230-IF(Controls!$B$7="Normal",Controls!$B$8,(Controls!$B$8+Controls!$B$9)/2))+SQRT(1-Controls!$B$10^2)*(Random!AA231-IF(Controls!$B$7="Normal",Controls!$B$8,(Controls!$B$8+Controls!$B$9)/2)))</f>
        <v/>
      </c>
      <c r="H231" s="10" t="str">
        <f>IF(Random!AB231="","",IF(Controls!$B$7="Normal",Controls!$B$8,(Controls!$B$8+Controls!$B$9)/2)+Controls!$B$10*(H230-IF(Controls!$B$7="Normal",Controls!$B$8,(Controls!$B$8+Controls!$B$9)/2))+SQRT(1-Controls!$B$10^2)*(Random!AB231-IF(Controls!$B$7="Normal",Controls!$B$8,(Controls!$B$8+Controls!$B$9)/2)))</f>
        <v/>
      </c>
      <c r="I231" s="10" t="str">
        <f>IF(Random!AC231="","",IF(Controls!$B$7="Normal",Controls!$B$8,(Controls!$B$8+Controls!$B$9)/2)+Controls!$B$10*(I230-IF(Controls!$B$7="Normal",Controls!$B$8,(Controls!$B$8+Controls!$B$9)/2))+SQRT(1-Controls!$B$10^2)*(Random!AC231-IF(Controls!$B$7="Normal",Controls!$B$8,(Controls!$B$8+Controls!$B$9)/2)))</f>
        <v/>
      </c>
      <c r="J231" s="10" t="str">
        <f>IF(Random!AD231="","",IF(Controls!$B$7="Normal",Controls!$B$8,(Controls!$B$8+Controls!$B$9)/2)+Controls!$B$10*(J230-IF(Controls!$B$7="Normal",Controls!$B$8,(Controls!$B$8+Controls!$B$9)/2))+SQRT(1-Controls!$B$10^2)*(Random!AD231-IF(Controls!$B$7="Normal",Controls!$B$8,(Controls!$B$8+Controls!$B$9)/2)))</f>
        <v/>
      </c>
      <c r="K231" s="10" t="str">
        <f>IF(Random!AE231="","",IF(Controls!$B$7="Normal",Controls!$B$8,(Controls!$B$8+Controls!$B$9)/2)+Controls!$B$10*(K230-IF(Controls!$B$7="Normal",Controls!$B$8,(Controls!$B$8+Controls!$B$9)/2))+SQRT(1-Controls!$B$10^2)*(Random!AE231-IF(Controls!$B$7="Normal",Controls!$B$8,(Controls!$B$8+Controls!$B$9)/2)))</f>
        <v/>
      </c>
      <c r="L231" s="10" t="str">
        <f>IF($A231="","",IF(AND($A231&gt;=Controls!$B$25,$A231&lt;Controls!$B$25+Controls!$C$25),(Controls!$D$25-1)*EXP(-0.5*(($A231-Controls!$B$25-(Controls!$C$25-1)/2)/MAX(Controls!$C$25/4,0.5))^2),0))</f>
        <v/>
      </c>
      <c r="M231" s="10" t="str">
        <f>IF($A231="","",IF(AND($A231&gt;=Controls!$B$26,$A231&lt;Controls!$B$26+Controls!$C$26),(Controls!$D$26-1)*EXP(-0.5*(($A231-Controls!$B$26-(Controls!$C$26-1)/2)/MAX(Controls!$C$26/4,0.5))^2),0))</f>
        <v/>
      </c>
      <c r="N231" s="10" t="str">
        <f>IF($A231="","",IF(AND($A231&gt;=Controls!$B$27,$A231&lt;Controls!$B$27+Controls!$C$27),(Controls!$D$27-1)*EXP(-0.5*(($A231-Controls!$B$27-(Controls!$C$27-1)/2)/MAX(Controls!$C$27/4,0.5))^2),0))</f>
        <v/>
      </c>
      <c r="O231" s="10" t="str">
        <f>IF($A231="","",IF(AND($A231&gt;=Controls!$B$28,$A231&lt;Controls!$B$28+Controls!$C$28),(Controls!$D$28-1)*EXP(-0.5*(($A231-Controls!$B$28-(Controls!$C$28-1)/2)/MAX(Controls!$C$28/4,0.5))^2),0))</f>
        <v/>
      </c>
      <c r="P231" s="4" t="str">
        <f t="shared" si="1"/>
        <v/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21.0" customHeight="1">
      <c r="A232" s="7" t="str">
        <f>IF(231&lt;=Controls!$B$5,Controls!$B$4+230,"")</f>
        <v/>
      </c>
      <c r="B232" s="10" t="str">
        <f>IF(Random!V232="","",IF(Controls!$B$7="Normal",Controls!$B$8,(Controls!$B$8+Controls!$B$9)/2)+Controls!$B$10*(B231-IF(Controls!$B$7="Normal",Controls!$B$8,(Controls!$B$8+Controls!$B$9)/2))+SQRT(1-Controls!$B$10^2)*(Random!V232-IF(Controls!$B$7="Normal",Controls!$B$8,(Controls!$B$8+Controls!$B$9)/2)))</f>
        <v/>
      </c>
      <c r="C232" s="10" t="str">
        <f>IF(Random!W232="","",IF(Controls!$B$7="Normal",Controls!$B$8,(Controls!$B$8+Controls!$B$9)/2)+Controls!$B$10*(C231-IF(Controls!$B$7="Normal",Controls!$B$8,(Controls!$B$8+Controls!$B$9)/2))+SQRT(1-Controls!$B$10^2)*(Random!W232-IF(Controls!$B$7="Normal",Controls!$B$8,(Controls!$B$8+Controls!$B$9)/2)))</f>
        <v/>
      </c>
      <c r="D232" s="10" t="str">
        <f>IF(Random!X232="","",IF(Controls!$B$7="Normal",Controls!$B$8,(Controls!$B$8+Controls!$B$9)/2)+Controls!$B$10*(D231-IF(Controls!$B$7="Normal",Controls!$B$8,(Controls!$B$8+Controls!$B$9)/2))+SQRT(1-Controls!$B$10^2)*(Random!X232-IF(Controls!$B$7="Normal",Controls!$B$8,(Controls!$B$8+Controls!$B$9)/2)))</f>
        <v/>
      </c>
      <c r="E232" s="10" t="str">
        <f>IF(Random!Y232="","",IF(Controls!$B$7="Normal",Controls!$B$8,(Controls!$B$8+Controls!$B$9)/2)+Controls!$B$10*(E231-IF(Controls!$B$7="Normal",Controls!$B$8,(Controls!$B$8+Controls!$B$9)/2))+SQRT(1-Controls!$B$10^2)*(Random!Y232-IF(Controls!$B$7="Normal",Controls!$B$8,(Controls!$B$8+Controls!$B$9)/2)))</f>
        <v/>
      </c>
      <c r="F232" s="10" t="str">
        <f>IF(Random!Z232="","",IF(Controls!$B$7="Normal",Controls!$B$8,(Controls!$B$8+Controls!$B$9)/2)+Controls!$B$10*(F231-IF(Controls!$B$7="Normal",Controls!$B$8,(Controls!$B$8+Controls!$B$9)/2))+SQRT(1-Controls!$B$10^2)*(Random!Z232-IF(Controls!$B$7="Normal",Controls!$B$8,(Controls!$B$8+Controls!$B$9)/2)))</f>
        <v/>
      </c>
      <c r="G232" s="10" t="str">
        <f>IF(Random!AA232="","",IF(Controls!$B$7="Normal",Controls!$B$8,(Controls!$B$8+Controls!$B$9)/2)+Controls!$B$10*(G231-IF(Controls!$B$7="Normal",Controls!$B$8,(Controls!$B$8+Controls!$B$9)/2))+SQRT(1-Controls!$B$10^2)*(Random!AA232-IF(Controls!$B$7="Normal",Controls!$B$8,(Controls!$B$8+Controls!$B$9)/2)))</f>
        <v/>
      </c>
      <c r="H232" s="10" t="str">
        <f>IF(Random!AB232="","",IF(Controls!$B$7="Normal",Controls!$B$8,(Controls!$B$8+Controls!$B$9)/2)+Controls!$B$10*(H231-IF(Controls!$B$7="Normal",Controls!$B$8,(Controls!$B$8+Controls!$B$9)/2))+SQRT(1-Controls!$B$10^2)*(Random!AB232-IF(Controls!$B$7="Normal",Controls!$B$8,(Controls!$B$8+Controls!$B$9)/2)))</f>
        <v/>
      </c>
      <c r="I232" s="10" t="str">
        <f>IF(Random!AC232="","",IF(Controls!$B$7="Normal",Controls!$B$8,(Controls!$B$8+Controls!$B$9)/2)+Controls!$B$10*(I231-IF(Controls!$B$7="Normal",Controls!$B$8,(Controls!$B$8+Controls!$B$9)/2))+SQRT(1-Controls!$B$10^2)*(Random!AC232-IF(Controls!$B$7="Normal",Controls!$B$8,(Controls!$B$8+Controls!$B$9)/2)))</f>
        <v/>
      </c>
      <c r="J232" s="10" t="str">
        <f>IF(Random!AD232="","",IF(Controls!$B$7="Normal",Controls!$B$8,(Controls!$B$8+Controls!$B$9)/2)+Controls!$B$10*(J231-IF(Controls!$B$7="Normal",Controls!$B$8,(Controls!$B$8+Controls!$B$9)/2))+SQRT(1-Controls!$B$10^2)*(Random!AD232-IF(Controls!$B$7="Normal",Controls!$B$8,(Controls!$B$8+Controls!$B$9)/2)))</f>
        <v/>
      </c>
      <c r="K232" s="10" t="str">
        <f>IF(Random!AE232="","",IF(Controls!$B$7="Normal",Controls!$B$8,(Controls!$B$8+Controls!$B$9)/2)+Controls!$B$10*(K231-IF(Controls!$B$7="Normal",Controls!$B$8,(Controls!$B$8+Controls!$B$9)/2))+SQRT(1-Controls!$B$10^2)*(Random!AE232-IF(Controls!$B$7="Normal",Controls!$B$8,(Controls!$B$8+Controls!$B$9)/2)))</f>
        <v/>
      </c>
      <c r="L232" s="10" t="str">
        <f>IF($A232="","",IF(AND($A232&gt;=Controls!$B$25,$A232&lt;Controls!$B$25+Controls!$C$25),(Controls!$D$25-1)*EXP(-0.5*(($A232-Controls!$B$25-(Controls!$C$25-1)/2)/MAX(Controls!$C$25/4,0.5))^2),0))</f>
        <v/>
      </c>
      <c r="M232" s="10" t="str">
        <f>IF($A232="","",IF(AND($A232&gt;=Controls!$B$26,$A232&lt;Controls!$B$26+Controls!$C$26),(Controls!$D$26-1)*EXP(-0.5*(($A232-Controls!$B$26-(Controls!$C$26-1)/2)/MAX(Controls!$C$26/4,0.5))^2),0))</f>
        <v/>
      </c>
      <c r="N232" s="10" t="str">
        <f>IF($A232="","",IF(AND($A232&gt;=Controls!$B$27,$A232&lt;Controls!$B$27+Controls!$C$27),(Controls!$D$27-1)*EXP(-0.5*(($A232-Controls!$B$27-(Controls!$C$27-1)/2)/MAX(Controls!$C$27/4,0.5))^2),0))</f>
        <v/>
      </c>
      <c r="O232" s="10" t="str">
        <f>IF($A232="","",IF(AND($A232&gt;=Controls!$B$28,$A232&lt;Controls!$B$28+Controls!$C$28),(Controls!$D$28-1)*EXP(-0.5*(($A232-Controls!$B$28-(Controls!$C$28-1)/2)/MAX(Controls!$C$28/4,0.5))^2),0))</f>
        <v/>
      </c>
      <c r="P232" s="4" t="str">
        <f t="shared" si="1"/>
        <v/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21.0" customHeight="1">
      <c r="A233" s="7" t="str">
        <f>IF(232&lt;=Controls!$B$5,Controls!$B$4+231,"")</f>
        <v/>
      </c>
      <c r="B233" s="10" t="str">
        <f>IF(Random!V233="","",IF(Controls!$B$7="Normal",Controls!$B$8,(Controls!$B$8+Controls!$B$9)/2)+Controls!$B$10*(B232-IF(Controls!$B$7="Normal",Controls!$B$8,(Controls!$B$8+Controls!$B$9)/2))+SQRT(1-Controls!$B$10^2)*(Random!V233-IF(Controls!$B$7="Normal",Controls!$B$8,(Controls!$B$8+Controls!$B$9)/2)))</f>
        <v/>
      </c>
      <c r="C233" s="10" t="str">
        <f>IF(Random!W233="","",IF(Controls!$B$7="Normal",Controls!$B$8,(Controls!$B$8+Controls!$B$9)/2)+Controls!$B$10*(C232-IF(Controls!$B$7="Normal",Controls!$B$8,(Controls!$B$8+Controls!$B$9)/2))+SQRT(1-Controls!$B$10^2)*(Random!W233-IF(Controls!$B$7="Normal",Controls!$B$8,(Controls!$B$8+Controls!$B$9)/2)))</f>
        <v/>
      </c>
      <c r="D233" s="10" t="str">
        <f>IF(Random!X233="","",IF(Controls!$B$7="Normal",Controls!$B$8,(Controls!$B$8+Controls!$B$9)/2)+Controls!$B$10*(D232-IF(Controls!$B$7="Normal",Controls!$B$8,(Controls!$B$8+Controls!$B$9)/2))+SQRT(1-Controls!$B$10^2)*(Random!X233-IF(Controls!$B$7="Normal",Controls!$B$8,(Controls!$B$8+Controls!$B$9)/2)))</f>
        <v/>
      </c>
      <c r="E233" s="10" t="str">
        <f>IF(Random!Y233="","",IF(Controls!$B$7="Normal",Controls!$B$8,(Controls!$B$8+Controls!$B$9)/2)+Controls!$B$10*(E232-IF(Controls!$B$7="Normal",Controls!$B$8,(Controls!$B$8+Controls!$B$9)/2))+SQRT(1-Controls!$B$10^2)*(Random!Y233-IF(Controls!$B$7="Normal",Controls!$B$8,(Controls!$B$8+Controls!$B$9)/2)))</f>
        <v/>
      </c>
      <c r="F233" s="10" t="str">
        <f>IF(Random!Z233="","",IF(Controls!$B$7="Normal",Controls!$B$8,(Controls!$B$8+Controls!$B$9)/2)+Controls!$B$10*(F232-IF(Controls!$B$7="Normal",Controls!$B$8,(Controls!$B$8+Controls!$B$9)/2))+SQRT(1-Controls!$B$10^2)*(Random!Z233-IF(Controls!$B$7="Normal",Controls!$B$8,(Controls!$B$8+Controls!$B$9)/2)))</f>
        <v/>
      </c>
      <c r="G233" s="10" t="str">
        <f>IF(Random!AA233="","",IF(Controls!$B$7="Normal",Controls!$B$8,(Controls!$B$8+Controls!$B$9)/2)+Controls!$B$10*(G232-IF(Controls!$B$7="Normal",Controls!$B$8,(Controls!$B$8+Controls!$B$9)/2))+SQRT(1-Controls!$B$10^2)*(Random!AA233-IF(Controls!$B$7="Normal",Controls!$B$8,(Controls!$B$8+Controls!$B$9)/2)))</f>
        <v/>
      </c>
      <c r="H233" s="10" t="str">
        <f>IF(Random!AB233="","",IF(Controls!$B$7="Normal",Controls!$B$8,(Controls!$B$8+Controls!$B$9)/2)+Controls!$B$10*(H232-IF(Controls!$B$7="Normal",Controls!$B$8,(Controls!$B$8+Controls!$B$9)/2))+SQRT(1-Controls!$B$10^2)*(Random!AB233-IF(Controls!$B$7="Normal",Controls!$B$8,(Controls!$B$8+Controls!$B$9)/2)))</f>
        <v/>
      </c>
      <c r="I233" s="10" t="str">
        <f>IF(Random!AC233="","",IF(Controls!$B$7="Normal",Controls!$B$8,(Controls!$B$8+Controls!$B$9)/2)+Controls!$B$10*(I232-IF(Controls!$B$7="Normal",Controls!$B$8,(Controls!$B$8+Controls!$B$9)/2))+SQRT(1-Controls!$B$10^2)*(Random!AC233-IF(Controls!$B$7="Normal",Controls!$B$8,(Controls!$B$8+Controls!$B$9)/2)))</f>
        <v/>
      </c>
      <c r="J233" s="10" t="str">
        <f>IF(Random!AD233="","",IF(Controls!$B$7="Normal",Controls!$B$8,(Controls!$B$8+Controls!$B$9)/2)+Controls!$B$10*(J232-IF(Controls!$B$7="Normal",Controls!$B$8,(Controls!$B$8+Controls!$B$9)/2))+SQRT(1-Controls!$B$10^2)*(Random!AD233-IF(Controls!$B$7="Normal",Controls!$B$8,(Controls!$B$8+Controls!$B$9)/2)))</f>
        <v/>
      </c>
      <c r="K233" s="10" t="str">
        <f>IF(Random!AE233="","",IF(Controls!$B$7="Normal",Controls!$B$8,(Controls!$B$8+Controls!$B$9)/2)+Controls!$B$10*(K232-IF(Controls!$B$7="Normal",Controls!$B$8,(Controls!$B$8+Controls!$B$9)/2))+SQRT(1-Controls!$B$10^2)*(Random!AE233-IF(Controls!$B$7="Normal",Controls!$B$8,(Controls!$B$8+Controls!$B$9)/2)))</f>
        <v/>
      </c>
      <c r="L233" s="10" t="str">
        <f>IF($A233="","",IF(AND($A233&gt;=Controls!$B$25,$A233&lt;Controls!$B$25+Controls!$C$25),(Controls!$D$25-1)*EXP(-0.5*(($A233-Controls!$B$25-(Controls!$C$25-1)/2)/MAX(Controls!$C$25/4,0.5))^2),0))</f>
        <v/>
      </c>
      <c r="M233" s="10" t="str">
        <f>IF($A233="","",IF(AND($A233&gt;=Controls!$B$26,$A233&lt;Controls!$B$26+Controls!$C$26),(Controls!$D$26-1)*EXP(-0.5*(($A233-Controls!$B$26-(Controls!$C$26-1)/2)/MAX(Controls!$C$26/4,0.5))^2),0))</f>
        <v/>
      </c>
      <c r="N233" s="10" t="str">
        <f>IF($A233="","",IF(AND($A233&gt;=Controls!$B$27,$A233&lt;Controls!$B$27+Controls!$C$27),(Controls!$D$27-1)*EXP(-0.5*(($A233-Controls!$B$27-(Controls!$C$27-1)/2)/MAX(Controls!$C$27/4,0.5))^2),0))</f>
        <v/>
      </c>
      <c r="O233" s="10" t="str">
        <f>IF($A233="","",IF(AND($A233&gt;=Controls!$B$28,$A233&lt;Controls!$B$28+Controls!$C$28),(Controls!$D$28-1)*EXP(-0.5*(($A233-Controls!$B$28-(Controls!$C$28-1)/2)/MAX(Controls!$C$28/4,0.5))^2),0))</f>
        <v/>
      </c>
      <c r="P233" s="4" t="str">
        <f t="shared" si="1"/>
        <v/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21.0" customHeight="1">
      <c r="A234" s="7" t="str">
        <f>IF(233&lt;=Controls!$B$5,Controls!$B$4+232,"")</f>
        <v/>
      </c>
      <c r="B234" s="10" t="str">
        <f>IF(Random!V234="","",IF(Controls!$B$7="Normal",Controls!$B$8,(Controls!$B$8+Controls!$B$9)/2)+Controls!$B$10*(B233-IF(Controls!$B$7="Normal",Controls!$B$8,(Controls!$B$8+Controls!$B$9)/2))+SQRT(1-Controls!$B$10^2)*(Random!V234-IF(Controls!$B$7="Normal",Controls!$B$8,(Controls!$B$8+Controls!$B$9)/2)))</f>
        <v/>
      </c>
      <c r="C234" s="10" t="str">
        <f>IF(Random!W234="","",IF(Controls!$B$7="Normal",Controls!$B$8,(Controls!$B$8+Controls!$B$9)/2)+Controls!$B$10*(C233-IF(Controls!$B$7="Normal",Controls!$B$8,(Controls!$B$8+Controls!$B$9)/2))+SQRT(1-Controls!$B$10^2)*(Random!W234-IF(Controls!$B$7="Normal",Controls!$B$8,(Controls!$B$8+Controls!$B$9)/2)))</f>
        <v/>
      </c>
      <c r="D234" s="10" t="str">
        <f>IF(Random!X234="","",IF(Controls!$B$7="Normal",Controls!$B$8,(Controls!$B$8+Controls!$B$9)/2)+Controls!$B$10*(D233-IF(Controls!$B$7="Normal",Controls!$B$8,(Controls!$B$8+Controls!$B$9)/2))+SQRT(1-Controls!$B$10^2)*(Random!X234-IF(Controls!$B$7="Normal",Controls!$B$8,(Controls!$B$8+Controls!$B$9)/2)))</f>
        <v/>
      </c>
      <c r="E234" s="10" t="str">
        <f>IF(Random!Y234="","",IF(Controls!$B$7="Normal",Controls!$B$8,(Controls!$B$8+Controls!$B$9)/2)+Controls!$B$10*(E233-IF(Controls!$B$7="Normal",Controls!$B$8,(Controls!$B$8+Controls!$B$9)/2))+SQRT(1-Controls!$B$10^2)*(Random!Y234-IF(Controls!$B$7="Normal",Controls!$B$8,(Controls!$B$8+Controls!$B$9)/2)))</f>
        <v/>
      </c>
      <c r="F234" s="10" t="str">
        <f>IF(Random!Z234="","",IF(Controls!$B$7="Normal",Controls!$B$8,(Controls!$B$8+Controls!$B$9)/2)+Controls!$B$10*(F233-IF(Controls!$B$7="Normal",Controls!$B$8,(Controls!$B$8+Controls!$B$9)/2))+SQRT(1-Controls!$B$10^2)*(Random!Z234-IF(Controls!$B$7="Normal",Controls!$B$8,(Controls!$B$8+Controls!$B$9)/2)))</f>
        <v/>
      </c>
      <c r="G234" s="10" t="str">
        <f>IF(Random!AA234="","",IF(Controls!$B$7="Normal",Controls!$B$8,(Controls!$B$8+Controls!$B$9)/2)+Controls!$B$10*(G233-IF(Controls!$B$7="Normal",Controls!$B$8,(Controls!$B$8+Controls!$B$9)/2))+SQRT(1-Controls!$B$10^2)*(Random!AA234-IF(Controls!$B$7="Normal",Controls!$B$8,(Controls!$B$8+Controls!$B$9)/2)))</f>
        <v/>
      </c>
      <c r="H234" s="10" t="str">
        <f>IF(Random!AB234="","",IF(Controls!$B$7="Normal",Controls!$B$8,(Controls!$B$8+Controls!$B$9)/2)+Controls!$B$10*(H233-IF(Controls!$B$7="Normal",Controls!$B$8,(Controls!$B$8+Controls!$B$9)/2))+SQRT(1-Controls!$B$10^2)*(Random!AB234-IF(Controls!$B$7="Normal",Controls!$B$8,(Controls!$B$8+Controls!$B$9)/2)))</f>
        <v/>
      </c>
      <c r="I234" s="10" t="str">
        <f>IF(Random!AC234="","",IF(Controls!$B$7="Normal",Controls!$B$8,(Controls!$B$8+Controls!$B$9)/2)+Controls!$B$10*(I233-IF(Controls!$B$7="Normal",Controls!$B$8,(Controls!$B$8+Controls!$B$9)/2))+SQRT(1-Controls!$B$10^2)*(Random!AC234-IF(Controls!$B$7="Normal",Controls!$B$8,(Controls!$B$8+Controls!$B$9)/2)))</f>
        <v/>
      </c>
      <c r="J234" s="10" t="str">
        <f>IF(Random!AD234="","",IF(Controls!$B$7="Normal",Controls!$B$8,(Controls!$B$8+Controls!$B$9)/2)+Controls!$B$10*(J233-IF(Controls!$B$7="Normal",Controls!$B$8,(Controls!$B$8+Controls!$B$9)/2))+SQRT(1-Controls!$B$10^2)*(Random!AD234-IF(Controls!$B$7="Normal",Controls!$B$8,(Controls!$B$8+Controls!$B$9)/2)))</f>
        <v/>
      </c>
      <c r="K234" s="10" t="str">
        <f>IF(Random!AE234="","",IF(Controls!$B$7="Normal",Controls!$B$8,(Controls!$B$8+Controls!$B$9)/2)+Controls!$B$10*(K233-IF(Controls!$B$7="Normal",Controls!$B$8,(Controls!$B$8+Controls!$B$9)/2))+SQRT(1-Controls!$B$10^2)*(Random!AE234-IF(Controls!$B$7="Normal",Controls!$B$8,(Controls!$B$8+Controls!$B$9)/2)))</f>
        <v/>
      </c>
      <c r="L234" s="10" t="str">
        <f>IF($A234="","",IF(AND($A234&gt;=Controls!$B$25,$A234&lt;Controls!$B$25+Controls!$C$25),(Controls!$D$25-1)*EXP(-0.5*(($A234-Controls!$B$25-(Controls!$C$25-1)/2)/MAX(Controls!$C$25/4,0.5))^2),0))</f>
        <v/>
      </c>
      <c r="M234" s="10" t="str">
        <f>IF($A234="","",IF(AND($A234&gt;=Controls!$B$26,$A234&lt;Controls!$B$26+Controls!$C$26),(Controls!$D$26-1)*EXP(-0.5*(($A234-Controls!$B$26-(Controls!$C$26-1)/2)/MAX(Controls!$C$26/4,0.5))^2),0))</f>
        <v/>
      </c>
      <c r="N234" s="10" t="str">
        <f>IF($A234="","",IF(AND($A234&gt;=Controls!$B$27,$A234&lt;Controls!$B$27+Controls!$C$27),(Controls!$D$27-1)*EXP(-0.5*(($A234-Controls!$B$27-(Controls!$C$27-1)/2)/MAX(Controls!$C$27/4,0.5))^2),0))</f>
        <v/>
      </c>
      <c r="O234" s="10" t="str">
        <f>IF($A234="","",IF(AND($A234&gt;=Controls!$B$28,$A234&lt;Controls!$B$28+Controls!$C$28),(Controls!$D$28-1)*EXP(-0.5*(($A234-Controls!$B$28-(Controls!$C$28-1)/2)/MAX(Controls!$C$28/4,0.5))^2),0))</f>
        <v/>
      </c>
      <c r="P234" s="4" t="str">
        <f t="shared" si="1"/>
        <v/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21.0" customHeight="1">
      <c r="A235" s="7" t="str">
        <f>IF(234&lt;=Controls!$B$5,Controls!$B$4+233,"")</f>
        <v/>
      </c>
      <c r="B235" s="10" t="str">
        <f>IF(Random!V235="","",IF(Controls!$B$7="Normal",Controls!$B$8,(Controls!$B$8+Controls!$B$9)/2)+Controls!$B$10*(B234-IF(Controls!$B$7="Normal",Controls!$B$8,(Controls!$B$8+Controls!$B$9)/2))+SQRT(1-Controls!$B$10^2)*(Random!V235-IF(Controls!$B$7="Normal",Controls!$B$8,(Controls!$B$8+Controls!$B$9)/2)))</f>
        <v/>
      </c>
      <c r="C235" s="10" t="str">
        <f>IF(Random!W235="","",IF(Controls!$B$7="Normal",Controls!$B$8,(Controls!$B$8+Controls!$B$9)/2)+Controls!$B$10*(C234-IF(Controls!$B$7="Normal",Controls!$B$8,(Controls!$B$8+Controls!$B$9)/2))+SQRT(1-Controls!$B$10^2)*(Random!W235-IF(Controls!$B$7="Normal",Controls!$B$8,(Controls!$B$8+Controls!$B$9)/2)))</f>
        <v/>
      </c>
      <c r="D235" s="10" t="str">
        <f>IF(Random!X235="","",IF(Controls!$B$7="Normal",Controls!$B$8,(Controls!$B$8+Controls!$B$9)/2)+Controls!$B$10*(D234-IF(Controls!$B$7="Normal",Controls!$B$8,(Controls!$B$8+Controls!$B$9)/2))+SQRT(1-Controls!$B$10^2)*(Random!X235-IF(Controls!$B$7="Normal",Controls!$B$8,(Controls!$B$8+Controls!$B$9)/2)))</f>
        <v/>
      </c>
      <c r="E235" s="10" t="str">
        <f>IF(Random!Y235="","",IF(Controls!$B$7="Normal",Controls!$B$8,(Controls!$B$8+Controls!$B$9)/2)+Controls!$B$10*(E234-IF(Controls!$B$7="Normal",Controls!$B$8,(Controls!$B$8+Controls!$B$9)/2))+SQRT(1-Controls!$B$10^2)*(Random!Y235-IF(Controls!$B$7="Normal",Controls!$B$8,(Controls!$B$8+Controls!$B$9)/2)))</f>
        <v/>
      </c>
      <c r="F235" s="10" t="str">
        <f>IF(Random!Z235="","",IF(Controls!$B$7="Normal",Controls!$B$8,(Controls!$B$8+Controls!$B$9)/2)+Controls!$B$10*(F234-IF(Controls!$B$7="Normal",Controls!$B$8,(Controls!$B$8+Controls!$B$9)/2))+SQRT(1-Controls!$B$10^2)*(Random!Z235-IF(Controls!$B$7="Normal",Controls!$B$8,(Controls!$B$8+Controls!$B$9)/2)))</f>
        <v/>
      </c>
      <c r="G235" s="10" t="str">
        <f>IF(Random!AA235="","",IF(Controls!$B$7="Normal",Controls!$B$8,(Controls!$B$8+Controls!$B$9)/2)+Controls!$B$10*(G234-IF(Controls!$B$7="Normal",Controls!$B$8,(Controls!$B$8+Controls!$B$9)/2))+SQRT(1-Controls!$B$10^2)*(Random!AA235-IF(Controls!$B$7="Normal",Controls!$B$8,(Controls!$B$8+Controls!$B$9)/2)))</f>
        <v/>
      </c>
      <c r="H235" s="10" t="str">
        <f>IF(Random!AB235="","",IF(Controls!$B$7="Normal",Controls!$B$8,(Controls!$B$8+Controls!$B$9)/2)+Controls!$B$10*(H234-IF(Controls!$B$7="Normal",Controls!$B$8,(Controls!$B$8+Controls!$B$9)/2))+SQRT(1-Controls!$B$10^2)*(Random!AB235-IF(Controls!$B$7="Normal",Controls!$B$8,(Controls!$B$8+Controls!$B$9)/2)))</f>
        <v/>
      </c>
      <c r="I235" s="10" t="str">
        <f>IF(Random!AC235="","",IF(Controls!$B$7="Normal",Controls!$B$8,(Controls!$B$8+Controls!$B$9)/2)+Controls!$B$10*(I234-IF(Controls!$B$7="Normal",Controls!$B$8,(Controls!$B$8+Controls!$B$9)/2))+SQRT(1-Controls!$B$10^2)*(Random!AC235-IF(Controls!$B$7="Normal",Controls!$B$8,(Controls!$B$8+Controls!$B$9)/2)))</f>
        <v/>
      </c>
      <c r="J235" s="10" t="str">
        <f>IF(Random!AD235="","",IF(Controls!$B$7="Normal",Controls!$B$8,(Controls!$B$8+Controls!$B$9)/2)+Controls!$B$10*(J234-IF(Controls!$B$7="Normal",Controls!$B$8,(Controls!$B$8+Controls!$B$9)/2))+SQRT(1-Controls!$B$10^2)*(Random!AD235-IF(Controls!$B$7="Normal",Controls!$B$8,(Controls!$B$8+Controls!$B$9)/2)))</f>
        <v/>
      </c>
      <c r="K235" s="10" t="str">
        <f>IF(Random!AE235="","",IF(Controls!$B$7="Normal",Controls!$B$8,(Controls!$B$8+Controls!$B$9)/2)+Controls!$B$10*(K234-IF(Controls!$B$7="Normal",Controls!$B$8,(Controls!$B$8+Controls!$B$9)/2))+SQRT(1-Controls!$B$10^2)*(Random!AE235-IF(Controls!$B$7="Normal",Controls!$B$8,(Controls!$B$8+Controls!$B$9)/2)))</f>
        <v/>
      </c>
      <c r="L235" s="10" t="str">
        <f>IF($A235="","",IF(AND($A235&gt;=Controls!$B$25,$A235&lt;Controls!$B$25+Controls!$C$25),(Controls!$D$25-1)*EXP(-0.5*(($A235-Controls!$B$25-(Controls!$C$25-1)/2)/MAX(Controls!$C$25/4,0.5))^2),0))</f>
        <v/>
      </c>
      <c r="M235" s="10" t="str">
        <f>IF($A235="","",IF(AND($A235&gt;=Controls!$B$26,$A235&lt;Controls!$B$26+Controls!$C$26),(Controls!$D$26-1)*EXP(-0.5*(($A235-Controls!$B$26-(Controls!$C$26-1)/2)/MAX(Controls!$C$26/4,0.5))^2),0))</f>
        <v/>
      </c>
      <c r="N235" s="10" t="str">
        <f>IF($A235="","",IF(AND($A235&gt;=Controls!$B$27,$A235&lt;Controls!$B$27+Controls!$C$27),(Controls!$D$27-1)*EXP(-0.5*(($A235-Controls!$B$27-(Controls!$C$27-1)/2)/MAX(Controls!$C$27/4,0.5))^2),0))</f>
        <v/>
      </c>
      <c r="O235" s="10" t="str">
        <f>IF($A235="","",IF(AND($A235&gt;=Controls!$B$28,$A235&lt;Controls!$B$28+Controls!$C$28),(Controls!$D$28-1)*EXP(-0.5*(($A235-Controls!$B$28-(Controls!$C$28-1)/2)/MAX(Controls!$C$28/4,0.5))^2),0))</f>
        <v/>
      </c>
      <c r="P235" s="4" t="str">
        <f t="shared" si="1"/>
        <v/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21.0" customHeight="1">
      <c r="A236" s="7" t="str">
        <f>IF(235&lt;=Controls!$B$5,Controls!$B$4+234,"")</f>
        <v/>
      </c>
      <c r="B236" s="10" t="str">
        <f>IF(Random!V236="","",IF(Controls!$B$7="Normal",Controls!$B$8,(Controls!$B$8+Controls!$B$9)/2)+Controls!$B$10*(B235-IF(Controls!$B$7="Normal",Controls!$B$8,(Controls!$B$8+Controls!$B$9)/2))+SQRT(1-Controls!$B$10^2)*(Random!V236-IF(Controls!$B$7="Normal",Controls!$B$8,(Controls!$B$8+Controls!$B$9)/2)))</f>
        <v/>
      </c>
      <c r="C236" s="10" t="str">
        <f>IF(Random!W236="","",IF(Controls!$B$7="Normal",Controls!$B$8,(Controls!$B$8+Controls!$B$9)/2)+Controls!$B$10*(C235-IF(Controls!$B$7="Normal",Controls!$B$8,(Controls!$B$8+Controls!$B$9)/2))+SQRT(1-Controls!$B$10^2)*(Random!W236-IF(Controls!$B$7="Normal",Controls!$B$8,(Controls!$B$8+Controls!$B$9)/2)))</f>
        <v/>
      </c>
      <c r="D236" s="10" t="str">
        <f>IF(Random!X236="","",IF(Controls!$B$7="Normal",Controls!$B$8,(Controls!$B$8+Controls!$B$9)/2)+Controls!$B$10*(D235-IF(Controls!$B$7="Normal",Controls!$B$8,(Controls!$B$8+Controls!$B$9)/2))+SQRT(1-Controls!$B$10^2)*(Random!X236-IF(Controls!$B$7="Normal",Controls!$B$8,(Controls!$B$8+Controls!$B$9)/2)))</f>
        <v/>
      </c>
      <c r="E236" s="10" t="str">
        <f>IF(Random!Y236="","",IF(Controls!$B$7="Normal",Controls!$B$8,(Controls!$B$8+Controls!$B$9)/2)+Controls!$B$10*(E235-IF(Controls!$B$7="Normal",Controls!$B$8,(Controls!$B$8+Controls!$B$9)/2))+SQRT(1-Controls!$B$10^2)*(Random!Y236-IF(Controls!$B$7="Normal",Controls!$B$8,(Controls!$B$8+Controls!$B$9)/2)))</f>
        <v/>
      </c>
      <c r="F236" s="10" t="str">
        <f>IF(Random!Z236="","",IF(Controls!$B$7="Normal",Controls!$B$8,(Controls!$B$8+Controls!$B$9)/2)+Controls!$B$10*(F235-IF(Controls!$B$7="Normal",Controls!$B$8,(Controls!$B$8+Controls!$B$9)/2))+SQRT(1-Controls!$B$10^2)*(Random!Z236-IF(Controls!$B$7="Normal",Controls!$B$8,(Controls!$B$8+Controls!$B$9)/2)))</f>
        <v/>
      </c>
      <c r="G236" s="10" t="str">
        <f>IF(Random!AA236="","",IF(Controls!$B$7="Normal",Controls!$B$8,(Controls!$B$8+Controls!$B$9)/2)+Controls!$B$10*(G235-IF(Controls!$B$7="Normal",Controls!$B$8,(Controls!$B$8+Controls!$B$9)/2))+SQRT(1-Controls!$B$10^2)*(Random!AA236-IF(Controls!$B$7="Normal",Controls!$B$8,(Controls!$B$8+Controls!$B$9)/2)))</f>
        <v/>
      </c>
      <c r="H236" s="10" t="str">
        <f>IF(Random!AB236="","",IF(Controls!$B$7="Normal",Controls!$B$8,(Controls!$B$8+Controls!$B$9)/2)+Controls!$B$10*(H235-IF(Controls!$B$7="Normal",Controls!$B$8,(Controls!$B$8+Controls!$B$9)/2))+SQRT(1-Controls!$B$10^2)*(Random!AB236-IF(Controls!$B$7="Normal",Controls!$B$8,(Controls!$B$8+Controls!$B$9)/2)))</f>
        <v/>
      </c>
      <c r="I236" s="10" t="str">
        <f>IF(Random!AC236="","",IF(Controls!$B$7="Normal",Controls!$B$8,(Controls!$B$8+Controls!$B$9)/2)+Controls!$B$10*(I235-IF(Controls!$B$7="Normal",Controls!$B$8,(Controls!$B$8+Controls!$B$9)/2))+SQRT(1-Controls!$B$10^2)*(Random!AC236-IF(Controls!$B$7="Normal",Controls!$B$8,(Controls!$B$8+Controls!$B$9)/2)))</f>
        <v/>
      </c>
      <c r="J236" s="10" t="str">
        <f>IF(Random!AD236="","",IF(Controls!$B$7="Normal",Controls!$B$8,(Controls!$B$8+Controls!$B$9)/2)+Controls!$B$10*(J235-IF(Controls!$B$7="Normal",Controls!$B$8,(Controls!$B$8+Controls!$B$9)/2))+SQRT(1-Controls!$B$10^2)*(Random!AD236-IF(Controls!$B$7="Normal",Controls!$B$8,(Controls!$B$8+Controls!$B$9)/2)))</f>
        <v/>
      </c>
      <c r="K236" s="10" t="str">
        <f>IF(Random!AE236="","",IF(Controls!$B$7="Normal",Controls!$B$8,(Controls!$B$8+Controls!$B$9)/2)+Controls!$B$10*(K235-IF(Controls!$B$7="Normal",Controls!$B$8,(Controls!$B$8+Controls!$B$9)/2))+SQRT(1-Controls!$B$10^2)*(Random!AE236-IF(Controls!$B$7="Normal",Controls!$B$8,(Controls!$B$8+Controls!$B$9)/2)))</f>
        <v/>
      </c>
      <c r="L236" s="10" t="str">
        <f>IF($A236="","",IF(AND($A236&gt;=Controls!$B$25,$A236&lt;Controls!$B$25+Controls!$C$25),(Controls!$D$25-1)*EXP(-0.5*(($A236-Controls!$B$25-(Controls!$C$25-1)/2)/MAX(Controls!$C$25/4,0.5))^2),0))</f>
        <v/>
      </c>
      <c r="M236" s="10" t="str">
        <f>IF($A236="","",IF(AND($A236&gt;=Controls!$B$26,$A236&lt;Controls!$B$26+Controls!$C$26),(Controls!$D$26-1)*EXP(-0.5*(($A236-Controls!$B$26-(Controls!$C$26-1)/2)/MAX(Controls!$C$26/4,0.5))^2),0))</f>
        <v/>
      </c>
      <c r="N236" s="10" t="str">
        <f>IF($A236="","",IF(AND($A236&gt;=Controls!$B$27,$A236&lt;Controls!$B$27+Controls!$C$27),(Controls!$D$27-1)*EXP(-0.5*(($A236-Controls!$B$27-(Controls!$C$27-1)/2)/MAX(Controls!$C$27/4,0.5))^2),0))</f>
        <v/>
      </c>
      <c r="O236" s="10" t="str">
        <f>IF($A236="","",IF(AND($A236&gt;=Controls!$B$28,$A236&lt;Controls!$B$28+Controls!$C$28),(Controls!$D$28-1)*EXP(-0.5*(($A236-Controls!$B$28-(Controls!$C$28-1)/2)/MAX(Controls!$C$28/4,0.5))^2),0))</f>
        <v/>
      </c>
      <c r="P236" s="4" t="str">
        <f t="shared" si="1"/>
        <v/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21.0" customHeight="1">
      <c r="A237" s="7" t="str">
        <f>IF(236&lt;=Controls!$B$5,Controls!$B$4+235,"")</f>
        <v/>
      </c>
      <c r="B237" s="10" t="str">
        <f>IF(Random!V237="","",IF(Controls!$B$7="Normal",Controls!$B$8,(Controls!$B$8+Controls!$B$9)/2)+Controls!$B$10*(B236-IF(Controls!$B$7="Normal",Controls!$B$8,(Controls!$B$8+Controls!$B$9)/2))+SQRT(1-Controls!$B$10^2)*(Random!V237-IF(Controls!$B$7="Normal",Controls!$B$8,(Controls!$B$8+Controls!$B$9)/2)))</f>
        <v/>
      </c>
      <c r="C237" s="10" t="str">
        <f>IF(Random!W237="","",IF(Controls!$B$7="Normal",Controls!$B$8,(Controls!$B$8+Controls!$B$9)/2)+Controls!$B$10*(C236-IF(Controls!$B$7="Normal",Controls!$B$8,(Controls!$B$8+Controls!$B$9)/2))+SQRT(1-Controls!$B$10^2)*(Random!W237-IF(Controls!$B$7="Normal",Controls!$B$8,(Controls!$B$8+Controls!$B$9)/2)))</f>
        <v/>
      </c>
      <c r="D237" s="10" t="str">
        <f>IF(Random!X237="","",IF(Controls!$B$7="Normal",Controls!$B$8,(Controls!$B$8+Controls!$B$9)/2)+Controls!$B$10*(D236-IF(Controls!$B$7="Normal",Controls!$B$8,(Controls!$B$8+Controls!$B$9)/2))+SQRT(1-Controls!$B$10^2)*(Random!X237-IF(Controls!$B$7="Normal",Controls!$B$8,(Controls!$B$8+Controls!$B$9)/2)))</f>
        <v/>
      </c>
      <c r="E237" s="10" t="str">
        <f>IF(Random!Y237="","",IF(Controls!$B$7="Normal",Controls!$B$8,(Controls!$B$8+Controls!$B$9)/2)+Controls!$B$10*(E236-IF(Controls!$B$7="Normal",Controls!$B$8,(Controls!$B$8+Controls!$B$9)/2))+SQRT(1-Controls!$B$10^2)*(Random!Y237-IF(Controls!$B$7="Normal",Controls!$B$8,(Controls!$B$8+Controls!$B$9)/2)))</f>
        <v/>
      </c>
      <c r="F237" s="10" t="str">
        <f>IF(Random!Z237="","",IF(Controls!$B$7="Normal",Controls!$B$8,(Controls!$B$8+Controls!$B$9)/2)+Controls!$B$10*(F236-IF(Controls!$B$7="Normal",Controls!$B$8,(Controls!$B$8+Controls!$B$9)/2))+SQRT(1-Controls!$B$10^2)*(Random!Z237-IF(Controls!$B$7="Normal",Controls!$B$8,(Controls!$B$8+Controls!$B$9)/2)))</f>
        <v/>
      </c>
      <c r="G237" s="10" t="str">
        <f>IF(Random!AA237="","",IF(Controls!$B$7="Normal",Controls!$B$8,(Controls!$B$8+Controls!$B$9)/2)+Controls!$B$10*(G236-IF(Controls!$B$7="Normal",Controls!$B$8,(Controls!$B$8+Controls!$B$9)/2))+SQRT(1-Controls!$B$10^2)*(Random!AA237-IF(Controls!$B$7="Normal",Controls!$B$8,(Controls!$B$8+Controls!$B$9)/2)))</f>
        <v/>
      </c>
      <c r="H237" s="10" t="str">
        <f>IF(Random!AB237="","",IF(Controls!$B$7="Normal",Controls!$B$8,(Controls!$B$8+Controls!$B$9)/2)+Controls!$B$10*(H236-IF(Controls!$B$7="Normal",Controls!$B$8,(Controls!$B$8+Controls!$B$9)/2))+SQRT(1-Controls!$B$10^2)*(Random!AB237-IF(Controls!$B$7="Normal",Controls!$B$8,(Controls!$B$8+Controls!$B$9)/2)))</f>
        <v/>
      </c>
      <c r="I237" s="10" t="str">
        <f>IF(Random!AC237="","",IF(Controls!$B$7="Normal",Controls!$B$8,(Controls!$B$8+Controls!$B$9)/2)+Controls!$B$10*(I236-IF(Controls!$B$7="Normal",Controls!$B$8,(Controls!$B$8+Controls!$B$9)/2))+SQRT(1-Controls!$B$10^2)*(Random!AC237-IF(Controls!$B$7="Normal",Controls!$B$8,(Controls!$B$8+Controls!$B$9)/2)))</f>
        <v/>
      </c>
      <c r="J237" s="10" t="str">
        <f>IF(Random!AD237="","",IF(Controls!$B$7="Normal",Controls!$B$8,(Controls!$B$8+Controls!$B$9)/2)+Controls!$B$10*(J236-IF(Controls!$B$7="Normal",Controls!$B$8,(Controls!$B$8+Controls!$B$9)/2))+SQRT(1-Controls!$B$10^2)*(Random!AD237-IF(Controls!$B$7="Normal",Controls!$B$8,(Controls!$B$8+Controls!$B$9)/2)))</f>
        <v/>
      </c>
      <c r="K237" s="10" t="str">
        <f>IF(Random!AE237="","",IF(Controls!$B$7="Normal",Controls!$B$8,(Controls!$B$8+Controls!$B$9)/2)+Controls!$B$10*(K236-IF(Controls!$B$7="Normal",Controls!$B$8,(Controls!$B$8+Controls!$B$9)/2))+SQRT(1-Controls!$B$10^2)*(Random!AE237-IF(Controls!$B$7="Normal",Controls!$B$8,(Controls!$B$8+Controls!$B$9)/2)))</f>
        <v/>
      </c>
      <c r="L237" s="10" t="str">
        <f>IF($A237="","",IF(AND($A237&gt;=Controls!$B$25,$A237&lt;Controls!$B$25+Controls!$C$25),(Controls!$D$25-1)*EXP(-0.5*(($A237-Controls!$B$25-(Controls!$C$25-1)/2)/MAX(Controls!$C$25/4,0.5))^2),0))</f>
        <v/>
      </c>
      <c r="M237" s="10" t="str">
        <f>IF($A237="","",IF(AND($A237&gt;=Controls!$B$26,$A237&lt;Controls!$B$26+Controls!$C$26),(Controls!$D$26-1)*EXP(-0.5*(($A237-Controls!$B$26-(Controls!$C$26-1)/2)/MAX(Controls!$C$26/4,0.5))^2),0))</f>
        <v/>
      </c>
      <c r="N237" s="10" t="str">
        <f>IF($A237="","",IF(AND($A237&gt;=Controls!$B$27,$A237&lt;Controls!$B$27+Controls!$C$27),(Controls!$D$27-1)*EXP(-0.5*(($A237-Controls!$B$27-(Controls!$C$27-1)/2)/MAX(Controls!$C$27/4,0.5))^2),0))</f>
        <v/>
      </c>
      <c r="O237" s="10" t="str">
        <f>IF($A237="","",IF(AND($A237&gt;=Controls!$B$28,$A237&lt;Controls!$B$28+Controls!$C$28),(Controls!$D$28-1)*EXP(-0.5*(($A237-Controls!$B$28-(Controls!$C$28-1)/2)/MAX(Controls!$C$28/4,0.5))^2),0))</f>
        <v/>
      </c>
      <c r="P237" s="4" t="str">
        <f t="shared" si="1"/>
        <v/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21.0" customHeight="1">
      <c r="A238" s="7" t="str">
        <f>IF(237&lt;=Controls!$B$5,Controls!$B$4+236,"")</f>
        <v/>
      </c>
      <c r="B238" s="10" t="str">
        <f>IF(Random!V238="","",IF(Controls!$B$7="Normal",Controls!$B$8,(Controls!$B$8+Controls!$B$9)/2)+Controls!$B$10*(B237-IF(Controls!$B$7="Normal",Controls!$B$8,(Controls!$B$8+Controls!$B$9)/2))+SQRT(1-Controls!$B$10^2)*(Random!V238-IF(Controls!$B$7="Normal",Controls!$B$8,(Controls!$B$8+Controls!$B$9)/2)))</f>
        <v/>
      </c>
      <c r="C238" s="10" t="str">
        <f>IF(Random!W238="","",IF(Controls!$B$7="Normal",Controls!$B$8,(Controls!$B$8+Controls!$B$9)/2)+Controls!$B$10*(C237-IF(Controls!$B$7="Normal",Controls!$B$8,(Controls!$B$8+Controls!$B$9)/2))+SQRT(1-Controls!$B$10^2)*(Random!W238-IF(Controls!$B$7="Normal",Controls!$B$8,(Controls!$B$8+Controls!$B$9)/2)))</f>
        <v/>
      </c>
      <c r="D238" s="10" t="str">
        <f>IF(Random!X238="","",IF(Controls!$B$7="Normal",Controls!$B$8,(Controls!$B$8+Controls!$B$9)/2)+Controls!$B$10*(D237-IF(Controls!$B$7="Normal",Controls!$B$8,(Controls!$B$8+Controls!$B$9)/2))+SQRT(1-Controls!$B$10^2)*(Random!X238-IF(Controls!$B$7="Normal",Controls!$B$8,(Controls!$B$8+Controls!$B$9)/2)))</f>
        <v/>
      </c>
      <c r="E238" s="10" t="str">
        <f>IF(Random!Y238="","",IF(Controls!$B$7="Normal",Controls!$B$8,(Controls!$B$8+Controls!$B$9)/2)+Controls!$B$10*(E237-IF(Controls!$B$7="Normal",Controls!$B$8,(Controls!$B$8+Controls!$B$9)/2))+SQRT(1-Controls!$B$10^2)*(Random!Y238-IF(Controls!$B$7="Normal",Controls!$B$8,(Controls!$B$8+Controls!$B$9)/2)))</f>
        <v/>
      </c>
      <c r="F238" s="10" t="str">
        <f>IF(Random!Z238="","",IF(Controls!$B$7="Normal",Controls!$B$8,(Controls!$B$8+Controls!$B$9)/2)+Controls!$B$10*(F237-IF(Controls!$B$7="Normal",Controls!$B$8,(Controls!$B$8+Controls!$B$9)/2))+SQRT(1-Controls!$B$10^2)*(Random!Z238-IF(Controls!$B$7="Normal",Controls!$B$8,(Controls!$B$8+Controls!$B$9)/2)))</f>
        <v/>
      </c>
      <c r="G238" s="10" t="str">
        <f>IF(Random!AA238="","",IF(Controls!$B$7="Normal",Controls!$B$8,(Controls!$B$8+Controls!$B$9)/2)+Controls!$B$10*(G237-IF(Controls!$B$7="Normal",Controls!$B$8,(Controls!$B$8+Controls!$B$9)/2))+SQRT(1-Controls!$B$10^2)*(Random!AA238-IF(Controls!$B$7="Normal",Controls!$B$8,(Controls!$B$8+Controls!$B$9)/2)))</f>
        <v/>
      </c>
      <c r="H238" s="10" t="str">
        <f>IF(Random!AB238="","",IF(Controls!$B$7="Normal",Controls!$B$8,(Controls!$B$8+Controls!$B$9)/2)+Controls!$B$10*(H237-IF(Controls!$B$7="Normal",Controls!$B$8,(Controls!$B$8+Controls!$B$9)/2))+SQRT(1-Controls!$B$10^2)*(Random!AB238-IF(Controls!$B$7="Normal",Controls!$B$8,(Controls!$B$8+Controls!$B$9)/2)))</f>
        <v/>
      </c>
      <c r="I238" s="10" t="str">
        <f>IF(Random!AC238="","",IF(Controls!$B$7="Normal",Controls!$B$8,(Controls!$B$8+Controls!$B$9)/2)+Controls!$B$10*(I237-IF(Controls!$B$7="Normal",Controls!$B$8,(Controls!$B$8+Controls!$B$9)/2))+SQRT(1-Controls!$B$10^2)*(Random!AC238-IF(Controls!$B$7="Normal",Controls!$B$8,(Controls!$B$8+Controls!$B$9)/2)))</f>
        <v/>
      </c>
      <c r="J238" s="10" t="str">
        <f>IF(Random!AD238="","",IF(Controls!$B$7="Normal",Controls!$B$8,(Controls!$B$8+Controls!$B$9)/2)+Controls!$B$10*(J237-IF(Controls!$B$7="Normal",Controls!$B$8,(Controls!$B$8+Controls!$B$9)/2))+SQRT(1-Controls!$B$10^2)*(Random!AD238-IF(Controls!$B$7="Normal",Controls!$B$8,(Controls!$B$8+Controls!$B$9)/2)))</f>
        <v/>
      </c>
      <c r="K238" s="10" t="str">
        <f>IF(Random!AE238="","",IF(Controls!$B$7="Normal",Controls!$B$8,(Controls!$B$8+Controls!$B$9)/2)+Controls!$B$10*(K237-IF(Controls!$B$7="Normal",Controls!$B$8,(Controls!$B$8+Controls!$B$9)/2))+SQRT(1-Controls!$B$10^2)*(Random!AE238-IF(Controls!$B$7="Normal",Controls!$B$8,(Controls!$B$8+Controls!$B$9)/2)))</f>
        <v/>
      </c>
      <c r="L238" s="10" t="str">
        <f>IF($A238="","",IF(AND($A238&gt;=Controls!$B$25,$A238&lt;Controls!$B$25+Controls!$C$25),(Controls!$D$25-1)*EXP(-0.5*(($A238-Controls!$B$25-(Controls!$C$25-1)/2)/MAX(Controls!$C$25/4,0.5))^2),0))</f>
        <v/>
      </c>
      <c r="M238" s="10" t="str">
        <f>IF($A238="","",IF(AND($A238&gt;=Controls!$B$26,$A238&lt;Controls!$B$26+Controls!$C$26),(Controls!$D$26-1)*EXP(-0.5*(($A238-Controls!$B$26-(Controls!$C$26-1)/2)/MAX(Controls!$C$26/4,0.5))^2),0))</f>
        <v/>
      </c>
      <c r="N238" s="10" t="str">
        <f>IF($A238="","",IF(AND($A238&gt;=Controls!$B$27,$A238&lt;Controls!$B$27+Controls!$C$27),(Controls!$D$27-1)*EXP(-0.5*(($A238-Controls!$B$27-(Controls!$C$27-1)/2)/MAX(Controls!$C$27/4,0.5))^2),0))</f>
        <v/>
      </c>
      <c r="O238" s="10" t="str">
        <f>IF($A238="","",IF(AND($A238&gt;=Controls!$B$28,$A238&lt;Controls!$B$28+Controls!$C$28),(Controls!$D$28-1)*EXP(-0.5*(($A238-Controls!$B$28-(Controls!$C$28-1)/2)/MAX(Controls!$C$28/4,0.5))^2),0))</f>
        <v/>
      </c>
      <c r="P238" s="4" t="str">
        <f t="shared" si="1"/>
        <v/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21.0" customHeight="1">
      <c r="A239" s="7" t="str">
        <f>IF(238&lt;=Controls!$B$5,Controls!$B$4+237,"")</f>
        <v/>
      </c>
      <c r="B239" s="10" t="str">
        <f>IF(Random!V239="","",IF(Controls!$B$7="Normal",Controls!$B$8,(Controls!$B$8+Controls!$B$9)/2)+Controls!$B$10*(B238-IF(Controls!$B$7="Normal",Controls!$B$8,(Controls!$B$8+Controls!$B$9)/2))+SQRT(1-Controls!$B$10^2)*(Random!V239-IF(Controls!$B$7="Normal",Controls!$B$8,(Controls!$B$8+Controls!$B$9)/2)))</f>
        <v/>
      </c>
      <c r="C239" s="10" t="str">
        <f>IF(Random!W239="","",IF(Controls!$B$7="Normal",Controls!$B$8,(Controls!$B$8+Controls!$B$9)/2)+Controls!$B$10*(C238-IF(Controls!$B$7="Normal",Controls!$B$8,(Controls!$B$8+Controls!$B$9)/2))+SQRT(1-Controls!$B$10^2)*(Random!W239-IF(Controls!$B$7="Normal",Controls!$B$8,(Controls!$B$8+Controls!$B$9)/2)))</f>
        <v/>
      </c>
      <c r="D239" s="10" t="str">
        <f>IF(Random!X239="","",IF(Controls!$B$7="Normal",Controls!$B$8,(Controls!$B$8+Controls!$B$9)/2)+Controls!$B$10*(D238-IF(Controls!$B$7="Normal",Controls!$B$8,(Controls!$B$8+Controls!$B$9)/2))+SQRT(1-Controls!$B$10^2)*(Random!X239-IF(Controls!$B$7="Normal",Controls!$B$8,(Controls!$B$8+Controls!$B$9)/2)))</f>
        <v/>
      </c>
      <c r="E239" s="10" t="str">
        <f>IF(Random!Y239="","",IF(Controls!$B$7="Normal",Controls!$B$8,(Controls!$B$8+Controls!$B$9)/2)+Controls!$B$10*(E238-IF(Controls!$B$7="Normal",Controls!$B$8,(Controls!$B$8+Controls!$B$9)/2))+SQRT(1-Controls!$B$10^2)*(Random!Y239-IF(Controls!$B$7="Normal",Controls!$B$8,(Controls!$B$8+Controls!$B$9)/2)))</f>
        <v/>
      </c>
      <c r="F239" s="10" t="str">
        <f>IF(Random!Z239="","",IF(Controls!$B$7="Normal",Controls!$B$8,(Controls!$B$8+Controls!$B$9)/2)+Controls!$B$10*(F238-IF(Controls!$B$7="Normal",Controls!$B$8,(Controls!$B$8+Controls!$B$9)/2))+SQRT(1-Controls!$B$10^2)*(Random!Z239-IF(Controls!$B$7="Normal",Controls!$B$8,(Controls!$B$8+Controls!$B$9)/2)))</f>
        <v/>
      </c>
      <c r="G239" s="10" t="str">
        <f>IF(Random!AA239="","",IF(Controls!$B$7="Normal",Controls!$B$8,(Controls!$B$8+Controls!$B$9)/2)+Controls!$B$10*(G238-IF(Controls!$B$7="Normal",Controls!$B$8,(Controls!$B$8+Controls!$B$9)/2))+SQRT(1-Controls!$B$10^2)*(Random!AA239-IF(Controls!$B$7="Normal",Controls!$B$8,(Controls!$B$8+Controls!$B$9)/2)))</f>
        <v/>
      </c>
      <c r="H239" s="10" t="str">
        <f>IF(Random!AB239="","",IF(Controls!$B$7="Normal",Controls!$B$8,(Controls!$B$8+Controls!$B$9)/2)+Controls!$B$10*(H238-IF(Controls!$B$7="Normal",Controls!$B$8,(Controls!$B$8+Controls!$B$9)/2))+SQRT(1-Controls!$B$10^2)*(Random!AB239-IF(Controls!$B$7="Normal",Controls!$B$8,(Controls!$B$8+Controls!$B$9)/2)))</f>
        <v/>
      </c>
      <c r="I239" s="10" t="str">
        <f>IF(Random!AC239="","",IF(Controls!$B$7="Normal",Controls!$B$8,(Controls!$B$8+Controls!$B$9)/2)+Controls!$B$10*(I238-IF(Controls!$B$7="Normal",Controls!$B$8,(Controls!$B$8+Controls!$B$9)/2))+SQRT(1-Controls!$B$10^2)*(Random!AC239-IF(Controls!$B$7="Normal",Controls!$B$8,(Controls!$B$8+Controls!$B$9)/2)))</f>
        <v/>
      </c>
      <c r="J239" s="10" t="str">
        <f>IF(Random!AD239="","",IF(Controls!$B$7="Normal",Controls!$B$8,(Controls!$B$8+Controls!$B$9)/2)+Controls!$B$10*(J238-IF(Controls!$B$7="Normal",Controls!$B$8,(Controls!$B$8+Controls!$B$9)/2))+SQRT(1-Controls!$B$10^2)*(Random!AD239-IF(Controls!$B$7="Normal",Controls!$B$8,(Controls!$B$8+Controls!$B$9)/2)))</f>
        <v/>
      </c>
      <c r="K239" s="10" t="str">
        <f>IF(Random!AE239="","",IF(Controls!$B$7="Normal",Controls!$B$8,(Controls!$B$8+Controls!$B$9)/2)+Controls!$B$10*(K238-IF(Controls!$B$7="Normal",Controls!$B$8,(Controls!$B$8+Controls!$B$9)/2))+SQRT(1-Controls!$B$10^2)*(Random!AE239-IF(Controls!$B$7="Normal",Controls!$B$8,(Controls!$B$8+Controls!$B$9)/2)))</f>
        <v/>
      </c>
      <c r="L239" s="10" t="str">
        <f>IF($A239="","",IF(AND($A239&gt;=Controls!$B$25,$A239&lt;Controls!$B$25+Controls!$C$25),(Controls!$D$25-1)*EXP(-0.5*(($A239-Controls!$B$25-(Controls!$C$25-1)/2)/MAX(Controls!$C$25/4,0.5))^2),0))</f>
        <v/>
      </c>
      <c r="M239" s="10" t="str">
        <f>IF($A239="","",IF(AND($A239&gt;=Controls!$B$26,$A239&lt;Controls!$B$26+Controls!$C$26),(Controls!$D$26-1)*EXP(-0.5*(($A239-Controls!$B$26-(Controls!$C$26-1)/2)/MAX(Controls!$C$26/4,0.5))^2),0))</f>
        <v/>
      </c>
      <c r="N239" s="10" t="str">
        <f>IF($A239="","",IF(AND($A239&gt;=Controls!$B$27,$A239&lt;Controls!$B$27+Controls!$C$27),(Controls!$D$27-1)*EXP(-0.5*(($A239-Controls!$B$27-(Controls!$C$27-1)/2)/MAX(Controls!$C$27/4,0.5))^2),0))</f>
        <v/>
      </c>
      <c r="O239" s="10" t="str">
        <f>IF($A239="","",IF(AND($A239&gt;=Controls!$B$28,$A239&lt;Controls!$B$28+Controls!$C$28),(Controls!$D$28-1)*EXP(-0.5*(($A239-Controls!$B$28-(Controls!$C$28-1)/2)/MAX(Controls!$C$28/4,0.5))^2),0))</f>
        <v/>
      </c>
      <c r="P239" s="4" t="str">
        <f t="shared" si="1"/>
        <v/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21.0" customHeight="1">
      <c r="A240" s="7" t="str">
        <f>IF(239&lt;=Controls!$B$5,Controls!$B$4+238,"")</f>
        <v/>
      </c>
      <c r="B240" s="10" t="str">
        <f>IF(Random!V240="","",IF(Controls!$B$7="Normal",Controls!$B$8,(Controls!$B$8+Controls!$B$9)/2)+Controls!$B$10*(B239-IF(Controls!$B$7="Normal",Controls!$B$8,(Controls!$B$8+Controls!$B$9)/2))+SQRT(1-Controls!$B$10^2)*(Random!V240-IF(Controls!$B$7="Normal",Controls!$B$8,(Controls!$B$8+Controls!$B$9)/2)))</f>
        <v/>
      </c>
      <c r="C240" s="10" t="str">
        <f>IF(Random!W240="","",IF(Controls!$B$7="Normal",Controls!$B$8,(Controls!$B$8+Controls!$B$9)/2)+Controls!$B$10*(C239-IF(Controls!$B$7="Normal",Controls!$B$8,(Controls!$B$8+Controls!$B$9)/2))+SQRT(1-Controls!$B$10^2)*(Random!W240-IF(Controls!$B$7="Normal",Controls!$B$8,(Controls!$B$8+Controls!$B$9)/2)))</f>
        <v/>
      </c>
      <c r="D240" s="10" t="str">
        <f>IF(Random!X240="","",IF(Controls!$B$7="Normal",Controls!$B$8,(Controls!$B$8+Controls!$B$9)/2)+Controls!$B$10*(D239-IF(Controls!$B$7="Normal",Controls!$B$8,(Controls!$B$8+Controls!$B$9)/2))+SQRT(1-Controls!$B$10^2)*(Random!X240-IF(Controls!$B$7="Normal",Controls!$B$8,(Controls!$B$8+Controls!$B$9)/2)))</f>
        <v/>
      </c>
      <c r="E240" s="10" t="str">
        <f>IF(Random!Y240="","",IF(Controls!$B$7="Normal",Controls!$B$8,(Controls!$B$8+Controls!$B$9)/2)+Controls!$B$10*(E239-IF(Controls!$B$7="Normal",Controls!$B$8,(Controls!$B$8+Controls!$B$9)/2))+SQRT(1-Controls!$B$10^2)*(Random!Y240-IF(Controls!$B$7="Normal",Controls!$B$8,(Controls!$B$8+Controls!$B$9)/2)))</f>
        <v/>
      </c>
      <c r="F240" s="10" t="str">
        <f>IF(Random!Z240="","",IF(Controls!$B$7="Normal",Controls!$B$8,(Controls!$B$8+Controls!$B$9)/2)+Controls!$B$10*(F239-IF(Controls!$B$7="Normal",Controls!$B$8,(Controls!$B$8+Controls!$B$9)/2))+SQRT(1-Controls!$B$10^2)*(Random!Z240-IF(Controls!$B$7="Normal",Controls!$B$8,(Controls!$B$8+Controls!$B$9)/2)))</f>
        <v/>
      </c>
      <c r="G240" s="10" t="str">
        <f>IF(Random!AA240="","",IF(Controls!$B$7="Normal",Controls!$B$8,(Controls!$B$8+Controls!$B$9)/2)+Controls!$B$10*(G239-IF(Controls!$B$7="Normal",Controls!$B$8,(Controls!$B$8+Controls!$B$9)/2))+SQRT(1-Controls!$B$10^2)*(Random!AA240-IF(Controls!$B$7="Normal",Controls!$B$8,(Controls!$B$8+Controls!$B$9)/2)))</f>
        <v/>
      </c>
      <c r="H240" s="10" t="str">
        <f>IF(Random!AB240="","",IF(Controls!$B$7="Normal",Controls!$B$8,(Controls!$B$8+Controls!$B$9)/2)+Controls!$B$10*(H239-IF(Controls!$B$7="Normal",Controls!$B$8,(Controls!$B$8+Controls!$B$9)/2))+SQRT(1-Controls!$B$10^2)*(Random!AB240-IF(Controls!$B$7="Normal",Controls!$B$8,(Controls!$B$8+Controls!$B$9)/2)))</f>
        <v/>
      </c>
      <c r="I240" s="10" t="str">
        <f>IF(Random!AC240="","",IF(Controls!$B$7="Normal",Controls!$B$8,(Controls!$B$8+Controls!$B$9)/2)+Controls!$B$10*(I239-IF(Controls!$B$7="Normal",Controls!$B$8,(Controls!$B$8+Controls!$B$9)/2))+SQRT(1-Controls!$B$10^2)*(Random!AC240-IF(Controls!$B$7="Normal",Controls!$B$8,(Controls!$B$8+Controls!$B$9)/2)))</f>
        <v/>
      </c>
      <c r="J240" s="10" t="str">
        <f>IF(Random!AD240="","",IF(Controls!$B$7="Normal",Controls!$B$8,(Controls!$B$8+Controls!$B$9)/2)+Controls!$B$10*(J239-IF(Controls!$B$7="Normal",Controls!$B$8,(Controls!$B$8+Controls!$B$9)/2))+SQRT(1-Controls!$B$10^2)*(Random!AD240-IF(Controls!$B$7="Normal",Controls!$B$8,(Controls!$B$8+Controls!$B$9)/2)))</f>
        <v/>
      </c>
      <c r="K240" s="10" t="str">
        <f>IF(Random!AE240="","",IF(Controls!$B$7="Normal",Controls!$B$8,(Controls!$B$8+Controls!$B$9)/2)+Controls!$B$10*(K239-IF(Controls!$B$7="Normal",Controls!$B$8,(Controls!$B$8+Controls!$B$9)/2))+SQRT(1-Controls!$B$10^2)*(Random!AE240-IF(Controls!$B$7="Normal",Controls!$B$8,(Controls!$B$8+Controls!$B$9)/2)))</f>
        <v/>
      </c>
      <c r="L240" s="10" t="str">
        <f>IF($A240="","",IF(AND($A240&gt;=Controls!$B$25,$A240&lt;Controls!$B$25+Controls!$C$25),(Controls!$D$25-1)*EXP(-0.5*(($A240-Controls!$B$25-(Controls!$C$25-1)/2)/MAX(Controls!$C$25/4,0.5))^2),0))</f>
        <v/>
      </c>
      <c r="M240" s="10" t="str">
        <f>IF($A240="","",IF(AND($A240&gt;=Controls!$B$26,$A240&lt;Controls!$B$26+Controls!$C$26),(Controls!$D$26-1)*EXP(-0.5*(($A240-Controls!$B$26-(Controls!$C$26-1)/2)/MAX(Controls!$C$26/4,0.5))^2),0))</f>
        <v/>
      </c>
      <c r="N240" s="10" t="str">
        <f>IF($A240="","",IF(AND($A240&gt;=Controls!$B$27,$A240&lt;Controls!$B$27+Controls!$C$27),(Controls!$D$27-1)*EXP(-0.5*(($A240-Controls!$B$27-(Controls!$C$27-1)/2)/MAX(Controls!$C$27/4,0.5))^2),0))</f>
        <v/>
      </c>
      <c r="O240" s="10" t="str">
        <f>IF($A240="","",IF(AND($A240&gt;=Controls!$B$28,$A240&lt;Controls!$B$28+Controls!$C$28),(Controls!$D$28-1)*EXP(-0.5*(($A240-Controls!$B$28-(Controls!$C$28-1)/2)/MAX(Controls!$C$28/4,0.5))^2),0))</f>
        <v/>
      </c>
      <c r="P240" s="4" t="str">
        <f t="shared" si="1"/>
        <v/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21.0" customHeight="1">
      <c r="A241" s="7" t="str">
        <f>IF(240&lt;=Controls!$B$5,Controls!$B$4+239,"")</f>
        <v/>
      </c>
      <c r="B241" s="10" t="str">
        <f>IF(Random!V241="","",IF(Controls!$B$7="Normal",Controls!$B$8,(Controls!$B$8+Controls!$B$9)/2)+Controls!$B$10*(B240-IF(Controls!$B$7="Normal",Controls!$B$8,(Controls!$B$8+Controls!$B$9)/2))+SQRT(1-Controls!$B$10^2)*(Random!V241-IF(Controls!$B$7="Normal",Controls!$B$8,(Controls!$B$8+Controls!$B$9)/2)))</f>
        <v/>
      </c>
      <c r="C241" s="10" t="str">
        <f>IF(Random!W241="","",IF(Controls!$B$7="Normal",Controls!$B$8,(Controls!$B$8+Controls!$B$9)/2)+Controls!$B$10*(C240-IF(Controls!$B$7="Normal",Controls!$B$8,(Controls!$B$8+Controls!$B$9)/2))+SQRT(1-Controls!$B$10^2)*(Random!W241-IF(Controls!$B$7="Normal",Controls!$B$8,(Controls!$B$8+Controls!$B$9)/2)))</f>
        <v/>
      </c>
      <c r="D241" s="10" t="str">
        <f>IF(Random!X241="","",IF(Controls!$B$7="Normal",Controls!$B$8,(Controls!$B$8+Controls!$B$9)/2)+Controls!$B$10*(D240-IF(Controls!$B$7="Normal",Controls!$B$8,(Controls!$B$8+Controls!$B$9)/2))+SQRT(1-Controls!$B$10^2)*(Random!X241-IF(Controls!$B$7="Normal",Controls!$B$8,(Controls!$B$8+Controls!$B$9)/2)))</f>
        <v/>
      </c>
      <c r="E241" s="10" t="str">
        <f>IF(Random!Y241="","",IF(Controls!$B$7="Normal",Controls!$B$8,(Controls!$B$8+Controls!$B$9)/2)+Controls!$B$10*(E240-IF(Controls!$B$7="Normal",Controls!$B$8,(Controls!$B$8+Controls!$B$9)/2))+SQRT(1-Controls!$B$10^2)*(Random!Y241-IF(Controls!$B$7="Normal",Controls!$B$8,(Controls!$B$8+Controls!$B$9)/2)))</f>
        <v/>
      </c>
      <c r="F241" s="10" t="str">
        <f>IF(Random!Z241="","",IF(Controls!$B$7="Normal",Controls!$B$8,(Controls!$B$8+Controls!$B$9)/2)+Controls!$B$10*(F240-IF(Controls!$B$7="Normal",Controls!$B$8,(Controls!$B$8+Controls!$B$9)/2))+SQRT(1-Controls!$B$10^2)*(Random!Z241-IF(Controls!$B$7="Normal",Controls!$B$8,(Controls!$B$8+Controls!$B$9)/2)))</f>
        <v/>
      </c>
      <c r="G241" s="10" t="str">
        <f>IF(Random!AA241="","",IF(Controls!$B$7="Normal",Controls!$B$8,(Controls!$B$8+Controls!$B$9)/2)+Controls!$B$10*(G240-IF(Controls!$B$7="Normal",Controls!$B$8,(Controls!$B$8+Controls!$B$9)/2))+SQRT(1-Controls!$B$10^2)*(Random!AA241-IF(Controls!$B$7="Normal",Controls!$B$8,(Controls!$B$8+Controls!$B$9)/2)))</f>
        <v/>
      </c>
      <c r="H241" s="10" t="str">
        <f>IF(Random!AB241="","",IF(Controls!$B$7="Normal",Controls!$B$8,(Controls!$B$8+Controls!$B$9)/2)+Controls!$B$10*(H240-IF(Controls!$B$7="Normal",Controls!$B$8,(Controls!$B$8+Controls!$B$9)/2))+SQRT(1-Controls!$B$10^2)*(Random!AB241-IF(Controls!$B$7="Normal",Controls!$B$8,(Controls!$B$8+Controls!$B$9)/2)))</f>
        <v/>
      </c>
      <c r="I241" s="10" t="str">
        <f>IF(Random!AC241="","",IF(Controls!$B$7="Normal",Controls!$B$8,(Controls!$B$8+Controls!$B$9)/2)+Controls!$B$10*(I240-IF(Controls!$B$7="Normal",Controls!$B$8,(Controls!$B$8+Controls!$B$9)/2))+SQRT(1-Controls!$B$10^2)*(Random!AC241-IF(Controls!$B$7="Normal",Controls!$B$8,(Controls!$B$8+Controls!$B$9)/2)))</f>
        <v/>
      </c>
      <c r="J241" s="10" t="str">
        <f>IF(Random!AD241="","",IF(Controls!$B$7="Normal",Controls!$B$8,(Controls!$B$8+Controls!$B$9)/2)+Controls!$B$10*(J240-IF(Controls!$B$7="Normal",Controls!$B$8,(Controls!$B$8+Controls!$B$9)/2))+SQRT(1-Controls!$B$10^2)*(Random!AD241-IF(Controls!$B$7="Normal",Controls!$B$8,(Controls!$B$8+Controls!$B$9)/2)))</f>
        <v/>
      </c>
      <c r="K241" s="10" t="str">
        <f>IF(Random!AE241="","",IF(Controls!$B$7="Normal",Controls!$B$8,(Controls!$B$8+Controls!$B$9)/2)+Controls!$B$10*(K240-IF(Controls!$B$7="Normal",Controls!$B$8,(Controls!$B$8+Controls!$B$9)/2))+SQRT(1-Controls!$B$10^2)*(Random!AE241-IF(Controls!$B$7="Normal",Controls!$B$8,(Controls!$B$8+Controls!$B$9)/2)))</f>
        <v/>
      </c>
      <c r="L241" s="10" t="str">
        <f>IF($A241="","",IF(AND($A241&gt;=Controls!$B$25,$A241&lt;Controls!$B$25+Controls!$C$25),(Controls!$D$25-1)*EXP(-0.5*(($A241-Controls!$B$25-(Controls!$C$25-1)/2)/MAX(Controls!$C$25/4,0.5))^2),0))</f>
        <v/>
      </c>
      <c r="M241" s="10" t="str">
        <f>IF($A241="","",IF(AND($A241&gt;=Controls!$B$26,$A241&lt;Controls!$B$26+Controls!$C$26),(Controls!$D$26-1)*EXP(-0.5*(($A241-Controls!$B$26-(Controls!$C$26-1)/2)/MAX(Controls!$C$26/4,0.5))^2),0))</f>
        <v/>
      </c>
      <c r="N241" s="10" t="str">
        <f>IF($A241="","",IF(AND($A241&gt;=Controls!$B$27,$A241&lt;Controls!$B$27+Controls!$C$27),(Controls!$D$27-1)*EXP(-0.5*(($A241-Controls!$B$27-(Controls!$C$27-1)/2)/MAX(Controls!$C$27/4,0.5))^2),0))</f>
        <v/>
      </c>
      <c r="O241" s="10" t="str">
        <f>IF($A241="","",IF(AND($A241&gt;=Controls!$B$28,$A241&lt;Controls!$B$28+Controls!$C$28),(Controls!$D$28-1)*EXP(-0.5*(($A241-Controls!$B$28-(Controls!$C$28-1)/2)/MAX(Controls!$C$28/4,0.5))^2),0))</f>
        <v/>
      </c>
      <c r="P241" s="4" t="str">
        <f t="shared" si="1"/>
        <v/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21.0" customHeight="1">
      <c r="A242" s="7" t="str">
        <f>IF(241&lt;=Controls!$B$5,Controls!$B$4+240,"")</f>
        <v/>
      </c>
      <c r="B242" s="10" t="str">
        <f>IF(Random!V242="","",IF(Controls!$B$7="Normal",Controls!$B$8,(Controls!$B$8+Controls!$B$9)/2)+Controls!$B$10*(B241-IF(Controls!$B$7="Normal",Controls!$B$8,(Controls!$B$8+Controls!$B$9)/2))+SQRT(1-Controls!$B$10^2)*(Random!V242-IF(Controls!$B$7="Normal",Controls!$B$8,(Controls!$B$8+Controls!$B$9)/2)))</f>
        <v/>
      </c>
      <c r="C242" s="10" t="str">
        <f>IF(Random!W242="","",IF(Controls!$B$7="Normal",Controls!$B$8,(Controls!$B$8+Controls!$B$9)/2)+Controls!$B$10*(C241-IF(Controls!$B$7="Normal",Controls!$B$8,(Controls!$B$8+Controls!$B$9)/2))+SQRT(1-Controls!$B$10^2)*(Random!W242-IF(Controls!$B$7="Normal",Controls!$B$8,(Controls!$B$8+Controls!$B$9)/2)))</f>
        <v/>
      </c>
      <c r="D242" s="10" t="str">
        <f>IF(Random!X242="","",IF(Controls!$B$7="Normal",Controls!$B$8,(Controls!$B$8+Controls!$B$9)/2)+Controls!$B$10*(D241-IF(Controls!$B$7="Normal",Controls!$B$8,(Controls!$B$8+Controls!$B$9)/2))+SQRT(1-Controls!$B$10^2)*(Random!X242-IF(Controls!$B$7="Normal",Controls!$B$8,(Controls!$B$8+Controls!$B$9)/2)))</f>
        <v/>
      </c>
      <c r="E242" s="10" t="str">
        <f>IF(Random!Y242="","",IF(Controls!$B$7="Normal",Controls!$B$8,(Controls!$B$8+Controls!$B$9)/2)+Controls!$B$10*(E241-IF(Controls!$B$7="Normal",Controls!$B$8,(Controls!$B$8+Controls!$B$9)/2))+SQRT(1-Controls!$B$10^2)*(Random!Y242-IF(Controls!$B$7="Normal",Controls!$B$8,(Controls!$B$8+Controls!$B$9)/2)))</f>
        <v/>
      </c>
      <c r="F242" s="10" t="str">
        <f>IF(Random!Z242="","",IF(Controls!$B$7="Normal",Controls!$B$8,(Controls!$B$8+Controls!$B$9)/2)+Controls!$B$10*(F241-IF(Controls!$B$7="Normal",Controls!$B$8,(Controls!$B$8+Controls!$B$9)/2))+SQRT(1-Controls!$B$10^2)*(Random!Z242-IF(Controls!$B$7="Normal",Controls!$B$8,(Controls!$B$8+Controls!$B$9)/2)))</f>
        <v/>
      </c>
      <c r="G242" s="10" t="str">
        <f>IF(Random!AA242="","",IF(Controls!$B$7="Normal",Controls!$B$8,(Controls!$B$8+Controls!$B$9)/2)+Controls!$B$10*(G241-IF(Controls!$B$7="Normal",Controls!$B$8,(Controls!$B$8+Controls!$B$9)/2))+SQRT(1-Controls!$B$10^2)*(Random!AA242-IF(Controls!$B$7="Normal",Controls!$B$8,(Controls!$B$8+Controls!$B$9)/2)))</f>
        <v/>
      </c>
      <c r="H242" s="10" t="str">
        <f>IF(Random!AB242="","",IF(Controls!$B$7="Normal",Controls!$B$8,(Controls!$B$8+Controls!$B$9)/2)+Controls!$B$10*(H241-IF(Controls!$B$7="Normal",Controls!$B$8,(Controls!$B$8+Controls!$B$9)/2))+SQRT(1-Controls!$B$10^2)*(Random!AB242-IF(Controls!$B$7="Normal",Controls!$B$8,(Controls!$B$8+Controls!$B$9)/2)))</f>
        <v/>
      </c>
      <c r="I242" s="10" t="str">
        <f>IF(Random!AC242="","",IF(Controls!$B$7="Normal",Controls!$B$8,(Controls!$B$8+Controls!$B$9)/2)+Controls!$B$10*(I241-IF(Controls!$B$7="Normal",Controls!$B$8,(Controls!$B$8+Controls!$B$9)/2))+SQRT(1-Controls!$B$10^2)*(Random!AC242-IF(Controls!$B$7="Normal",Controls!$B$8,(Controls!$B$8+Controls!$B$9)/2)))</f>
        <v/>
      </c>
      <c r="J242" s="10" t="str">
        <f>IF(Random!AD242="","",IF(Controls!$B$7="Normal",Controls!$B$8,(Controls!$B$8+Controls!$B$9)/2)+Controls!$B$10*(J241-IF(Controls!$B$7="Normal",Controls!$B$8,(Controls!$B$8+Controls!$B$9)/2))+SQRT(1-Controls!$B$10^2)*(Random!AD242-IF(Controls!$B$7="Normal",Controls!$B$8,(Controls!$B$8+Controls!$B$9)/2)))</f>
        <v/>
      </c>
      <c r="K242" s="10" t="str">
        <f>IF(Random!AE242="","",IF(Controls!$B$7="Normal",Controls!$B$8,(Controls!$B$8+Controls!$B$9)/2)+Controls!$B$10*(K241-IF(Controls!$B$7="Normal",Controls!$B$8,(Controls!$B$8+Controls!$B$9)/2))+SQRT(1-Controls!$B$10^2)*(Random!AE242-IF(Controls!$B$7="Normal",Controls!$B$8,(Controls!$B$8+Controls!$B$9)/2)))</f>
        <v/>
      </c>
      <c r="L242" s="10" t="str">
        <f>IF($A242="","",IF(AND($A242&gt;=Controls!$B$25,$A242&lt;Controls!$B$25+Controls!$C$25),(Controls!$D$25-1)*EXP(-0.5*(($A242-Controls!$B$25-(Controls!$C$25-1)/2)/MAX(Controls!$C$25/4,0.5))^2),0))</f>
        <v/>
      </c>
      <c r="M242" s="10" t="str">
        <f>IF($A242="","",IF(AND($A242&gt;=Controls!$B$26,$A242&lt;Controls!$B$26+Controls!$C$26),(Controls!$D$26-1)*EXP(-0.5*(($A242-Controls!$B$26-(Controls!$C$26-1)/2)/MAX(Controls!$C$26/4,0.5))^2),0))</f>
        <v/>
      </c>
      <c r="N242" s="10" t="str">
        <f>IF($A242="","",IF(AND($A242&gt;=Controls!$B$27,$A242&lt;Controls!$B$27+Controls!$C$27),(Controls!$D$27-1)*EXP(-0.5*(($A242-Controls!$B$27-(Controls!$C$27-1)/2)/MAX(Controls!$C$27/4,0.5))^2),0))</f>
        <v/>
      </c>
      <c r="O242" s="10" t="str">
        <f>IF($A242="","",IF(AND($A242&gt;=Controls!$B$28,$A242&lt;Controls!$B$28+Controls!$C$28),(Controls!$D$28-1)*EXP(-0.5*(($A242-Controls!$B$28-(Controls!$C$28-1)/2)/MAX(Controls!$C$28/4,0.5))^2),0))</f>
        <v/>
      </c>
      <c r="P242" s="4" t="str">
        <f t="shared" si="1"/>
        <v/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21.0" customHeight="1">
      <c r="A243" s="7" t="str">
        <f>IF(242&lt;=Controls!$B$5,Controls!$B$4+241,"")</f>
        <v/>
      </c>
      <c r="B243" s="10" t="str">
        <f>IF(Random!V243="","",IF(Controls!$B$7="Normal",Controls!$B$8,(Controls!$B$8+Controls!$B$9)/2)+Controls!$B$10*(B242-IF(Controls!$B$7="Normal",Controls!$B$8,(Controls!$B$8+Controls!$B$9)/2))+SQRT(1-Controls!$B$10^2)*(Random!V243-IF(Controls!$B$7="Normal",Controls!$B$8,(Controls!$B$8+Controls!$B$9)/2)))</f>
        <v/>
      </c>
      <c r="C243" s="10" t="str">
        <f>IF(Random!W243="","",IF(Controls!$B$7="Normal",Controls!$B$8,(Controls!$B$8+Controls!$B$9)/2)+Controls!$B$10*(C242-IF(Controls!$B$7="Normal",Controls!$B$8,(Controls!$B$8+Controls!$B$9)/2))+SQRT(1-Controls!$B$10^2)*(Random!W243-IF(Controls!$B$7="Normal",Controls!$B$8,(Controls!$B$8+Controls!$B$9)/2)))</f>
        <v/>
      </c>
      <c r="D243" s="10" t="str">
        <f>IF(Random!X243="","",IF(Controls!$B$7="Normal",Controls!$B$8,(Controls!$B$8+Controls!$B$9)/2)+Controls!$B$10*(D242-IF(Controls!$B$7="Normal",Controls!$B$8,(Controls!$B$8+Controls!$B$9)/2))+SQRT(1-Controls!$B$10^2)*(Random!X243-IF(Controls!$B$7="Normal",Controls!$B$8,(Controls!$B$8+Controls!$B$9)/2)))</f>
        <v/>
      </c>
      <c r="E243" s="10" t="str">
        <f>IF(Random!Y243="","",IF(Controls!$B$7="Normal",Controls!$B$8,(Controls!$B$8+Controls!$B$9)/2)+Controls!$B$10*(E242-IF(Controls!$B$7="Normal",Controls!$B$8,(Controls!$B$8+Controls!$B$9)/2))+SQRT(1-Controls!$B$10^2)*(Random!Y243-IF(Controls!$B$7="Normal",Controls!$B$8,(Controls!$B$8+Controls!$B$9)/2)))</f>
        <v/>
      </c>
      <c r="F243" s="10" t="str">
        <f>IF(Random!Z243="","",IF(Controls!$B$7="Normal",Controls!$B$8,(Controls!$B$8+Controls!$B$9)/2)+Controls!$B$10*(F242-IF(Controls!$B$7="Normal",Controls!$B$8,(Controls!$B$8+Controls!$B$9)/2))+SQRT(1-Controls!$B$10^2)*(Random!Z243-IF(Controls!$B$7="Normal",Controls!$B$8,(Controls!$B$8+Controls!$B$9)/2)))</f>
        <v/>
      </c>
      <c r="G243" s="10" t="str">
        <f>IF(Random!AA243="","",IF(Controls!$B$7="Normal",Controls!$B$8,(Controls!$B$8+Controls!$B$9)/2)+Controls!$B$10*(G242-IF(Controls!$B$7="Normal",Controls!$B$8,(Controls!$B$8+Controls!$B$9)/2))+SQRT(1-Controls!$B$10^2)*(Random!AA243-IF(Controls!$B$7="Normal",Controls!$B$8,(Controls!$B$8+Controls!$B$9)/2)))</f>
        <v/>
      </c>
      <c r="H243" s="10" t="str">
        <f>IF(Random!AB243="","",IF(Controls!$B$7="Normal",Controls!$B$8,(Controls!$B$8+Controls!$B$9)/2)+Controls!$B$10*(H242-IF(Controls!$B$7="Normal",Controls!$B$8,(Controls!$B$8+Controls!$B$9)/2))+SQRT(1-Controls!$B$10^2)*(Random!AB243-IF(Controls!$B$7="Normal",Controls!$B$8,(Controls!$B$8+Controls!$B$9)/2)))</f>
        <v/>
      </c>
      <c r="I243" s="10" t="str">
        <f>IF(Random!AC243="","",IF(Controls!$B$7="Normal",Controls!$B$8,(Controls!$B$8+Controls!$B$9)/2)+Controls!$B$10*(I242-IF(Controls!$B$7="Normal",Controls!$B$8,(Controls!$B$8+Controls!$B$9)/2))+SQRT(1-Controls!$B$10^2)*(Random!AC243-IF(Controls!$B$7="Normal",Controls!$B$8,(Controls!$B$8+Controls!$B$9)/2)))</f>
        <v/>
      </c>
      <c r="J243" s="10" t="str">
        <f>IF(Random!AD243="","",IF(Controls!$B$7="Normal",Controls!$B$8,(Controls!$B$8+Controls!$B$9)/2)+Controls!$B$10*(J242-IF(Controls!$B$7="Normal",Controls!$B$8,(Controls!$B$8+Controls!$B$9)/2))+SQRT(1-Controls!$B$10^2)*(Random!AD243-IF(Controls!$B$7="Normal",Controls!$B$8,(Controls!$B$8+Controls!$B$9)/2)))</f>
        <v/>
      </c>
      <c r="K243" s="10" t="str">
        <f>IF(Random!AE243="","",IF(Controls!$B$7="Normal",Controls!$B$8,(Controls!$B$8+Controls!$B$9)/2)+Controls!$B$10*(K242-IF(Controls!$B$7="Normal",Controls!$B$8,(Controls!$B$8+Controls!$B$9)/2))+SQRT(1-Controls!$B$10^2)*(Random!AE243-IF(Controls!$B$7="Normal",Controls!$B$8,(Controls!$B$8+Controls!$B$9)/2)))</f>
        <v/>
      </c>
      <c r="L243" s="10" t="str">
        <f>IF($A243="","",IF(AND($A243&gt;=Controls!$B$25,$A243&lt;Controls!$B$25+Controls!$C$25),(Controls!$D$25-1)*EXP(-0.5*(($A243-Controls!$B$25-(Controls!$C$25-1)/2)/MAX(Controls!$C$25/4,0.5))^2),0))</f>
        <v/>
      </c>
      <c r="M243" s="10" t="str">
        <f>IF($A243="","",IF(AND($A243&gt;=Controls!$B$26,$A243&lt;Controls!$B$26+Controls!$C$26),(Controls!$D$26-1)*EXP(-0.5*(($A243-Controls!$B$26-(Controls!$C$26-1)/2)/MAX(Controls!$C$26/4,0.5))^2),0))</f>
        <v/>
      </c>
      <c r="N243" s="10" t="str">
        <f>IF($A243="","",IF(AND($A243&gt;=Controls!$B$27,$A243&lt;Controls!$B$27+Controls!$C$27),(Controls!$D$27-1)*EXP(-0.5*(($A243-Controls!$B$27-(Controls!$C$27-1)/2)/MAX(Controls!$C$27/4,0.5))^2),0))</f>
        <v/>
      </c>
      <c r="O243" s="10" t="str">
        <f>IF($A243="","",IF(AND($A243&gt;=Controls!$B$28,$A243&lt;Controls!$B$28+Controls!$C$28),(Controls!$D$28-1)*EXP(-0.5*(($A243-Controls!$B$28-(Controls!$C$28-1)/2)/MAX(Controls!$C$28/4,0.5))^2),0))</f>
        <v/>
      </c>
      <c r="P243" s="4" t="str">
        <f t="shared" si="1"/>
        <v/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21.0" customHeight="1">
      <c r="A244" s="7" t="str">
        <f>IF(243&lt;=Controls!$B$5,Controls!$B$4+242,"")</f>
        <v/>
      </c>
      <c r="B244" s="10" t="str">
        <f>IF(Random!V244="","",IF(Controls!$B$7="Normal",Controls!$B$8,(Controls!$B$8+Controls!$B$9)/2)+Controls!$B$10*(B243-IF(Controls!$B$7="Normal",Controls!$B$8,(Controls!$B$8+Controls!$B$9)/2))+SQRT(1-Controls!$B$10^2)*(Random!V244-IF(Controls!$B$7="Normal",Controls!$B$8,(Controls!$B$8+Controls!$B$9)/2)))</f>
        <v/>
      </c>
      <c r="C244" s="10" t="str">
        <f>IF(Random!W244="","",IF(Controls!$B$7="Normal",Controls!$B$8,(Controls!$B$8+Controls!$B$9)/2)+Controls!$B$10*(C243-IF(Controls!$B$7="Normal",Controls!$B$8,(Controls!$B$8+Controls!$B$9)/2))+SQRT(1-Controls!$B$10^2)*(Random!W244-IF(Controls!$B$7="Normal",Controls!$B$8,(Controls!$B$8+Controls!$B$9)/2)))</f>
        <v/>
      </c>
      <c r="D244" s="10" t="str">
        <f>IF(Random!X244="","",IF(Controls!$B$7="Normal",Controls!$B$8,(Controls!$B$8+Controls!$B$9)/2)+Controls!$B$10*(D243-IF(Controls!$B$7="Normal",Controls!$B$8,(Controls!$B$8+Controls!$B$9)/2))+SQRT(1-Controls!$B$10^2)*(Random!X244-IF(Controls!$B$7="Normal",Controls!$B$8,(Controls!$B$8+Controls!$B$9)/2)))</f>
        <v/>
      </c>
      <c r="E244" s="10" t="str">
        <f>IF(Random!Y244="","",IF(Controls!$B$7="Normal",Controls!$B$8,(Controls!$B$8+Controls!$B$9)/2)+Controls!$B$10*(E243-IF(Controls!$B$7="Normal",Controls!$B$8,(Controls!$B$8+Controls!$B$9)/2))+SQRT(1-Controls!$B$10^2)*(Random!Y244-IF(Controls!$B$7="Normal",Controls!$B$8,(Controls!$B$8+Controls!$B$9)/2)))</f>
        <v/>
      </c>
      <c r="F244" s="10" t="str">
        <f>IF(Random!Z244="","",IF(Controls!$B$7="Normal",Controls!$B$8,(Controls!$B$8+Controls!$B$9)/2)+Controls!$B$10*(F243-IF(Controls!$B$7="Normal",Controls!$B$8,(Controls!$B$8+Controls!$B$9)/2))+SQRT(1-Controls!$B$10^2)*(Random!Z244-IF(Controls!$B$7="Normal",Controls!$B$8,(Controls!$B$8+Controls!$B$9)/2)))</f>
        <v/>
      </c>
      <c r="G244" s="10" t="str">
        <f>IF(Random!AA244="","",IF(Controls!$B$7="Normal",Controls!$B$8,(Controls!$B$8+Controls!$B$9)/2)+Controls!$B$10*(G243-IF(Controls!$B$7="Normal",Controls!$B$8,(Controls!$B$8+Controls!$B$9)/2))+SQRT(1-Controls!$B$10^2)*(Random!AA244-IF(Controls!$B$7="Normal",Controls!$B$8,(Controls!$B$8+Controls!$B$9)/2)))</f>
        <v/>
      </c>
      <c r="H244" s="10" t="str">
        <f>IF(Random!AB244="","",IF(Controls!$B$7="Normal",Controls!$B$8,(Controls!$B$8+Controls!$B$9)/2)+Controls!$B$10*(H243-IF(Controls!$B$7="Normal",Controls!$B$8,(Controls!$B$8+Controls!$B$9)/2))+SQRT(1-Controls!$B$10^2)*(Random!AB244-IF(Controls!$B$7="Normal",Controls!$B$8,(Controls!$B$8+Controls!$B$9)/2)))</f>
        <v/>
      </c>
      <c r="I244" s="10" t="str">
        <f>IF(Random!AC244="","",IF(Controls!$B$7="Normal",Controls!$B$8,(Controls!$B$8+Controls!$B$9)/2)+Controls!$B$10*(I243-IF(Controls!$B$7="Normal",Controls!$B$8,(Controls!$B$8+Controls!$B$9)/2))+SQRT(1-Controls!$B$10^2)*(Random!AC244-IF(Controls!$B$7="Normal",Controls!$B$8,(Controls!$B$8+Controls!$B$9)/2)))</f>
        <v/>
      </c>
      <c r="J244" s="10" t="str">
        <f>IF(Random!AD244="","",IF(Controls!$B$7="Normal",Controls!$B$8,(Controls!$B$8+Controls!$B$9)/2)+Controls!$B$10*(J243-IF(Controls!$B$7="Normal",Controls!$B$8,(Controls!$B$8+Controls!$B$9)/2))+SQRT(1-Controls!$B$10^2)*(Random!AD244-IF(Controls!$B$7="Normal",Controls!$B$8,(Controls!$B$8+Controls!$B$9)/2)))</f>
        <v/>
      </c>
      <c r="K244" s="10" t="str">
        <f>IF(Random!AE244="","",IF(Controls!$B$7="Normal",Controls!$B$8,(Controls!$B$8+Controls!$B$9)/2)+Controls!$B$10*(K243-IF(Controls!$B$7="Normal",Controls!$B$8,(Controls!$B$8+Controls!$B$9)/2))+SQRT(1-Controls!$B$10^2)*(Random!AE244-IF(Controls!$B$7="Normal",Controls!$B$8,(Controls!$B$8+Controls!$B$9)/2)))</f>
        <v/>
      </c>
      <c r="L244" s="10" t="str">
        <f>IF($A244="","",IF(AND($A244&gt;=Controls!$B$25,$A244&lt;Controls!$B$25+Controls!$C$25),(Controls!$D$25-1)*EXP(-0.5*(($A244-Controls!$B$25-(Controls!$C$25-1)/2)/MAX(Controls!$C$25/4,0.5))^2),0))</f>
        <v/>
      </c>
      <c r="M244" s="10" t="str">
        <f>IF($A244="","",IF(AND($A244&gt;=Controls!$B$26,$A244&lt;Controls!$B$26+Controls!$C$26),(Controls!$D$26-1)*EXP(-0.5*(($A244-Controls!$B$26-(Controls!$C$26-1)/2)/MAX(Controls!$C$26/4,0.5))^2),0))</f>
        <v/>
      </c>
      <c r="N244" s="10" t="str">
        <f>IF($A244="","",IF(AND($A244&gt;=Controls!$B$27,$A244&lt;Controls!$B$27+Controls!$C$27),(Controls!$D$27-1)*EXP(-0.5*(($A244-Controls!$B$27-(Controls!$C$27-1)/2)/MAX(Controls!$C$27/4,0.5))^2),0))</f>
        <v/>
      </c>
      <c r="O244" s="10" t="str">
        <f>IF($A244="","",IF(AND($A244&gt;=Controls!$B$28,$A244&lt;Controls!$B$28+Controls!$C$28),(Controls!$D$28-1)*EXP(-0.5*(($A244-Controls!$B$28-(Controls!$C$28-1)/2)/MAX(Controls!$C$28/4,0.5))^2),0))</f>
        <v/>
      </c>
      <c r="P244" s="4" t="str">
        <f t="shared" si="1"/>
        <v/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21.0" customHeight="1">
      <c r="A245" s="7" t="str">
        <f>IF(244&lt;=Controls!$B$5,Controls!$B$4+243,"")</f>
        <v/>
      </c>
      <c r="B245" s="10" t="str">
        <f>IF(Random!V245="","",IF(Controls!$B$7="Normal",Controls!$B$8,(Controls!$B$8+Controls!$B$9)/2)+Controls!$B$10*(B244-IF(Controls!$B$7="Normal",Controls!$B$8,(Controls!$B$8+Controls!$B$9)/2))+SQRT(1-Controls!$B$10^2)*(Random!V245-IF(Controls!$B$7="Normal",Controls!$B$8,(Controls!$B$8+Controls!$B$9)/2)))</f>
        <v/>
      </c>
      <c r="C245" s="10" t="str">
        <f>IF(Random!W245="","",IF(Controls!$B$7="Normal",Controls!$B$8,(Controls!$B$8+Controls!$B$9)/2)+Controls!$B$10*(C244-IF(Controls!$B$7="Normal",Controls!$B$8,(Controls!$B$8+Controls!$B$9)/2))+SQRT(1-Controls!$B$10^2)*(Random!W245-IF(Controls!$B$7="Normal",Controls!$B$8,(Controls!$B$8+Controls!$B$9)/2)))</f>
        <v/>
      </c>
      <c r="D245" s="10" t="str">
        <f>IF(Random!X245="","",IF(Controls!$B$7="Normal",Controls!$B$8,(Controls!$B$8+Controls!$B$9)/2)+Controls!$B$10*(D244-IF(Controls!$B$7="Normal",Controls!$B$8,(Controls!$B$8+Controls!$B$9)/2))+SQRT(1-Controls!$B$10^2)*(Random!X245-IF(Controls!$B$7="Normal",Controls!$B$8,(Controls!$B$8+Controls!$B$9)/2)))</f>
        <v/>
      </c>
      <c r="E245" s="10" t="str">
        <f>IF(Random!Y245="","",IF(Controls!$B$7="Normal",Controls!$B$8,(Controls!$B$8+Controls!$B$9)/2)+Controls!$B$10*(E244-IF(Controls!$B$7="Normal",Controls!$B$8,(Controls!$B$8+Controls!$B$9)/2))+SQRT(1-Controls!$B$10^2)*(Random!Y245-IF(Controls!$B$7="Normal",Controls!$B$8,(Controls!$B$8+Controls!$B$9)/2)))</f>
        <v/>
      </c>
      <c r="F245" s="10" t="str">
        <f>IF(Random!Z245="","",IF(Controls!$B$7="Normal",Controls!$B$8,(Controls!$B$8+Controls!$B$9)/2)+Controls!$B$10*(F244-IF(Controls!$B$7="Normal",Controls!$B$8,(Controls!$B$8+Controls!$B$9)/2))+SQRT(1-Controls!$B$10^2)*(Random!Z245-IF(Controls!$B$7="Normal",Controls!$B$8,(Controls!$B$8+Controls!$B$9)/2)))</f>
        <v/>
      </c>
      <c r="G245" s="10" t="str">
        <f>IF(Random!AA245="","",IF(Controls!$B$7="Normal",Controls!$B$8,(Controls!$B$8+Controls!$B$9)/2)+Controls!$B$10*(G244-IF(Controls!$B$7="Normal",Controls!$B$8,(Controls!$B$8+Controls!$B$9)/2))+SQRT(1-Controls!$B$10^2)*(Random!AA245-IF(Controls!$B$7="Normal",Controls!$B$8,(Controls!$B$8+Controls!$B$9)/2)))</f>
        <v/>
      </c>
      <c r="H245" s="10" t="str">
        <f>IF(Random!AB245="","",IF(Controls!$B$7="Normal",Controls!$B$8,(Controls!$B$8+Controls!$B$9)/2)+Controls!$B$10*(H244-IF(Controls!$B$7="Normal",Controls!$B$8,(Controls!$B$8+Controls!$B$9)/2))+SQRT(1-Controls!$B$10^2)*(Random!AB245-IF(Controls!$B$7="Normal",Controls!$B$8,(Controls!$B$8+Controls!$B$9)/2)))</f>
        <v/>
      </c>
      <c r="I245" s="10" t="str">
        <f>IF(Random!AC245="","",IF(Controls!$B$7="Normal",Controls!$B$8,(Controls!$B$8+Controls!$B$9)/2)+Controls!$B$10*(I244-IF(Controls!$B$7="Normal",Controls!$B$8,(Controls!$B$8+Controls!$B$9)/2))+SQRT(1-Controls!$B$10^2)*(Random!AC245-IF(Controls!$B$7="Normal",Controls!$B$8,(Controls!$B$8+Controls!$B$9)/2)))</f>
        <v/>
      </c>
      <c r="J245" s="10" t="str">
        <f>IF(Random!AD245="","",IF(Controls!$B$7="Normal",Controls!$B$8,(Controls!$B$8+Controls!$B$9)/2)+Controls!$B$10*(J244-IF(Controls!$B$7="Normal",Controls!$B$8,(Controls!$B$8+Controls!$B$9)/2))+SQRT(1-Controls!$B$10^2)*(Random!AD245-IF(Controls!$B$7="Normal",Controls!$B$8,(Controls!$B$8+Controls!$B$9)/2)))</f>
        <v/>
      </c>
      <c r="K245" s="10" t="str">
        <f>IF(Random!AE245="","",IF(Controls!$B$7="Normal",Controls!$B$8,(Controls!$B$8+Controls!$B$9)/2)+Controls!$B$10*(K244-IF(Controls!$B$7="Normal",Controls!$B$8,(Controls!$B$8+Controls!$B$9)/2))+SQRT(1-Controls!$B$10^2)*(Random!AE245-IF(Controls!$B$7="Normal",Controls!$B$8,(Controls!$B$8+Controls!$B$9)/2)))</f>
        <v/>
      </c>
      <c r="L245" s="10" t="str">
        <f>IF($A245="","",IF(AND($A245&gt;=Controls!$B$25,$A245&lt;Controls!$B$25+Controls!$C$25),(Controls!$D$25-1)*EXP(-0.5*(($A245-Controls!$B$25-(Controls!$C$25-1)/2)/MAX(Controls!$C$25/4,0.5))^2),0))</f>
        <v/>
      </c>
      <c r="M245" s="10" t="str">
        <f>IF($A245="","",IF(AND($A245&gt;=Controls!$B$26,$A245&lt;Controls!$B$26+Controls!$C$26),(Controls!$D$26-1)*EXP(-0.5*(($A245-Controls!$B$26-(Controls!$C$26-1)/2)/MAX(Controls!$C$26/4,0.5))^2),0))</f>
        <v/>
      </c>
      <c r="N245" s="10" t="str">
        <f>IF($A245="","",IF(AND($A245&gt;=Controls!$B$27,$A245&lt;Controls!$B$27+Controls!$C$27),(Controls!$D$27-1)*EXP(-0.5*(($A245-Controls!$B$27-(Controls!$C$27-1)/2)/MAX(Controls!$C$27/4,0.5))^2),0))</f>
        <v/>
      </c>
      <c r="O245" s="10" t="str">
        <f>IF($A245="","",IF(AND($A245&gt;=Controls!$B$28,$A245&lt;Controls!$B$28+Controls!$C$28),(Controls!$D$28-1)*EXP(-0.5*(($A245-Controls!$B$28-(Controls!$C$28-1)/2)/MAX(Controls!$C$28/4,0.5))^2),0))</f>
        <v/>
      </c>
      <c r="P245" s="4" t="str">
        <f t="shared" si="1"/>
        <v/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21.0" customHeight="1">
      <c r="A246" s="7" t="str">
        <f>IF(245&lt;=Controls!$B$5,Controls!$B$4+244,"")</f>
        <v/>
      </c>
      <c r="B246" s="10" t="str">
        <f>IF(Random!V246="","",IF(Controls!$B$7="Normal",Controls!$B$8,(Controls!$B$8+Controls!$B$9)/2)+Controls!$B$10*(B245-IF(Controls!$B$7="Normal",Controls!$B$8,(Controls!$B$8+Controls!$B$9)/2))+SQRT(1-Controls!$B$10^2)*(Random!V246-IF(Controls!$B$7="Normal",Controls!$B$8,(Controls!$B$8+Controls!$B$9)/2)))</f>
        <v/>
      </c>
      <c r="C246" s="10" t="str">
        <f>IF(Random!W246="","",IF(Controls!$B$7="Normal",Controls!$B$8,(Controls!$B$8+Controls!$B$9)/2)+Controls!$B$10*(C245-IF(Controls!$B$7="Normal",Controls!$B$8,(Controls!$B$8+Controls!$B$9)/2))+SQRT(1-Controls!$B$10^2)*(Random!W246-IF(Controls!$B$7="Normal",Controls!$B$8,(Controls!$B$8+Controls!$B$9)/2)))</f>
        <v/>
      </c>
      <c r="D246" s="10" t="str">
        <f>IF(Random!X246="","",IF(Controls!$B$7="Normal",Controls!$B$8,(Controls!$B$8+Controls!$B$9)/2)+Controls!$B$10*(D245-IF(Controls!$B$7="Normal",Controls!$B$8,(Controls!$B$8+Controls!$B$9)/2))+SQRT(1-Controls!$B$10^2)*(Random!X246-IF(Controls!$B$7="Normal",Controls!$B$8,(Controls!$B$8+Controls!$B$9)/2)))</f>
        <v/>
      </c>
      <c r="E246" s="10" t="str">
        <f>IF(Random!Y246="","",IF(Controls!$B$7="Normal",Controls!$B$8,(Controls!$B$8+Controls!$B$9)/2)+Controls!$B$10*(E245-IF(Controls!$B$7="Normal",Controls!$B$8,(Controls!$B$8+Controls!$B$9)/2))+SQRT(1-Controls!$B$10^2)*(Random!Y246-IF(Controls!$B$7="Normal",Controls!$B$8,(Controls!$B$8+Controls!$B$9)/2)))</f>
        <v/>
      </c>
      <c r="F246" s="10" t="str">
        <f>IF(Random!Z246="","",IF(Controls!$B$7="Normal",Controls!$B$8,(Controls!$B$8+Controls!$B$9)/2)+Controls!$B$10*(F245-IF(Controls!$B$7="Normal",Controls!$B$8,(Controls!$B$8+Controls!$B$9)/2))+SQRT(1-Controls!$B$10^2)*(Random!Z246-IF(Controls!$B$7="Normal",Controls!$B$8,(Controls!$B$8+Controls!$B$9)/2)))</f>
        <v/>
      </c>
      <c r="G246" s="10" t="str">
        <f>IF(Random!AA246="","",IF(Controls!$B$7="Normal",Controls!$B$8,(Controls!$B$8+Controls!$B$9)/2)+Controls!$B$10*(G245-IF(Controls!$B$7="Normal",Controls!$B$8,(Controls!$B$8+Controls!$B$9)/2))+SQRT(1-Controls!$B$10^2)*(Random!AA246-IF(Controls!$B$7="Normal",Controls!$B$8,(Controls!$B$8+Controls!$B$9)/2)))</f>
        <v/>
      </c>
      <c r="H246" s="10" t="str">
        <f>IF(Random!AB246="","",IF(Controls!$B$7="Normal",Controls!$B$8,(Controls!$B$8+Controls!$B$9)/2)+Controls!$B$10*(H245-IF(Controls!$B$7="Normal",Controls!$B$8,(Controls!$B$8+Controls!$B$9)/2))+SQRT(1-Controls!$B$10^2)*(Random!AB246-IF(Controls!$B$7="Normal",Controls!$B$8,(Controls!$B$8+Controls!$B$9)/2)))</f>
        <v/>
      </c>
      <c r="I246" s="10" t="str">
        <f>IF(Random!AC246="","",IF(Controls!$B$7="Normal",Controls!$B$8,(Controls!$B$8+Controls!$B$9)/2)+Controls!$B$10*(I245-IF(Controls!$B$7="Normal",Controls!$B$8,(Controls!$B$8+Controls!$B$9)/2))+SQRT(1-Controls!$B$10^2)*(Random!AC246-IF(Controls!$B$7="Normal",Controls!$B$8,(Controls!$B$8+Controls!$B$9)/2)))</f>
        <v/>
      </c>
      <c r="J246" s="10" t="str">
        <f>IF(Random!AD246="","",IF(Controls!$B$7="Normal",Controls!$B$8,(Controls!$B$8+Controls!$B$9)/2)+Controls!$B$10*(J245-IF(Controls!$B$7="Normal",Controls!$B$8,(Controls!$B$8+Controls!$B$9)/2))+SQRT(1-Controls!$B$10^2)*(Random!AD246-IF(Controls!$B$7="Normal",Controls!$B$8,(Controls!$B$8+Controls!$B$9)/2)))</f>
        <v/>
      </c>
      <c r="K246" s="10" t="str">
        <f>IF(Random!AE246="","",IF(Controls!$B$7="Normal",Controls!$B$8,(Controls!$B$8+Controls!$B$9)/2)+Controls!$B$10*(K245-IF(Controls!$B$7="Normal",Controls!$B$8,(Controls!$B$8+Controls!$B$9)/2))+SQRT(1-Controls!$B$10^2)*(Random!AE246-IF(Controls!$B$7="Normal",Controls!$B$8,(Controls!$B$8+Controls!$B$9)/2)))</f>
        <v/>
      </c>
      <c r="L246" s="10" t="str">
        <f>IF($A246="","",IF(AND($A246&gt;=Controls!$B$25,$A246&lt;Controls!$B$25+Controls!$C$25),(Controls!$D$25-1)*EXP(-0.5*(($A246-Controls!$B$25-(Controls!$C$25-1)/2)/MAX(Controls!$C$25/4,0.5))^2),0))</f>
        <v/>
      </c>
      <c r="M246" s="10" t="str">
        <f>IF($A246="","",IF(AND($A246&gt;=Controls!$B$26,$A246&lt;Controls!$B$26+Controls!$C$26),(Controls!$D$26-1)*EXP(-0.5*(($A246-Controls!$B$26-(Controls!$C$26-1)/2)/MAX(Controls!$C$26/4,0.5))^2),0))</f>
        <v/>
      </c>
      <c r="N246" s="10" t="str">
        <f>IF($A246="","",IF(AND($A246&gt;=Controls!$B$27,$A246&lt;Controls!$B$27+Controls!$C$27),(Controls!$D$27-1)*EXP(-0.5*(($A246-Controls!$B$27-(Controls!$C$27-1)/2)/MAX(Controls!$C$27/4,0.5))^2),0))</f>
        <v/>
      </c>
      <c r="O246" s="10" t="str">
        <f>IF($A246="","",IF(AND($A246&gt;=Controls!$B$28,$A246&lt;Controls!$B$28+Controls!$C$28),(Controls!$D$28-1)*EXP(-0.5*(($A246-Controls!$B$28-(Controls!$C$28-1)/2)/MAX(Controls!$C$28/4,0.5))^2),0))</f>
        <v/>
      </c>
      <c r="P246" s="4" t="str">
        <f t="shared" si="1"/>
        <v/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21.0" customHeight="1">
      <c r="A247" s="7" t="str">
        <f>IF(246&lt;=Controls!$B$5,Controls!$B$4+245,"")</f>
        <v/>
      </c>
      <c r="B247" s="10" t="str">
        <f>IF(Random!V247="","",IF(Controls!$B$7="Normal",Controls!$B$8,(Controls!$B$8+Controls!$B$9)/2)+Controls!$B$10*(B246-IF(Controls!$B$7="Normal",Controls!$B$8,(Controls!$B$8+Controls!$B$9)/2))+SQRT(1-Controls!$B$10^2)*(Random!V247-IF(Controls!$B$7="Normal",Controls!$B$8,(Controls!$B$8+Controls!$B$9)/2)))</f>
        <v/>
      </c>
      <c r="C247" s="10" t="str">
        <f>IF(Random!W247="","",IF(Controls!$B$7="Normal",Controls!$B$8,(Controls!$B$8+Controls!$B$9)/2)+Controls!$B$10*(C246-IF(Controls!$B$7="Normal",Controls!$B$8,(Controls!$B$8+Controls!$B$9)/2))+SQRT(1-Controls!$B$10^2)*(Random!W247-IF(Controls!$B$7="Normal",Controls!$B$8,(Controls!$B$8+Controls!$B$9)/2)))</f>
        <v/>
      </c>
      <c r="D247" s="10" t="str">
        <f>IF(Random!X247="","",IF(Controls!$B$7="Normal",Controls!$B$8,(Controls!$B$8+Controls!$B$9)/2)+Controls!$B$10*(D246-IF(Controls!$B$7="Normal",Controls!$B$8,(Controls!$B$8+Controls!$B$9)/2))+SQRT(1-Controls!$B$10^2)*(Random!X247-IF(Controls!$B$7="Normal",Controls!$B$8,(Controls!$B$8+Controls!$B$9)/2)))</f>
        <v/>
      </c>
      <c r="E247" s="10" t="str">
        <f>IF(Random!Y247="","",IF(Controls!$B$7="Normal",Controls!$B$8,(Controls!$B$8+Controls!$B$9)/2)+Controls!$B$10*(E246-IF(Controls!$B$7="Normal",Controls!$B$8,(Controls!$B$8+Controls!$B$9)/2))+SQRT(1-Controls!$B$10^2)*(Random!Y247-IF(Controls!$B$7="Normal",Controls!$B$8,(Controls!$B$8+Controls!$B$9)/2)))</f>
        <v/>
      </c>
      <c r="F247" s="10" t="str">
        <f>IF(Random!Z247="","",IF(Controls!$B$7="Normal",Controls!$B$8,(Controls!$B$8+Controls!$B$9)/2)+Controls!$B$10*(F246-IF(Controls!$B$7="Normal",Controls!$B$8,(Controls!$B$8+Controls!$B$9)/2))+SQRT(1-Controls!$B$10^2)*(Random!Z247-IF(Controls!$B$7="Normal",Controls!$B$8,(Controls!$B$8+Controls!$B$9)/2)))</f>
        <v/>
      </c>
      <c r="G247" s="10" t="str">
        <f>IF(Random!AA247="","",IF(Controls!$B$7="Normal",Controls!$B$8,(Controls!$B$8+Controls!$B$9)/2)+Controls!$B$10*(G246-IF(Controls!$B$7="Normal",Controls!$B$8,(Controls!$B$8+Controls!$B$9)/2))+SQRT(1-Controls!$B$10^2)*(Random!AA247-IF(Controls!$B$7="Normal",Controls!$B$8,(Controls!$B$8+Controls!$B$9)/2)))</f>
        <v/>
      </c>
      <c r="H247" s="10" t="str">
        <f>IF(Random!AB247="","",IF(Controls!$B$7="Normal",Controls!$B$8,(Controls!$B$8+Controls!$B$9)/2)+Controls!$B$10*(H246-IF(Controls!$B$7="Normal",Controls!$B$8,(Controls!$B$8+Controls!$B$9)/2))+SQRT(1-Controls!$B$10^2)*(Random!AB247-IF(Controls!$B$7="Normal",Controls!$B$8,(Controls!$B$8+Controls!$B$9)/2)))</f>
        <v/>
      </c>
      <c r="I247" s="10" t="str">
        <f>IF(Random!AC247="","",IF(Controls!$B$7="Normal",Controls!$B$8,(Controls!$B$8+Controls!$B$9)/2)+Controls!$B$10*(I246-IF(Controls!$B$7="Normal",Controls!$B$8,(Controls!$B$8+Controls!$B$9)/2))+SQRT(1-Controls!$B$10^2)*(Random!AC247-IF(Controls!$B$7="Normal",Controls!$B$8,(Controls!$B$8+Controls!$B$9)/2)))</f>
        <v/>
      </c>
      <c r="J247" s="10" t="str">
        <f>IF(Random!AD247="","",IF(Controls!$B$7="Normal",Controls!$B$8,(Controls!$B$8+Controls!$B$9)/2)+Controls!$B$10*(J246-IF(Controls!$B$7="Normal",Controls!$B$8,(Controls!$B$8+Controls!$B$9)/2))+SQRT(1-Controls!$B$10^2)*(Random!AD247-IF(Controls!$B$7="Normal",Controls!$B$8,(Controls!$B$8+Controls!$B$9)/2)))</f>
        <v/>
      </c>
      <c r="K247" s="10" t="str">
        <f>IF(Random!AE247="","",IF(Controls!$B$7="Normal",Controls!$B$8,(Controls!$B$8+Controls!$B$9)/2)+Controls!$B$10*(K246-IF(Controls!$B$7="Normal",Controls!$B$8,(Controls!$B$8+Controls!$B$9)/2))+SQRT(1-Controls!$B$10^2)*(Random!AE247-IF(Controls!$B$7="Normal",Controls!$B$8,(Controls!$B$8+Controls!$B$9)/2)))</f>
        <v/>
      </c>
      <c r="L247" s="10" t="str">
        <f>IF($A247="","",IF(AND($A247&gt;=Controls!$B$25,$A247&lt;Controls!$B$25+Controls!$C$25),(Controls!$D$25-1)*EXP(-0.5*(($A247-Controls!$B$25-(Controls!$C$25-1)/2)/MAX(Controls!$C$25/4,0.5))^2),0))</f>
        <v/>
      </c>
      <c r="M247" s="10" t="str">
        <f>IF($A247="","",IF(AND($A247&gt;=Controls!$B$26,$A247&lt;Controls!$B$26+Controls!$C$26),(Controls!$D$26-1)*EXP(-0.5*(($A247-Controls!$B$26-(Controls!$C$26-1)/2)/MAX(Controls!$C$26/4,0.5))^2),0))</f>
        <v/>
      </c>
      <c r="N247" s="10" t="str">
        <f>IF($A247="","",IF(AND($A247&gt;=Controls!$B$27,$A247&lt;Controls!$B$27+Controls!$C$27),(Controls!$D$27-1)*EXP(-0.5*(($A247-Controls!$B$27-(Controls!$C$27-1)/2)/MAX(Controls!$C$27/4,0.5))^2),0))</f>
        <v/>
      </c>
      <c r="O247" s="10" t="str">
        <f>IF($A247="","",IF(AND($A247&gt;=Controls!$B$28,$A247&lt;Controls!$B$28+Controls!$C$28),(Controls!$D$28-1)*EXP(-0.5*(($A247-Controls!$B$28-(Controls!$C$28-1)/2)/MAX(Controls!$C$28/4,0.5))^2),0))</f>
        <v/>
      </c>
      <c r="P247" s="4" t="str">
        <f t="shared" si="1"/>
        <v/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21.0" customHeight="1">
      <c r="A248" s="7" t="str">
        <f>IF(247&lt;=Controls!$B$5,Controls!$B$4+246,"")</f>
        <v/>
      </c>
      <c r="B248" s="10" t="str">
        <f>IF(Random!V248="","",IF(Controls!$B$7="Normal",Controls!$B$8,(Controls!$B$8+Controls!$B$9)/2)+Controls!$B$10*(B247-IF(Controls!$B$7="Normal",Controls!$B$8,(Controls!$B$8+Controls!$B$9)/2))+SQRT(1-Controls!$B$10^2)*(Random!V248-IF(Controls!$B$7="Normal",Controls!$B$8,(Controls!$B$8+Controls!$B$9)/2)))</f>
        <v/>
      </c>
      <c r="C248" s="10" t="str">
        <f>IF(Random!W248="","",IF(Controls!$B$7="Normal",Controls!$B$8,(Controls!$B$8+Controls!$B$9)/2)+Controls!$B$10*(C247-IF(Controls!$B$7="Normal",Controls!$B$8,(Controls!$B$8+Controls!$B$9)/2))+SQRT(1-Controls!$B$10^2)*(Random!W248-IF(Controls!$B$7="Normal",Controls!$B$8,(Controls!$B$8+Controls!$B$9)/2)))</f>
        <v/>
      </c>
      <c r="D248" s="10" t="str">
        <f>IF(Random!X248="","",IF(Controls!$B$7="Normal",Controls!$B$8,(Controls!$B$8+Controls!$B$9)/2)+Controls!$B$10*(D247-IF(Controls!$B$7="Normal",Controls!$B$8,(Controls!$B$8+Controls!$B$9)/2))+SQRT(1-Controls!$B$10^2)*(Random!X248-IF(Controls!$B$7="Normal",Controls!$B$8,(Controls!$B$8+Controls!$B$9)/2)))</f>
        <v/>
      </c>
      <c r="E248" s="10" t="str">
        <f>IF(Random!Y248="","",IF(Controls!$B$7="Normal",Controls!$B$8,(Controls!$B$8+Controls!$B$9)/2)+Controls!$B$10*(E247-IF(Controls!$B$7="Normal",Controls!$B$8,(Controls!$B$8+Controls!$B$9)/2))+SQRT(1-Controls!$B$10^2)*(Random!Y248-IF(Controls!$B$7="Normal",Controls!$B$8,(Controls!$B$8+Controls!$B$9)/2)))</f>
        <v/>
      </c>
      <c r="F248" s="10" t="str">
        <f>IF(Random!Z248="","",IF(Controls!$B$7="Normal",Controls!$B$8,(Controls!$B$8+Controls!$B$9)/2)+Controls!$B$10*(F247-IF(Controls!$B$7="Normal",Controls!$B$8,(Controls!$B$8+Controls!$B$9)/2))+SQRT(1-Controls!$B$10^2)*(Random!Z248-IF(Controls!$B$7="Normal",Controls!$B$8,(Controls!$B$8+Controls!$B$9)/2)))</f>
        <v/>
      </c>
      <c r="G248" s="10" t="str">
        <f>IF(Random!AA248="","",IF(Controls!$B$7="Normal",Controls!$B$8,(Controls!$B$8+Controls!$B$9)/2)+Controls!$B$10*(G247-IF(Controls!$B$7="Normal",Controls!$B$8,(Controls!$B$8+Controls!$B$9)/2))+SQRT(1-Controls!$B$10^2)*(Random!AA248-IF(Controls!$B$7="Normal",Controls!$B$8,(Controls!$B$8+Controls!$B$9)/2)))</f>
        <v/>
      </c>
      <c r="H248" s="10" t="str">
        <f>IF(Random!AB248="","",IF(Controls!$B$7="Normal",Controls!$B$8,(Controls!$B$8+Controls!$B$9)/2)+Controls!$B$10*(H247-IF(Controls!$B$7="Normal",Controls!$B$8,(Controls!$B$8+Controls!$B$9)/2))+SQRT(1-Controls!$B$10^2)*(Random!AB248-IF(Controls!$B$7="Normal",Controls!$B$8,(Controls!$B$8+Controls!$B$9)/2)))</f>
        <v/>
      </c>
      <c r="I248" s="10" t="str">
        <f>IF(Random!AC248="","",IF(Controls!$B$7="Normal",Controls!$B$8,(Controls!$B$8+Controls!$B$9)/2)+Controls!$B$10*(I247-IF(Controls!$B$7="Normal",Controls!$B$8,(Controls!$B$8+Controls!$B$9)/2))+SQRT(1-Controls!$B$10^2)*(Random!AC248-IF(Controls!$B$7="Normal",Controls!$B$8,(Controls!$B$8+Controls!$B$9)/2)))</f>
        <v/>
      </c>
      <c r="J248" s="10" t="str">
        <f>IF(Random!AD248="","",IF(Controls!$B$7="Normal",Controls!$B$8,(Controls!$B$8+Controls!$B$9)/2)+Controls!$B$10*(J247-IF(Controls!$B$7="Normal",Controls!$B$8,(Controls!$B$8+Controls!$B$9)/2))+SQRT(1-Controls!$B$10^2)*(Random!AD248-IF(Controls!$B$7="Normal",Controls!$B$8,(Controls!$B$8+Controls!$B$9)/2)))</f>
        <v/>
      </c>
      <c r="K248" s="10" t="str">
        <f>IF(Random!AE248="","",IF(Controls!$B$7="Normal",Controls!$B$8,(Controls!$B$8+Controls!$B$9)/2)+Controls!$B$10*(K247-IF(Controls!$B$7="Normal",Controls!$B$8,(Controls!$B$8+Controls!$B$9)/2))+SQRT(1-Controls!$B$10^2)*(Random!AE248-IF(Controls!$B$7="Normal",Controls!$B$8,(Controls!$B$8+Controls!$B$9)/2)))</f>
        <v/>
      </c>
      <c r="L248" s="10" t="str">
        <f>IF($A248="","",IF(AND($A248&gt;=Controls!$B$25,$A248&lt;Controls!$B$25+Controls!$C$25),(Controls!$D$25-1)*EXP(-0.5*(($A248-Controls!$B$25-(Controls!$C$25-1)/2)/MAX(Controls!$C$25/4,0.5))^2),0))</f>
        <v/>
      </c>
      <c r="M248" s="10" t="str">
        <f>IF($A248="","",IF(AND($A248&gt;=Controls!$B$26,$A248&lt;Controls!$B$26+Controls!$C$26),(Controls!$D$26-1)*EXP(-0.5*(($A248-Controls!$B$26-(Controls!$C$26-1)/2)/MAX(Controls!$C$26/4,0.5))^2),0))</f>
        <v/>
      </c>
      <c r="N248" s="10" t="str">
        <f>IF($A248="","",IF(AND($A248&gt;=Controls!$B$27,$A248&lt;Controls!$B$27+Controls!$C$27),(Controls!$D$27-1)*EXP(-0.5*(($A248-Controls!$B$27-(Controls!$C$27-1)/2)/MAX(Controls!$C$27/4,0.5))^2),0))</f>
        <v/>
      </c>
      <c r="O248" s="10" t="str">
        <f>IF($A248="","",IF(AND($A248&gt;=Controls!$B$28,$A248&lt;Controls!$B$28+Controls!$C$28),(Controls!$D$28-1)*EXP(-0.5*(($A248-Controls!$B$28-(Controls!$C$28-1)/2)/MAX(Controls!$C$28/4,0.5))^2),0))</f>
        <v/>
      </c>
      <c r="P248" s="4" t="str">
        <f t="shared" si="1"/>
        <v/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21.0" customHeight="1">
      <c r="A249" s="7" t="str">
        <f>IF(248&lt;=Controls!$B$5,Controls!$B$4+247,"")</f>
        <v/>
      </c>
      <c r="B249" s="10" t="str">
        <f>IF(Random!V249="","",IF(Controls!$B$7="Normal",Controls!$B$8,(Controls!$B$8+Controls!$B$9)/2)+Controls!$B$10*(B248-IF(Controls!$B$7="Normal",Controls!$B$8,(Controls!$B$8+Controls!$B$9)/2))+SQRT(1-Controls!$B$10^2)*(Random!V249-IF(Controls!$B$7="Normal",Controls!$B$8,(Controls!$B$8+Controls!$B$9)/2)))</f>
        <v/>
      </c>
      <c r="C249" s="10" t="str">
        <f>IF(Random!W249="","",IF(Controls!$B$7="Normal",Controls!$B$8,(Controls!$B$8+Controls!$B$9)/2)+Controls!$B$10*(C248-IF(Controls!$B$7="Normal",Controls!$B$8,(Controls!$B$8+Controls!$B$9)/2))+SQRT(1-Controls!$B$10^2)*(Random!W249-IF(Controls!$B$7="Normal",Controls!$B$8,(Controls!$B$8+Controls!$B$9)/2)))</f>
        <v/>
      </c>
      <c r="D249" s="10" t="str">
        <f>IF(Random!X249="","",IF(Controls!$B$7="Normal",Controls!$B$8,(Controls!$B$8+Controls!$B$9)/2)+Controls!$B$10*(D248-IF(Controls!$B$7="Normal",Controls!$B$8,(Controls!$B$8+Controls!$B$9)/2))+SQRT(1-Controls!$B$10^2)*(Random!X249-IF(Controls!$B$7="Normal",Controls!$B$8,(Controls!$B$8+Controls!$B$9)/2)))</f>
        <v/>
      </c>
      <c r="E249" s="10" t="str">
        <f>IF(Random!Y249="","",IF(Controls!$B$7="Normal",Controls!$B$8,(Controls!$B$8+Controls!$B$9)/2)+Controls!$B$10*(E248-IF(Controls!$B$7="Normal",Controls!$B$8,(Controls!$B$8+Controls!$B$9)/2))+SQRT(1-Controls!$B$10^2)*(Random!Y249-IF(Controls!$B$7="Normal",Controls!$B$8,(Controls!$B$8+Controls!$B$9)/2)))</f>
        <v/>
      </c>
      <c r="F249" s="10" t="str">
        <f>IF(Random!Z249="","",IF(Controls!$B$7="Normal",Controls!$B$8,(Controls!$B$8+Controls!$B$9)/2)+Controls!$B$10*(F248-IF(Controls!$B$7="Normal",Controls!$B$8,(Controls!$B$8+Controls!$B$9)/2))+SQRT(1-Controls!$B$10^2)*(Random!Z249-IF(Controls!$B$7="Normal",Controls!$B$8,(Controls!$B$8+Controls!$B$9)/2)))</f>
        <v/>
      </c>
      <c r="G249" s="10" t="str">
        <f>IF(Random!AA249="","",IF(Controls!$B$7="Normal",Controls!$B$8,(Controls!$B$8+Controls!$B$9)/2)+Controls!$B$10*(G248-IF(Controls!$B$7="Normal",Controls!$B$8,(Controls!$B$8+Controls!$B$9)/2))+SQRT(1-Controls!$B$10^2)*(Random!AA249-IF(Controls!$B$7="Normal",Controls!$B$8,(Controls!$B$8+Controls!$B$9)/2)))</f>
        <v/>
      </c>
      <c r="H249" s="10" t="str">
        <f>IF(Random!AB249="","",IF(Controls!$B$7="Normal",Controls!$B$8,(Controls!$B$8+Controls!$B$9)/2)+Controls!$B$10*(H248-IF(Controls!$B$7="Normal",Controls!$B$8,(Controls!$B$8+Controls!$B$9)/2))+SQRT(1-Controls!$B$10^2)*(Random!AB249-IF(Controls!$B$7="Normal",Controls!$B$8,(Controls!$B$8+Controls!$B$9)/2)))</f>
        <v/>
      </c>
      <c r="I249" s="10" t="str">
        <f>IF(Random!AC249="","",IF(Controls!$B$7="Normal",Controls!$B$8,(Controls!$B$8+Controls!$B$9)/2)+Controls!$B$10*(I248-IF(Controls!$B$7="Normal",Controls!$B$8,(Controls!$B$8+Controls!$B$9)/2))+SQRT(1-Controls!$B$10^2)*(Random!AC249-IF(Controls!$B$7="Normal",Controls!$B$8,(Controls!$B$8+Controls!$B$9)/2)))</f>
        <v/>
      </c>
      <c r="J249" s="10" t="str">
        <f>IF(Random!AD249="","",IF(Controls!$B$7="Normal",Controls!$B$8,(Controls!$B$8+Controls!$B$9)/2)+Controls!$B$10*(J248-IF(Controls!$B$7="Normal",Controls!$B$8,(Controls!$B$8+Controls!$B$9)/2))+SQRT(1-Controls!$B$10^2)*(Random!AD249-IF(Controls!$B$7="Normal",Controls!$B$8,(Controls!$B$8+Controls!$B$9)/2)))</f>
        <v/>
      </c>
      <c r="K249" s="10" t="str">
        <f>IF(Random!AE249="","",IF(Controls!$B$7="Normal",Controls!$B$8,(Controls!$B$8+Controls!$B$9)/2)+Controls!$B$10*(K248-IF(Controls!$B$7="Normal",Controls!$B$8,(Controls!$B$8+Controls!$B$9)/2))+SQRT(1-Controls!$B$10^2)*(Random!AE249-IF(Controls!$B$7="Normal",Controls!$B$8,(Controls!$B$8+Controls!$B$9)/2)))</f>
        <v/>
      </c>
      <c r="L249" s="10" t="str">
        <f>IF($A249="","",IF(AND($A249&gt;=Controls!$B$25,$A249&lt;Controls!$B$25+Controls!$C$25),(Controls!$D$25-1)*EXP(-0.5*(($A249-Controls!$B$25-(Controls!$C$25-1)/2)/MAX(Controls!$C$25/4,0.5))^2),0))</f>
        <v/>
      </c>
      <c r="M249" s="10" t="str">
        <f>IF($A249="","",IF(AND($A249&gt;=Controls!$B$26,$A249&lt;Controls!$B$26+Controls!$C$26),(Controls!$D$26-1)*EXP(-0.5*(($A249-Controls!$B$26-(Controls!$C$26-1)/2)/MAX(Controls!$C$26/4,0.5))^2),0))</f>
        <v/>
      </c>
      <c r="N249" s="10" t="str">
        <f>IF($A249="","",IF(AND($A249&gt;=Controls!$B$27,$A249&lt;Controls!$B$27+Controls!$C$27),(Controls!$D$27-1)*EXP(-0.5*(($A249-Controls!$B$27-(Controls!$C$27-1)/2)/MAX(Controls!$C$27/4,0.5))^2),0))</f>
        <v/>
      </c>
      <c r="O249" s="10" t="str">
        <f>IF($A249="","",IF(AND($A249&gt;=Controls!$B$28,$A249&lt;Controls!$B$28+Controls!$C$28),(Controls!$D$28-1)*EXP(-0.5*(($A249-Controls!$B$28-(Controls!$C$28-1)/2)/MAX(Controls!$C$28/4,0.5))^2),0))</f>
        <v/>
      </c>
      <c r="P249" s="4" t="str">
        <f t="shared" si="1"/>
        <v/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21.0" customHeight="1">
      <c r="A250" s="7" t="str">
        <f>IF(249&lt;=Controls!$B$5,Controls!$B$4+248,"")</f>
        <v/>
      </c>
      <c r="B250" s="10" t="str">
        <f>IF(Random!V250="","",IF(Controls!$B$7="Normal",Controls!$B$8,(Controls!$B$8+Controls!$B$9)/2)+Controls!$B$10*(B249-IF(Controls!$B$7="Normal",Controls!$B$8,(Controls!$B$8+Controls!$B$9)/2))+SQRT(1-Controls!$B$10^2)*(Random!V250-IF(Controls!$B$7="Normal",Controls!$B$8,(Controls!$B$8+Controls!$B$9)/2)))</f>
        <v/>
      </c>
      <c r="C250" s="10" t="str">
        <f>IF(Random!W250="","",IF(Controls!$B$7="Normal",Controls!$B$8,(Controls!$B$8+Controls!$B$9)/2)+Controls!$B$10*(C249-IF(Controls!$B$7="Normal",Controls!$B$8,(Controls!$B$8+Controls!$B$9)/2))+SQRT(1-Controls!$B$10^2)*(Random!W250-IF(Controls!$B$7="Normal",Controls!$B$8,(Controls!$B$8+Controls!$B$9)/2)))</f>
        <v/>
      </c>
      <c r="D250" s="10" t="str">
        <f>IF(Random!X250="","",IF(Controls!$B$7="Normal",Controls!$B$8,(Controls!$B$8+Controls!$B$9)/2)+Controls!$B$10*(D249-IF(Controls!$B$7="Normal",Controls!$B$8,(Controls!$B$8+Controls!$B$9)/2))+SQRT(1-Controls!$B$10^2)*(Random!X250-IF(Controls!$B$7="Normal",Controls!$B$8,(Controls!$B$8+Controls!$B$9)/2)))</f>
        <v/>
      </c>
      <c r="E250" s="10" t="str">
        <f>IF(Random!Y250="","",IF(Controls!$B$7="Normal",Controls!$B$8,(Controls!$B$8+Controls!$B$9)/2)+Controls!$B$10*(E249-IF(Controls!$B$7="Normal",Controls!$B$8,(Controls!$B$8+Controls!$B$9)/2))+SQRT(1-Controls!$B$10^2)*(Random!Y250-IF(Controls!$B$7="Normal",Controls!$B$8,(Controls!$B$8+Controls!$B$9)/2)))</f>
        <v/>
      </c>
      <c r="F250" s="10" t="str">
        <f>IF(Random!Z250="","",IF(Controls!$B$7="Normal",Controls!$B$8,(Controls!$B$8+Controls!$B$9)/2)+Controls!$B$10*(F249-IF(Controls!$B$7="Normal",Controls!$B$8,(Controls!$B$8+Controls!$B$9)/2))+SQRT(1-Controls!$B$10^2)*(Random!Z250-IF(Controls!$B$7="Normal",Controls!$B$8,(Controls!$B$8+Controls!$B$9)/2)))</f>
        <v/>
      </c>
      <c r="G250" s="10" t="str">
        <f>IF(Random!AA250="","",IF(Controls!$B$7="Normal",Controls!$B$8,(Controls!$B$8+Controls!$B$9)/2)+Controls!$B$10*(G249-IF(Controls!$B$7="Normal",Controls!$B$8,(Controls!$B$8+Controls!$B$9)/2))+SQRT(1-Controls!$B$10^2)*(Random!AA250-IF(Controls!$B$7="Normal",Controls!$B$8,(Controls!$B$8+Controls!$B$9)/2)))</f>
        <v/>
      </c>
      <c r="H250" s="10" t="str">
        <f>IF(Random!AB250="","",IF(Controls!$B$7="Normal",Controls!$B$8,(Controls!$B$8+Controls!$B$9)/2)+Controls!$B$10*(H249-IF(Controls!$B$7="Normal",Controls!$B$8,(Controls!$B$8+Controls!$B$9)/2))+SQRT(1-Controls!$B$10^2)*(Random!AB250-IF(Controls!$B$7="Normal",Controls!$B$8,(Controls!$B$8+Controls!$B$9)/2)))</f>
        <v/>
      </c>
      <c r="I250" s="10" t="str">
        <f>IF(Random!AC250="","",IF(Controls!$B$7="Normal",Controls!$B$8,(Controls!$B$8+Controls!$B$9)/2)+Controls!$B$10*(I249-IF(Controls!$B$7="Normal",Controls!$B$8,(Controls!$B$8+Controls!$B$9)/2))+SQRT(1-Controls!$B$10^2)*(Random!AC250-IF(Controls!$B$7="Normal",Controls!$B$8,(Controls!$B$8+Controls!$B$9)/2)))</f>
        <v/>
      </c>
      <c r="J250" s="10" t="str">
        <f>IF(Random!AD250="","",IF(Controls!$B$7="Normal",Controls!$B$8,(Controls!$B$8+Controls!$B$9)/2)+Controls!$B$10*(J249-IF(Controls!$B$7="Normal",Controls!$B$8,(Controls!$B$8+Controls!$B$9)/2))+SQRT(1-Controls!$B$10^2)*(Random!AD250-IF(Controls!$B$7="Normal",Controls!$B$8,(Controls!$B$8+Controls!$B$9)/2)))</f>
        <v/>
      </c>
      <c r="K250" s="10" t="str">
        <f>IF(Random!AE250="","",IF(Controls!$B$7="Normal",Controls!$B$8,(Controls!$B$8+Controls!$B$9)/2)+Controls!$B$10*(K249-IF(Controls!$B$7="Normal",Controls!$B$8,(Controls!$B$8+Controls!$B$9)/2))+SQRT(1-Controls!$B$10^2)*(Random!AE250-IF(Controls!$B$7="Normal",Controls!$B$8,(Controls!$B$8+Controls!$B$9)/2)))</f>
        <v/>
      </c>
      <c r="L250" s="10" t="str">
        <f>IF($A250="","",IF(AND($A250&gt;=Controls!$B$25,$A250&lt;Controls!$B$25+Controls!$C$25),(Controls!$D$25-1)*EXP(-0.5*(($A250-Controls!$B$25-(Controls!$C$25-1)/2)/MAX(Controls!$C$25/4,0.5))^2),0))</f>
        <v/>
      </c>
      <c r="M250" s="10" t="str">
        <f>IF($A250="","",IF(AND($A250&gt;=Controls!$B$26,$A250&lt;Controls!$B$26+Controls!$C$26),(Controls!$D$26-1)*EXP(-0.5*(($A250-Controls!$B$26-(Controls!$C$26-1)/2)/MAX(Controls!$C$26/4,0.5))^2),0))</f>
        <v/>
      </c>
      <c r="N250" s="10" t="str">
        <f>IF($A250="","",IF(AND($A250&gt;=Controls!$B$27,$A250&lt;Controls!$B$27+Controls!$C$27),(Controls!$D$27-1)*EXP(-0.5*(($A250-Controls!$B$27-(Controls!$C$27-1)/2)/MAX(Controls!$C$27/4,0.5))^2),0))</f>
        <v/>
      </c>
      <c r="O250" s="10" t="str">
        <f>IF($A250="","",IF(AND($A250&gt;=Controls!$B$28,$A250&lt;Controls!$B$28+Controls!$C$28),(Controls!$D$28-1)*EXP(-0.5*(($A250-Controls!$B$28-(Controls!$C$28-1)/2)/MAX(Controls!$C$28/4,0.5))^2),0))</f>
        <v/>
      </c>
      <c r="P250" s="4" t="str">
        <f t="shared" si="1"/>
        <v/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21.0" customHeight="1">
      <c r="A251" s="7" t="str">
        <f>IF(250&lt;=Controls!$B$5,Controls!$B$4+249,"")</f>
        <v/>
      </c>
      <c r="B251" s="10" t="str">
        <f>IF(Random!V251="","",IF(Controls!$B$7="Normal",Controls!$B$8,(Controls!$B$8+Controls!$B$9)/2)+Controls!$B$10*(B250-IF(Controls!$B$7="Normal",Controls!$B$8,(Controls!$B$8+Controls!$B$9)/2))+SQRT(1-Controls!$B$10^2)*(Random!V251-IF(Controls!$B$7="Normal",Controls!$B$8,(Controls!$B$8+Controls!$B$9)/2)))</f>
        <v/>
      </c>
      <c r="C251" s="10" t="str">
        <f>IF(Random!W251="","",IF(Controls!$B$7="Normal",Controls!$B$8,(Controls!$B$8+Controls!$B$9)/2)+Controls!$B$10*(C250-IF(Controls!$B$7="Normal",Controls!$B$8,(Controls!$B$8+Controls!$B$9)/2))+SQRT(1-Controls!$B$10^2)*(Random!W251-IF(Controls!$B$7="Normal",Controls!$B$8,(Controls!$B$8+Controls!$B$9)/2)))</f>
        <v/>
      </c>
      <c r="D251" s="10" t="str">
        <f>IF(Random!X251="","",IF(Controls!$B$7="Normal",Controls!$B$8,(Controls!$B$8+Controls!$B$9)/2)+Controls!$B$10*(D250-IF(Controls!$B$7="Normal",Controls!$B$8,(Controls!$B$8+Controls!$B$9)/2))+SQRT(1-Controls!$B$10^2)*(Random!X251-IF(Controls!$B$7="Normal",Controls!$B$8,(Controls!$B$8+Controls!$B$9)/2)))</f>
        <v/>
      </c>
      <c r="E251" s="10" t="str">
        <f>IF(Random!Y251="","",IF(Controls!$B$7="Normal",Controls!$B$8,(Controls!$B$8+Controls!$B$9)/2)+Controls!$B$10*(E250-IF(Controls!$B$7="Normal",Controls!$B$8,(Controls!$B$8+Controls!$B$9)/2))+SQRT(1-Controls!$B$10^2)*(Random!Y251-IF(Controls!$B$7="Normal",Controls!$B$8,(Controls!$B$8+Controls!$B$9)/2)))</f>
        <v/>
      </c>
      <c r="F251" s="10" t="str">
        <f>IF(Random!Z251="","",IF(Controls!$B$7="Normal",Controls!$B$8,(Controls!$B$8+Controls!$B$9)/2)+Controls!$B$10*(F250-IF(Controls!$B$7="Normal",Controls!$B$8,(Controls!$B$8+Controls!$B$9)/2))+SQRT(1-Controls!$B$10^2)*(Random!Z251-IF(Controls!$B$7="Normal",Controls!$B$8,(Controls!$B$8+Controls!$B$9)/2)))</f>
        <v/>
      </c>
      <c r="G251" s="10" t="str">
        <f>IF(Random!AA251="","",IF(Controls!$B$7="Normal",Controls!$B$8,(Controls!$B$8+Controls!$B$9)/2)+Controls!$B$10*(G250-IF(Controls!$B$7="Normal",Controls!$B$8,(Controls!$B$8+Controls!$B$9)/2))+SQRT(1-Controls!$B$10^2)*(Random!AA251-IF(Controls!$B$7="Normal",Controls!$B$8,(Controls!$B$8+Controls!$B$9)/2)))</f>
        <v/>
      </c>
      <c r="H251" s="10" t="str">
        <f>IF(Random!AB251="","",IF(Controls!$B$7="Normal",Controls!$B$8,(Controls!$B$8+Controls!$B$9)/2)+Controls!$B$10*(H250-IF(Controls!$B$7="Normal",Controls!$B$8,(Controls!$B$8+Controls!$B$9)/2))+SQRT(1-Controls!$B$10^2)*(Random!AB251-IF(Controls!$B$7="Normal",Controls!$B$8,(Controls!$B$8+Controls!$B$9)/2)))</f>
        <v/>
      </c>
      <c r="I251" s="10" t="str">
        <f>IF(Random!AC251="","",IF(Controls!$B$7="Normal",Controls!$B$8,(Controls!$B$8+Controls!$B$9)/2)+Controls!$B$10*(I250-IF(Controls!$B$7="Normal",Controls!$B$8,(Controls!$B$8+Controls!$B$9)/2))+SQRT(1-Controls!$B$10^2)*(Random!AC251-IF(Controls!$B$7="Normal",Controls!$B$8,(Controls!$B$8+Controls!$B$9)/2)))</f>
        <v/>
      </c>
      <c r="J251" s="10" t="str">
        <f>IF(Random!AD251="","",IF(Controls!$B$7="Normal",Controls!$B$8,(Controls!$B$8+Controls!$B$9)/2)+Controls!$B$10*(J250-IF(Controls!$B$7="Normal",Controls!$B$8,(Controls!$B$8+Controls!$B$9)/2))+SQRT(1-Controls!$B$10^2)*(Random!AD251-IF(Controls!$B$7="Normal",Controls!$B$8,(Controls!$B$8+Controls!$B$9)/2)))</f>
        <v/>
      </c>
      <c r="K251" s="10" t="str">
        <f>IF(Random!AE251="","",IF(Controls!$B$7="Normal",Controls!$B$8,(Controls!$B$8+Controls!$B$9)/2)+Controls!$B$10*(K250-IF(Controls!$B$7="Normal",Controls!$B$8,(Controls!$B$8+Controls!$B$9)/2))+SQRT(1-Controls!$B$10^2)*(Random!AE251-IF(Controls!$B$7="Normal",Controls!$B$8,(Controls!$B$8+Controls!$B$9)/2)))</f>
        <v/>
      </c>
      <c r="L251" s="10" t="str">
        <f>IF($A251="","",IF(AND($A251&gt;=Controls!$B$25,$A251&lt;Controls!$B$25+Controls!$C$25),(Controls!$D$25-1)*EXP(-0.5*(($A251-Controls!$B$25-(Controls!$C$25-1)/2)/MAX(Controls!$C$25/4,0.5))^2),0))</f>
        <v/>
      </c>
      <c r="M251" s="10" t="str">
        <f>IF($A251="","",IF(AND($A251&gt;=Controls!$B$26,$A251&lt;Controls!$B$26+Controls!$C$26),(Controls!$D$26-1)*EXP(-0.5*(($A251-Controls!$B$26-(Controls!$C$26-1)/2)/MAX(Controls!$C$26/4,0.5))^2),0))</f>
        <v/>
      </c>
      <c r="N251" s="10" t="str">
        <f>IF($A251="","",IF(AND($A251&gt;=Controls!$B$27,$A251&lt;Controls!$B$27+Controls!$C$27),(Controls!$D$27-1)*EXP(-0.5*(($A251-Controls!$B$27-(Controls!$C$27-1)/2)/MAX(Controls!$C$27/4,0.5))^2),0))</f>
        <v/>
      </c>
      <c r="O251" s="10" t="str">
        <f>IF($A251="","",IF(AND($A251&gt;=Controls!$B$28,$A251&lt;Controls!$B$28+Controls!$C$28),(Controls!$D$28-1)*EXP(-0.5*(($A251-Controls!$B$28-(Controls!$C$28-1)/2)/MAX(Controls!$C$28/4,0.5))^2),0))</f>
        <v/>
      </c>
      <c r="P251" s="4" t="str">
        <f t="shared" si="1"/>
        <v/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21.0" customHeight="1">
      <c r="A252" s="7" t="str">
        <f>IF(251&lt;=Controls!$B$5,Controls!$B$4+250,"")</f>
        <v/>
      </c>
      <c r="B252" s="10" t="str">
        <f>IF(Random!V252="","",IF(Controls!$B$7="Normal",Controls!$B$8,(Controls!$B$8+Controls!$B$9)/2)+Controls!$B$10*(B251-IF(Controls!$B$7="Normal",Controls!$B$8,(Controls!$B$8+Controls!$B$9)/2))+SQRT(1-Controls!$B$10^2)*(Random!V252-IF(Controls!$B$7="Normal",Controls!$B$8,(Controls!$B$8+Controls!$B$9)/2)))</f>
        <v/>
      </c>
      <c r="C252" s="10" t="str">
        <f>IF(Random!W252="","",IF(Controls!$B$7="Normal",Controls!$B$8,(Controls!$B$8+Controls!$B$9)/2)+Controls!$B$10*(C251-IF(Controls!$B$7="Normal",Controls!$B$8,(Controls!$B$8+Controls!$B$9)/2))+SQRT(1-Controls!$B$10^2)*(Random!W252-IF(Controls!$B$7="Normal",Controls!$B$8,(Controls!$B$8+Controls!$B$9)/2)))</f>
        <v/>
      </c>
      <c r="D252" s="10" t="str">
        <f>IF(Random!X252="","",IF(Controls!$B$7="Normal",Controls!$B$8,(Controls!$B$8+Controls!$B$9)/2)+Controls!$B$10*(D251-IF(Controls!$B$7="Normal",Controls!$B$8,(Controls!$B$8+Controls!$B$9)/2))+SQRT(1-Controls!$B$10^2)*(Random!X252-IF(Controls!$B$7="Normal",Controls!$B$8,(Controls!$B$8+Controls!$B$9)/2)))</f>
        <v/>
      </c>
      <c r="E252" s="10" t="str">
        <f>IF(Random!Y252="","",IF(Controls!$B$7="Normal",Controls!$B$8,(Controls!$B$8+Controls!$B$9)/2)+Controls!$B$10*(E251-IF(Controls!$B$7="Normal",Controls!$B$8,(Controls!$B$8+Controls!$B$9)/2))+SQRT(1-Controls!$B$10^2)*(Random!Y252-IF(Controls!$B$7="Normal",Controls!$B$8,(Controls!$B$8+Controls!$B$9)/2)))</f>
        <v/>
      </c>
      <c r="F252" s="10" t="str">
        <f>IF(Random!Z252="","",IF(Controls!$B$7="Normal",Controls!$B$8,(Controls!$B$8+Controls!$B$9)/2)+Controls!$B$10*(F251-IF(Controls!$B$7="Normal",Controls!$B$8,(Controls!$B$8+Controls!$B$9)/2))+SQRT(1-Controls!$B$10^2)*(Random!Z252-IF(Controls!$B$7="Normal",Controls!$B$8,(Controls!$B$8+Controls!$B$9)/2)))</f>
        <v/>
      </c>
      <c r="G252" s="10" t="str">
        <f>IF(Random!AA252="","",IF(Controls!$B$7="Normal",Controls!$B$8,(Controls!$B$8+Controls!$B$9)/2)+Controls!$B$10*(G251-IF(Controls!$B$7="Normal",Controls!$B$8,(Controls!$B$8+Controls!$B$9)/2))+SQRT(1-Controls!$B$10^2)*(Random!AA252-IF(Controls!$B$7="Normal",Controls!$B$8,(Controls!$B$8+Controls!$B$9)/2)))</f>
        <v/>
      </c>
      <c r="H252" s="10" t="str">
        <f>IF(Random!AB252="","",IF(Controls!$B$7="Normal",Controls!$B$8,(Controls!$B$8+Controls!$B$9)/2)+Controls!$B$10*(H251-IF(Controls!$B$7="Normal",Controls!$B$8,(Controls!$B$8+Controls!$B$9)/2))+SQRT(1-Controls!$B$10^2)*(Random!AB252-IF(Controls!$B$7="Normal",Controls!$B$8,(Controls!$B$8+Controls!$B$9)/2)))</f>
        <v/>
      </c>
      <c r="I252" s="10" t="str">
        <f>IF(Random!AC252="","",IF(Controls!$B$7="Normal",Controls!$B$8,(Controls!$B$8+Controls!$B$9)/2)+Controls!$B$10*(I251-IF(Controls!$B$7="Normal",Controls!$B$8,(Controls!$B$8+Controls!$B$9)/2))+SQRT(1-Controls!$B$10^2)*(Random!AC252-IF(Controls!$B$7="Normal",Controls!$B$8,(Controls!$B$8+Controls!$B$9)/2)))</f>
        <v/>
      </c>
      <c r="J252" s="10" t="str">
        <f>IF(Random!AD252="","",IF(Controls!$B$7="Normal",Controls!$B$8,(Controls!$B$8+Controls!$B$9)/2)+Controls!$B$10*(J251-IF(Controls!$B$7="Normal",Controls!$B$8,(Controls!$B$8+Controls!$B$9)/2))+SQRT(1-Controls!$B$10^2)*(Random!AD252-IF(Controls!$B$7="Normal",Controls!$B$8,(Controls!$B$8+Controls!$B$9)/2)))</f>
        <v/>
      </c>
      <c r="K252" s="10" t="str">
        <f>IF(Random!AE252="","",IF(Controls!$B$7="Normal",Controls!$B$8,(Controls!$B$8+Controls!$B$9)/2)+Controls!$B$10*(K251-IF(Controls!$B$7="Normal",Controls!$B$8,(Controls!$B$8+Controls!$B$9)/2))+SQRT(1-Controls!$B$10^2)*(Random!AE252-IF(Controls!$B$7="Normal",Controls!$B$8,(Controls!$B$8+Controls!$B$9)/2)))</f>
        <v/>
      </c>
      <c r="L252" s="10" t="str">
        <f>IF($A252="","",IF(AND($A252&gt;=Controls!$B$25,$A252&lt;Controls!$B$25+Controls!$C$25),(Controls!$D$25-1)*EXP(-0.5*(($A252-Controls!$B$25-(Controls!$C$25-1)/2)/MAX(Controls!$C$25/4,0.5))^2),0))</f>
        <v/>
      </c>
      <c r="M252" s="10" t="str">
        <f>IF($A252="","",IF(AND($A252&gt;=Controls!$B$26,$A252&lt;Controls!$B$26+Controls!$C$26),(Controls!$D$26-1)*EXP(-0.5*(($A252-Controls!$B$26-(Controls!$C$26-1)/2)/MAX(Controls!$C$26/4,0.5))^2),0))</f>
        <v/>
      </c>
      <c r="N252" s="10" t="str">
        <f>IF($A252="","",IF(AND($A252&gt;=Controls!$B$27,$A252&lt;Controls!$B$27+Controls!$C$27),(Controls!$D$27-1)*EXP(-0.5*(($A252-Controls!$B$27-(Controls!$C$27-1)/2)/MAX(Controls!$C$27/4,0.5))^2),0))</f>
        <v/>
      </c>
      <c r="O252" s="10" t="str">
        <f>IF($A252="","",IF(AND($A252&gt;=Controls!$B$28,$A252&lt;Controls!$B$28+Controls!$C$28),(Controls!$D$28-1)*EXP(-0.5*(($A252-Controls!$B$28-(Controls!$C$28-1)/2)/MAX(Controls!$C$28/4,0.5))^2),0))</f>
        <v/>
      </c>
      <c r="P252" s="4" t="str">
        <f t="shared" si="1"/>
        <v/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21.0" customHeight="1">
      <c r="A253" s="7" t="str">
        <f>IF(252&lt;=Controls!$B$5,Controls!$B$4+251,"")</f>
        <v/>
      </c>
      <c r="B253" s="10" t="str">
        <f>IF(Random!V253="","",IF(Controls!$B$7="Normal",Controls!$B$8,(Controls!$B$8+Controls!$B$9)/2)+Controls!$B$10*(B252-IF(Controls!$B$7="Normal",Controls!$B$8,(Controls!$B$8+Controls!$B$9)/2))+SQRT(1-Controls!$B$10^2)*(Random!V253-IF(Controls!$B$7="Normal",Controls!$B$8,(Controls!$B$8+Controls!$B$9)/2)))</f>
        <v/>
      </c>
      <c r="C253" s="10" t="str">
        <f>IF(Random!W253="","",IF(Controls!$B$7="Normal",Controls!$B$8,(Controls!$B$8+Controls!$B$9)/2)+Controls!$B$10*(C252-IF(Controls!$B$7="Normal",Controls!$B$8,(Controls!$B$8+Controls!$B$9)/2))+SQRT(1-Controls!$B$10^2)*(Random!W253-IF(Controls!$B$7="Normal",Controls!$B$8,(Controls!$B$8+Controls!$B$9)/2)))</f>
        <v/>
      </c>
      <c r="D253" s="10" t="str">
        <f>IF(Random!X253="","",IF(Controls!$B$7="Normal",Controls!$B$8,(Controls!$B$8+Controls!$B$9)/2)+Controls!$B$10*(D252-IF(Controls!$B$7="Normal",Controls!$B$8,(Controls!$B$8+Controls!$B$9)/2))+SQRT(1-Controls!$B$10^2)*(Random!X253-IF(Controls!$B$7="Normal",Controls!$B$8,(Controls!$B$8+Controls!$B$9)/2)))</f>
        <v/>
      </c>
      <c r="E253" s="10" t="str">
        <f>IF(Random!Y253="","",IF(Controls!$B$7="Normal",Controls!$B$8,(Controls!$B$8+Controls!$B$9)/2)+Controls!$B$10*(E252-IF(Controls!$B$7="Normal",Controls!$B$8,(Controls!$B$8+Controls!$B$9)/2))+SQRT(1-Controls!$B$10^2)*(Random!Y253-IF(Controls!$B$7="Normal",Controls!$B$8,(Controls!$B$8+Controls!$B$9)/2)))</f>
        <v/>
      </c>
      <c r="F253" s="10" t="str">
        <f>IF(Random!Z253="","",IF(Controls!$B$7="Normal",Controls!$B$8,(Controls!$B$8+Controls!$B$9)/2)+Controls!$B$10*(F252-IF(Controls!$B$7="Normal",Controls!$B$8,(Controls!$B$8+Controls!$B$9)/2))+SQRT(1-Controls!$B$10^2)*(Random!Z253-IF(Controls!$B$7="Normal",Controls!$B$8,(Controls!$B$8+Controls!$B$9)/2)))</f>
        <v/>
      </c>
      <c r="G253" s="10" t="str">
        <f>IF(Random!AA253="","",IF(Controls!$B$7="Normal",Controls!$B$8,(Controls!$B$8+Controls!$B$9)/2)+Controls!$B$10*(G252-IF(Controls!$B$7="Normal",Controls!$B$8,(Controls!$B$8+Controls!$B$9)/2))+SQRT(1-Controls!$B$10^2)*(Random!AA253-IF(Controls!$B$7="Normal",Controls!$B$8,(Controls!$B$8+Controls!$B$9)/2)))</f>
        <v/>
      </c>
      <c r="H253" s="10" t="str">
        <f>IF(Random!AB253="","",IF(Controls!$B$7="Normal",Controls!$B$8,(Controls!$B$8+Controls!$B$9)/2)+Controls!$B$10*(H252-IF(Controls!$B$7="Normal",Controls!$B$8,(Controls!$B$8+Controls!$B$9)/2))+SQRT(1-Controls!$B$10^2)*(Random!AB253-IF(Controls!$B$7="Normal",Controls!$B$8,(Controls!$B$8+Controls!$B$9)/2)))</f>
        <v/>
      </c>
      <c r="I253" s="10" t="str">
        <f>IF(Random!AC253="","",IF(Controls!$B$7="Normal",Controls!$B$8,(Controls!$B$8+Controls!$B$9)/2)+Controls!$B$10*(I252-IF(Controls!$B$7="Normal",Controls!$B$8,(Controls!$B$8+Controls!$B$9)/2))+SQRT(1-Controls!$B$10^2)*(Random!AC253-IF(Controls!$B$7="Normal",Controls!$B$8,(Controls!$B$8+Controls!$B$9)/2)))</f>
        <v/>
      </c>
      <c r="J253" s="10" t="str">
        <f>IF(Random!AD253="","",IF(Controls!$B$7="Normal",Controls!$B$8,(Controls!$B$8+Controls!$B$9)/2)+Controls!$B$10*(J252-IF(Controls!$B$7="Normal",Controls!$B$8,(Controls!$B$8+Controls!$B$9)/2))+SQRT(1-Controls!$B$10^2)*(Random!AD253-IF(Controls!$B$7="Normal",Controls!$B$8,(Controls!$B$8+Controls!$B$9)/2)))</f>
        <v/>
      </c>
      <c r="K253" s="10" t="str">
        <f>IF(Random!AE253="","",IF(Controls!$B$7="Normal",Controls!$B$8,(Controls!$B$8+Controls!$B$9)/2)+Controls!$B$10*(K252-IF(Controls!$B$7="Normal",Controls!$B$8,(Controls!$B$8+Controls!$B$9)/2))+SQRT(1-Controls!$B$10^2)*(Random!AE253-IF(Controls!$B$7="Normal",Controls!$B$8,(Controls!$B$8+Controls!$B$9)/2)))</f>
        <v/>
      </c>
      <c r="L253" s="10" t="str">
        <f>IF($A253="","",IF(AND($A253&gt;=Controls!$B$25,$A253&lt;Controls!$B$25+Controls!$C$25),(Controls!$D$25-1)*EXP(-0.5*(($A253-Controls!$B$25-(Controls!$C$25-1)/2)/MAX(Controls!$C$25/4,0.5))^2),0))</f>
        <v/>
      </c>
      <c r="M253" s="10" t="str">
        <f>IF($A253="","",IF(AND($A253&gt;=Controls!$B$26,$A253&lt;Controls!$B$26+Controls!$C$26),(Controls!$D$26-1)*EXP(-0.5*(($A253-Controls!$B$26-(Controls!$C$26-1)/2)/MAX(Controls!$C$26/4,0.5))^2),0))</f>
        <v/>
      </c>
      <c r="N253" s="10" t="str">
        <f>IF($A253="","",IF(AND($A253&gt;=Controls!$B$27,$A253&lt;Controls!$B$27+Controls!$C$27),(Controls!$D$27-1)*EXP(-0.5*(($A253-Controls!$B$27-(Controls!$C$27-1)/2)/MAX(Controls!$C$27/4,0.5))^2),0))</f>
        <v/>
      </c>
      <c r="O253" s="10" t="str">
        <f>IF($A253="","",IF(AND($A253&gt;=Controls!$B$28,$A253&lt;Controls!$B$28+Controls!$C$28),(Controls!$D$28-1)*EXP(-0.5*(($A253-Controls!$B$28-(Controls!$C$28-1)/2)/MAX(Controls!$C$28/4,0.5))^2),0))</f>
        <v/>
      </c>
      <c r="P253" s="4" t="str">
        <f t="shared" si="1"/>
        <v/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21.0" customHeight="1">
      <c r="A254" s="7" t="str">
        <f>IF(253&lt;=Controls!$B$5,Controls!$B$4+252,"")</f>
        <v/>
      </c>
      <c r="B254" s="10" t="str">
        <f>IF(Random!V254="","",IF(Controls!$B$7="Normal",Controls!$B$8,(Controls!$B$8+Controls!$B$9)/2)+Controls!$B$10*(B253-IF(Controls!$B$7="Normal",Controls!$B$8,(Controls!$B$8+Controls!$B$9)/2))+SQRT(1-Controls!$B$10^2)*(Random!V254-IF(Controls!$B$7="Normal",Controls!$B$8,(Controls!$B$8+Controls!$B$9)/2)))</f>
        <v/>
      </c>
      <c r="C254" s="10" t="str">
        <f>IF(Random!W254="","",IF(Controls!$B$7="Normal",Controls!$B$8,(Controls!$B$8+Controls!$B$9)/2)+Controls!$B$10*(C253-IF(Controls!$B$7="Normal",Controls!$B$8,(Controls!$B$8+Controls!$B$9)/2))+SQRT(1-Controls!$B$10^2)*(Random!W254-IF(Controls!$B$7="Normal",Controls!$B$8,(Controls!$B$8+Controls!$B$9)/2)))</f>
        <v/>
      </c>
      <c r="D254" s="10" t="str">
        <f>IF(Random!X254="","",IF(Controls!$B$7="Normal",Controls!$B$8,(Controls!$B$8+Controls!$B$9)/2)+Controls!$B$10*(D253-IF(Controls!$B$7="Normal",Controls!$B$8,(Controls!$B$8+Controls!$B$9)/2))+SQRT(1-Controls!$B$10^2)*(Random!X254-IF(Controls!$B$7="Normal",Controls!$B$8,(Controls!$B$8+Controls!$B$9)/2)))</f>
        <v/>
      </c>
      <c r="E254" s="10" t="str">
        <f>IF(Random!Y254="","",IF(Controls!$B$7="Normal",Controls!$B$8,(Controls!$B$8+Controls!$B$9)/2)+Controls!$B$10*(E253-IF(Controls!$B$7="Normal",Controls!$B$8,(Controls!$B$8+Controls!$B$9)/2))+SQRT(1-Controls!$B$10^2)*(Random!Y254-IF(Controls!$B$7="Normal",Controls!$B$8,(Controls!$B$8+Controls!$B$9)/2)))</f>
        <v/>
      </c>
      <c r="F254" s="10" t="str">
        <f>IF(Random!Z254="","",IF(Controls!$B$7="Normal",Controls!$B$8,(Controls!$B$8+Controls!$B$9)/2)+Controls!$B$10*(F253-IF(Controls!$B$7="Normal",Controls!$B$8,(Controls!$B$8+Controls!$B$9)/2))+SQRT(1-Controls!$B$10^2)*(Random!Z254-IF(Controls!$B$7="Normal",Controls!$B$8,(Controls!$B$8+Controls!$B$9)/2)))</f>
        <v/>
      </c>
      <c r="G254" s="10" t="str">
        <f>IF(Random!AA254="","",IF(Controls!$B$7="Normal",Controls!$B$8,(Controls!$B$8+Controls!$B$9)/2)+Controls!$B$10*(G253-IF(Controls!$B$7="Normal",Controls!$B$8,(Controls!$B$8+Controls!$B$9)/2))+SQRT(1-Controls!$B$10^2)*(Random!AA254-IF(Controls!$B$7="Normal",Controls!$B$8,(Controls!$B$8+Controls!$B$9)/2)))</f>
        <v/>
      </c>
      <c r="H254" s="10" t="str">
        <f>IF(Random!AB254="","",IF(Controls!$B$7="Normal",Controls!$B$8,(Controls!$B$8+Controls!$B$9)/2)+Controls!$B$10*(H253-IF(Controls!$B$7="Normal",Controls!$B$8,(Controls!$B$8+Controls!$B$9)/2))+SQRT(1-Controls!$B$10^2)*(Random!AB254-IF(Controls!$B$7="Normal",Controls!$B$8,(Controls!$B$8+Controls!$B$9)/2)))</f>
        <v/>
      </c>
      <c r="I254" s="10" t="str">
        <f>IF(Random!AC254="","",IF(Controls!$B$7="Normal",Controls!$B$8,(Controls!$B$8+Controls!$B$9)/2)+Controls!$B$10*(I253-IF(Controls!$B$7="Normal",Controls!$B$8,(Controls!$B$8+Controls!$B$9)/2))+SQRT(1-Controls!$B$10^2)*(Random!AC254-IF(Controls!$B$7="Normal",Controls!$B$8,(Controls!$B$8+Controls!$B$9)/2)))</f>
        <v/>
      </c>
      <c r="J254" s="10" t="str">
        <f>IF(Random!AD254="","",IF(Controls!$B$7="Normal",Controls!$B$8,(Controls!$B$8+Controls!$B$9)/2)+Controls!$B$10*(J253-IF(Controls!$B$7="Normal",Controls!$B$8,(Controls!$B$8+Controls!$B$9)/2))+SQRT(1-Controls!$B$10^2)*(Random!AD254-IF(Controls!$B$7="Normal",Controls!$B$8,(Controls!$B$8+Controls!$B$9)/2)))</f>
        <v/>
      </c>
      <c r="K254" s="10" t="str">
        <f>IF(Random!AE254="","",IF(Controls!$B$7="Normal",Controls!$B$8,(Controls!$B$8+Controls!$B$9)/2)+Controls!$B$10*(K253-IF(Controls!$B$7="Normal",Controls!$B$8,(Controls!$B$8+Controls!$B$9)/2))+SQRT(1-Controls!$B$10^2)*(Random!AE254-IF(Controls!$B$7="Normal",Controls!$B$8,(Controls!$B$8+Controls!$B$9)/2)))</f>
        <v/>
      </c>
      <c r="L254" s="10" t="str">
        <f>IF($A254="","",IF(AND($A254&gt;=Controls!$B$25,$A254&lt;Controls!$B$25+Controls!$C$25),(Controls!$D$25-1)*EXP(-0.5*(($A254-Controls!$B$25-(Controls!$C$25-1)/2)/MAX(Controls!$C$25/4,0.5))^2),0))</f>
        <v/>
      </c>
      <c r="M254" s="10" t="str">
        <f>IF($A254="","",IF(AND($A254&gt;=Controls!$B$26,$A254&lt;Controls!$B$26+Controls!$C$26),(Controls!$D$26-1)*EXP(-0.5*(($A254-Controls!$B$26-(Controls!$C$26-1)/2)/MAX(Controls!$C$26/4,0.5))^2),0))</f>
        <v/>
      </c>
      <c r="N254" s="10" t="str">
        <f>IF($A254="","",IF(AND($A254&gt;=Controls!$B$27,$A254&lt;Controls!$B$27+Controls!$C$27),(Controls!$D$27-1)*EXP(-0.5*(($A254-Controls!$B$27-(Controls!$C$27-1)/2)/MAX(Controls!$C$27/4,0.5))^2),0))</f>
        <v/>
      </c>
      <c r="O254" s="10" t="str">
        <f>IF($A254="","",IF(AND($A254&gt;=Controls!$B$28,$A254&lt;Controls!$B$28+Controls!$C$28),(Controls!$D$28-1)*EXP(-0.5*(($A254-Controls!$B$28-(Controls!$C$28-1)/2)/MAX(Controls!$C$28/4,0.5))^2),0))</f>
        <v/>
      </c>
      <c r="P254" s="4" t="str">
        <f t="shared" si="1"/>
        <v/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21.0" customHeight="1">
      <c r="A255" s="7" t="str">
        <f>IF(254&lt;=Controls!$B$5,Controls!$B$4+253,"")</f>
        <v/>
      </c>
      <c r="B255" s="10" t="str">
        <f>IF(Random!V255="","",IF(Controls!$B$7="Normal",Controls!$B$8,(Controls!$B$8+Controls!$B$9)/2)+Controls!$B$10*(B254-IF(Controls!$B$7="Normal",Controls!$B$8,(Controls!$B$8+Controls!$B$9)/2))+SQRT(1-Controls!$B$10^2)*(Random!V255-IF(Controls!$B$7="Normal",Controls!$B$8,(Controls!$B$8+Controls!$B$9)/2)))</f>
        <v/>
      </c>
      <c r="C255" s="10" t="str">
        <f>IF(Random!W255="","",IF(Controls!$B$7="Normal",Controls!$B$8,(Controls!$B$8+Controls!$B$9)/2)+Controls!$B$10*(C254-IF(Controls!$B$7="Normal",Controls!$B$8,(Controls!$B$8+Controls!$B$9)/2))+SQRT(1-Controls!$B$10^2)*(Random!W255-IF(Controls!$B$7="Normal",Controls!$B$8,(Controls!$B$8+Controls!$B$9)/2)))</f>
        <v/>
      </c>
      <c r="D255" s="10" t="str">
        <f>IF(Random!X255="","",IF(Controls!$B$7="Normal",Controls!$B$8,(Controls!$B$8+Controls!$B$9)/2)+Controls!$B$10*(D254-IF(Controls!$B$7="Normal",Controls!$B$8,(Controls!$B$8+Controls!$B$9)/2))+SQRT(1-Controls!$B$10^2)*(Random!X255-IF(Controls!$B$7="Normal",Controls!$B$8,(Controls!$B$8+Controls!$B$9)/2)))</f>
        <v/>
      </c>
      <c r="E255" s="10" t="str">
        <f>IF(Random!Y255="","",IF(Controls!$B$7="Normal",Controls!$B$8,(Controls!$B$8+Controls!$B$9)/2)+Controls!$B$10*(E254-IF(Controls!$B$7="Normal",Controls!$B$8,(Controls!$B$8+Controls!$B$9)/2))+SQRT(1-Controls!$B$10^2)*(Random!Y255-IF(Controls!$B$7="Normal",Controls!$B$8,(Controls!$B$8+Controls!$B$9)/2)))</f>
        <v/>
      </c>
      <c r="F255" s="10" t="str">
        <f>IF(Random!Z255="","",IF(Controls!$B$7="Normal",Controls!$B$8,(Controls!$B$8+Controls!$B$9)/2)+Controls!$B$10*(F254-IF(Controls!$B$7="Normal",Controls!$B$8,(Controls!$B$8+Controls!$B$9)/2))+SQRT(1-Controls!$B$10^2)*(Random!Z255-IF(Controls!$B$7="Normal",Controls!$B$8,(Controls!$B$8+Controls!$B$9)/2)))</f>
        <v/>
      </c>
      <c r="G255" s="10" t="str">
        <f>IF(Random!AA255="","",IF(Controls!$B$7="Normal",Controls!$B$8,(Controls!$B$8+Controls!$B$9)/2)+Controls!$B$10*(G254-IF(Controls!$B$7="Normal",Controls!$B$8,(Controls!$B$8+Controls!$B$9)/2))+SQRT(1-Controls!$B$10^2)*(Random!AA255-IF(Controls!$B$7="Normal",Controls!$B$8,(Controls!$B$8+Controls!$B$9)/2)))</f>
        <v/>
      </c>
      <c r="H255" s="10" t="str">
        <f>IF(Random!AB255="","",IF(Controls!$B$7="Normal",Controls!$B$8,(Controls!$B$8+Controls!$B$9)/2)+Controls!$B$10*(H254-IF(Controls!$B$7="Normal",Controls!$B$8,(Controls!$B$8+Controls!$B$9)/2))+SQRT(1-Controls!$B$10^2)*(Random!AB255-IF(Controls!$B$7="Normal",Controls!$B$8,(Controls!$B$8+Controls!$B$9)/2)))</f>
        <v/>
      </c>
      <c r="I255" s="10" t="str">
        <f>IF(Random!AC255="","",IF(Controls!$B$7="Normal",Controls!$B$8,(Controls!$B$8+Controls!$B$9)/2)+Controls!$B$10*(I254-IF(Controls!$B$7="Normal",Controls!$B$8,(Controls!$B$8+Controls!$B$9)/2))+SQRT(1-Controls!$B$10^2)*(Random!AC255-IF(Controls!$B$7="Normal",Controls!$B$8,(Controls!$B$8+Controls!$B$9)/2)))</f>
        <v/>
      </c>
      <c r="J255" s="10" t="str">
        <f>IF(Random!AD255="","",IF(Controls!$B$7="Normal",Controls!$B$8,(Controls!$B$8+Controls!$B$9)/2)+Controls!$B$10*(J254-IF(Controls!$B$7="Normal",Controls!$B$8,(Controls!$B$8+Controls!$B$9)/2))+SQRT(1-Controls!$B$10^2)*(Random!AD255-IF(Controls!$B$7="Normal",Controls!$B$8,(Controls!$B$8+Controls!$B$9)/2)))</f>
        <v/>
      </c>
      <c r="K255" s="10" t="str">
        <f>IF(Random!AE255="","",IF(Controls!$B$7="Normal",Controls!$B$8,(Controls!$B$8+Controls!$B$9)/2)+Controls!$B$10*(K254-IF(Controls!$B$7="Normal",Controls!$B$8,(Controls!$B$8+Controls!$B$9)/2))+SQRT(1-Controls!$B$10^2)*(Random!AE255-IF(Controls!$B$7="Normal",Controls!$B$8,(Controls!$B$8+Controls!$B$9)/2)))</f>
        <v/>
      </c>
      <c r="L255" s="10" t="str">
        <f>IF($A255="","",IF(AND($A255&gt;=Controls!$B$25,$A255&lt;Controls!$B$25+Controls!$C$25),(Controls!$D$25-1)*EXP(-0.5*(($A255-Controls!$B$25-(Controls!$C$25-1)/2)/MAX(Controls!$C$25/4,0.5))^2),0))</f>
        <v/>
      </c>
      <c r="M255" s="10" t="str">
        <f>IF($A255="","",IF(AND($A255&gt;=Controls!$B$26,$A255&lt;Controls!$B$26+Controls!$C$26),(Controls!$D$26-1)*EXP(-0.5*(($A255-Controls!$B$26-(Controls!$C$26-1)/2)/MAX(Controls!$C$26/4,0.5))^2),0))</f>
        <v/>
      </c>
      <c r="N255" s="10" t="str">
        <f>IF($A255="","",IF(AND($A255&gt;=Controls!$B$27,$A255&lt;Controls!$B$27+Controls!$C$27),(Controls!$D$27-1)*EXP(-0.5*(($A255-Controls!$B$27-(Controls!$C$27-1)/2)/MAX(Controls!$C$27/4,0.5))^2),0))</f>
        <v/>
      </c>
      <c r="O255" s="10" t="str">
        <f>IF($A255="","",IF(AND($A255&gt;=Controls!$B$28,$A255&lt;Controls!$B$28+Controls!$C$28),(Controls!$D$28-1)*EXP(-0.5*(($A255-Controls!$B$28-(Controls!$C$28-1)/2)/MAX(Controls!$C$28/4,0.5))^2),0))</f>
        <v/>
      </c>
      <c r="P255" s="4" t="str">
        <f t="shared" si="1"/>
        <v/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21.0" customHeight="1">
      <c r="A256" s="7" t="str">
        <f>IF(255&lt;=Controls!$B$5,Controls!$B$4+254,"")</f>
        <v/>
      </c>
      <c r="B256" s="10" t="str">
        <f>IF(Random!V256="","",IF(Controls!$B$7="Normal",Controls!$B$8,(Controls!$B$8+Controls!$B$9)/2)+Controls!$B$10*(B255-IF(Controls!$B$7="Normal",Controls!$B$8,(Controls!$B$8+Controls!$B$9)/2))+SQRT(1-Controls!$B$10^2)*(Random!V256-IF(Controls!$B$7="Normal",Controls!$B$8,(Controls!$B$8+Controls!$B$9)/2)))</f>
        <v/>
      </c>
      <c r="C256" s="10" t="str">
        <f>IF(Random!W256="","",IF(Controls!$B$7="Normal",Controls!$B$8,(Controls!$B$8+Controls!$B$9)/2)+Controls!$B$10*(C255-IF(Controls!$B$7="Normal",Controls!$B$8,(Controls!$B$8+Controls!$B$9)/2))+SQRT(1-Controls!$B$10^2)*(Random!W256-IF(Controls!$B$7="Normal",Controls!$B$8,(Controls!$B$8+Controls!$B$9)/2)))</f>
        <v/>
      </c>
      <c r="D256" s="10" t="str">
        <f>IF(Random!X256="","",IF(Controls!$B$7="Normal",Controls!$B$8,(Controls!$B$8+Controls!$B$9)/2)+Controls!$B$10*(D255-IF(Controls!$B$7="Normal",Controls!$B$8,(Controls!$B$8+Controls!$B$9)/2))+SQRT(1-Controls!$B$10^2)*(Random!X256-IF(Controls!$B$7="Normal",Controls!$B$8,(Controls!$B$8+Controls!$B$9)/2)))</f>
        <v/>
      </c>
      <c r="E256" s="10" t="str">
        <f>IF(Random!Y256="","",IF(Controls!$B$7="Normal",Controls!$B$8,(Controls!$B$8+Controls!$B$9)/2)+Controls!$B$10*(E255-IF(Controls!$B$7="Normal",Controls!$B$8,(Controls!$B$8+Controls!$B$9)/2))+SQRT(1-Controls!$B$10^2)*(Random!Y256-IF(Controls!$B$7="Normal",Controls!$B$8,(Controls!$B$8+Controls!$B$9)/2)))</f>
        <v/>
      </c>
      <c r="F256" s="10" t="str">
        <f>IF(Random!Z256="","",IF(Controls!$B$7="Normal",Controls!$B$8,(Controls!$B$8+Controls!$B$9)/2)+Controls!$B$10*(F255-IF(Controls!$B$7="Normal",Controls!$B$8,(Controls!$B$8+Controls!$B$9)/2))+SQRT(1-Controls!$B$10^2)*(Random!Z256-IF(Controls!$B$7="Normal",Controls!$B$8,(Controls!$B$8+Controls!$B$9)/2)))</f>
        <v/>
      </c>
      <c r="G256" s="10" t="str">
        <f>IF(Random!AA256="","",IF(Controls!$B$7="Normal",Controls!$B$8,(Controls!$B$8+Controls!$B$9)/2)+Controls!$B$10*(G255-IF(Controls!$B$7="Normal",Controls!$B$8,(Controls!$B$8+Controls!$B$9)/2))+SQRT(1-Controls!$B$10^2)*(Random!AA256-IF(Controls!$B$7="Normal",Controls!$B$8,(Controls!$B$8+Controls!$B$9)/2)))</f>
        <v/>
      </c>
      <c r="H256" s="10" t="str">
        <f>IF(Random!AB256="","",IF(Controls!$B$7="Normal",Controls!$B$8,(Controls!$B$8+Controls!$B$9)/2)+Controls!$B$10*(H255-IF(Controls!$B$7="Normal",Controls!$B$8,(Controls!$B$8+Controls!$B$9)/2))+SQRT(1-Controls!$B$10^2)*(Random!AB256-IF(Controls!$B$7="Normal",Controls!$B$8,(Controls!$B$8+Controls!$B$9)/2)))</f>
        <v/>
      </c>
      <c r="I256" s="10" t="str">
        <f>IF(Random!AC256="","",IF(Controls!$B$7="Normal",Controls!$B$8,(Controls!$B$8+Controls!$B$9)/2)+Controls!$B$10*(I255-IF(Controls!$B$7="Normal",Controls!$B$8,(Controls!$B$8+Controls!$B$9)/2))+SQRT(1-Controls!$B$10^2)*(Random!AC256-IF(Controls!$B$7="Normal",Controls!$B$8,(Controls!$B$8+Controls!$B$9)/2)))</f>
        <v/>
      </c>
      <c r="J256" s="10" t="str">
        <f>IF(Random!AD256="","",IF(Controls!$B$7="Normal",Controls!$B$8,(Controls!$B$8+Controls!$B$9)/2)+Controls!$B$10*(J255-IF(Controls!$B$7="Normal",Controls!$B$8,(Controls!$B$8+Controls!$B$9)/2))+SQRT(1-Controls!$B$10^2)*(Random!AD256-IF(Controls!$B$7="Normal",Controls!$B$8,(Controls!$B$8+Controls!$B$9)/2)))</f>
        <v/>
      </c>
      <c r="K256" s="10" t="str">
        <f>IF(Random!AE256="","",IF(Controls!$B$7="Normal",Controls!$B$8,(Controls!$B$8+Controls!$B$9)/2)+Controls!$B$10*(K255-IF(Controls!$B$7="Normal",Controls!$B$8,(Controls!$B$8+Controls!$B$9)/2))+SQRT(1-Controls!$B$10^2)*(Random!AE256-IF(Controls!$B$7="Normal",Controls!$B$8,(Controls!$B$8+Controls!$B$9)/2)))</f>
        <v/>
      </c>
      <c r="L256" s="10" t="str">
        <f>IF($A256="","",IF(AND($A256&gt;=Controls!$B$25,$A256&lt;Controls!$B$25+Controls!$C$25),(Controls!$D$25-1)*EXP(-0.5*(($A256-Controls!$B$25-(Controls!$C$25-1)/2)/MAX(Controls!$C$25/4,0.5))^2),0))</f>
        <v/>
      </c>
      <c r="M256" s="10" t="str">
        <f>IF($A256="","",IF(AND($A256&gt;=Controls!$B$26,$A256&lt;Controls!$B$26+Controls!$C$26),(Controls!$D$26-1)*EXP(-0.5*(($A256-Controls!$B$26-(Controls!$C$26-1)/2)/MAX(Controls!$C$26/4,0.5))^2),0))</f>
        <v/>
      </c>
      <c r="N256" s="10" t="str">
        <f>IF($A256="","",IF(AND($A256&gt;=Controls!$B$27,$A256&lt;Controls!$B$27+Controls!$C$27),(Controls!$D$27-1)*EXP(-0.5*(($A256-Controls!$B$27-(Controls!$C$27-1)/2)/MAX(Controls!$C$27/4,0.5))^2),0))</f>
        <v/>
      </c>
      <c r="O256" s="10" t="str">
        <f>IF($A256="","",IF(AND($A256&gt;=Controls!$B$28,$A256&lt;Controls!$B$28+Controls!$C$28),(Controls!$D$28-1)*EXP(-0.5*(($A256-Controls!$B$28-(Controls!$C$28-1)/2)/MAX(Controls!$C$28/4,0.5))^2),0))</f>
        <v/>
      </c>
      <c r="P256" s="4" t="str">
        <f t="shared" si="1"/>
        <v/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21.0" customHeight="1">
      <c r="A257" s="7" t="str">
        <f>IF(256&lt;=Controls!$B$5,Controls!$B$4+255,"")</f>
        <v/>
      </c>
      <c r="B257" s="10" t="str">
        <f>IF(Random!V257="","",IF(Controls!$B$7="Normal",Controls!$B$8,(Controls!$B$8+Controls!$B$9)/2)+Controls!$B$10*(B256-IF(Controls!$B$7="Normal",Controls!$B$8,(Controls!$B$8+Controls!$B$9)/2))+SQRT(1-Controls!$B$10^2)*(Random!V257-IF(Controls!$B$7="Normal",Controls!$B$8,(Controls!$B$8+Controls!$B$9)/2)))</f>
        <v/>
      </c>
      <c r="C257" s="10" t="str">
        <f>IF(Random!W257="","",IF(Controls!$B$7="Normal",Controls!$B$8,(Controls!$B$8+Controls!$B$9)/2)+Controls!$B$10*(C256-IF(Controls!$B$7="Normal",Controls!$B$8,(Controls!$B$8+Controls!$B$9)/2))+SQRT(1-Controls!$B$10^2)*(Random!W257-IF(Controls!$B$7="Normal",Controls!$B$8,(Controls!$B$8+Controls!$B$9)/2)))</f>
        <v/>
      </c>
      <c r="D257" s="10" t="str">
        <f>IF(Random!X257="","",IF(Controls!$B$7="Normal",Controls!$B$8,(Controls!$B$8+Controls!$B$9)/2)+Controls!$B$10*(D256-IF(Controls!$B$7="Normal",Controls!$B$8,(Controls!$B$8+Controls!$B$9)/2))+SQRT(1-Controls!$B$10^2)*(Random!X257-IF(Controls!$B$7="Normal",Controls!$B$8,(Controls!$B$8+Controls!$B$9)/2)))</f>
        <v/>
      </c>
      <c r="E257" s="10" t="str">
        <f>IF(Random!Y257="","",IF(Controls!$B$7="Normal",Controls!$B$8,(Controls!$B$8+Controls!$B$9)/2)+Controls!$B$10*(E256-IF(Controls!$B$7="Normal",Controls!$B$8,(Controls!$B$8+Controls!$B$9)/2))+SQRT(1-Controls!$B$10^2)*(Random!Y257-IF(Controls!$B$7="Normal",Controls!$B$8,(Controls!$B$8+Controls!$B$9)/2)))</f>
        <v/>
      </c>
      <c r="F257" s="10" t="str">
        <f>IF(Random!Z257="","",IF(Controls!$B$7="Normal",Controls!$B$8,(Controls!$B$8+Controls!$B$9)/2)+Controls!$B$10*(F256-IF(Controls!$B$7="Normal",Controls!$B$8,(Controls!$B$8+Controls!$B$9)/2))+SQRT(1-Controls!$B$10^2)*(Random!Z257-IF(Controls!$B$7="Normal",Controls!$B$8,(Controls!$B$8+Controls!$B$9)/2)))</f>
        <v/>
      </c>
      <c r="G257" s="10" t="str">
        <f>IF(Random!AA257="","",IF(Controls!$B$7="Normal",Controls!$B$8,(Controls!$B$8+Controls!$B$9)/2)+Controls!$B$10*(G256-IF(Controls!$B$7="Normal",Controls!$B$8,(Controls!$B$8+Controls!$B$9)/2))+SQRT(1-Controls!$B$10^2)*(Random!AA257-IF(Controls!$B$7="Normal",Controls!$B$8,(Controls!$B$8+Controls!$B$9)/2)))</f>
        <v/>
      </c>
      <c r="H257" s="10" t="str">
        <f>IF(Random!AB257="","",IF(Controls!$B$7="Normal",Controls!$B$8,(Controls!$B$8+Controls!$B$9)/2)+Controls!$B$10*(H256-IF(Controls!$B$7="Normal",Controls!$B$8,(Controls!$B$8+Controls!$B$9)/2))+SQRT(1-Controls!$B$10^2)*(Random!AB257-IF(Controls!$B$7="Normal",Controls!$B$8,(Controls!$B$8+Controls!$B$9)/2)))</f>
        <v/>
      </c>
      <c r="I257" s="10" t="str">
        <f>IF(Random!AC257="","",IF(Controls!$B$7="Normal",Controls!$B$8,(Controls!$B$8+Controls!$B$9)/2)+Controls!$B$10*(I256-IF(Controls!$B$7="Normal",Controls!$B$8,(Controls!$B$8+Controls!$B$9)/2))+SQRT(1-Controls!$B$10^2)*(Random!AC257-IF(Controls!$B$7="Normal",Controls!$B$8,(Controls!$B$8+Controls!$B$9)/2)))</f>
        <v/>
      </c>
      <c r="J257" s="10" t="str">
        <f>IF(Random!AD257="","",IF(Controls!$B$7="Normal",Controls!$B$8,(Controls!$B$8+Controls!$B$9)/2)+Controls!$B$10*(J256-IF(Controls!$B$7="Normal",Controls!$B$8,(Controls!$B$8+Controls!$B$9)/2))+SQRT(1-Controls!$B$10^2)*(Random!AD257-IF(Controls!$B$7="Normal",Controls!$B$8,(Controls!$B$8+Controls!$B$9)/2)))</f>
        <v/>
      </c>
      <c r="K257" s="10" t="str">
        <f>IF(Random!AE257="","",IF(Controls!$B$7="Normal",Controls!$B$8,(Controls!$B$8+Controls!$B$9)/2)+Controls!$B$10*(K256-IF(Controls!$B$7="Normal",Controls!$B$8,(Controls!$B$8+Controls!$B$9)/2))+SQRT(1-Controls!$B$10^2)*(Random!AE257-IF(Controls!$B$7="Normal",Controls!$B$8,(Controls!$B$8+Controls!$B$9)/2)))</f>
        <v/>
      </c>
      <c r="L257" s="10" t="str">
        <f>IF($A257="","",IF(AND($A257&gt;=Controls!$B$25,$A257&lt;Controls!$B$25+Controls!$C$25),(Controls!$D$25-1)*EXP(-0.5*(($A257-Controls!$B$25-(Controls!$C$25-1)/2)/MAX(Controls!$C$25/4,0.5))^2),0))</f>
        <v/>
      </c>
      <c r="M257" s="10" t="str">
        <f>IF($A257="","",IF(AND($A257&gt;=Controls!$B$26,$A257&lt;Controls!$B$26+Controls!$C$26),(Controls!$D$26-1)*EXP(-0.5*(($A257-Controls!$B$26-(Controls!$C$26-1)/2)/MAX(Controls!$C$26/4,0.5))^2),0))</f>
        <v/>
      </c>
      <c r="N257" s="10" t="str">
        <f>IF($A257="","",IF(AND($A257&gt;=Controls!$B$27,$A257&lt;Controls!$B$27+Controls!$C$27),(Controls!$D$27-1)*EXP(-0.5*(($A257-Controls!$B$27-(Controls!$C$27-1)/2)/MAX(Controls!$C$27/4,0.5))^2),0))</f>
        <v/>
      </c>
      <c r="O257" s="10" t="str">
        <f>IF($A257="","",IF(AND($A257&gt;=Controls!$B$28,$A257&lt;Controls!$B$28+Controls!$C$28),(Controls!$D$28-1)*EXP(-0.5*(($A257-Controls!$B$28-(Controls!$C$28-1)/2)/MAX(Controls!$C$28/4,0.5))^2),0))</f>
        <v/>
      </c>
      <c r="P257" s="4" t="str">
        <f t="shared" si="1"/>
        <v/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21.0" customHeight="1">
      <c r="A258" s="7" t="str">
        <f>IF(257&lt;=Controls!$B$5,Controls!$B$4+256,"")</f>
        <v/>
      </c>
      <c r="B258" s="10" t="str">
        <f>IF(Random!V258="","",IF(Controls!$B$7="Normal",Controls!$B$8,(Controls!$B$8+Controls!$B$9)/2)+Controls!$B$10*(B257-IF(Controls!$B$7="Normal",Controls!$B$8,(Controls!$B$8+Controls!$B$9)/2))+SQRT(1-Controls!$B$10^2)*(Random!V258-IF(Controls!$B$7="Normal",Controls!$B$8,(Controls!$B$8+Controls!$B$9)/2)))</f>
        <v/>
      </c>
      <c r="C258" s="10" t="str">
        <f>IF(Random!W258="","",IF(Controls!$B$7="Normal",Controls!$B$8,(Controls!$B$8+Controls!$B$9)/2)+Controls!$B$10*(C257-IF(Controls!$B$7="Normal",Controls!$B$8,(Controls!$B$8+Controls!$B$9)/2))+SQRT(1-Controls!$B$10^2)*(Random!W258-IF(Controls!$B$7="Normal",Controls!$B$8,(Controls!$B$8+Controls!$B$9)/2)))</f>
        <v/>
      </c>
      <c r="D258" s="10" t="str">
        <f>IF(Random!X258="","",IF(Controls!$B$7="Normal",Controls!$B$8,(Controls!$B$8+Controls!$B$9)/2)+Controls!$B$10*(D257-IF(Controls!$B$7="Normal",Controls!$B$8,(Controls!$B$8+Controls!$B$9)/2))+SQRT(1-Controls!$B$10^2)*(Random!X258-IF(Controls!$B$7="Normal",Controls!$B$8,(Controls!$B$8+Controls!$B$9)/2)))</f>
        <v/>
      </c>
      <c r="E258" s="10" t="str">
        <f>IF(Random!Y258="","",IF(Controls!$B$7="Normal",Controls!$B$8,(Controls!$B$8+Controls!$B$9)/2)+Controls!$B$10*(E257-IF(Controls!$B$7="Normal",Controls!$B$8,(Controls!$B$8+Controls!$B$9)/2))+SQRT(1-Controls!$B$10^2)*(Random!Y258-IF(Controls!$B$7="Normal",Controls!$B$8,(Controls!$B$8+Controls!$B$9)/2)))</f>
        <v/>
      </c>
      <c r="F258" s="10" t="str">
        <f>IF(Random!Z258="","",IF(Controls!$B$7="Normal",Controls!$B$8,(Controls!$B$8+Controls!$B$9)/2)+Controls!$B$10*(F257-IF(Controls!$B$7="Normal",Controls!$B$8,(Controls!$B$8+Controls!$B$9)/2))+SQRT(1-Controls!$B$10^2)*(Random!Z258-IF(Controls!$B$7="Normal",Controls!$B$8,(Controls!$B$8+Controls!$B$9)/2)))</f>
        <v/>
      </c>
      <c r="G258" s="10" t="str">
        <f>IF(Random!AA258="","",IF(Controls!$B$7="Normal",Controls!$B$8,(Controls!$B$8+Controls!$B$9)/2)+Controls!$B$10*(G257-IF(Controls!$B$7="Normal",Controls!$B$8,(Controls!$B$8+Controls!$B$9)/2))+SQRT(1-Controls!$B$10^2)*(Random!AA258-IF(Controls!$B$7="Normal",Controls!$B$8,(Controls!$B$8+Controls!$B$9)/2)))</f>
        <v/>
      </c>
      <c r="H258" s="10" t="str">
        <f>IF(Random!AB258="","",IF(Controls!$B$7="Normal",Controls!$B$8,(Controls!$B$8+Controls!$B$9)/2)+Controls!$B$10*(H257-IF(Controls!$B$7="Normal",Controls!$B$8,(Controls!$B$8+Controls!$B$9)/2))+SQRT(1-Controls!$B$10^2)*(Random!AB258-IF(Controls!$B$7="Normal",Controls!$B$8,(Controls!$B$8+Controls!$B$9)/2)))</f>
        <v/>
      </c>
      <c r="I258" s="10" t="str">
        <f>IF(Random!AC258="","",IF(Controls!$B$7="Normal",Controls!$B$8,(Controls!$B$8+Controls!$B$9)/2)+Controls!$B$10*(I257-IF(Controls!$B$7="Normal",Controls!$B$8,(Controls!$B$8+Controls!$B$9)/2))+SQRT(1-Controls!$B$10^2)*(Random!AC258-IF(Controls!$B$7="Normal",Controls!$B$8,(Controls!$B$8+Controls!$B$9)/2)))</f>
        <v/>
      </c>
      <c r="J258" s="10" t="str">
        <f>IF(Random!AD258="","",IF(Controls!$B$7="Normal",Controls!$B$8,(Controls!$B$8+Controls!$B$9)/2)+Controls!$B$10*(J257-IF(Controls!$B$7="Normal",Controls!$B$8,(Controls!$B$8+Controls!$B$9)/2))+SQRT(1-Controls!$B$10^2)*(Random!AD258-IF(Controls!$B$7="Normal",Controls!$B$8,(Controls!$B$8+Controls!$B$9)/2)))</f>
        <v/>
      </c>
      <c r="K258" s="10" t="str">
        <f>IF(Random!AE258="","",IF(Controls!$B$7="Normal",Controls!$B$8,(Controls!$B$8+Controls!$B$9)/2)+Controls!$B$10*(K257-IF(Controls!$B$7="Normal",Controls!$B$8,(Controls!$B$8+Controls!$B$9)/2))+SQRT(1-Controls!$B$10^2)*(Random!AE258-IF(Controls!$B$7="Normal",Controls!$B$8,(Controls!$B$8+Controls!$B$9)/2)))</f>
        <v/>
      </c>
      <c r="L258" s="10" t="str">
        <f>IF($A258="","",IF(AND($A258&gt;=Controls!$B$25,$A258&lt;Controls!$B$25+Controls!$C$25),(Controls!$D$25-1)*EXP(-0.5*(($A258-Controls!$B$25-(Controls!$C$25-1)/2)/MAX(Controls!$C$25/4,0.5))^2),0))</f>
        <v/>
      </c>
      <c r="M258" s="10" t="str">
        <f>IF($A258="","",IF(AND($A258&gt;=Controls!$B$26,$A258&lt;Controls!$B$26+Controls!$C$26),(Controls!$D$26-1)*EXP(-0.5*(($A258-Controls!$B$26-(Controls!$C$26-1)/2)/MAX(Controls!$C$26/4,0.5))^2),0))</f>
        <v/>
      </c>
      <c r="N258" s="10" t="str">
        <f>IF($A258="","",IF(AND($A258&gt;=Controls!$B$27,$A258&lt;Controls!$B$27+Controls!$C$27),(Controls!$D$27-1)*EXP(-0.5*(($A258-Controls!$B$27-(Controls!$C$27-1)/2)/MAX(Controls!$C$27/4,0.5))^2),0))</f>
        <v/>
      </c>
      <c r="O258" s="10" t="str">
        <f>IF($A258="","",IF(AND($A258&gt;=Controls!$B$28,$A258&lt;Controls!$B$28+Controls!$C$28),(Controls!$D$28-1)*EXP(-0.5*(($A258-Controls!$B$28-(Controls!$C$28-1)/2)/MAX(Controls!$C$28/4,0.5))^2),0))</f>
        <v/>
      </c>
      <c r="P258" s="4" t="str">
        <f t="shared" si="1"/>
        <v/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21.0" customHeight="1">
      <c r="A259" s="7" t="str">
        <f>IF(258&lt;=Controls!$B$5,Controls!$B$4+257,"")</f>
        <v/>
      </c>
      <c r="B259" s="10" t="str">
        <f>IF(Random!V259="","",IF(Controls!$B$7="Normal",Controls!$B$8,(Controls!$B$8+Controls!$B$9)/2)+Controls!$B$10*(B258-IF(Controls!$B$7="Normal",Controls!$B$8,(Controls!$B$8+Controls!$B$9)/2))+SQRT(1-Controls!$B$10^2)*(Random!V259-IF(Controls!$B$7="Normal",Controls!$B$8,(Controls!$B$8+Controls!$B$9)/2)))</f>
        <v/>
      </c>
      <c r="C259" s="10" t="str">
        <f>IF(Random!W259="","",IF(Controls!$B$7="Normal",Controls!$B$8,(Controls!$B$8+Controls!$B$9)/2)+Controls!$B$10*(C258-IF(Controls!$B$7="Normal",Controls!$B$8,(Controls!$B$8+Controls!$B$9)/2))+SQRT(1-Controls!$B$10^2)*(Random!W259-IF(Controls!$B$7="Normal",Controls!$B$8,(Controls!$B$8+Controls!$B$9)/2)))</f>
        <v/>
      </c>
      <c r="D259" s="10" t="str">
        <f>IF(Random!X259="","",IF(Controls!$B$7="Normal",Controls!$B$8,(Controls!$B$8+Controls!$B$9)/2)+Controls!$B$10*(D258-IF(Controls!$B$7="Normal",Controls!$B$8,(Controls!$B$8+Controls!$B$9)/2))+SQRT(1-Controls!$B$10^2)*(Random!X259-IF(Controls!$B$7="Normal",Controls!$B$8,(Controls!$B$8+Controls!$B$9)/2)))</f>
        <v/>
      </c>
      <c r="E259" s="10" t="str">
        <f>IF(Random!Y259="","",IF(Controls!$B$7="Normal",Controls!$B$8,(Controls!$B$8+Controls!$B$9)/2)+Controls!$B$10*(E258-IF(Controls!$B$7="Normal",Controls!$B$8,(Controls!$B$8+Controls!$B$9)/2))+SQRT(1-Controls!$B$10^2)*(Random!Y259-IF(Controls!$B$7="Normal",Controls!$B$8,(Controls!$B$8+Controls!$B$9)/2)))</f>
        <v/>
      </c>
      <c r="F259" s="10" t="str">
        <f>IF(Random!Z259="","",IF(Controls!$B$7="Normal",Controls!$B$8,(Controls!$B$8+Controls!$B$9)/2)+Controls!$B$10*(F258-IF(Controls!$B$7="Normal",Controls!$B$8,(Controls!$B$8+Controls!$B$9)/2))+SQRT(1-Controls!$B$10^2)*(Random!Z259-IF(Controls!$B$7="Normal",Controls!$B$8,(Controls!$B$8+Controls!$B$9)/2)))</f>
        <v/>
      </c>
      <c r="G259" s="10" t="str">
        <f>IF(Random!AA259="","",IF(Controls!$B$7="Normal",Controls!$B$8,(Controls!$B$8+Controls!$B$9)/2)+Controls!$B$10*(G258-IF(Controls!$B$7="Normal",Controls!$B$8,(Controls!$B$8+Controls!$B$9)/2))+SQRT(1-Controls!$B$10^2)*(Random!AA259-IF(Controls!$B$7="Normal",Controls!$B$8,(Controls!$B$8+Controls!$B$9)/2)))</f>
        <v/>
      </c>
      <c r="H259" s="10" t="str">
        <f>IF(Random!AB259="","",IF(Controls!$B$7="Normal",Controls!$B$8,(Controls!$B$8+Controls!$B$9)/2)+Controls!$B$10*(H258-IF(Controls!$B$7="Normal",Controls!$B$8,(Controls!$B$8+Controls!$B$9)/2))+SQRT(1-Controls!$B$10^2)*(Random!AB259-IF(Controls!$B$7="Normal",Controls!$B$8,(Controls!$B$8+Controls!$B$9)/2)))</f>
        <v/>
      </c>
      <c r="I259" s="10" t="str">
        <f>IF(Random!AC259="","",IF(Controls!$B$7="Normal",Controls!$B$8,(Controls!$B$8+Controls!$B$9)/2)+Controls!$B$10*(I258-IF(Controls!$B$7="Normal",Controls!$B$8,(Controls!$B$8+Controls!$B$9)/2))+SQRT(1-Controls!$B$10^2)*(Random!AC259-IF(Controls!$B$7="Normal",Controls!$B$8,(Controls!$B$8+Controls!$B$9)/2)))</f>
        <v/>
      </c>
      <c r="J259" s="10" t="str">
        <f>IF(Random!AD259="","",IF(Controls!$B$7="Normal",Controls!$B$8,(Controls!$B$8+Controls!$B$9)/2)+Controls!$B$10*(J258-IF(Controls!$B$7="Normal",Controls!$B$8,(Controls!$B$8+Controls!$B$9)/2))+SQRT(1-Controls!$B$10^2)*(Random!AD259-IF(Controls!$B$7="Normal",Controls!$B$8,(Controls!$B$8+Controls!$B$9)/2)))</f>
        <v/>
      </c>
      <c r="K259" s="10" t="str">
        <f>IF(Random!AE259="","",IF(Controls!$B$7="Normal",Controls!$B$8,(Controls!$B$8+Controls!$B$9)/2)+Controls!$B$10*(K258-IF(Controls!$B$7="Normal",Controls!$B$8,(Controls!$B$8+Controls!$B$9)/2))+SQRT(1-Controls!$B$10^2)*(Random!AE259-IF(Controls!$B$7="Normal",Controls!$B$8,(Controls!$B$8+Controls!$B$9)/2)))</f>
        <v/>
      </c>
      <c r="L259" s="10" t="str">
        <f>IF($A259="","",IF(AND($A259&gt;=Controls!$B$25,$A259&lt;Controls!$B$25+Controls!$C$25),(Controls!$D$25-1)*EXP(-0.5*(($A259-Controls!$B$25-(Controls!$C$25-1)/2)/MAX(Controls!$C$25/4,0.5))^2),0))</f>
        <v/>
      </c>
      <c r="M259" s="10" t="str">
        <f>IF($A259="","",IF(AND($A259&gt;=Controls!$B$26,$A259&lt;Controls!$B$26+Controls!$C$26),(Controls!$D$26-1)*EXP(-0.5*(($A259-Controls!$B$26-(Controls!$C$26-1)/2)/MAX(Controls!$C$26/4,0.5))^2),0))</f>
        <v/>
      </c>
      <c r="N259" s="10" t="str">
        <f>IF($A259="","",IF(AND($A259&gt;=Controls!$B$27,$A259&lt;Controls!$B$27+Controls!$C$27),(Controls!$D$27-1)*EXP(-0.5*(($A259-Controls!$B$27-(Controls!$C$27-1)/2)/MAX(Controls!$C$27/4,0.5))^2),0))</f>
        <v/>
      </c>
      <c r="O259" s="10" t="str">
        <f>IF($A259="","",IF(AND($A259&gt;=Controls!$B$28,$A259&lt;Controls!$B$28+Controls!$C$28),(Controls!$D$28-1)*EXP(-0.5*(($A259-Controls!$B$28-(Controls!$C$28-1)/2)/MAX(Controls!$C$28/4,0.5))^2),0))</f>
        <v/>
      </c>
      <c r="P259" s="4" t="str">
        <f t="shared" si="1"/>
        <v/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21.0" customHeight="1">
      <c r="A260" s="7" t="str">
        <f>IF(259&lt;=Controls!$B$5,Controls!$B$4+258,"")</f>
        <v/>
      </c>
      <c r="B260" s="10" t="str">
        <f>IF(Random!V260="","",IF(Controls!$B$7="Normal",Controls!$B$8,(Controls!$B$8+Controls!$B$9)/2)+Controls!$B$10*(B259-IF(Controls!$B$7="Normal",Controls!$B$8,(Controls!$B$8+Controls!$B$9)/2))+SQRT(1-Controls!$B$10^2)*(Random!V260-IF(Controls!$B$7="Normal",Controls!$B$8,(Controls!$B$8+Controls!$B$9)/2)))</f>
        <v/>
      </c>
      <c r="C260" s="10" t="str">
        <f>IF(Random!W260="","",IF(Controls!$B$7="Normal",Controls!$B$8,(Controls!$B$8+Controls!$B$9)/2)+Controls!$B$10*(C259-IF(Controls!$B$7="Normal",Controls!$B$8,(Controls!$B$8+Controls!$B$9)/2))+SQRT(1-Controls!$B$10^2)*(Random!W260-IF(Controls!$B$7="Normal",Controls!$B$8,(Controls!$B$8+Controls!$B$9)/2)))</f>
        <v/>
      </c>
      <c r="D260" s="10" t="str">
        <f>IF(Random!X260="","",IF(Controls!$B$7="Normal",Controls!$B$8,(Controls!$B$8+Controls!$B$9)/2)+Controls!$B$10*(D259-IF(Controls!$B$7="Normal",Controls!$B$8,(Controls!$B$8+Controls!$B$9)/2))+SQRT(1-Controls!$B$10^2)*(Random!X260-IF(Controls!$B$7="Normal",Controls!$B$8,(Controls!$B$8+Controls!$B$9)/2)))</f>
        <v/>
      </c>
      <c r="E260" s="10" t="str">
        <f>IF(Random!Y260="","",IF(Controls!$B$7="Normal",Controls!$B$8,(Controls!$B$8+Controls!$B$9)/2)+Controls!$B$10*(E259-IF(Controls!$B$7="Normal",Controls!$B$8,(Controls!$B$8+Controls!$B$9)/2))+SQRT(1-Controls!$B$10^2)*(Random!Y260-IF(Controls!$B$7="Normal",Controls!$B$8,(Controls!$B$8+Controls!$B$9)/2)))</f>
        <v/>
      </c>
      <c r="F260" s="10" t="str">
        <f>IF(Random!Z260="","",IF(Controls!$B$7="Normal",Controls!$B$8,(Controls!$B$8+Controls!$B$9)/2)+Controls!$B$10*(F259-IF(Controls!$B$7="Normal",Controls!$B$8,(Controls!$B$8+Controls!$B$9)/2))+SQRT(1-Controls!$B$10^2)*(Random!Z260-IF(Controls!$B$7="Normal",Controls!$B$8,(Controls!$B$8+Controls!$B$9)/2)))</f>
        <v/>
      </c>
      <c r="G260" s="10" t="str">
        <f>IF(Random!AA260="","",IF(Controls!$B$7="Normal",Controls!$B$8,(Controls!$B$8+Controls!$B$9)/2)+Controls!$B$10*(G259-IF(Controls!$B$7="Normal",Controls!$B$8,(Controls!$B$8+Controls!$B$9)/2))+SQRT(1-Controls!$B$10^2)*(Random!AA260-IF(Controls!$B$7="Normal",Controls!$B$8,(Controls!$B$8+Controls!$B$9)/2)))</f>
        <v/>
      </c>
      <c r="H260" s="10" t="str">
        <f>IF(Random!AB260="","",IF(Controls!$B$7="Normal",Controls!$B$8,(Controls!$B$8+Controls!$B$9)/2)+Controls!$B$10*(H259-IF(Controls!$B$7="Normal",Controls!$B$8,(Controls!$B$8+Controls!$B$9)/2))+SQRT(1-Controls!$B$10^2)*(Random!AB260-IF(Controls!$B$7="Normal",Controls!$B$8,(Controls!$B$8+Controls!$B$9)/2)))</f>
        <v/>
      </c>
      <c r="I260" s="10" t="str">
        <f>IF(Random!AC260="","",IF(Controls!$B$7="Normal",Controls!$B$8,(Controls!$B$8+Controls!$B$9)/2)+Controls!$B$10*(I259-IF(Controls!$B$7="Normal",Controls!$B$8,(Controls!$B$8+Controls!$B$9)/2))+SQRT(1-Controls!$B$10^2)*(Random!AC260-IF(Controls!$B$7="Normal",Controls!$B$8,(Controls!$B$8+Controls!$B$9)/2)))</f>
        <v/>
      </c>
      <c r="J260" s="10" t="str">
        <f>IF(Random!AD260="","",IF(Controls!$B$7="Normal",Controls!$B$8,(Controls!$B$8+Controls!$B$9)/2)+Controls!$B$10*(J259-IF(Controls!$B$7="Normal",Controls!$B$8,(Controls!$B$8+Controls!$B$9)/2))+SQRT(1-Controls!$B$10^2)*(Random!AD260-IF(Controls!$B$7="Normal",Controls!$B$8,(Controls!$B$8+Controls!$B$9)/2)))</f>
        <v/>
      </c>
      <c r="K260" s="10" t="str">
        <f>IF(Random!AE260="","",IF(Controls!$B$7="Normal",Controls!$B$8,(Controls!$B$8+Controls!$B$9)/2)+Controls!$B$10*(K259-IF(Controls!$B$7="Normal",Controls!$B$8,(Controls!$B$8+Controls!$B$9)/2))+SQRT(1-Controls!$B$10^2)*(Random!AE260-IF(Controls!$B$7="Normal",Controls!$B$8,(Controls!$B$8+Controls!$B$9)/2)))</f>
        <v/>
      </c>
      <c r="L260" s="10" t="str">
        <f>IF($A260="","",IF(AND($A260&gt;=Controls!$B$25,$A260&lt;Controls!$B$25+Controls!$C$25),(Controls!$D$25-1)*EXP(-0.5*(($A260-Controls!$B$25-(Controls!$C$25-1)/2)/MAX(Controls!$C$25/4,0.5))^2),0))</f>
        <v/>
      </c>
      <c r="M260" s="10" t="str">
        <f>IF($A260="","",IF(AND($A260&gt;=Controls!$B$26,$A260&lt;Controls!$B$26+Controls!$C$26),(Controls!$D$26-1)*EXP(-0.5*(($A260-Controls!$B$26-(Controls!$C$26-1)/2)/MAX(Controls!$C$26/4,0.5))^2),0))</f>
        <v/>
      </c>
      <c r="N260" s="10" t="str">
        <f>IF($A260="","",IF(AND($A260&gt;=Controls!$B$27,$A260&lt;Controls!$B$27+Controls!$C$27),(Controls!$D$27-1)*EXP(-0.5*(($A260-Controls!$B$27-(Controls!$C$27-1)/2)/MAX(Controls!$C$27/4,0.5))^2),0))</f>
        <v/>
      </c>
      <c r="O260" s="10" t="str">
        <f>IF($A260="","",IF(AND($A260&gt;=Controls!$B$28,$A260&lt;Controls!$B$28+Controls!$C$28),(Controls!$D$28-1)*EXP(-0.5*(($A260-Controls!$B$28-(Controls!$C$28-1)/2)/MAX(Controls!$C$28/4,0.5))^2),0))</f>
        <v/>
      </c>
      <c r="P260" s="4" t="str">
        <f t="shared" si="1"/>
        <v/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21.0" customHeight="1">
      <c r="A261" s="7" t="str">
        <f>IF(260&lt;=Controls!$B$5,Controls!$B$4+259,"")</f>
        <v/>
      </c>
      <c r="B261" s="10" t="str">
        <f>IF(Random!V261="","",IF(Controls!$B$7="Normal",Controls!$B$8,(Controls!$B$8+Controls!$B$9)/2)+Controls!$B$10*(B260-IF(Controls!$B$7="Normal",Controls!$B$8,(Controls!$B$8+Controls!$B$9)/2))+SQRT(1-Controls!$B$10^2)*(Random!V261-IF(Controls!$B$7="Normal",Controls!$B$8,(Controls!$B$8+Controls!$B$9)/2)))</f>
        <v/>
      </c>
      <c r="C261" s="10" t="str">
        <f>IF(Random!W261="","",IF(Controls!$B$7="Normal",Controls!$B$8,(Controls!$B$8+Controls!$B$9)/2)+Controls!$B$10*(C260-IF(Controls!$B$7="Normal",Controls!$B$8,(Controls!$B$8+Controls!$B$9)/2))+SQRT(1-Controls!$B$10^2)*(Random!W261-IF(Controls!$B$7="Normal",Controls!$B$8,(Controls!$B$8+Controls!$B$9)/2)))</f>
        <v/>
      </c>
      <c r="D261" s="10" t="str">
        <f>IF(Random!X261="","",IF(Controls!$B$7="Normal",Controls!$B$8,(Controls!$B$8+Controls!$B$9)/2)+Controls!$B$10*(D260-IF(Controls!$B$7="Normal",Controls!$B$8,(Controls!$B$8+Controls!$B$9)/2))+SQRT(1-Controls!$B$10^2)*(Random!X261-IF(Controls!$B$7="Normal",Controls!$B$8,(Controls!$B$8+Controls!$B$9)/2)))</f>
        <v/>
      </c>
      <c r="E261" s="10" t="str">
        <f>IF(Random!Y261="","",IF(Controls!$B$7="Normal",Controls!$B$8,(Controls!$B$8+Controls!$B$9)/2)+Controls!$B$10*(E260-IF(Controls!$B$7="Normal",Controls!$B$8,(Controls!$B$8+Controls!$B$9)/2))+SQRT(1-Controls!$B$10^2)*(Random!Y261-IF(Controls!$B$7="Normal",Controls!$B$8,(Controls!$B$8+Controls!$B$9)/2)))</f>
        <v/>
      </c>
      <c r="F261" s="10" t="str">
        <f>IF(Random!Z261="","",IF(Controls!$B$7="Normal",Controls!$B$8,(Controls!$B$8+Controls!$B$9)/2)+Controls!$B$10*(F260-IF(Controls!$B$7="Normal",Controls!$B$8,(Controls!$B$8+Controls!$B$9)/2))+SQRT(1-Controls!$B$10^2)*(Random!Z261-IF(Controls!$B$7="Normal",Controls!$B$8,(Controls!$B$8+Controls!$B$9)/2)))</f>
        <v/>
      </c>
      <c r="G261" s="10" t="str">
        <f>IF(Random!AA261="","",IF(Controls!$B$7="Normal",Controls!$B$8,(Controls!$B$8+Controls!$B$9)/2)+Controls!$B$10*(G260-IF(Controls!$B$7="Normal",Controls!$B$8,(Controls!$B$8+Controls!$B$9)/2))+SQRT(1-Controls!$B$10^2)*(Random!AA261-IF(Controls!$B$7="Normal",Controls!$B$8,(Controls!$B$8+Controls!$B$9)/2)))</f>
        <v/>
      </c>
      <c r="H261" s="10" t="str">
        <f>IF(Random!AB261="","",IF(Controls!$B$7="Normal",Controls!$B$8,(Controls!$B$8+Controls!$B$9)/2)+Controls!$B$10*(H260-IF(Controls!$B$7="Normal",Controls!$B$8,(Controls!$B$8+Controls!$B$9)/2))+SQRT(1-Controls!$B$10^2)*(Random!AB261-IF(Controls!$B$7="Normal",Controls!$B$8,(Controls!$B$8+Controls!$B$9)/2)))</f>
        <v/>
      </c>
      <c r="I261" s="10" t="str">
        <f>IF(Random!AC261="","",IF(Controls!$B$7="Normal",Controls!$B$8,(Controls!$B$8+Controls!$B$9)/2)+Controls!$B$10*(I260-IF(Controls!$B$7="Normal",Controls!$B$8,(Controls!$B$8+Controls!$B$9)/2))+SQRT(1-Controls!$B$10^2)*(Random!AC261-IF(Controls!$B$7="Normal",Controls!$B$8,(Controls!$B$8+Controls!$B$9)/2)))</f>
        <v/>
      </c>
      <c r="J261" s="10" t="str">
        <f>IF(Random!AD261="","",IF(Controls!$B$7="Normal",Controls!$B$8,(Controls!$B$8+Controls!$B$9)/2)+Controls!$B$10*(J260-IF(Controls!$B$7="Normal",Controls!$B$8,(Controls!$B$8+Controls!$B$9)/2))+SQRT(1-Controls!$B$10^2)*(Random!AD261-IF(Controls!$B$7="Normal",Controls!$B$8,(Controls!$B$8+Controls!$B$9)/2)))</f>
        <v/>
      </c>
      <c r="K261" s="10" t="str">
        <f>IF(Random!AE261="","",IF(Controls!$B$7="Normal",Controls!$B$8,(Controls!$B$8+Controls!$B$9)/2)+Controls!$B$10*(K260-IF(Controls!$B$7="Normal",Controls!$B$8,(Controls!$B$8+Controls!$B$9)/2))+SQRT(1-Controls!$B$10^2)*(Random!AE261-IF(Controls!$B$7="Normal",Controls!$B$8,(Controls!$B$8+Controls!$B$9)/2)))</f>
        <v/>
      </c>
      <c r="L261" s="10" t="str">
        <f>IF($A261="","",IF(AND($A261&gt;=Controls!$B$25,$A261&lt;Controls!$B$25+Controls!$C$25),(Controls!$D$25-1)*EXP(-0.5*(($A261-Controls!$B$25-(Controls!$C$25-1)/2)/MAX(Controls!$C$25/4,0.5))^2),0))</f>
        <v/>
      </c>
      <c r="M261" s="10" t="str">
        <f>IF($A261="","",IF(AND($A261&gt;=Controls!$B$26,$A261&lt;Controls!$B$26+Controls!$C$26),(Controls!$D$26-1)*EXP(-0.5*(($A261-Controls!$B$26-(Controls!$C$26-1)/2)/MAX(Controls!$C$26/4,0.5))^2),0))</f>
        <v/>
      </c>
      <c r="N261" s="10" t="str">
        <f>IF($A261="","",IF(AND($A261&gt;=Controls!$B$27,$A261&lt;Controls!$B$27+Controls!$C$27),(Controls!$D$27-1)*EXP(-0.5*(($A261-Controls!$B$27-(Controls!$C$27-1)/2)/MAX(Controls!$C$27/4,0.5))^2),0))</f>
        <v/>
      </c>
      <c r="O261" s="10" t="str">
        <f>IF($A261="","",IF(AND($A261&gt;=Controls!$B$28,$A261&lt;Controls!$B$28+Controls!$C$28),(Controls!$D$28-1)*EXP(-0.5*(($A261-Controls!$B$28-(Controls!$C$28-1)/2)/MAX(Controls!$C$28/4,0.5))^2),0))</f>
        <v/>
      </c>
      <c r="P261" s="4" t="str">
        <f t="shared" si="1"/>
        <v/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21.0" customHeight="1">
      <c r="A262" s="7" t="str">
        <f>IF(261&lt;=Controls!$B$5,Controls!$B$4+260,"")</f>
        <v/>
      </c>
      <c r="B262" s="10" t="str">
        <f>IF(Random!V262="","",IF(Controls!$B$7="Normal",Controls!$B$8,(Controls!$B$8+Controls!$B$9)/2)+Controls!$B$10*(B261-IF(Controls!$B$7="Normal",Controls!$B$8,(Controls!$B$8+Controls!$B$9)/2))+SQRT(1-Controls!$B$10^2)*(Random!V262-IF(Controls!$B$7="Normal",Controls!$B$8,(Controls!$B$8+Controls!$B$9)/2)))</f>
        <v/>
      </c>
      <c r="C262" s="10" t="str">
        <f>IF(Random!W262="","",IF(Controls!$B$7="Normal",Controls!$B$8,(Controls!$B$8+Controls!$B$9)/2)+Controls!$B$10*(C261-IF(Controls!$B$7="Normal",Controls!$B$8,(Controls!$B$8+Controls!$B$9)/2))+SQRT(1-Controls!$B$10^2)*(Random!W262-IF(Controls!$B$7="Normal",Controls!$B$8,(Controls!$B$8+Controls!$B$9)/2)))</f>
        <v/>
      </c>
      <c r="D262" s="10" t="str">
        <f>IF(Random!X262="","",IF(Controls!$B$7="Normal",Controls!$B$8,(Controls!$B$8+Controls!$B$9)/2)+Controls!$B$10*(D261-IF(Controls!$B$7="Normal",Controls!$B$8,(Controls!$B$8+Controls!$B$9)/2))+SQRT(1-Controls!$B$10^2)*(Random!X262-IF(Controls!$B$7="Normal",Controls!$B$8,(Controls!$B$8+Controls!$B$9)/2)))</f>
        <v/>
      </c>
      <c r="E262" s="10" t="str">
        <f>IF(Random!Y262="","",IF(Controls!$B$7="Normal",Controls!$B$8,(Controls!$B$8+Controls!$B$9)/2)+Controls!$B$10*(E261-IF(Controls!$B$7="Normal",Controls!$B$8,(Controls!$B$8+Controls!$B$9)/2))+SQRT(1-Controls!$B$10^2)*(Random!Y262-IF(Controls!$B$7="Normal",Controls!$B$8,(Controls!$B$8+Controls!$B$9)/2)))</f>
        <v/>
      </c>
      <c r="F262" s="10" t="str">
        <f>IF(Random!Z262="","",IF(Controls!$B$7="Normal",Controls!$B$8,(Controls!$B$8+Controls!$B$9)/2)+Controls!$B$10*(F261-IF(Controls!$B$7="Normal",Controls!$B$8,(Controls!$B$8+Controls!$B$9)/2))+SQRT(1-Controls!$B$10^2)*(Random!Z262-IF(Controls!$B$7="Normal",Controls!$B$8,(Controls!$B$8+Controls!$B$9)/2)))</f>
        <v/>
      </c>
      <c r="G262" s="10" t="str">
        <f>IF(Random!AA262="","",IF(Controls!$B$7="Normal",Controls!$B$8,(Controls!$B$8+Controls!$B$9)/2)+Controls!$B$10*(G261-IF(Controls!$B$7="Normal",Controls!$B$8,(Controls!$B$8+Controls!$B$9)/2))+SQRT(1-Controls!$B$10^2)*(Random!AA262-IF(Controls!$B$7="Normal",Controls!$B$8,(Controls!$B$8+Controls!$B$9)/2)))</f>
        <v/>
      </c>
      <c r="H262" s="10" t="str">
        <f>IF(Random!AB262="","",IF(Controls!$B$7="Normal",Controls!$B$8,(Controls!$B$8+Controls!$B$9)/2)+Controls!$B$10*(H261-IF(Controls!$B$7="Normal",Controls!$B$8,(Controls!$B$8+Controls!$B$9)/2))+SQRT(1-Controls!$B$10^2)*(Random!AB262-IF(Controls!$B$7="Normal",Controls!$B$8,(Controls!$B$8+Controls!$B$9)/2)))</f>
        <v/>
      </c>
      <c r="I262" s="10" t="str">
        <f>IF(Random!AC262="","",IF(Controls!$B$7="Normal",Controls!$B$8,(Controls!$B$8+Controls!$B$9)/2)+Controls!$B$10*(I261-IF(Controls!$B$7="Normal",Controls!$B$8,(Controls!$B$8+Controls!$B$9)/2))+SQRT(1-Controls!$B$10^2)*(Random!AC262-IF(Controls!$B$7="Normal",Controls!$B$8,(Controls!$B$8+Controls!$B$9)/2)))</f>
        <v/>
      </c>
      <c r="J262" s="10" t="str">
        <f>IF(Random!AD262="","",IF(Controls!$B$7="Normal",Controls!$B$8,(Controls!$B$8+Controls!$B$9)/2)+Controls!$B$10*(J261-IF(Controls!$B$7="Normal",Controls!$B$8,(Controls!$B$8+Controls!$B$9)/2))+SQRT(1-Controls!$B$10^2)*(Random!AD262-IF(Controls!$B$7="Normal",Controls!$B$8,(Controls!$B$8+Controls!$B$9)/2)))</f>
        <v/>
      </c>
      <c r="K262" s="10" t="str">
        <f>IF(Random!AE262="","",IF(Controls!$B$7="Normal",Controls!$B$8,(Controls!$B$8+Controls!$B$9)/2)+Controls!$B$10*(K261-IF(Controls!$B$7="Normal",Controls!$B$8,(Controls!$B$8+Controls!$B$9)/2))+SQRT(1-Controls!$B$10^2)*(Random!AE262-IF(Controls!$B$7="Normal",Controls!$B$8,(Controls!$B$8+Controls!$B$9)/2)))</f>
        <v/>
      </c>
      <c r="L262" s="10" t="str">
        <f>IF($A262="","",IF(AND($A262&gt;=Controls!$B$25,$A262&lt;Controls!$B$25+Controls!$C$25),(Controls!$D$25-1)*EXP(-0.5*(($A262-Controls!$B$25-(Controls!$C$25-1)/2)/MAX(Controls!$C$25/4,0.5))^2),0))</f>
        <v/>
      </c>
      <c r="M262" s="10" t="str">
        <f>IF($A262="","",IF(AND($A262&gt;=Controls!$B$26,$A262&lt;Controls!$B$26+Controls!$C$26),(Controls!$D$26-1)*EXP(-0.5*(($A262-Controls!$B$26-(Controls!$C$26-1)/2)/MAX(Controls!$C$26/4,0.5))^2),0))</f>
        <v/>
      </c>
      <c r="N262" s="10" t="str">
        <f>IF($A262="","",IF(AND($A262&gt;=Controls!$B$27,$A262&lt;Controls!$B$27+Controls!$C$27),(Controls!$D$27-1)*EXP(-0.5*(($A262-Controls!$B$27-(Controls!$C$27-1)/2)/MAX(Controls!$C$27/4,0.5))^2),0))</f>
        <v/>
      </c>
      <c r="O262" s="10" t="str">
        <f>IF($A262="","",IF(AND($A262&gt;=Controls!$B$28,$A262&lt;Controls!$B$28+Controls!$C$28),(Controls!$D$28-1)*EXP(-0.5*(($A262-Controls!$B$28-(Controls!$C$28-1)/2)/MAX(Controls!$C$28/4,0.5))^2),0))</f>
        <v/>
      </c>
      <c r="P262" s="4" t="str">
        <f t="shared" si="1"/>
        <v/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21.0" customHeight="1">
      <c r="A263" s="7" t="str">
        <f>IF(262&lt;=Controls!$B$5,Controls!$B$4+261,"")</f>
        <v/>
      </c>
      <c r="B263" s="10" t="str">
        <f>IF(Random!V263="","",IF(Controls!$B$7="Normal",Controls!$B$8,(Controls!$B$8+Controls!$B$9)/2)+Controls!$B$10*(B262-IF(Controls!$B$7="Normal",Controls!$B$8,(Controls!$B$8+Controls!$B$9)/2))+SQRT(1-Controls!$B$10^2)*(Random!V263-IF(Controls!$B$7="Normal",Controls!$B$8,(Controls!$B$8+Controls!$B$9)/2)))</f>
        <v/>
      </c>
      <c r="C263" s="10" t="str">
        <f>IF(Random!W263="","",IF(Controls!$B$7="Normal",Controls!$B$8,(Controls!$B$8+Controls!$B$9)/2)+Controls!$B$10*(C262-IF(Controls!$B$7="Normal",Controls!$B$8,(Controls!$B$8+Controls!$B$9)/2))+SQRT(1-Controls!$B$10^2)*(Random!W263-IF(Controls!$B$7="Normal",Controls!$B$8,(Controls!$B$8+Controls!$B$9)/2)))</f>
        <v/>
      </c>
      <c r="D263" s="10" t="str">
        <f>IF(Random!X263="","",IF(Controls!$B$7="Normal",Controls!$B$8,(Controls!$B$8+Controls!$B$9)/2)+Controls!$B$10*(D262-IF(Controls!$B$7="Normal",Controls!$B$8,(Controls!$B$8+Controls!$B$9)/2))+SQRT(1-Controls!$B$10^2)*(Random!X263-IF(Controls!$B$7="Normal",Controls!$B$8,(Controls!$B$8+Controls!$B$9)/2)))</f>
        <v/>
      </c>
      <c r="E263" s="10" t="str">
        <f>IF(Random!Y263="","",IF(Controls!$B$7="Normal",Controls!$B$8,(Controls!$B$8+Controls!$B$9)/2)+Controls!$B$10*(E262-IF(Controls!$B$7="Normal",Controls!$B$8,(Controls!$B$8+Controls!$B$9)/2))+SQRT(1-Controls!$B$10^2)*(Random!Y263-IF(Controls!$B$7="Normal",Controls!$B$8,(Controls!$B$8+Controls!$B$9)/2)))</f>
        <v/>
      </c>
      <c r="F263" s="10" t="str">
        <f>IF(Random!Z263="","",IF(Controls!$B$7="Normal",Controls!$B$8,(Controls!$B$8+Controls!$B$9)/2)+Controls!$B$10*(F262-IF(Controls!$B$7="Normal",Controls!$B$8,(Controls!$B$8+Controls!$B$9)/2))+SQRT(1-Controls!$B$10^2)*(Random!Z263-IF(Controls!$B$7="Normal",Controls!$B$8,(Controls!$B$8+Controls!$B$9)/2)))</f>
        <v/>
      </c>
      <c r="G263" s="10" t="str">
        <f>IF(Random!AA263="","",IF(Controls!$B$7="Normal",Controls!$B$8,(Controls!$B$8+Controls!$B$9)/2)+Controls!$B$10*(G262-IF(Controls!$B$7="Normal",Controls!$B$8,(Controls!$B$8+Controls!$B$9)/2))+SQRT(1-Controls!$B$10^2)*(Random!AA263-IF(Controls!$B$7="Normal",Controls!$B$8,(Controls!$B$8+Controls!$B$9)/2)))</f>
        <v/>
      </c>
      <c r="H263" s="10" t="str">
        <f>IF(Random!AB263="","",IF(Controls!$B$7="Normal",Controls!$B$8,(Controls!$B$8+Controls!$B$9)/2)+Controls!$B$10*(H262-IF(Controls!$B$7="Normal",Controls!$B$8,(Controls!$B$8+Controls!$B$9)/2))+SQRT(1-Controls!$B$10^2)*(Random!AB263-IF(Controls!$B$7="Normal",Controls!$B$8,(Controls!$B$8+Controls!$B$9)/2)))</f>
        <v/>
      </c>
      <c r="I263" s="10" t="str">
        <f>IF(Random!AC263="","",IF(Controls!$B$7="Normal",Controls!$B$8,(Controls!$B$8+Controls!$B$9)/2)+Controls!$B$10*(I262-IF(Controls!$B$7="Normal",Controls!$B$8,(Controls!$B$8+Controls!$B$9)/2))+SQRT(1-Controls!$B$10^2)*(Random!AC263-IF(Controls!$B$7="Normal",Controls!$B$8,(Controls!$B$8+Controls!$B$9)/2)))</f>
        <v/>
      </c>
      <c r="J263" s="10" t="str">
        <f>IF(Random!AD263="","",IF(Controls!$B$7="Normal",Controls!$B$8,(Controls!$B$8+Controls!$B$9)/2)+Controls!$B$10*(J262-IF(Controls!$B$7="Normal",Controls!$B$8,(Controls!$B$8+Controls!$B$9)/2))+SQRT(1-Controls!$B$10^2)*(Random!AD263-IF(Controls!$B$7="Normal",Controls!$B$8,(Controls!$B$8+Controls!$B$9)/2)))</f>
        <v/>
      </c>
      <c r="K263" s="10" t="str">
        <f>IF(Random!AE263="","",IF(Controls!$B$7="Normal",Controls!$B$8,(Controls!$B$8+Controls!$B$9)/2)+Controls!$B$10*(K262-IF(Controls!$B$7="Normal",Controls!$B$8,(Controls!$B$8+Controls!$B$9)/2))+SQRT(1-Controls!$B$10^2)*(Random!AE263-IF(Controls!$B$7="Normal",Controls!$B$8,(Controls!$B$8+Controls!$B$9)/2)))</f>
        <v/>
      </c>
      <c r="L263" s="10" t="str">
        <f>IF($A263="","",IF(AND($A263&gt;=Controls!$B$25,$A263&lt;Controls!$B$25+Controls!$C$25),(Controls!$D$25-1)*EXP(-0.5*(($A263-Controls!$B$25-(Controls!$C$25-1)/2)/MAX(Controls!$C$25/4,0.5))^2),0))</f>
        <v/>
      </c>
      <c r="M263" s="10" t="str">
        <f>IF($A263="","",IF(AND($A263&gt;=Controls!$B$26,$A263&lt;Controls!$B$26+Controls!$C$26),(Controls!$D$26-1)*EXP(-0.5*(($A263-Controls!$B$26-(Controls!$C$26-1)/2)/MAX(Controls!$C$26/4,0.5))^2),0))</f>
        <v/>
      </c>
      <c r="N263" s="10" t="str">
        <f>IF($A263="","",IF(AND($A263&gt;=Controls!$B$27,$A263&lt;Controls!$B$27+Controls!$C$27),(Controls!$D$27-1)*EXP(-0.5*(($A263-Controls!$B$27-(Controls!$C$27-1)/2)/MAX(Controls!$C$27/4,0.5))^2),0))</f>
        <v/>
      </c>
      <c r="O263" s="10" t="str">
        <f>IF($A263="","",IF(AND($A263&gt;=Controls!$B$28,$A263&lt;Controls!$B$28+Controls!$C$28),(Controls!$D$28-1)*EXP(-0.5*(($A263-Controls!$B$28-(Controls!$C$28-1)/2)/MAX(Controls!$C$28/4,0.5))^2),0))</f>
        <v/>
      </c>
      <c r="P263" s="4" t="str">
        <f t="shared" si="1"/>
        <v/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21.0" customHeight="1">
      <c r="A264" s="7" t="str">
        <f>IF(263&lt;=Controls!$B$5,Controls!$B$4+262,"")</f>
        <v/>
      </c>
      <c r="B264" s="10" t="str">
        <f>IF(Random!V264="","",IF(Controls!$B$7="Normal",Controls!$B$8,(Controls!$B$8+Controls!$B$9)/2)+Controls!$B$10*(B263-IF(Controls!$B$7="Normal",Controls!$B$8,(Controls!$B$8+Controls!$B$9)/2))+SQRT(1-Controls!$B$10^2)*(Random!V264-IF(Controls!$B$7="Normal",Controls!$B$8,(Controls!$B$8+Controls!$B$9)/2)))</f>
        <v/>
      </c>
      <c r="C264" s="10" t="str">
        <f>IF(Random!W264="","",IF(Controls!$B$7="Normal",Controls!$B$8,(Controls!$B$8+Controls!$B$9)/2)+Controls!$B$10*(C263-IF(Controls!$B$7="Normal",Controls!$B$8,(Controls!$B$8+Controls!$B$9)/2))+SQRT(1-Controls!$B$10^2)*(Random!W264-IF(Controls!$B$7="Normal",Controls!$B$8,(Controls!$B$8+Controls!$B$9)/2)))</f>
        <v/>
      </c>
      <c r="D264" s="10" t="str">
        <f>IF(Random!X264="","",IF(Controls!$B$7="Normal",Controls!$B$8,(Controls!$B$8+Controls!$B$9)/2)+Controls!$B$10*(D263-IF(Controls!$B$7="Normal",Controls!$B$8,(Controls!$B$8+Controls!$B$9)/2))+SQRT(1-Controls!$B$10^2)*(Random!X264-IF(Controls!$B$7="Normal",Controls!$B$8,(Controls!$B$8+Controls!$B$9)/2)))</f>
        <v/>
      </c>
      <c r="E264" s="10" t="str">
        <f>IF(Random!Y264="","",IF(Controls!$B$7="Normal",Controls!$B$8,(Controls!$B$8+Controls!$B$9)/2)+Controls!$B$10*(E263-IF(Controls!$B$7="Normal",Controls!$B$8,(Controls!$B$8+Controls!$B$9)/2))+SQRT(1-Controls!$B$10^2)*(Random!Y264-IF(Controls!$B$7="Normal",Controls!$B$8,(Controls!$B$8+Controls!$B$9)/2)))</f>
        <v/>
      </c>
      <c r="F264" s="10" t="str">
        <f>IF(Random!Z264="","",IF(Controls!$B$7="Normal",Controls!$B$8,(Controls!$B$8+Controls!$B$9)/2)+Controls!$B$10*(F263-IF(Controls!$B$7="Normal",Controls!$B$8,(Controls!$B$8+Controls!$B$9)/2))+SQRT(1-Controls!$B$10^2)*(Random!Z264-IF(Controls!$B$7="Normal",Controls!$B$8,(Controls!$B$8+Controls!$B$9)/2)))</f>
        <v/>
      </c>
      <c r="G264" s="10" t="str">
        <f>IF(Random!AA264="","",IF(Controls!$B$7="Normal",Controls!$B$8,(Controls!$B$8+Controls!$B$9)/2)+Controls!$B$10*(G263-IF(Controls!$B$7="Normal",Controls!$B$8,(Controls!$B$8+Controls!$B$9)/2))+SQRT(1-Controls!$B$10^2)*(Random!AA264-IF(Controls!$B$7="Normal",Controls!$B$8,(Controls!$B$8+Controls!$B$9)/2)))</f>
        <v/>
      </c>
      <c r="H264" s="10" t="str">
        <f>IF(Random!AB264="","",IF(Controls!$B$7="Normal",Controls!$B$8,(Controls!$B$8+Controls!$B$9)/2)+Controls!$B$10*(H263-IF(Controls!$B$7="Normal",Controls!$B$8,(Controls!$B$8+Controls!$B$9)/2))+SQRT(1-Controls!$B$10^2)*(Random!AB264-IF(Controls!$B$7="Normal",Controls!$B$8,(Controls!$B$8+Controls!$B$9)/2)))</f>
        <v/>
      </c>
      <c r="I264" s="10" t="str">
        <f>IF(Random!AC264="","",IF(Controls!$B$7="Normal",Controls!$B$8,(Controls!$B$8+Controls!$B$9)/2)+Controls!$B$10*(I263-IF(Controls!$B$7="Normal",Controls!$B$8,(Controls!$B$8+Controls!$B$9)/2))+SQRT(1-Controls!$B$10^2)*(Random!AC264-IF(Controls!$B$7="Normal",Controls!$B$8,(Controls!$B$8+Controls!$B$9)/2)))</f>
        <v/>
      </c>
      <c r="J264" s="10" t="str">
        <f>IF(Random!AD264="","",IF(Controls!$B$7="Normal",Controls!$B$8,(Controls!$B$8+Controls!$B$9)/2)+Controls!$B$10*(J263-IF(Controls!$B$7="Normal",Controls!$B$8,(Controls!$B$8+Controls!$B$9)/2))+SQRT(1-Controls!$B$10^2)*(Random!AD264-IF(Controls!$B$7="Normal",Controls!$B$8,(Controls!$B$8+Controls!$B$9)/2)))</f>
        <v/>
      </c>
      <c r="K264" s="10" t="str">
        <f>IF(Random!AE264="","",IF(Controls!$B$7="Normal",Controls!$B$8,(Controls!$B$8+Controls!$B$9)/2)+Controls!$B$10*(K263-IF(Controls!$B$7="Normal",Controls!$B$8,(Controls!$B$8+Controls!$B$9)/2))+SQRT(1-Controls!$B$10^2)*(Random!AE264-IF(Controls!$B$7="Normal",Controls!$B$8,(Controls!$B$8+Controls!$B$9)/2)))</f>
        <v/>
      </c>
      <c r="L264" s="10" t="str">
        <f>IF($A264="","",IF(AND($A264&gt;=Controls!$B$25,$A264&lt;Controls!$B$25+Controls!$C$25),(Controls!$D$25-1)*EXP(-0.5*(($A264-Controls!$B$25-(Controls!$C$25-1)/2)/MAX(Controls!$C$25/4,0.5))^2),0))</f>
        <v/>
      </c>
      <c r="M264" s="10" t="str">
        <f>IF($A264="","",IF(AND($A264&gt;=Controls!$B$26,$A264&lt;Controls!$B$26+Controls!$C$26),(Controls!$D$26-1)*EXP(-0.5*(($A264-Controls!$B$26-(Controls!$C$26-1)/2)/MAX(Controls!$C$26/4,0.5))^2),0))</f>
        <v/>
      </c>
      <c r="N264" s="10" t="str">
        <f>IF($A264="","",IF(AND($A264&gt;=Controls!$B$27,$A264&lt;Controls!$B$27+Controls!$C$27),(Controls!$D$27-1)*EXP(-0.5*(($A264-Controls!$B$27-(Controls!$C$27-1)/2)/MAX(Controls!$C$27/4,0.5))^2),0))</f>
        <v/>
      </c>
      <c r="O264" s="10" t="str">
        <f>IF($A264="","",IF(AND($A264&gt;=Controls!$B$28,$A264&lt;Controls!$B$28+Controls!$C$28),(Controls!$D$28-1)*EXP(-0.5*(($A264-Controls!$B$28-(Controls!$C$28-1)/2)/MAX(Controls!$C$28/4,0.5))^2),0))</f>
        <v/>
      </c>
      <c r="P264" s="4" t="str">
        <f t="shared" si="1"/>
        <v/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21.0" customHeight="1">
      <c r="A265" s="7" t="str">
        <f>IF(264&lt;=Controls!$B$5,Controls!$B$4+263,"")</f>
        <v/>
      </c>
      <c r="B265" s="10" t="str">
        <f>IF(Random!V265="","",IF(Controls!$B$7="Normal",Controls!$B$8,(Controls!$B$8+Controls!$B$9)/2)+Controls!$B$10*(B264-IF(Controls!$B$7="Normal",Controls!$B$8,(Controls!$B$8+Controls!$B$9)/2))+SQRT(1-Controls!$B$10^2)*(Random!V265-IF(Controls!$B$7="Normal",Controls!$B$8,(Controls!$B$8+Controls!$B$9)/2)))</f>
        <v/>
      </c>
      <c r="C265" s="10" t="str">
        <f>IF(Random!W265="","",IF(Controls!$B$7="Normal",Controls!$B$8,(Controls!$B$8+Controls!$B$9)/2)+Controls!$B$10*(C264-IF(Controls!$B$7="Normal",Controls!$B$8,(Controls!$B$8+Controls!$B$9)/2))+SQRT(1-Controls!$B$10^2)*(Random!W265-IF(Controls!$B$7="Normal",Controls!$B$8,(Controls!$B$8+Controls!$B$9)/2)))</f>
        <v/>
      </c>
      <c r="D265" s="10" t="str">
        <f>IF(Random!X265="","",IF(Controls!$B$7="Normal",Controls!$B$8,(Controls!$B$8+Controls!$B$9)/2)+Controls!$B$10*(D264-IF(Controls!$B$7="Normal",Controls!$B$8,(Controls!$B$8+Controls!$B$9)/2))+SQRT(1-Controls!$B$10^2)*(Random!X265-IF(Controls!$B$7="Normal",Controls!$B$8,(Controls!$B$8+Controls!$B$9)/2)))</f>
        <v/>
      </c>
      <c r="E265" s="10" t="str">
        <f>IF(Random!Y265="","",IF(Controls!$B$7="Normal",Controls!$B$8,(Controls!$B$8+Controls!$B$9)/2)+Controls!$B$10*(E264-IF(Controls!$B$7="Normal",Controls!$B$8,(Controls!$B$8+Controls!$B$9)/2))+SQRT(1-Controls!$B$10^2)*(Random!Y265-IF(Controls!$B$7="Normal",Controls!$B$8,(Controls!$B$8+Controls!$B$9)/2)))</f>
        <v/>
      </c>
      <c r="F265" s="10" t="str">
        <f>IF(Random!Z265="","",IF(Controls!$B$7="Normal",Controls!$B$8,(Controls!$B$8+Controls!$B$9)/2)+Controls!$B$10*(F264-IF(Controls!$B$7="Normal",Controls!$B$8,(Controls!$B$8+Controls!$B$9)/2))+SQRT(1-Controls!$B$10^2)*(Random!Z265-IF(Controls!$B$7="Normal",Controls!$B$8,(Controls!$B$8+Controls!$B$9)/2)))</f>
        <v/>
      </c>
      <c r="G265" s="10" t="str">
        <f>IF(Random!AA265="","",IF(Controls!$B$7="Normal",Controls!$B$8,(Controls!$B$8+Controls!$B$9)/2)+Controls!$B$10*(G264-IF(Controls!$B$7="Normal",Controls!$B$8,(Controls!$B$8+Controls!$B$9)/2))+SQRT(1-Controls!$B$10^2)*(Random!AA265-IF(Controls!$B$7="Normal",Controls!$B$8,(Controls!$B$8+Controls!$B$9)/2)))</f>
        <v/>
      </c>
      <c r="H265" s="10" t="str">
        <f>IF(Random!AB265="","",IF(Controls!$B$7="Normal",Controls!$B$8,(Controls!$B$8+Controls!$B$9)/2)+Controls!$B$10*(H264-IF(Controls!$B$7="Normal",Controls!$B$8,(Controls!$B$8+Controls!$B$9)/2))+SQRT(1-Controls!$B$10^2)*(Random!AB265-IF(Controls!$B$7="Normal",Controls!$B$8,(Controls!$B$8+Controls!$B$9)/2)))</f>
        <v/>
      </c>
      <c r="I265" s="10" t="str">
        <f>IF(Random!AC265="","",IF(Controls!$B$7="Normal",Controls!$B$8,(Controls!$B$8+Controls!$B$9)/2)+Controls!$B$10*(I264-IF(Controls!$B$7="Normal",Controls!$B$8,(Controls!$B$8+Controls!$B$9)/2))+SQRT(1-Controls!$B$10^2)*(Random!AC265-IF(Controls!$B$7="Normal",Controls!$B$8,(Controls!$B$8+Controls!$B$9)/2)))</f>
        <v/>
      </c>
      <c r="J265" s="10" t="str">
        <f>IF(Random!AD265="","",IF(Controls!$B$7="Normal",Controls!$B$8,(Controls!$B$8+Controls!$B$9)/2)+Controls!$B$10*(J264-IF(Controls!$B$7="Normal",Controls!$B$8,(Controls!$B$8+Controls!$B$9)/2))+SQRT(1-Controls!$B$10^2)*(Random!AD265-IF(Controls!$B$7="Normal",Controls!$B$8,(Controls!$B$8+Controls!$B$9)/2)))</f>
        <v/>
      </c>
      <c r="K265" s="10" t="str">
        <f>IF(Random!AE265="","",IF(Controls!$B$7="Normal",Controls!$B$8,(Controls!$B$8+Controls!$B$9)/2)+Controls!$B$10*(K264-IF(Controls!$B$7="Normal",Controls!$B$8,(Controls!$B$8+Controls!$B$9)/2))+SQRT(1-Controls!$B$10^2)*(Random!AE265-IF(Controls!$B$7="Normal",Controls!$B$8,(Controls!$B$8+Controls!$B$9)/2)))</f>
        <v/>
      </c>
      <c r="L265" s="10" t="str">
        <f>IF($A265="","",IF(AND($A265&gt;=Controls!$B$25,$A265&lt;Controls!$B$25+Controls!$C$25),(Controls!$D$25-1)*EXP(-0.5*(($A265-Controls!$B$25-(Controls!$C$25-1)/2)/MAX(Controls!$C$25/4,0.5))^2),0))</f>
        <v/>
      </c>
      <c r="M265" s="10" t="str">
        <f>IF($A265="","",IF(AND($A265&gt;=Controls!$B$26,$A265&lt;Controls!$B$26+Controls!$C$26),(Controls!$D$26-1)*EXP(-0.5*(($A265-Controls!$B$26-(Controls!$C$26-1)/2)/MAX(Controls!$C$26/4,0.5))^2),0))</f>
        <v/>
      </c>
      <c r="N265" s="10" t="str">
        <f>IF($A265="","",IF(AND($A265&gt;=Controls!$B$27,$A265&lt;Controls!$B$27+Controls!$C$27),(Controls!$D$27-1)*EXP(-0.5*(($A265-Controls!$B$27-(Controls!$C$27-1)/2)/MAX(Controls!$C$27/4,0.5))^2),0))</f>
        <v/>
      </c>
      <c r="O265" s="10" t="str">
        <f>IF($A265="","",IF(AND($A265&gt;=Controls!$B$28,$A265&lt;Controls!$B$28+Controls!$C$28),(Controls!$D$28-1)*EXP(-0.5*(($A265-Controls!$B$28-(Controls!$C$28-1)/2)/MAX(Controls!$C$28/4,0.5))^2),0))</f>
        <v/>
      </c>
      <c r="P265" s="4" t="str">
        <f t="shared" si="1"/>
        <v/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21.0" customHeight="1">
      <c r="A266" s="7" t="str">
        <f>IF(265&lt;=Controls!$B$5,Controls!$B$4+264,"")</f>
        <v/>
      </c>
      <c r="B266" s="10" t="str">
        <f>IF(Random!V266="","",IF(Controls!$B$7="Normal",Controls!$B$8,(Controls!$B$8+Controls!$B$9)/2)+Controls!$B$10*(B265-IF(Controls!$B$7="Normal",Controls!$B$8,(Controls!$B$8+Controls!$B$9)/2))+SQRT(1-Controls!$B$10^2)*(Random!V266-IF(Controls!$B$7="Normal",Controls!$B$8,(Controls!$B$8+Controls!$B$9)/2)))</f>
        <v/>
      </c>
      <c r="C266" s="10" t="str">
        <f>IF(Random!W266="","",IF(Controls!$B$7="Normal",Controls!$B$8,(Controls!$B$8+Controls!$B$9)/2)+Controls!$B$10*(C265-IF(Controls!$B$7="Normal",Controls!$B$8,(Controls!$B$8+Controls!$B$9)/2))+SQRT(1-Controls!$B$10^2)*(Random!W266-IF(Controls!$B$7="Normal",Controls!$B$8,(Controls!$B$8+Controls!$B$9)/2)))</f>
        <v/>
      </c>
      <c r="D266" s="10" t="str">
        <f>IF(Random!X266="","",IF(Controls!$B$7="Normal",Controls!$B$8,(Controls!$B$8+Controls!$B$9)/2)+Controls!$B$10*(D265-IF(Controls!$B$7="Normal",Controls!$B$8,(Controls!$B$8+Controls!$B$9)/2))+SQRT(1-Controls!$B$10^2)*(Random!X266-IF(Controls!$B$7="Normal",Controls!$B$8,(Controls!$B$8+Controls!$B$9)/2)))</f>
        <v/>
      </c>
      <c r="E266" s="10" t="str">
        <f>IF(Random!Y266="","",IF(Controls!$B$7="Normal",Controls!$B$8,(Controls!$B$8+Controls!$B$9)/2)+Controls!$B$10*(E265-IF(Controls!$B$7="Normal",Controls!$B$8,(Controls!$B$8+Controls!$B$9)/2))+SQRT(1-Controls!$B$10^2)*(Random!Y266-IF(Controls!$B$7="Normal",Controls!$B$8,(Controls!$B$8+Controls!$B$9)/2)))</f>
        <v/>
      </c>
      <c r="F266" s="10" t="str">
        <f>IF(Random!Z266="","",IF(Controls!$B$7="Normal",Controls!$B$8,(Controls!$B$8+Controls!$B$9)/2)+Controls!$B$10*(F265-IF(Controls!$B$7="Normal",Controls!$B$8,(Controls!$B$8+Controls!$B$9)/2))+SQRT(1-Controls!$B$10^2)*(Random!Z266-IF(Controls!$B$7="Normal",Controls!$B$8,(Controls!$B$8+Controls!$B$9)/2)))</f>
        <v/>
      </c>
      <c r="G266" s="10" t="str">
        <f>IF(Random!AA266="","",IF(Controls!$B$7="Normal",Controls!$B$8,(Controls!$B$8+Controls!$B$9)/2)+Controls!$B$10*(G265-IF(Controls!$B$7="Normal",Controls!$B$8,(Controls!$B$8+Controls!$B$9)/2))+SQRT(1-Controls!$B$10^2)*(Random!AA266-IF(Controls!$B$7="Normal",Controls!$B$8,(Controls!$B$8+Controls!$B$9)/2)))</f>
        <v/>
      </c>
      <c r="H266" s="10" t="str">
        <f>IF(Random!AB266="","",IF(Controls!$B$7="Normal",Controls!$B$8,(Controls!$B$8+Controls!$B$9)/2)+Controls!$B$10*(H265-IF(Controls!$B$7="Normal",Controls!$B$8,(Controls!$B$8+Controls!$B$9)/2))+SQRT(1-Controls!$B$10^2)*(Random!AB266-IF(Controls!$B$7="Normal",Controls!$B$8,(Controls!$B$8+Controls!$B$9)/2)))</f>
        <v/>
      </c>
      <c r="I266" s="10" t="str">
        <f>IF(Random!AC266="","",IF(Controls!$B$7="Normal",Controls!$B$8,(Controls!$B$8+Controls!$B$9)/2)+Controls!$B$10*(I265-IF(Controls!$B$7="Normal",Controls!$B$8,(Controls!$B$8+Controls!$B$9)/2))+SQRT(1-Controls!$B$10^2)*(Random!AC266-IF(Controls!$B$7="Normal",Controls!$B$8,(Controls!$B$8+Controls!$B$9)/2)))</f>
        <v/>
      </c>
      <c r="J266" s="10" t="str">
        <f>IF(Random!AD266="","",IF(Controls!$B$7="Normal",Controls!$B$8,(Controls!$B$8+Controls!$B$9)/2)+Controls!$B$10*(J265-IF(Controls!$B$7="Normal",Controls!$B$8,(Controls!$B$8+Controls!$B$9)/2))+SQRT(1-Controls!$B$10^2)*(Random!AD266-IF(Controls!$B$7="Normal",Controls!$B$8,(Controls!$B$8+Controls!$B$9)/2)))</f>
        <v/>
      </c>
      <c r="K266" s="10" t="str">
        <f>IF(Random!AE266="","",IF(Controls!$B$7="Normal",Controls!$B$8,(Controls!$B$8+Controls!$B$9)/2)+Controls!$B$10*(K265-IF(Controls!$B$7="Normal",Controls!$B$8,(Controls!$B$8+Controls!$B$9)/2))+SQRT(1-Controls!$B$10^2)*(Random!AE266-IF(Controls!$B$7="Normal",Controls!$B$8,(Controls!$B$8+Controls!$B$9)/2)))</f>
        <v/>
      </c>
      <c r="L266" s="10" t="str">
        <f>IF($A266="","",IF(AND($A266&gt;=Controls!$B$25,$A266&lt;Controls!$B$25+Controls!$C$25),(Controls!$D$25-1)*EXP(-0.5*(($A266-Controls!$B$25-(Controls!$C$25-1)/2)/MAX(Controls!$C$25/4,0.5))^2),0))</f>
        <v/>
      </c>
      <c r="M266" s="10" t="str">
        <f>IF($A266="","",IF(AND($A266&gt;=Controls!$B$26,$A266&lt;Controls!$B$26+Controls!$C$26),(Controls!$D$26-1)*EXP(-0.5*(($A266-Controls!$B$26-(Controls!$C$26-1)/2)/MAX(Controls!$C$26/4,0.5))^2),0))</f>
        <v/>
      </c>
      <c r="N266" s="10" t="str">
        <f>IF($A266="","",IF(AND($A266&gt;=Controls!$B$27,$A266&lt;Controls!$B$27+Controls!$C$27),(Controls!$D$27-1)*EXP(-0.5*(($A266-Controls!$B$27-(Controls!$C$27-1)/2)/MAX(Controls!$C$27/4,0.5))^2),0))</f>
        <v/>
      </c>
      <c r="O266" s="10" t="str">
        <f>IF($A266="","",IF(AND($A266&gt;=Controls!$B$28,$A266&lt;Controls!$B$28+Controls!$C$28),(Controls!$D$28-1)*EXP(-0.5*(($A266-Controls!$B$28-(Controls!$C$28-1)/2)/MAX(Controls!$C$28/4,0.5))^2),0))</f>
        <v/>
      </c>
      <c r="P266" s="4" t="str">
        <f t="shared" si="1"/>
        <v/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21.0" customHeight="1">
      <c r="A267" s="7" t="str">
        <f>IF(266&lt;=Controls!$B$5,Controls!$B$4+265,"")</f>
        <v/>
      </c>
      <c r="B267" s="10" t="str">
        <f>IF(Random!V267="","",IF(Controls!$B$7="Normal",Controls!$B$8,(Controls!$B$8+Controls!$B$9)/2)+Controls!$B$10*(B266-IF(Controls!$B$7="Normal",Controls!$B$8,(Controls!$B$8+Controls!$B$9)/2))+SQRT(1-Controls!$B$10^2)*(Random!V267-IF(Controls!$B$7="Normal",Controls!$B$8,(Controls!$B$8+Controls!$B$9)/2)))</f>
        <v/>
      </c>
      <c r="C267" s="10" t="str">
        <f>IF(Random!W267="","",IF(Controls!$B$7="Normal",Controls!$B$8,(Controls!$B$8+Controls!$B$9)/2)+Controls!$B$10*(C266-IF(Controls!$B$7="Normal",Controls!$B$8,(Controls!$B$8+Controls!$B$9)/2))+SQRT(1-Controls!$B$10^2)*(Random!W267-IF(Controls!$B$7="Normal",Controls!$B$8,(Controls!$B$8+Controls!$B$9)/2)))</f>
        <v/>
      </c>
      <c r="D267" s="10" t="str">
        <f>IF(Random!X267="","",IF(Controls!$B$7="Normal",Controls!$B$8,(Controls!$B$8+Controls!$B$9)/2)+Controls!$B$10*(D266-IF(Controls!$B$7="Normal",Controls!$B$8,(Controls!$B$8+Controls!$B$9)/2))+SQRT(1-Controls!$B$10^2)*(Random!X267-IF(Controls!$B$7="Normal",Controls!$B$8,(Controls!$B$8+Controls!$B$9)/2)))</f>
        <v/>
      </c>
      <c r="E267" s="10" t="str">
        <f>IF(Random!Y267="","",IF(Controls!$B$7="Normal",Controls!$B$8,(Controls!$B$8+Controls!$B$9)/2)+Controls!$B$10*(E266-IF(Controls!$B$7="Normal",Controls!$B$8,(Controls!$B$8+Controls!$B$9)/2))+SQRT(1-Controls!$B$10^2)*(Random!Y267-IF(Controls!$B$7="Normal",Controls!$B$8,(Controls!$B$8+Controls!$B$9)/2)))</f>
        <v/>
      </c>
      <c r="F267" s="10" t="str">
        <f>IF(Random!Z267="","",IF(Controls!$B$7="Normal",Controls!$B$8,(Controls!$B$8+Controls!$B$9)/2)+Controls!$B$10*(F266-IF(Controls!$B$7="Normal",Controls!$B$8,(Controls!$B$8+Controls!$B$9)/2))+SQRT(1-Controls!$B$10^2)*(Random!Z267-IF(Controls!$B$7="Normal",Controls!$B$8,(Controls!$B$8+Controls!$B$9)/2)))</f>
        <v/>
      </c>
      <c r="G267" s="10" t="str">
        <f>IF(Random!AA267="","",IF(Controls!$B$7="Normal",Controls!$B$8,(Controls!$B$8+Controls!$B$9)/2)+Controls!$B$10*(G266-IF(Controls!$B$7="Normal",Controls!$B$8,(Controls!$B$8+Controls!$B$9)/2))+SQRT(1-Controls!$B$10^2)*(Random!AA267-IF(Controls!$B$7="Normal",Controls!$B$8,(Controls!$B$8+Controls!$B$9)/2)))</f>
        <v/>
      </c>
      <c r="H267" s="10" t="str">
        <f>IF(Random!AB267="","",IF(Controls!$B$7="Normal",Controls!$B$8,(Controls!$B$8+Controls!$B$9)/2)+Controls!$B$10*(H266-IF(Controls!$B$7="Normal",Controls!$B$8,(Controls!$B$8+Controls!$B$9)/2))+SQRT(1-Controls!$B$10^2)*(Random!AB267-IF(Controls!$B$7="Normal",Controls!$B$8,(Controls!$B$8+Controls!$B$9)/2)))</f>
        <v/>
      </c>
      <c r="I267" s="10" t="str">
        <f>IF(Random!AC267="","",IF(Controls!$B$7="Normal",Controls!$B$8,(Controls!$B$8+Controls!$B$9)/2)+Controls!$B$10*(I266-IF(Controls!$B$7="Normal",Controls!$B$8,(Controls!$B$8+Controls!$B$9)/2))+SQRT(1-Controls!$B$10^2)*(Random!AC267-IF(Controls!$B$7="Normal",Controls!$B$8,(Controls!$B$8+Controls!$B$9)/2)))</f>
        <v/>
      </c>
      <c r="J267" s="10" t="str">
        <f>IF(Random!AD267="","",IF(Controls!$B$7="Normal",Controls!$B$8,(Controls!$B$8+Controls!$B$9)/2)+Controls!$B$10*(J266-IF(Controls!$B$7="Normal",Controls!$B$8,(Controls!$B$8+Controls!$B$9)/2))+SQRT(1-Controls!$B$10^2)*(Random!AD267-IF(Controls!$B$7="Normal",Controls!$B$8,(Controls!$B$8+Controls!$B$9)/2)))</f>
        <v/>
      </c>
      <c r="K267" s="10" t="str">
        <f>IF(Random!AE267="","",IF(Controls!$B$7="Normal",Controls!$B$8,(Controls!$B$8+Controls!$B$9)/2)+Controls!$B$10*(K266-IF(Controls!$B$7="Normal",Controls!$B$8,(Controls!$B$8+Controls!$B$9)/2))+SQRT(1-Controls!$B$10^2)*(Random!AE267-IF(Controls!$B$7="Normal",Controls!$B$8,(Controls!$B$8+Controls!$B$9)/2)))</f>
        <v/>
      </c>
      <c r="L267" s="10" t="str">
        <f>IF($A267="","",IF(AND($A267&gt;=Controls!$B$25,$A267&lt;Controls!$B$25+Controls!$C$25),(Controls!$D$25-1)*EXP(-0.5*(($A267-Controls!$B$25-(Controls!$C$25-1)/2)/MAX(Controls!$C$25/4,0.5))^2),0))</f>
        <v/>
      </c>
      <c r="M267" s="10" t="str">
        <f>IF($A267="","",IF(AND($A267&gt;=Controls!$B$26,$A267&lt;Controls!$B$26+Controls!$C$26),(Controls!$D$26-1)*EXP(-0.5*(($A267-Controls!$B$26-(Controls!$C$26-1)/2)/MAX(Controls!$C$26/4,0.5))^2),0))</f>
        <v/>
      </c>
      <c r="N267" s="10" t="str">
        <f>IF($A267="","",IF(AND($A267&gt;=Controls!$B$27,$A267&lt;Controls!$B$27+Controls!$C$27),(Controls!$D$27-1)*EXP(-0.5*(($A267-Controls!$B$27-(Controls!$C$27-1)/2)/MAX(Controls!$C$27/4,0.5))^2),0))</f>
        <v/>
      </c>
      <c r="O267" s="10" t="str">
        <f>IF($A267="","",IF(AND($A267&gt;=Controls!$B$28,$A267&lt;Controls!$B$28+Controls!$C$28),(Controls!$D$28-1)*EXP(-0.5*(($A267-Controls!$B$28-(Controls!$C$28-1)/2)/MAX(Controls!$C$28/4,0.5))^2),0))</f>
        <v/>
      </c>
      <c r="P267" s="4" t="str">
        <f t="shared" si="1"/>
        <v/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21.0" customHeight="1">
      <c r="A268" s="7" t="str">
        <f>IF(267&lt;=Controls!$B$5,Controls!$B$4+266,"")</f>
        <v/>
      </c>
      <c r="B268" s="10" t="str">
        <f>IF(Random!V268="","",IF(Controls!$B$7="Normal",Controls!$B$8,(Controls!$B$8+Controls!$B$9)/2)+Controls!$B$10*(B267-IF(Controls!$B$7="Normal",Controls!$B$8,(Controls!$B$8+Controls!$B$9)/2))+SQRT(1-Controls!$B$10^2)*(Random!V268-IF(Controls!$B$7="Normal",Controls!$B$8,(Controls!$B$8+Controls!$B$9)/2)))</f>
        <v/>
      </c>
      <c r="C268" s="10" t="str">
        <f>IF(Random!W268="","",IF(Controls!$B$7="Normal",Controls!$B$8,(Controls!$B$8+Controls!$B$9)/2)+Controls!$B$10*(C267-IF(Controls!$B$7="Normal",Controls!$B$8,(Controls!$B$8+Controls!$B$9)/2))+SQRT(1-Controls!$B$10^2)*(Random!W268-IF(Controls!$B$7="Normal",Controls!$B$8,(Controls!$B$8+Controls!$B$9)/2)))</f>
        <v/>
      </c>
      <c r="D268" s="10" t="str">
        <f>IF(Random!X268="","",IF(Controls!$B$7="Normal",Controls!$B$8,(Controls!$B$8+Controls!$B$9)/2)+Controls!$B$10*(D267-IF(Controls!$B$7="Normal",Controls!$B$8,(Controls!$B$8+Controls!$B$9)/2))+SQRT(1-Controls!$B$10^2)*(Random!X268-IF(Controls!$B$7="Normal",Controls!$B$8,(Controls!$B$8+Controls!$B$9)/2)))</f>
        <v/>
      </c>
      <c r="E268" s="10" t="str">
        <f>IF(Random!Y268="","",IF(Controls!$B$7="Normal",Controls!$B$8,(Controls!$B$8+Controls!$B$9)/2)+Controls!$B$10*(E267-IF(Controls!$B$7="Normal",Controls!$B$8,(Controls!$B$8+Controls!$B$9)/2))+SQRT(1-Controls!$B$10^2)*(Random!Y268-IF(Controls!$B$7="Normal",Controls!$B$8,(Controls!$B$8+Controls!$B$9)/2)))</f>
        <v/>
      </c>
      <c r="F268" s="10" t="str">
        <f>IF(Random!Z268="","",IF(Controls!$B$7="Normal",Controls!$B$8,(Controls!$B$8+Controls!$B$9)/2)+Controls!$B$10*(F267-IF(Controls!$B$7="Normal",Controls!$B$8,(Controls!$B$8+Controls!$B$9)/2))+SQRT(1-Controls!$B$10^2)*(Random!Z268-IF(Controls!$B$7="Normal",Controls!$B$8,(Controls!$B$8+Controls!$B$9)/2)))</f>
        <v/>
      </c>
      <c r="G268" s="10" t="str">
        <f>IF(Random!AA268="","",IF(Controls!$B$7="Normal",Controls!$B$8,(Controls!$B$8+Controls!$B$9)/2)+Controls!$B$10*(G267-IF(Controls!$B$7="Normal",Controls!$B$8,(Controls!$B$8+Controls!$B$9)/2))+SQRT(1-Controls!$B$10^2)*(Random!AA268-IF(Controls!$B$7="Normal",Controls!$B$8,(Controls!$B$8+Controls!$B$9)/2)))</f>
        <v/>
      </c>
      <c r="H268" s="10" t="str">
        <f>IF(Random!AB268="","",IF(Controls!$B$7="Normal",Controls!$B$8,(Controls!$B$8+Controls!$B$9)/2)+Controls!$B$10*(H267-IF(Controls!$B$7="Normal",Controls!$B$8,(Controls!$B$8+Controls!$B$9)/2))+SQRT(1-Controls!$B$10^2)*(Random!AB268-IF(Controls!$B$7="Normal",Controls!$B$8,(Controls!$B$8+Controls!$B$9)/2)))</f>
        <v/>
      </c>
      <c r="I268" s="10" t="str">
        <f>IF(Random!AC268="","",IF(Controls!$B$7="Normal",Controls!$B$8,(Controls!$B$8+Controls!$B$9)/2)+Controls!$B$10*(I267-IF(Controls!$B$7="Normal",Controls!$B$8,(Controls!$B$8+Controls!$B$9)/2))+SQRT(1-Controls!$B$10^2)*(Random!AC268-IF(Controls!$B$7="Normal",Controls!$B$8,(Controls!$B$8+Controls!$B$9)/2)))</f>
        <v/>
      </c>
      <c r="J268" s="10" t="str">
        <f>IF(Random!AD268="","",IF(Controls!$B$7="Normal",Controls!$B$8,(Controls!$B$8+Controls!$B$9)/2)+Controls!$B$10*(J267-IF(Controls!$B$7="Normal",Controls!$B$8,(Controls!$B$8+Controls!$B$9)/2))+SQRT(1-Controls!$B$10^2)*(Random!AD268-IF(Controls!$B$7="Normal",Controls!$B$8,(Controls!$B$8+Controls!$B$9)/2)))</f>
        <v/>
      </c>
      <c r="K268" s="10" t="str">
        <f>IF(Random!AE268="","",IF(Controls!$B$7="Normal",Controls!$B$8,(Controls!$B$8+Controls!$B$9)/2)+Controls!$B$10*(K267-IF(Controls!$B$7="Normal",Controls!$B$8,(Controls!$B$8+Controls!$B$9)/2))+SQRT(1-Controls!$B$10^2)*(Random!AE268-IF(Controls!$B$7="Normal",Controls!$B$8,(Controls!$B$8+Controls!$B$9)/2)))</f>
        <v/>
      </c>
      <c r="L268" s="10" t="str">
        <f>IF($A268="","",IF(AND($A268&gt;=Controls!$B$25,$A268&lt;Controls!$B$25+Controls!$C$25),(Controls!$D$25-1)*EXP(-0.5*(($A268-Controls!$B$25-(Controls!$C$25-1)/2)/MAX(Controls!$C$25/4,0.5))^2),0))</f>
        <v/>
      </c>
      <c r="M268" s="10" t="str">
        <f>IF($A268="","",IF(AND($A268&gt;=Controls!$B$26,$A268&lt;Controls!$B$26+Controls!$C$26),(Controls!$D$26-1)*EXP(-0.5*(($A268-Controls!$B$26-(Controls!$C$26-1)/2)/MAX(Controls!$C$26/4,0.5))^2),0))</f>
        <v/>
      </c>
      <c r="N268" s="10" t="str">
        <f>IF($A268="","",IF(AND($A268&gt;=Controls!$B$27,$A268&lt;Controls!$B$27+Controls!$C$27),(Controls!$D$27-1)*EXP(-0.5*(($A268-Controls!$B$27-(Controls!$C$27-1)/2)/MAX(Controls!$C$27/4,0.5))^2),0))</f>
        <v/>
      </c>
      <c r="O268" s="10" t="str">
        <f>IF($A268="","",IF(AND($A268&gt;=Controls!$B$28,$A268&lt;Controls!$B$28+Controls!$C$28),(Controls!$D$28-1)*EXP(-0.5*(($A268-Controls!$B$28-(Controls!$C$28-1)/2)/MAX(Controls!$C$28/4,0.5))^2),0))</f>
        <v/>
      </c>
      <c r="P268" s="4" t="str">
        <f t="shared" si="1"/>
        <v/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21.0" customHeight="1">
      <c r="A269" s="7" t="str">
        <f>IF(268&lt;=Controls!$B$5,Controls!$B$4+267,"")</f>
        <v/>
      </c>
      <c r="B269" s="10" t="str">
        <f>IF(Random!V269="","",IF(Controls!$B$7="Normal",Controls!$B$8,(Controls!$B$8+Controls!$B$9)/2)+Controls!$B$10*(B268-IF(Controls!$B$7="Normal",Controls!$B$8,(Controls!$B$8+Controls!$B$9)/2))+SQRT(1-Controls!$B$10^2)*(Random!V269-IF(Controls!$B$7="Normal",Controls!$B$8,(Controls!$B$8+Controls!$B$9)/2)))</f>
        <v/>
      </c>
      <c r="C269" s="10" t="str">
        <f>IF(Random!W269="","",IF(Controls!$B$7="Normal",Controls!$B$8,(Controls!$B$8+Controls!$B$9)/2)+Controls!$B$10*(C268-IF(Controls!$B$7="Normal",Controls!$B$8,(Controls!$B$8+Controls!$B$9)/2))+SQRT(1-Controls!$B$10^2)*(Random!W269-IF(Controls!$B$7="Normal",Controls!$B$8,(Controls!$B$8+Controls!$B$9)/2)))</f>
        <v/>
      </c>
      <c r="D269" s="10" t="str">
        <f>IF(Random!X269="","",IF(Controls!$B$7="Normal",Controls!$B$8,(Controls!$B$8+Controls!$B$9)/2)+Controls!$B$10*(D268-IF(Controls!$B$7="Normal",Controls!$B$8,(Controls!$B$8+Controls!$B$9)/2))+SQRT(1-Controls!$B$10^2)*(Random!X269-IF(Controls!$B$7="Normal",Controls!$B$8,(Controls!$B$8+Controls!$B$9)/2)))</f>
        <v/>
      </c>
      <c r="E269" s="10" t="str">
        <f>IF(Random!Y269="","",IF(Controls!$B$7="Normal",Controls!$B$8,(Controls!$B$8+Controls!$B$9)/2)+Controls!$B$10*(E268-IF(Controls!$B$7="Normal",Controls!$B$8,(Controls!$B$8+Controls!$B$9)/2))+SQRT(1-Controls!$B$10^2)*(Random!Y269-IF(Controls!$B$7="Normal",Controls!$B$8,(Controls!$B$8+Controls!$B$9)/2)))</f>
        <v/>
      </c>
      <c r="F269" s="10" t="str">
        <f>IF(Random!Z269="","",IF(Controls!$B$7="Normal",Controls!$B$8,(Controls!$B$8+Controls!$B$9)/2)+Controls!$B$10*(F268-IF(Controls!$B$7="Normal",Controls!$B$8,(Controls!$B$8+Controls!$B$9)/2))+SQRT(1-Controls!$B$10^2)*(Random!Z269-IF(Controls!$B$7="Normal",Controls!$B$8,(Controls!$B$8+Controls!$B$9)/2)))</f>
        <v/>
      </c>
      <c r="G269" s="10" t="str">
        <f>IF(Random!AA269="","",IF(Controls!$B$7="Normal",Controls!$B$8,(Controls!$B$8+Controls!$B$9)/2)+Controls!$B$10*(G268-IF(Controls!$B$7="Normal",Controls!$B$8,(Controls!$B$8+Controls!$B$9)/2))+SQRT(1-Controls!$B$10^2)*(Random!AA269-IF(Controls!$B$7="Normal",Controls!$B$8,(Controls!$B$8+Controls!$B$9)/2)))</f>
        <v/>
      </c>
      <c r="H269" s="10" t="str">
        <f>IF(Random!AB269="","",IF(Controls!$B$7="Normal",Controls!$B$8,(Controls!$B$8+Controls!$B$9)/2)+Controls!$B$10*(H268-IF(Controls!$B$7="Normal",Controls!$B$8,(Controls!$B$8+Controls!$B$9)/2))+SQRT(1-Controls!$B$10^2)*(Random!AB269-IF(Controls!$B$7="Normal",Controls!$B$8,(Controls!$B$8+Controls!$B$9)/2)))</f>
        <v/>
      </c>
      <c r="I269" s="10" t="str">
        <f>IF(Random!AC269="","",IF(Controls!$B$7="Normal",Controls!$B$8,(Controls!$B$8+Controls!$B$9)/2)+Controls!$B$10*(I268-IF(Controls!$B$7="Normal",Controls!$B$8,(Controls!$B$8+Controls!$B$9)/2))+SQRT(1-Controls!$B$10^2)*(Random!AC269-IF(Controls!$B$7="Normal",Controls!$B$8,(Controls!$B$8+Controls!$B$9)/2)))</f>
        <v/>
      </c>
      <c r="J269" s="10" t="str">
        <f>IF(Random!AD269="","",IF(Controls!$B$7="Normal",Controls!$B$8,(Controls!$B$8+Controls!$B$9)/2)+Controls!$B$10*(J268-IF(Controls!$B$7="Normal",Controls!$B$8,(Controls!$B$8+Controls!$B$9)/2))+SQRT(1-Controls!$B$10^2)*(Random!AD269-IF(Controls!$B$7="Normal",Controls!$B$8,(Controls!$B$8+Controls!$B$9)/2)))</f>
        <v/>
      </c>
      <c r="K269" s="10" t="str">
        <f>IF(Random!AE269="","",IF(Controls!$B$7="Normal",Controls!$B$8,(Controls!$B$8+Controls!$B$9)/2)+Controls!$B$10*(K268-IF(Controls!$B$7="Normal",Controls!$B$8,(Controls!$B$8+Controls!$B$9)/2))+SQRT(1-Controls!$B$10^2)*(Random!AE269-IF(Controls!$B$7="Normal",Controls!$B$8,(Controls!$B$8+Controls!$B$9)/2)))</f>
        <v/>
      </c>
      <c r="L269" s="10" t="str">
        <f>IF($A269="","",IF(AND($A269&gt;=Controls!$B$25,$A269&lt;Controls!$B$25+Controls!$C$25),(Controls!$D$25-1)*EXP(-0.5*(($A269-Controls!$B$25-(Controls!$C$25-1)/2)/MAX(Controls!$C$25/4,0.5))^2),0))</f>
        <v/>
      </c>
      <c r="M269" s="10" t="str">
        <f>IF($A269="","",IF(AND($A269&gt;=Controls!$B$26,$A269&lt;Controls!$B$26+Controls!$C$26),(Controls!$D$26-1)*EXP(-0.5*(($A269-Controls!$B$26-(Controls!$C$26-1)/2)/MAX(Controls!$C$26/4,0.5))^2),0))</f>
        <v/>
      </c>
      <c r="N269" s="10" t="str">
        <f>IF($A269="","",IF(AND($A269&gt;=Controls!$B$27,$A269&lt;Controls!$B$27+Controls!$C$27),(Controls!$D$27-1)*EXP(-0.5*(($A269-Controls!$B$27-(Controls!$C$27-1)/2)/MAX(Controls!$C$27/4,0.5))^2),0))</f>
        <v/>
      </c>
      <c r="O269" s="10" t="str">
        <f>IF($A269="","",IF(AND($A269&gt;=Controls!$B$28,$A269&lt;Controls!$B$28+Controls!$C$28),(Controls!$D$28-1)*EXP(-0.5*(($A269-Controls!$B$28-(Controls!$C$28-1)/2)/MAX(Controls!$C$28/4,0.5))^2),0))</f>
        <v/>
      </c>
      <c r="P269" s="4" t="str">
        <f t="shared" si="1"/>
        <v/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21.0" customHeight="1">
      <c r="A270" s="7" t="str">
        <f>IF(269&lt;=Controls!$B$5,Controls!$B$4+268,"")</f>
        <v/>
      </c>
      <c r="B270" s="10" t="str">
        <f>IF(Random!V270="","",IF(Controls!$B$7="Normal",Controls!$B$8,(Controls!$B$8+Controls!$B$9)/2)+Controls!$B$10*(B269-IF(Controls!$B$7="Normal",Controls!$B$8,(Controls!$B$8+Controls!$B$9)/2))+SQRT(1-Controls!$B$10^2)*(Random!V270-IF(Controls!$B$7="Normal",Controls!$B$8,(Controls!$B$8+Controls!$B$9)/2)))</f>
        <v/>
      </c>
      <c r="C270" s="10" t="str">
        <f>IF(Random!W270="","",IF(Controls!$B$7="Normal",Controls!$B$8,(Controls!$B$8+Controls!$B$9)/2)+Controls!$B$10*(C269-IF(Controls!$B$7="Normal",Controls!$B$8,(Controls!$B$8+Controls!$B$9)/2))+SQRT(1-Controls!$B$10^2)*(Random!W270-IF(Controls!$B$7="Normal",Controls!$B$8,(Controls!$B$8+Controls!$B$9)/2)))</f>
        <v/>
      </c>
      <c r="D270" s="10" t="str">
        <f>IF(Random!X270="","",IF(Controls!$B$7="Normal",Controls!$B$8,(Controls!$B$8+Controls!$B$9)/2)+Controls!$B$10*(D269-IF(Controls!$B$7="Normal",Controls!$B$8,(Controls!$B$8+Controls!$B$9)/2))+SQRT(1-Controls!$B$10^2)*(Random!X270-IF(Controls!$B$7="Normal",Controls!$B$8,(Controls!$B$8+Controls!$B$9)/2)))</f>
        <v/>
      </c>
      <c r="E270" s="10" t="str">
        <f>IF(Random!Y270="","",IF(Controls!$B$7="Normal",Controls!$B$8,(Controls!$B$8+Controls!$B$9)/2)+Controls!$B$10*(E269-IF(Controls!$B$7="Normal",Controls!$B$8,(Controls!$B$8+Controls!$B$9)/2))+SQRT(1-Controls!$B$10^2)*(Random!Y270-IF(Controls!$B$7="Normal",Controls!$B$8,(Controls!$B$8+Controls!$B$9)/2)))</f>
        <v/>
      </c>
      <c r="F270" s="10" t="str">
        <f>IF(Random!Z270="","",IF(Controls!$B$7="Normal",Controls!$B$8,(Controls!$B$8+Controls!$B$9)/2)+Controls!$B$10*(F269-IF(Controls!$B$7="Normal",Controls!$B$8,(Controls!$B$8+Controls!$B$9)/2))+SQRT(1-Controls!$B$10^2)*(Random!Z270-IF(Controls!$B$7="Normal",Controls!$B$8,(Controls!$B$8+Controls!$B$9)/2)))</f>
        <v/>
      </c>
      <c r="G270" s="10" t="str">
        <f>IF(Random!AA270="","",IF(Controls!$B$7="Normal",Controls!$B$8,(Controls!$B$8+Controls!$B$9)/2)+Controls!$B$10*(G269-IF(Controls!$B$7="Normal",Controls!$B$8,(Controls!$B$8+Controls!$B$9)/2))+SQRT(1-Controls!$B$10^2)*(Random!AA270-IF(Controls!$B$7="Normal",Controls!$B$8,(Controls!$B$8+Controls!$B$9)/2)))</f>
        <v/>
      </c>
      <c r="H270" s="10" t="str">
        <f>IF(Random!AB270="","",IF(Controls!$B$7="Normal",Controls!$B$8,(Controls!$B$8+Controls!$B$9)/2)+Controls!$B$10*(H269-IF(Controls!$B$7="Normal",Controls!$B$8,(Controls!$B$8+Controls!$B$9)/2))+SQRT(1-Controls!$B$10^2)*(Random!AB270-IF(Controls!$B$7="Normal",Controls!$B$8,(Controls!$B$8+Controls!$B$9)/2)))</f>
        <v/>
      </c>
      <c r="I270" s="10" t="str">
        <f>IF(Random!AC270="","",IF(Controls!$B$7="Normal",Controls!$B$8,(Controls!$B$8+Controls!$B$9)/2)+Controls!$B$10*(I269-IF(Controls!$B$7="Normal",Controls!$B$8,(Controls!$B$8+Controls!$B$9)/2))+SQRT(1-Controls!$B$10^2)*(Random!AC270-IF(Controls!$B$7="Normal",Controls!$B$8,(Controls!$B$8+Controls!$B$9)/2)))</f>
        <v/>
      </c>
      <c r="J270" s="10" t="str">
        <f>IF(Random!AD270="","",IF(Controls!$B$7="Normal",Controls!$B$8,(Controls!$B$8+Controls!$B$9)/2)+Controls!$B$10*(J269-IF(Controls!$B$7="Normal",Controls!$B$8,(Controls!$B$8+Controls!$B$9)/2))+SQRT(1-Controls!$B$10^2)*(Random!AD270-IF(Controls!$B$7="Normal",Controls!$B$8,(Controls!$B$8+Controls!$B$9)/2)))</f>
        <v/>
      </c>
      <c r="K270" s="10" t="str">
        <f>IF(Random!AE270="","",IF(Controls!$B$7="Normal",Controls!$B$8,(Controls!$B$8+Controls!$B$9)/2)+Controls!$B$10*(K269-IF(Controls!$B$7="Normal",Controls!$B$8,(Controls!$B$8+Controls!$B$9)/2))+SQRT(1-Controls!$B$10^2)*(Random!AE270-IF(Controls!$B$7="Normal",Controls!$B$8,(Controls!$B$8+Controls!$B$9)/2)))</f>
        <v/>
      </c>
      <c r="L270" s="10" t="str">
        <f>IF($A270="","",IF(AND($A270&gt;=Controls!$B$25,$A270&lt;Controls!$B$25+Controls!$C$25),(Controls!$D$25-1)*EXP(-0.5*(($A270-Controls!$B$25-(Controls!$C$25-1)/2)/MAX(Controls!$C$25/4,0.5))^2),0))</f>
        <v/>
      </c>
      <c r="M270" s="10" t="str">
        <f>IF($A270="","",IF(AND($A270&gt;=Controls!$B$26,$A270&lt;Controls!$B$26+Controls!$C$26),(Controls!$D$26-1)*EXP(-0.5*(($A270-Controls!$B$26-(Controls!$C$26-1)/2)/MAX(Controls!$C$26/4,0.5))^2),0))</f>
        <v/>
      </c>
      <c r="N270" s="10" t="str">
        <f>IF($A270="","",IF(AND($A270&gt;=Controls!$B$27,$A270&lt;Controls!$B$27+Controls!$C$27),(Controls!$D$27-1)*EXP(-0.5*(($A270-Controls!$B$27-(Controls!$C$27-1)/2)/MAX(Controls!$C$27/4,0.5))^2),0))</f>
        <v/>
      </c>
      <c r="O270" s="10" t="str">
        <f>IF($A270="","",IF(AND($A270&gt;=Controls!$B$28,$A270&lt;Controls!$B$28+Controls!$C$28),(Controls!$D$28-1)*EXP(-0.5*(($A270-Controls!$B$28-(Controls!$C$28-1)/2)/MAX(Controls!$C$28/4,0.5))^2),0))</f>
        <v/>
      </c>
      <c r="P270" s="4" t="str">
        <f t="shared" si="1"/>
        <v/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21.0" customHeight="1">
      <c r="A271" s="7" t="str">
        <f>IF(270&lt;=Controls!$B$5,Controls!$B$4+269,"")</f>
        <v/>
      </c>
      <c r="B271" s="10" t="str">
        <f>IF(Random!V271="","",IF(Controls!$B$7="Normal",Controls!$B$8,(Controls!$B$8+Controls!$B$9)/2)+Controls!$B$10*(B270-IF(Controls!$B$7="Normal",Controls!$B$8,(Controls!$B$8+Controls!$B$9)/2))+SQRT(1-Controls!$B$10^2)*(Random!V271-IF(Controls!$B$7="Normal",Controls!$B$8,(Controls!$B$8+Controls!$B$9)/2)))</f>
        <v/>
      </c>
      <c r="C271" s="10" t="str">
        <f>IF(Random!W271="","",IF(Controls!$B$7="Normal",Controls!$B$8,(Controls!$B$8+Controls!$B$9)/2)+Controls!$B$10*(C270-IF(Controls!$B$7="Normal",Controls!$B$8,(Controls!$B$8+Controls!$B$9)/2))+SQRT(1-Controls!$B$10^2)*(Random!W271-IF(Controls!$B$7="Normal",Controls!$B$8,(Controls!$B$8+Controls!$B$9)/2)))</f>
        <v/>
      </c>
      <c r="D271" s="10" t="str">
        <f>IF(Random!X271="","",IF(Controls!$B$7="Normal",Controls!$B$8,(Controls!$B$8+Controls!$B$9)/2)+Controls!$B$10*(D270-IF(Controls!$B$7="Normal",Controls!$B$8,(Controls!$B$8+Controls!$B$9)/2))+SQRT(1-Controls!$B$10^2)*(Random!X271-IF(Controls!$B$7="Normal",Controls!$B$8,(Controls!$B$8+Controls!$B$9)/2)))</f>
        <v/>
      </c>
      <c r="E271" s="10" t="str">
        <f>IF(Random!Y271="","",IF(Controls!$B$7="Normal",Controls!$B$8,(Controls!$B$8+Controls!$B$9)/2)+Controls!$B$10*(E270-IF(Controls!$B$7="Normal",Controls!$B$8,(Controls!$B$8+Controls!$B$9)/2))+SQRT(1-Controls!$B$10^2)*(Random!Y271-IF(Controls!$B$7="Normal",Controls!$B$8,(Controls!$B$8+Controls!$B$9)/2)))</f>
        <v/>
      </c>
      <c r="F271" s="10" t="str">
        <f>IF(Random!Z271="","",IF(Controls!$B$7="Normal",Controls!$B$8,(Controls!$B$8+Controls!$B$9)/2)+Controls!$B$10*(F270-IF(Controls!$B$7="Normal",Controls!$B$8,(Controls!$B$8+Controls!$B$9)/2))+SQRT(1-Controls!$B$10^2)*(Random!Z271-IF(Controls!$B$7="Normal",Controls!$B$8,(Controls!$B$8+Controls!$B$9)/2)))</f>
        <v/>
      </c>
      <c r="G271" s="10" t="str">
        <f>IF(Random!AA271="","",IF(Controls!$B$7="Normal",Controls!$B$8,(Controls!$B$8+Controls!$B$9)/2)+Controls!$B$10*(G270-IF(Controls!$B$7="Normal",Controls!$B$8,(Controls!$B$8+Controls!$B$9)/2))+SQRT(1-Controls!$B$10^2)*(Random!AA271-IF(Controls!$B$7="Normal",Controls!$B$8,(Controls!$B$8+Controls!$B$9)/2)))</f>
        <v/>
      </c>
      <c r="H271" s="10" t="str">
        <f>IF(Random!AB271="","",IF(Controls!$B$7="Normal",Controls!$B$8,(Controls!$B$8+Controls!$B$9)/2)+Controls!$B$10*(H270-IF(Controls!$B$7="Normal",Controls!$B$8,(Controls!$B$8+Controls!$B$9)/2))+SQRT(1-Controls!$B$10^2)*(Random!AB271-IF(Controls!$B$7="Normal",Controls!$B$8,(Controls!$B$8+Controls!$B$9)/2)))</f>
        <v/>
      </c>
      <c r="I271" s="10" t="str">
        <f>IF(Random!AC271="","",IF(Controls!$B$7="Normal",Controls!$B$8,(Controls!$B$8+Controls!$B$9)/2)+Controls!$B$10*(I270-IF(Controls!$B$7="Normal",Controls!$B$8,(Controls!$B$8+Controls!$B$9)/2))+SQRT(1-Controls!$B$10^2)*(Random!AC271-IF(Controls!$B$7="Normal",Controls!$B$8,(Controls!$B$8+Controls!$B$9)/2)))</f>
        <v/>
      </c>
      <c r="J271" s="10" t="str">
        <f>IF(Random!AD271="","",IF(Controls!$B$7="Normal",Controls!$B$8,(Controls!$B$8+Controls!$B$9)/2)+Controls!$B$10*(J270-IF(Controls!$B$7="Normal",Controls!$B$8,(Controls!$B$8+Controls!$B$9)/2))+SQRT(1-Controls!$B$10^2)*(Random!AD271-IF(Controls!$B$7="Normal",Controls!$B$8,(Controls!$B$8+Controls!$B$9)/2)))</f>
        <v/>
      </c>
      <c r="K271" s="10" t="str">
        <f>IF(Random!AE271="","",IF(Controls!$B$7="Normal",Controls!$B$8,(Controls!$B$8+Controls!$B$9)/2)+Controls!$B$10*(K270-IF(Controls!$B$7="Normal",Controls!$B$8,(Controls!$B$8+Controls!$B$9)/2))+SQRT(1-Controls!$B$10^2)*(Random!AE271-IF(Controls!$B$7="Normal",Controls!$B$8,(Controls!$B$8+Controls!$B$9)/2)))</f>
        <v/>
      </c>
      <c r="L271" s="10" t="str">
        <f>IF($A271="","",IF(AND($A271&gt;=Controls!$B$25,$A271&lt;Controls!$B$25+Controls!$C$25),(Controls!$D$25-1)*EXP(-0.5*(($A271-Controls!$B$25-(Controls!$C$25-1)/2)/MAX(Controls!$C$25/4,0.5))^2),0))</f>
        <v/>
      </c>
      <c r="M271" s="10" t="str">
        <f>IF($A271="","",IF(AND($A271&gt;=Controls!$B$26,$A271&lt;Controls!$B$26+Controls!$C$26),(Controls!$D$26-1)*EXP(-0.5*(($A271-Controls!$B$26-(Controls!$C$26-1)/2)/MAX(Controls!$C$26/4,0.5))^2),0))</f>
        <v/>
      </c>
      <c r="N271" s="10" t="str">
        <f>IF($A271="","",IF(AND($A271&gt;=Controls!$B$27,$A271&lt;Controls!$B$27+Controls!$C$27),(Controls!$D$27-1)*EXP(-0.5*(($A271-Controls!$B$27-(Controls!$C$27-1)/2)/MAX(Controls!$C$27/4,0.5))^2),0))</f>
        <v/>
      </c>
      <c r="O271" s="10" t="str">
        <f>IF($A271="","",IF(AND($A271&gt;=Controls!$B$28,$A271&lt;Controls!$B$28+Controls!$C$28),(Controls!$D$28-1)*EXP(-0.5*(($A271-Controls!$B$28-(Controls!$C$28-1)/2)/MAX(Controls!$C$28/4,0.5))^2),0))</f>
        <v/>
      </c>
      <c r="P271" s="4" t="str">
        <f t="shared" si="1"/>
        <v/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21.0" customHeight="1">
      <c r="A272" s="7" t="str">
        <f>IF(271&lt;=Controls!$B$5,Controls!$B$4+270,"")</f>
        <v/>
      </c>
      <c r="B272" s="10" t="str">
        <f>IF(Random!V272="","",IF(Controls!$B$7="Normal",Controls!$B$8,(Controls!$B$8+Controls!$B$9)/2)+Controls!$B$10*(B271-IF(Controls!$B$7="Normal",Controls!$B$8,(Controls!$B$8+Controls!$B$9)/2))+SQRT(1-Controls!$B$10^2)*(Random!V272-IF(Controls!$B$7="Normal",Controls!$B$8,(Controls!$B$8+Controls!$B$9)/2)))</f>
        <v/>
      </c>
      <c r="C272" s="10" t="str">
        <f>IF(Random!W272="","",IF(Controls!$B$7="Normal",Controls!$B$8,(Controls!$B$8+Controls!$B$9)/2)+Controls!$B$10*(C271-IF(Controls!$B$7="Normal",Controls!$B$8,(Controls!$B$8+Controls!$B$9)/2))+SQRT(1-Controls!$B$10^2)*(Random!W272-IF(Controls!$B$7="Normal",Controls!$B$8,(Controls!$B$8+Controls!$B$9)/2)))</f>
        <v/>
      </c>
      <c r="D272" s="10" t="str">
        <f>IF(Random!X272="","",IF(Controls!$B$7="Normal",Controls!$B$8,(Controls!$B$8+Controls!$B$9)/2)+Controls!$B$10*(D271-IF(Controls!$B$7="Normal",Controls!$B$8,(Controls!$B$8+Controls!$B$9)/2))+SQRT(1-Controls!$B$10^2)*(Random!X272-IF(Controls!$B$7="Normal",Controls!$B$8,(Controls!$B$8+Controls!$B$9)/2)))</f>
        <v/>
      </c>
      <c r="E272" s="10" t="str">
        <f>IF(Random!Y272="","",IF(Controls!$B$7="Normal",Controls!$B$8,(Controls!$B$8+Controls!$B$9)/2)+Controls!$B$10*(E271-IF(Controls!$B$7="Normal",Controls!$B$8,(Controls!$B$8+Controls!$B$9)/2))+SQRT(1-Controls!$B$10^2)*(Random!Y272-IF(Controls!$B$7="Normal",Controls!$B$8,(Controls!$B$8+Controls!$B$9)/2)))</f>
        <v/>
      </c>
      <c r="F272" s="10" t="str">
        <f>IF(Random!Z272="","",IF(Controls!$B$7="Normal",Controls!$B$8,(Controls!$B$8+Controls!$B$9)/2)+Controls!$B$10*(F271-IF(Controls!$B$7="Normal",Controls!$B$8,(Controls!$B$8+Controls!$B$9)/2))+SQRT(1-Controls!$B$10^2)*(Random!Z272-IF(Controls!$B$7="Normal",Controls!$B$8,(Controls!$B$8+Controls!$B$9)/2)))</f>
        <v/>
      </c>
      <c r="G272" s="10" t="str">
        <f>IF(Random!AA272="","",IF(Controls!$B$7="Normal",Controls!$B$8,(Controls!$B$8+Controls!$B$9)/2)+Controls!$B$10*(G271-IF(Controls!$B$7="Normal",Controls!$B$8,(Controls!$B$8+Controls!$B$9)/2))+SQRT(1-Controls!$B$10^2)*(Random!AA272-IF(Controls!$B$7="Normal",Controls!$B$8,(Controls!$B$8+Controls!$B$9)/2)))</f>
        <v/>
      </c>
      <c r="H272" s="10" t="str">
        <f>IF(Random!AB272="","",IF(Controls!$B$7="Normal",Controls!$B$8,(Controls!$B$8+Controls!$B$9)/2)+Controls!$B$10*(H271-IF(Controls!$B$7="Normal",Controls!$B$8,(Controls!$B$8+Controls!$B$9)/2))+SQRT(1-Controls!$B$10^2)*(Random!AB272-IF(Controls!$B$7="Normal",Controls!$B$8,(Controls!$B$8+Controls!$B$9)/2)))</f>
        <v/>
      </c>
      <c r="I272" s="10" t="str">
        <f>IF(Random!AC272="","",IF(Controls!$B$7="Normal",Controls!$B$8,(Controls!$B$8+Controls!$B$9)/2)+Controls!$B$10*(I271-IF(Controls!$B$7="Normal",Controls!$B$8,(Controls!$B$8+Controls!$B$9)/2))+SQRT(1-Controls!$B$10^2)*(Random!AC272-IF(Controls!$B$7="Normal",Controls!$B$8,(Controls!$B$8+Controls!$B$9)/2)))</f>
        <v/>
      </c>
      <c r="J272" s="10" t="str">
        <f>IF(Random!AD272="","",IF(Controls!$B$7="Normal",Controls!$B$8,(Controls!$B$8+Controls!$B$9)/2)+Controls!$B$10*(J271-IF(Controls!$B$7="Normal",Controls!$B$8,(Controls!$B$8+Controls!$B$9)/2))+SQRT(1-Controls!$B$10^2)*(Random!AD272-IF(Controls!$B$7="Normal",Controls!$B$8,(Controls!$B$8+Controls!$B$9)/2)))</f>
        <v/>
      </c>
      <c r="K272" s="10" t="str">
        <f>IF(Random!AE272="","",IF(Controls!$B$7="Normal",Controls!$B$8,(Controls!$B$8+Controls!$B$9)/2)+Controls!$B$10*(K271-IF(Controls!$B$7="Normal",Controls!$B$8,(Controls!$B$8+Controls!$B$9)/2))+SQRT(1-Controls!$B$10^2)*(Random!AE272-IF(Controls!$B$7="Normal",Controls!$B$8,(Controls!$B$8+Controls!$B$9)/2)))</f>
        <v/>
      </c>
      <c r="L272" s="10" t="str">
        <f>IF($A272="","",IF(AND($A272&gt;=Controls!$B$25,$A272&lt;Controls!$B$25+Controls!$C$25),(Controls!$D$25-1)*EXP(-0.5*(($A272-Controls!$B$25-(Controls!$C$25-1)/2)/MAX(Controls!$C$25/4,0.5))^2),0))</f>
        <v/>
      </c>
      <c r="M272" s="10" t="str">
        <f>IF($A272="","",IF(AND($A272&gt;=Controls!$B$26,$A272&lt;Controls!$B$26+Controls!$C$26),(Controls!$D$26-1)*EXP(-0.5*(($A272-Controls!$B$26-(Controls!$C$26-1)/2)/MAX(Controls!$C$26/4,0.5))^2),0))</f>
        <v/>
      </c>
      <c r="N272" s="10" t="str">
        <f>IF($A272="","",IF(AND($A272&gt;=Controls!$B$27,$A272&lt;Controls!$B$27+Controls!$C$27),(Controls!$D$27-1)*EXP(-0.5*(($A272-Controls!$B$27-(Controls!$C$27-1)/2)/MAX(Controls!$C$27/4,0.5))^2),0))</f>
        <v/>
      </c>
      <c r="O272" s="10" t="str">
        <f>IF($A272="","",IF(AND($A272&gt;=Controls!$B$28,$A272&lt;Controls!$B$28+Controls!$C$28),(Controls!$D$28-1)*EXP(-0.5*(($A272-Controls!$B$28-(Controls!$C$28-1)/2)/MAX(Controls!$C$28/4,0.5))^2),0))</f>
        <v/>
      </c>
      <c r="P272" s="4" t="str">
        <f t="shared" si="1"/>
        <v/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21.0" customHeight="1">
      <c r="A273" s="7" t="str">
        <f>IF(272&lt;=Controls!$B$5,Controls!$B$4+271,"")</f>
        <v/>
      </c>
      <c r="B273" s="10" t="str">
        <f>IF(Random!V273="","",IF(Controls!$B$7="Normal",Controls!$B$8,(Controls!$B$8+Controls!$B$9)/2)+Controls!$B$10*(B272-IF(Controls!$B$7="Normal",Controls!$B$8,(Controls!$B$8+Controls!$B$9)/2))+SQRT(1-Controls!$B$10^2)*(Random!V273-IF(Controls!$B$7="Normal",Controls!$B$8,(Controls!$B$8+Controls!$B$9)/2)))</f>
        <v/>
      </c>
      <c r="C273" s="10" t="str">
        <f>IF(Random!W273="","",IF(Controls!$B$7="Normal",Controls!$B$8,(Controls!$B$8+Controls!$B$9)/2)+Controls!$B$10*(C272-IF(Controls!$B$7="Normal",Controls!$B$8,(Controls!$B$8+Controls!$B$9)/2))+SQRT(1-Controls!$B$10^2)*(Random!W273-IF(Controls!$B$7="Normal",Controls!$B$8,(Controls!$B$8+Controls!$B$9)/2)))</f>
        <v/>
      </c>
      <c r="D273" s="10" t="str">
        <f>IF(Random!X273="","",IF(Controls!$B$7="Normal",Controls!$B$8,(Controls!$B$8+Controls!$B$9)/2)+Controls!$B$10*(D272-IF(Controls!$B$7="Normal",Controls!$B$8,(Controls!$B$8+Controls!$B$9)/2))+SQRT(1-Controls!$B$10^2)*(Random!X273-IF(Controls!$B$7="Normal",Controls!$B$8,(Controls!$B$8+Controls!$B$9)/2)))</f>
        <v/>
      </c>
      <c r="E273" s="10" t="str">
        <f>IF(Random!Y273="","",IF(Controls!$B$7="Normal",Controls!$B$8,(Controls!$B$8+Controls!$B$9)/2)+Controls!$B$10*(E272-IF(Controls!$B$7="Normal",Controls!$B$8,(Controls!$B$8+Controls!$B$9)/2))+SQRT(1-Controls!$B$10^2)*(Random!Y273-IF(Controls!$B$7="Normal",Controls!$B$8,(Controls!$B$8+Controls!$B$9)/2)))</f>
        <v/>
      </c>
      <c r="F273" s="10" t="str">
        <f>IF(Random!Z273="","",IF(Controls!$B$7="Normal",Controls!$B$8,(Controls!$B$8+Controls!$B$9)/2)+Controls!$B$10*(F272-IF(Controls!$B$7="Normal",Controls!$B$8,(Controls!$B$8+Controls!$B$9)/2))+SQRT(1-Controls!$B$10^2)*(Random!Z273-IF(Controls!$B$7="Normal",Controls!$B$8,(Controls!$B$8+Controls!$B$9)/2)))</f>
        <v/>
      </c>
      <c r="G273" s="10" t="str">
        <f>IF(Random!AA273="","",IF(Controls!$B$7="Normal",Controls!$B$8,(Controls!$B$8+Controls!$B$9)/2)+Controls!$B$10*(G272-IF(Controls!$B$7="Normal",Controls!$B$8,(Controls!$B$8+Controls!$B$9)/2))+SQRT(1-Controls!$B$10^2)*(Random!AA273-IF(Controls!$B$7="Normal",Controls!$B$8,(Controls!$B$8+Controls!$B$9)/2)))</f>
        <v/>
      </c>
      <c r="H273" s="10" t="str">
        <f>IF(Random!AB273="","",IF(Controls!$B$7="Normal",Controls!$B$8,(Controls!$B$8+Controls!$B$9)/2)+Controls!$B$10*(H272-IF(Controls!$B$7="Normal",Controls!$B$8,(Controls!$B$8+Controls!$B$9)/2))+SQRT(1-Controls!$B$10^2)*(Random!AB273-IF(Controls!$B$7="Normal",Controls!$B$8,(Controls!$B$8+Controls!$B$9)/2)))</f>
        <v/>
      </c>
      <c r="I273" s="10" t="str">
        <f>IF(Random!AC273="","",IF(Controls!$B$7="Normal",Controls!$B$8,(Controls!$B$8+Controls!$B$9)/2)+Controls!$B$10*(I272-IF(Controls!$B$7="Normal",Controls!$B$8,(Controls!$B$8+Controls!$B$9)/2))+SQRT(1-Controls!$B$10^2)*(Random!AC273-IF(Controls!$B$7="Normal",Controls!$B$8,(Controls!$B$8+Controls!$B$9)/2)))</f>
        <v/>
      </c>
      <c r="J273" s="10" t="str">
        <f>IF(Random!AD273="","",IF(Controls!$B$7="Normal",Controls!$B$8,(Controls!$B$8+Controls!$B$9)/2)+Controls!$B$10*(J272-IF(Controls!$B$7="Normal",Controls!$B$8,(Controls!$B$8+Controls!$B$9)/2))+SQRT(1-Controls!$B$10^2)*(Random!AD273-IF(Controls!$B$7="Normal",Controls!$B$8,(Controls!$B$8+Controls!$B$9)/2)))</f>
        <v/>
      </c>
      <c r="K273" s="10" t="str">
        <f>IF(Random!AE273="","",IF(Controls!$B$7="Normal",Controls!$B$8,(Controls!$B$8+Controls!$B$9)/2)+Controls!$B$10*(K272-IF(Controls!$B$7="Normal",Controls!$B$8,(Controls!$B$8+Controls!$B$9)/2))+SQRT(1-Controls!$B$10^2)*(Random!AE273-IF(Controls!$B$7="Normal",Controls!$B$8,(Controls!$B$8+Controls!$B$9)/2)))</f>
        <v/>
      </c>
      <c r="L273" s="10" t="str">
        <f>IF($A273="","",IF(AND($A273&gt;=Controls!$B$25,$A273&lt;Controls!$B$25+Controls!$C$25),(Controls!$D$25-1)*EXP(-0.5*(($A273-Controls!$B$25-(Controls!$C$25-1)/2)/MAX(Controls!$C$25/4,0.5))^2),0))</f>
        <v/>
      </c>
      <c r="M273" s="10" t="str">
        <f>IF($A273="","",IF(AND($A273&gt;=Controls!$B$26,$A273&lt;Controls!$B$26+Controls!$C$26),(Controls!$D$26-1)*EXP(-0.5*(($A273-Controls!$B$26-(Controls!$C$26-1)/2)/MAX(Controls!$C$26/4,0.5))^2),0))</f>
        <v/>
      </c>
      <c r="N273" s="10" t="str">
        <f>IF($A273="","",IF(AND($A273&gt;=Controls!$B$27,$A273&lt;Controls!$B$27+Controls!$C$27),(Controls!$D$27-1)*EXP(-0.5*(($A273-Controls!$B$27-(Controls!$C$27-1)/2)/MAX(Controls!$C$27/4,0.5))^2),0))</f>
        <v/>
      </c>
      <c r="O273" s="10" t="str">
        <f>IF($A273="","",IF(AND($A273&gt;=Controls!$B$28,$A273&lt;Controls!$B$28+Controls!$C$28),(Controls!$D$28-1)*EXP(-0.5*(($A273-Controls!$B$28-(Controls!$C$28-1)/2)/MAX(Controls!$C$28/4,0.5))^2),0))</f>
        <v/>
      </c>
      <c r="P273" s="4" t="str">
        <f t="shared" si="1"/>
        <v/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21.0" customHeight="1">
      <c r="A274" s="7" t="str">
        <f>IF(273&lt;=Controls!$B$5,Controls!$B$4+272,"")</f>
        <v/>
      </c>
      <c r="B274" s="10" t="str">
        <f>IF(Random!V274="","",IF(Controls!$B$7="Normal",Controls!$B$8,(Controls!$B$8+Controls!$B$9)/2)+Controls!$B$10*(B273-IF(Controls!$B$7="Normal",Controls!$B$8,(Controls!$B$8+Controls!$B$9)/2))+SQRT(1-Controls!$B$10^2)*(Random!V274-IF(Controls!$B$7="Normal",Controls!$B$8,(Controls!$B$8+Controls!$B$9)/2)))</f>
        <v/>
      </c>
      <c r="C274" s="10" t="str">
        <f>IF(Random!W274="","",IF(Controls!$B$7="Normal",Controls!$B$8,(Controls!$B$8+Controls!$B$9)/2)+Controls!$B$10*(C273-IF(Controls!$B$7="Normal",Controls!$B$8,(Controls!$B$8+Controls!$B$9)/2))+SQRT(1-Controls!$B$10^2)*(Random!W274-IF(Controls!$B$7="Normal",Controls!$B$8,(Controls!$B$8+Controls!$B$9)/2)))</f>
        <v/>
      </c>
      <c r="D274" s="10" t="str">
        <f>IF(Random!X274="","",IF(Controls!$B$7="Normal",Controls!$B$8,(Controls!$B$8+Controls!$B$9)/2)+Controls!$B$10*(D273-IF(Controls!$B$7="Normal",Controls!$B$8,(Controls!$B$8+Controls!$B$9)/2))+SQRT(1-Controls!$B$10^2)*(Random!X274-IF(Controls!$B$7="Normal",Controls!$B$8,(Controls!$B$8+Controls!$B$9)/2)))</f>
        <v/>
      </c>
      <c r="E274" s="10" t="str">
        <f>IF(Random!Y274="","",IF(Controls!$B$7="Normal",Controls!$B$8,(Controls!$B$8+Controls!$B$9)/2)+Controls!$B$10*(E273-IF(Controls!$B$7="Normal",Controls!$B$8,(Controls!$B$8+Controls!$B$9)/2))+SQRT(1-Controls!$B$10^2)*(Random!Y274-IF(Controls!$B$7="Normal",Controls!$B$8,(Controls!$B$8+Controls!$B$9)/2)))</f>
        <v/>
      </c>
      <c r="F274" s="10" t="str">
        <f>IF(Random!Z274="","",IF(Controls!$B$7="Normal",Controls!$B$8,(Controls!$B$8+Controls!$B$9)/2)+Controls!$B$10*(F273-IF(Controls!$B$7="Normal",Controls!$B$8,(Controls!$B$8+Controls!$B$9)/2))+SQRT(1-Controls!$B$10^2)*(Random!Z274-IF(Controls!$B$7="Normal",Controls!$B$8,(Controls!$B$8+Controls!$B$9)/2)))</f>
        <v/>
      </c>
      <c r="G274" s="10" t="str">
        <f>IF(Random!AA274="","",IF(Controls!$B$7="Normal",Controls!$B$8,(Controls!$B$8+Controls!$B$9)/2)+Controls!$B$10*(G273-IF(Controls!$B$7="Normal",Controls!$B$8,(Controls!$B$8+Controls!$B$9)/2))+SQRT(1-Controls!$B$10^2)*(Random!AA274-IF(Controls!$B$7="Normal",Controls!$B$8,(Controls!$B$8+Controls!$B$9)/2)))</f>
        <v/>
      </c>
      <c r="H274" s="10" t="str">
        <f>IF(Random!AB274="","",IF(Controls!$B$7="Normal",Controls!$B$8,(Controls!$B$8+Controls!$B$9)/2)+Controls!$B$10*(H273-IF(Controls!$B$7="Normal",Controls!$B$8,(Controls!$B$8+Controls!$B$9)/2))+SQRT(1-Controls!$B$10^2)*(Random!AB274-IF(Controls!$B$7="Normal",Controls!$B$8,(Controls!$B$8+Controls!$B$9)/2)))</f>
        <v/>
      </c>
      <c r="I274" s="10" t="str">
        <f>IF(Random!AC274="","",IF(Controls!$B$7="Normal",Controls!$B$8,(Controls!$B$8+Controls!$B$9)/2)+Controls!$B$10*(I273-IF(Controls!$B$7="Normal",Controls!$B$8,(Controls!$B$8+Controls!$B$9)/2))+SQRT(1-Controls!$B$10^2)*(Random!AC274-IF(Controls!$B$7="Normal",Controls!$B$8,(Controls!$B$8+Controls!$B$9)/2)))</f>
        <v/>
      </c>
      <c r="J274" s="10" t="str">
        <f>IF(Random!AD274="","",IF(Controls!$B$7="Normal",Controls!$B$8,(Controls!$B$8+Controls!$B$9)/2)+Controls!$B$10*(J273-IF(Controls!$B$7="Normal",Controls!$B$8,(Controls!$B$8+Controls!$B$9)/2))+SQRT(1-Controls!$B$10^2)*(Random!AD274-IF(Controls!$B$7="Normal",Controls!$B$8,(Controls!$B$8+Controls!$B$9)/2)))</f>
        <v/>
      </c>
      <c r="K274" s="10" t="str">
        <f>IF(Random!AE274="","",IF(Controls!$B$7="Normal",Controls!$B$8,(Controls!$B$8+Controls!$B$9)/2)+Controls!$B$10*(K273-IF(Controls!$B$7="Normal",Controls!$B$8,(Controls!$B$8+Controls!$B$9)/2))+SQRT(1-Controls!$B$10^2)*(Random!AE274-IF(Controls!$B$7="Normal",Controls!$B$8,(Controls!$B$8+Controls!$B$9)/2)))</f>
        <v/>
      </c>
      <c r="L274" s="10" t="str">
        <f>IF($A274="","",IF(AND($A274&gt;=Controls!$B$25,$A274&lt;Controls!$B$25+Controls!$C$25),(Controls!$D$25-1)*EXP(-0.5*(($A274-Controls!$B$25-(Controls!$C$25-1)/2)/MAX(Controls!$C$25/4,0.5))^2),0))</f>
        <v/>
      </c>
      <c r="M274" s="10" t="str">
        <f>IF($A274="","",IF(AND($A274&gt;=Controls!$B$26,$A274&lt;Controls!$B$26+Controls!$C$26),(Controls!$D$26-1)*EXP(-0.5*(($A274-Controls!$B$26-(Controls!$C$26-1)/2)/MAX(Controls!$C$26/4,0.5))^2),0))</f>
        <v/>
      </c>
      <c r="N274" s="10" t="str">
        <f>IF($A274="","",IF(AND($A274&gt;=Controls!$B$27,$A274&lt;Controls!$B$27+Controls!$C$27),(Controls!$D$27-1)*EXP(-0.5*(($A274-Controls!$B$27-(Controls!$C$27-1)/2)/MAX(Controls!$C$27/4,0.5))^2),0))</f>
        <v/>
      </c>
      <c r="O274" s="10" t="str">
        <f>IF($A274="","",IF(AND($A274&gt;=Controls!$B$28,$A274&lt;Controls!$B$28+Controls!$C$28),(Controls!$D$28-1)*EXP(-0.5*(($A274-Controls!$B$28-(Controls!$C$28-1)/2)/MAX(Controls!$C$28/4,0.5))^2),0))</f>
        <v/>
      </c>
      <c r="P274" s="4" t="str">
        <f t="shared" si="1"/>
        <v/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21.0" customHeight="1">
      <c r="A275" s="7" t="str">
        <f>IF(274&lt;=Controls!$B$5,Controls!$B$4+273,"")</f>
        <v/>
      </c>
      <c r="B275" s="10" t="str">
        <f>IF(Random!V275="","",IF(Controls!$B$7="Normal",Controls!$B$8,(Controls!$B$8+Controls!$B$9)/2)+Controls!$B$10*(B274-IF(Controls!$B$7="Normal",Controls!$B$8,(Controls!$B$8+Controls!$B$9)/2))+SQRT(1-Controls!$B$10^2)*(Random!V275-IF(Controls!$B$7="Normal",Controls!$B$8,(Controls!$B$8+Controls!$B$9)/2)))</f>
        <v/>
      </c>
      <c r="C275" s="10" t="str">
        <f>IF(Random!W275="","",IF(Controls!$B$7="Normal",Controls!$B$8,(Controls!$B$8+Controls!$B$9)/2)+Controls!$B$10*(C274-IF(Controls!$B$7="Normal",Controls!$B$8,(Controls!$B$8+Controls!$B$9)/2))+SQRT(1-Controls!$B$10^2)*(Random!W275-IF(Controls!$B$7="Normal",Controls!$B$8,(Controls!$B$8+Controls!$B$9)/2)))</f>
        <v/>
      </c>
      <c r="D275" s="10" t="str">
        <f>IF(Random!X275="","",IF(Controls!$B$7="Normal",Controls!$B$8,(Controls!$B$8+Controls!$B$9)/2)+Controls!$B$10*(D274-IF(Controls!$B$7="Normal",Controls!$B$8,(Controls!$B$8+Controls!$B$9)/2))+SQRT(1-Controls!$B$10^2)*(Random!X275-IF(Controls!$B$7="Normal",Controls!$B$8,(Controls!$B$8+Controls!$B$9)/2)))</f>
        <v/>
      </c>
      <c r="E275" s="10" t="str">
        <f>IF(Random!Y275="","",IF(Controls!$B$7="Normal",Controls!$B$8,(Controls!$B$8+Controls!$B$9)/2)+Controls!$B$10*(E274-IF(Controls!$B$7="Normal",Controls!$B$8,(Controls!$B$8+Controls!$B$9)/2))+SQRT(1-Controls!$B$10^2)*(Random!Y275-IF(Controls!$B$7="Normal",Controls!$B$8,(Controls!$B$8+Controls!$B$9)/2)))</f>
        <v/>
      </c>
      <c r="F275" s="10" t="str">
        <f>IF(Random!Z275="","",IF(Controls!$B$7="Normal",Controls!$B$8,(Controls!$B$8+Controls!$B$9)/2)+Controls!$B$10*(F274-IF(Controls!$B$7="Normal",Controls!$B$8,(Controls!$B$8+Controls!$B$9)/2))+SQRT(1-Controls!$B$10^2)*(Random!Z275-IF(Controls!$B$7="Normal",Controls!$B$8,(Controls!$B$8+Controls!$B$9)/2)))</f>
        <v/>
      </c>
      <c r="G275" s="10" t="str">
        <f>IF(Random!AA275="","",IF(Controls!$B$7="Normal",Controls!$B$8,(Controls!$B$8+Controls!$B$9)/2)+Controls!$B$10*(G274-IF(Controls!$B$7="Normal",Controls!$B$8,(Controls!$B$8+Controls!$B$9)/2))+SQRT(1-Controls!$B$10^2)*(Random!AA275-IF(Controls!$B$7="Normal",Controls!$B$8,(Controls!$B$8+Controls!$B$9)/2)))</f>
        <v/>
      </c>
      <c r="H275" s="10" t="str">
        <f>IF(Random!AB275="","",IF(Controls!$B$7="Normal",Controls!$B$8,(Controls!$B$8+Controls!$B$9)/2)+Controls!$B$10*(H274-IF(Controls!$B$7="Normal",Controls!$B$8,(Controls!$B$8+Controls!$B$9)/2))+SQRT(1-Controls!$B$10^2)*(Random!AB275-IF(Controls!$B$7="Normal",Controls!$B$8,(Controls!$B$8+Controls!$B$9)/2)))</f>
        <v/>
      </c>
      <c r="I275" s="10" t="str">
        <f>IF(Random!AC275="","",IF(Controls!$B$7="Normal",Controls!$B$8,(Controls!$B$8+Controls!$B$9)/2)+Controls!$B$10*(I274-IF(Controls!$B$7="Normal",Controls!$B$8,(Controls!$B$8+Controls!$B$9)/2))+SQRT(1-Controls!$B$10^2)*(Random!AC275-IF(Controls!$B$7="Normal",Controls!$B$8,(Controls!$B$8+Controls!$B$9)/2)))</f>
        <v/>
      </c>
      <c r="J275" s="10" t="str">
        <f>IF(Random!AD275="","",IF(Controls!$B$7="Normal",Controls!$B$8,(Controls!$B$8+Controls!$B$9)/2)+Controls!$B$10*(J274-IF(Controls!$B$7="Normal",Controls!$B$8,(Controls!$B$8+Controls!$B$9)/2))+SQRT(1-Controls!$B$10^2)*(Random!AD275-IF(Controls!$B$7="Normal",Controls!$B$8,(Controls!$B$8+Controls!$B$9)/2)))</f>
        <v/>
      </c>
      <c r="K275" s="10" t="str">
        <f>IF(Random!AE275="","",IF(Controls!$B$7="Normal",Controls!$B$8,(Controls!$B$8+Controls!$B$9)/2)+Controls!$B$10*(K274-IF(Controls!$B$7="Normal",Controls!$B$8,(Controls!$B$8+Controls!$B$9)/2))+SQRT(1-Controls!$B$10^2)*(Random!AE275-IF(Controls!$B$7="Normal",Controls!$B$8,(Controls!$B$8+Controls!$B$9)/2)))</f>
        <v/>
      </c>
      <c r="L275" s="10" t="str">
        <f>IF($A275="","",IF(AND($A275&gt;=Controls!$B$25,$A275&lt;Controls!$B$25+Controls!$C$25),(Controls!$D$25-1)*EXP(-0.5*(($A275-Controls!$B$25-(Controls!$C$25-1)/2)/MAX(Controls!$C$25/4,0.5))^2),0))</f>
        <v/>
      </c>
      <c r="M275" s="10" t="str">
        <f>IF($A275="","",IF(AND($A275&gt;=Controls!$B$26,$A275&lt;Controls!$B$26+Controls!$C$26),(Controls!$D$26-1)*EXP(-0.5*(($A275-Controls!$B$26-(Controls!$C$26-1)/2)/MAX(Controls!$C$26/4,0.5))^2),0))</f>
        <v/>
      </c>
      <c r="N275" s="10" t="str">
        <f>IF($A275="","",IF(AND($A275&gt;=Controls!$B$27,$A275&lt;Controls!$B$27+Controls!$C$27),(Controls!$D$27-1)*EXP(-0.5*(($A275-Controls!$B$27-(Controls!$C$27-1)/2)/MAX(Controls!$C$27/4,0.5))^2),0))</f>
        <v/>
      </c>
      <c r="O275" s="10" t="str">
        <f>IF($A275="","",IF(AND($A275&gt;=Controls!$B$28,$A275&lt;Controls!$B$28+Controls!$C$28),(Controls!$D$28-1)*EXP(-0.5*(($A275-Controls!$B$28-(Controls!$C$28-1)/2)/MAX(Controls!$C$28/4,0.5))^2),0))</f>
        <v/>
      </c>
      <c r="P275" s="4" t="str">
        <f t="shared" si="1"/>
        <v/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21.0" customHeight="1">
      <c r="A276" s="7" t="str">
        <f>IF(275&lt;=Controls!$B$5,Controls!$B$4+274,"")</f>
        <v/>
      </c>
      <c r="B276" s="10" t="str">
        <f>IF(Random!V276="","",IF(Controls!$B$7="Normal",Controls!$B$8,(Controls!$B$8+Controls!$B$9)/2)+Controls!$B$10*(B275-IF(Controls!$B$7="Normal",Controls!$B$8,(Controls!$B$8+Controls!$B$9)/2))+SQRT(1-Controls!$B$10^2)*(Random!V276-IF(Controls!$B$7="Normal",Controls!$B$8,(Controls!$B$8+Controls!$B$9)/2)))</f>
        <v/>
      </c>
      <c r="C276" s="10" t="str">
        <f>IF(Random!W276="","",IF(Controls!$B$7="Normal",Controls!$B$8,(Controls!$B$8+Controls!$B$9)/2)+Controls!$B$10*(C275-IF(Controls!$B$7="Normal",Controls!$B$8,(Controls!$B$8+Controls!$B$9)/2))+SQRT(1-Controls!$B$10^2)*(Random!W276-IF(Controls!$B$7="Normal",Controls!$B$8,(Controls!$B$8+Controls!$B$9)/2)))</f>
        <v/>
      </c>
      <c r="D276" s="10" t="str">
        <f>IF(Random!X276="","",IF(Controls!$B$7="Normal",Controls!$B$8,(Controls!$B$8+Controls!$B$9)/2)+Controls!$B$10*(D275-IF(Controls!$B$7="Normal",Controls!$B$8,(Controls!$B$8+Controls!$B$9)/2))+SQRT(1-Controls!$B$10^2)*(Random!X276-IF(Controls!$B$7="Normal",Controls!$B$8,(Controls!$B$8+Controls!$B$9)/2)))</f>
        <v/>
      </c>
      <c r="E276" s="10" t="str">
        <f>IF(Random!Y276="","",IF(Controls!$B$7="Normal",Controls!$B$8,(Controls!$B$8+Controls!$B$9)/2)+Controls!$B$10*(E275-IF(Controls!$B$7="Normal",Controls!$B$8,(Controls!$B$8+Controls!$B$9)/2))+SQRT(1-Controls!$B$10^2)*(Random!Y276-IF(Controls!$B$7="Normal",Controls!$B$8,(Controls!$B$8+Controls!$B$9)/2)))</f>
        <v/>
      </c>
      <c r="F276" s="10" t="str">
        <f>IF(Random!Z276="","",IF(Controls!$B$7="Normal",Controls!$B$8,(Controls!$B$8+Controls!$B$9)/2)+Controls!$B$10*(F275-IF(Controls!$B$7="Normal",Controls!$B$8,(Controls!$B$8+Controls!$B$9)/2))+SQRT(1-Controls!$B$10^2)*(Random!Z276-IF(Controls!$B$7="Normal",Controls!$B$8,(Controls!$B$8+Controls!$B$9)/2)))</f>
        <v/>
      </c>
      <c r="G276" s="10" t="str">
        <f>IF(Random!AA276="","",IF(Controls!$B$7="Normal",Controls!$B$8,(Controls!$B$8+Controls!$B$9)/2)+Controls!$B$10*(G275-IF(Controls!$B$7="Normal",Controls!$B$8,(Controls!$B$8+Controls!$B$9)/2))+SQRT(1-Controls!$B$10^2)*(Random!AA276-IF(Controls!$B$7="Normal",Controls!$B$8,(Controls!$B$8+Controls!$B$9)/2)))</f>
        <v/>
      </c>
      <c r="H276" s="10" t="str">
        <f>IF(Random!AB276="","",IF(Controls!$B$7="Normal",Controls!$B$8,(Controls!$B$8+Controls!$B$9)/2)+Controls!$B$10*(H275-IF(Controls!$B$7="Normal",Controls!$B$8,(Controls!$B$8+Controls!$B$9)/2))+SQRT(1-Controls!$B$10^2)*(Random!AB276-IF(Controls!$B$7="Normal",Controls!$B$8,(Controls!$B$8+Controls!$B$9)/2)))</f>
        <v/>
      </c>
      <c r="I276" s="10" t="str">
        <f>IF(Random!AC276="","",IF(Controls!$B$7="Normal",Controls!$B$8,(Controls!$B$8+Controls!$B$9)/2)+Controls!$B$10*(I275-IF(Controls!$B$7="Normal",Controls!$B$8,(Controls!$B$8+Controls!$B$9)/2))+SQRT(1-Controls!$B$10^2)*(Random!AC276-IF(Controls!$B$7="Normal",Controls!$B$8,(Controls!$B$8+Controls!$B$9)/2)))</f>
        <v/>
      </c>
      <c r="J276" s="10" t="str">
        <f>IF(Random!AD276="","",IF(Controls!$B$7="Normal",Controls!$B$8,(Controls!$B$8+Controls!$B$9)/2)+Controls!$B$10*(J275-IF(Controls!$B$7="Normal",Controls!$B$8,(Controls!$B$8+Controls!$B$9)/2))+SQRT(1-Controls!$B$10^2)*(Random!AD276-IF(Controls!$B$7="Normal",Controls!$B$8,(Controls!$B$8+Controls!$B$9)/2)))</f>
        <v/>
      </c>
      <c r="K276" s="10" t="str">
        <f>IF(Random!AE276="","",IF(Controls!$B$7="Normal",Controls!$B$8,(Controls!$B$8+Controls!$B$9)/2)+Controls!$B$10*(K275-IF(Controls!$B$7="Normal",Controls!$B$8,(Controls!$B$8+Controls!$B$9)/2))+SQRT(1-Controls!$B$10^2)*(Random!AE276-IF(Controls!$B$7="Normal",Controls!$B$8,(Controls!$B$8+Controls!$B$9)/2)))</f>
        <v/>
      </c>
      <c r="L276" s="10" t="str">
        <f>IF($A276="","",IF(AND($A276&gt;=Controls!$B$25,$A276&lt;Controls!$B$25+Controls!$C$25),(Controls!$D$25-1)*EXP(-0.5*(($A276-Controls!$B$25-(Controls!$C$25-1)/2)/MAX(Controls!$C$25/4,0.5))^2),0))</f>
        <v/>
      </c>
      <c r="M276" s="10" t="str">
        <f>IF($A276="","",IF(AND($A276&gt;=Controls!$B$26,$A276&lt;Controls!$B$26+Controls!$C$26),(Controls!$D$26-1)*EXP(-0.5*(($A276-Controls!$B$26-(Controls!$C$26-1)/2)/MAX(Controls!$C$26/4,0.5))^2),0))</f>
        <v/>
      </c>
      <c r="N276" s="10" t="str">
        <f>IF($A276="","",IF(AND($A276&gt;=Controls!$B$27,$A276&lt;Controls!$B$27+Controls!$C$27),(Controls!$D$27-1)*EXP(-0.5*(($A276-Controls!$B$27-(Controls!$C$27-1)/2)/MAX(Controls!$C$27/4,0.5))^2),0))</f>
        <v/>
      </c>
      <c r="O276" s="10" t="str">
        <f>IF($A276="","",IF(AND($A276&gt;=Controls!$B$28,$A276&lt;Controls!$B$28+Controls!$C$28),(Controls!$D$28-1)*EXP(-0.5*(($A276-Controls!$B$28-(Controls!$C$28-1)/2)/MAX(Controls!$C$28/4,0.5))^2),0))</f>
        <v/>
      </c>
      <c r="P276" s="4" t="str">
        <f t="shared" si="1"/>
        <v/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21.0" customHeight="1">
      <c r="A277" s="7" t="str">
        <f>IF(276&lt;=Controls!$B$5,Controls!$B$4+275,"")</f>
        <v/>
      </c>
      <c r="B277" s="10" t="str">
        <f>IF(Random!V277="","",IF(Controls!$B$7="Normal",Controls!$B$8,(Controls!$B$8+Controls!$B$9)/2)+Controls!$B$10*(B276-IF(Controls!$B$7="Normal",Controls!$B$8,(Controls!$B$8+Controls!$B$9)/2))+SQRT(1-Controls!$B$10^2)*(Random!V277-IF(Controls!$B$7="Normal",Controls!$B$8,(Controls!$B$8+Controls!$B$9)/2)))</f>
        <v/>
      </c>
      <c r="C277" s="10" t="str">
        <f>IF(Random!W277="","",IF(Controls!$B$7="Normal",Controls!$B$8,(Controls!$B$8+Controls!$B$9)/2)+Controls!$B$10*(C276-IF(Controls!$B$7="Normal",Controls!$B$8,(Controls!$B$8+Controls!$B$9)/2))+SQRT(1-Controls!$B$10^2)*(Random!W277-IF(Controls!$B$7="Normal",Controls!$B$8,(Controls!$B$8+Controls!$B$9)/2)))</f>
        <v/>
      </c>
      <c r="D277" s="10" t="str">
        <f>IF(Random!X277="","",IF(Controls!$B$7="Normal",Controls!$B$8,(Controls!$B$8+Controls!$B$9)/2)+Controls!$B$10*(D276-IF(Controls!$B$7="Normal",Controls!$B$8,(Controls!$B$8+Controls!$B$9)/2))+SQRT(1-Controls!$B$10^2)*(Random!X277-IF(Controls!$B$7="Normal",Controls!$B$8,(Controls!$B$8+Controls!$B$9)/2)))</f>
        <v/>
      </c>
      <c r="E277" s="10" t="str">
        <f>IF(Random!Y277="","",IF(Controls!$B$7="Normal",Controls!$B$8,(Controls!$B$8+Controls!$B$9)/2)+Controls!$B$10*(E276-IF(Controls!$B$7="Normal",Controls!$B$8,(Controls!$B$8+Controls!$B$9)/2))+SQRT(1-Controls!$B$10^2)*(Random!Y277-IF(Controls!$B$7="Normal",Controls!$B$8,(Controls!$B$8+Controls!$B$9)/2)))</f>
        <v/>
      </c>
      <c r="F277" s="10" t="str">
        <f>IF(Random!Z277="","",IF(Controls!$B$7="Normal",Controls!$B$8,(Controls!$B$8+Controls!$B$9)/2)+Controls!$B$10*(F276-IF(Controls!$B$7="Normal",Controls!$B$8,(Controls!$B$8+Controls!$B$9)/2))+SQRT(1-Controls!$B$10^2)*(Random!Z277-IF(Controls!$B$7="Normal",Controls!$B$8,(Controls!$B$8+Controls!$B$9)/2)))</f>
        <v/>
      </c>
      <c r="G277" s="10" t="str">
        <f>IF(Random!AA277="","",IF(Controls!$B$7="Normal",Controls!$B$8,(Controls!$B$8+Controls!$B$9)/2)+Controls!$B$10*(G276-IF(Controls!$B$7="Normal",Controls!$B$8,(Controls!$B$8+Controls!$B$9)/2))+SQRT(1-Controls!$B$10^2)*(Random!AA277-IF(Controls!$B$7="Normal",Controls!$B$8,(Controls!$B$8+Controls!$B$9)/2)))</f>
        <v/>
      </c>
      <c r="H277" s="10" t="str">
        <f>IF(Random!AB277="","",IF(Controls!$B$7="Normal",Controls!$B$8,(Controls!$B$8+Controls!$B$9)/2)+Controls!$B$10*(H276-IF(Controls!$B$7="Normal",Controls!$B$8,(Controls!$B$8+Controls!$B$9)/2))+SQRT(1-Controls!$B$10^2)*(Random!AB277-IF(Controls!$B$7="Normal",Controls!$B$8,(Controls!$B$8+Controls!$B$9)/2)))</f>
        <v/>
      </c>
      <c r="I277" s="10" t="str">
        <f>IF(Random!AC277="","",IF(Controls!$B$7="Normal",Controls!$B$8,(Controls!$B$8+Controls!$B$9)/2)+Controls!$B$10*(I276-IF(Controls!$B$7="Normal",Controls!$B$8,(Controls!$B$8+Controls!$B$9)/2))+SQRT(1-Controls!$B$10^2)*(Random!AC277-IF(Controls!$B$7="Normal",Controls!$B$8,(Controls!$B$8+Controls!$B$9)/2)))</f>
        <v/>
      </c>
      <c r="J277" s="10" t="str">
        <f>IF(Random!AD277="","",IF(Controls!$B$7="Normal",Controls!$B$8,(Controls!$B$8+Controls!$B$9)/2)+Controls!$B$10*(J276-IF(Controls!$B$7="Normal",Controls!$B$8,(Controls!$B$8+Controls!$B$9)/2))+SQRT(1-Controls!$B$10^2)*(Random!AD277-IF(Controls!$B$7="Normal",Controls!$B$8,(Controls!$B$8+Controls!$B$9)/2)))</f>
        <v/>
      </c>
      <c r="K277" s="10" t="str">
        <f>IF(Random!AE277="","",IF(Controls!$B$7="Normal",Controls!$B$8,(Controls!$B$8+Controls!$B$9)/2)+Controls!$B$10*(K276-IF(Controls!$B$7="Normal",Controls!$B$8,(Controls!$B$8+Controls!$B$9)/2))+SQRT(1-Controls!$B$10^2)*(Random!AE277-IF(Controls!$B$7="Normal",Controls!$B$8,(Controls!$B$8+Controls!$B$9)/2)))</f>
        <v/>
      </c>
      <c r="L277" s="10" t="str">
        <f>IF($A277="","",IF(AND($A277&gt;=Controls!$B$25,$A277&lt;Controls!$B$25+Controls!$C$25),(Controls!$D$25-1)*EXP(-0.5*(($A277-Controls!$B$25-(Controls!$C$25-1)/2)/MAX(Controls!$C$25/4,0.5))^2),0))</f>
        <v/>
      </c>
      <c r="M277" s="10" t="str">
        <f>IF($A277="","",IF(AND($A277&gt;=Controls!$B$26,$A277&lt;Controls!$B$26+Controls!$C$26),(Controls!$D$26-1)*EXP(-0.5*(($A277-Controls!$B$26-(Controls!$C$26-1)/2)/MAX(Controls!$C$26/4,0.5))^2),0))</f>
        <v/>
      </c>
      <c r="N277" s="10" t="str">
        <f>IF($A277="","",IF(AND($A277&gt;=Controls!$B$27,$A277&lt;Controls!$B$27+Controls!$C$27),(Controls!$D$27-1)*EXP(-0.5*(($A277-Controls!$B$27-(Controls!$C$27-1)/2)/MAX(Controls!$C$27/4,0.5))^2),0))</f>
        <v/>
      </c>
      <c r="O277" s="10" t="str">
        <f>IF($A277="","",IF(AND($A277&gt;=Controls!$B$28,$A277&lt;Controls!$B$28+Controls!$C$28),(Controls!$D$28-1)*EXP(-0.5*(($A277-Controls!$B$28-(Controls!$C$28-1)/2)/MAX(Controls!$C$28/4,0.5))^2),0))</f>
        <v/>
      </c>
      <c r="P277" s="4" t="str">
        <f t="shared" si="1"/>
        <v/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21.0" customHeight="1">
      <c r="A278" s="7" t="str">
        <f>IF(277&lt;=Controls!$B$5,Controls!$B$4+276,"")</f>
        <v/>
      </c>
      <c r="B278" s="10" t="str">
        <f>IF(Random!V278="","",IF(Controls!$B$7="Normal",Controls!$B$8,(Controls!$B$8+Controls!$B$9)/2)+Controls!$B$10*(B277-IF(Controls!$B$7="Normal",Controls!$B$8,(Controls!$B$8+Controls!$B$9)/2))+SQRT(1-Controls!$B$10^2)*(Random!V278-IF(Controls!$B$7="Normal",Controls!$B$8,(Controls!$B$8+Controls!$B$9)/2)))</f>
        <v/>
      </c>
      <c r="C278" s="10" t="str">
        <f>IF(Random!W278="","",IF(Controls!$B$7="Normal",Controls!$B$8,(Controls!$B$8+Controls!$B$9)/2)+Controls!$B$10*(C277-IF(Controls!$B$7="Normal",Controls!$B$8,(Controls!$B$8+Controls!$B$9)/2))+SQRT(1-Controls!$B$10^2)*(Random!W278-IF(Controls!$B$7="Normal",Controls!$B$8,(Controls!$B$8+Controls!$B$9)/2)))</f>
        <v/>
      </c>
      <c r="D278" s="10" t="str">
        <f>IF(Random!X278="","",IF(Controls!$B$7="Normal",Controls!$B$8,(Controls!$B$8+Controls!$B$9)/2)+Controls!$B$10*(D277-IF(Controls!$B$7="Normal",Controls!$B$8,(Controls!$B$8+Controls!$B$9)/2))+SQRT(1-Controls!$B$10^2)*(Random!X278-IF(Controls!$B$7="Normal",Controls!$B$8,(Controls!$B$8+Controls!$B$9)/2)))</f>
        <v/>
      </c>
      <c r="E278" s="10" t="str">
        <f>IF(Random!Y278="","",IF(Controls!$B$7="Normal",Controls!$B$8,(Controls!$B$8+Controls!$B$9)/2)+Controls!$B$10*(E277-IF(Controls!$B$7="Normal",Controls!$B$8,(Controls!$B$8+Controls!$B$9)/2))+SQRT(1-Controls!$B$10^2)*(Random!Y278-IF(Controls!$B$7="Normal",Controls!$B$8,(Controls!$B$8+Controls!$B$9)/2)))</f>
        <v/>
      </c>
      <c r="F278" s="10" t="str">
        <f>IF(Random!Z278="","",IF(Controls!$B$7="Normal",Controls!$B$8,(Controls!$B$8+Controls!$B$9)/2)+Controls!$B$10*(F277-IF(Controls!$B$7="Normal",Controls!$B$8,(Controls!$B$8+Controls!$B$9)/2))+SQRT(1-Controls!$B$10^2)*(Random!Z278-IF(Controls!$B$7="Normal",Controls!$B$8,(Controls!$B$8+Controls!$B$9)/2)))</f>
        <v/>
      </c>
      <c r="G278" s="10" t="str">
        <f>IF(Random!AA278="","",IF(Controls!$B$7="Normal",Controls!$B$8,(Controls!$B$8+Controls!$B$9)/2)+Controls!$B$10*(G277-IF(Controls!$B$7="Normal",Controls!$B$8,(Controls!$B$8+Controls!$B$9)/2))+SQRT(1-Controls!$B$10^2)*(Random!AA278-IF(Controls!$B$7="Normal",Controls!$B$8,(Controls!$B$8+Controls!$B$9)/2)))</f>
        <v/>
      </c>
      <c r="H278" s="10" t="str">
        <f>IF(Random!AB278="","",IF(Controls!$B$7="Normal",Controls!$B$8,(Controls!$B$8+Controls!$B$9)/2)+Controls!$B$10*(H277-IF(Controls!$B$7="Normal",Controls!$B$8,(Controls!$B$8+Controls!$B$9)/2))+SQRT(1-Controls!$B$10^2)*(Random!AB278-IF(Controls!$B$7="Normal",Controls!$B$8,(Controls!$B$8+Controls!$B$9)/2)))</f>
        <v/>
      </c>
      <c r="I278" s="10" t="str">
        <f>IF(Random!AC278="","",IF(Controls!$B$7="Normal",Controls!$B$8,(Controls!$B$8+Controls!$B$9)/2)+Controls!$B$10*(I277-IF(Controls!$B$7="Normal",Controls!$B$8,(Controls!$B$8+Controls!$B$9)/2))+SQRT(1-Controls!$B$10^2)*(Random!AC278-IF(Controls!$B$7="Normal",Controls!$B$8,(Controls!$B$8+Controls!$B$9)/2)))</f>
        <v/>
      </c>
      <c r="J278" s="10" t="str">
        <f>IF(Random!AD278="","",IF(Controls!$B$7="Normal",Controls!$B$8,(Controls!$B$8+Controls!$B$9)/2)+Controls!$B$10*(J277-IF(Controls!$B$7="Normal",Controls!$B$8,(Controls!$B$8+Controls!$B$9)/2))+SQRT(1-Controls!$B$10^2)*(Random!AD278-IF(Controls!$B$7="Normal",Controls!$B$8,(Controls!$B$8+Controls!$B$9)/2)))</f>
        <v/>
      </c>
      <c r="K278" s="10" t="str">
        <f>IF(Random!AE278="","",IF(Controls!$B$7="Normal",Controls!$B$8,(Controls!$B$8+Controls!$B$9)/2)+Controls!$B$10*(K277-IF(Controls!$B$7="Normal",Controls!$B$8,(Controls!$B$8+Controls!$B$9)/2))+SQRT(1-Controls!$B$10^2)*(Random!AE278-IF(Controls!$B$7="Normal",Controls!$B$8,(Controls!$B$8+Controls!$B$9)/2)))</f>
        <v/>
      </c>
      <c r="L278" s="10" t="str">
        <f>IF($A278="","",IF(AND($A278&gt;=Controls!$B$25,$A278&lt;Controls!$B$25+Controls!$C$25),(Controls!$D$25-1)*EXP(-0.5*(($A278-Controls!$B$25-(Controls!$C$25-1)/2)/MAX(Controls!$C$25/4,0.5))^2),0))</f>
        <v/>
      </c>
      <c r="M278" s="10" t="str">
        <f>IF($A278="","",IF(AND($A278&gt;=Controls!$B$26,$A278&lt;Controls!$B$26+Controls!$C$26),(Controls!$D$26-1)*EXP(-0.5*(($A278-Controls!$B$26-(Controls!$C$26-1)/2)/MAX(Controls!$C$26/4,0.5))^2),0))</f>
        <v/>
      </c>
      <c r="N278" s="10" t="str">
        <f>IF($A278="","",IF(AND($A278&gt;=Controls!$B$27,$A278&lt;Controls!$B$27+Controls!$C$27),(Controls!$D$27-1)*EXP(-0.5*(($A278-Controls!$B$27-(Controls!$C$27-1)/2)/MAX(Controls!$C$27/4,0.5))^2),0))</f>
        <v/>
      </c>
      <c r="O278" s="10" t="str">
        <f>IF($A278="","",IF(AND($A278&gt;=Controls!$B$28,$A278&lt;Controls!$B$28+Controls!$C$28),(Controls!$D$28-1)*EXP(-0.5*(($A278-Controls!$B$28-(Controls!$C$28-1)/2)/MAX(Controls!$C$28/4,0.5))^2),0))</f>
        <v/>
      </c>
      <c r="P278" s="4" t="str">
        <f t="shared" si="1"/>
        <v/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21.0" customHeight="1">
      <c r="A279" s="7" t="str">
        <f>IF(278&lt;=Controls!$B$5,Controls!$B$4+277,"")</f>
        <v/>
      </c>
      <c r="B279" s="10" t="str">
        <f>IF(Random!V279="","",IF(Controls!$B$7="Normal",Controls!$B$8,(Controls!$B$8+Controls!$B$9)/2)+Controls!$B$10*(B278-IF(Controls!$B$7="Normal",Controls!$B$8,(Controls!$B$8+Controls!$B$9)/2))+SQRT(1-Controls!$B$10^2)*(Random!V279-IF(Controls!$B$7="Normal",Controls!$B$8,(Controls!$B$8+Controls!$B$9)/2)))</f>
        <v/>
      </c>
      <c r="C279" s="10" t="str">
        <f>IF(Random!W279="","",IF(Controls!$B$7="Normal",Controls!$B$8,(Controls!$B$8+Controls!$B$9)/2)+Controls!$B$10*(C278-IF(Controls!$B$7="Normal",Controls!$B$8,(Controls!$B$8+Controls!$B$9)/2))+SQRT(1-Controls!$B$10^2)*(Random!W279-IF(Controls!$B$7="Normal",Controls!$B$8,(Controls!$B$8+Controls!$B$9)/2)))</f>
        <v/>
      </c>
      <c r="D279" s="10" t="str">
        <f>IF(Random!X279="","",IF(Controls!$B$7="Normal",Controls!$B$8,(Controls!$B$8+Controls!$B$9)/2)+Controls!$B$10*(D278-IF(Controls!$B$7="Normal",Controls!$B$8,(Controls!$B$8+Controls!$B$9)/2))+SQRT(1-Controls!$B$10^2)*(Random!X279-IF(Controls!$B$7="Normal",Controls!$B$8,(Controls!$B$8+Controls!$B$9)/2)))</f>
        <v/>
      </c>
      <c r="E279" s="10" t="str">
        <f>IF(Random!Y279="","",IF(Controls!$B$7="Normal",Controls!$B$8,(Controls!$B$8+Controls!$B$9)/2)+Controls!$B$10*(E278-IF(Controls!$B$7="Normal",Controls!$B$8,(Controls!$B$8+Controls!$B$9)/2))+SQRT(1-Controls!$B$10^2)*(Random!Y279-IF(Controls!$B$7="Normal",Controls!$B$8,(Controls!$B$8+Controls!$B$9)/2)))</f>
        <v/>
      </c>
      <c r="F279" s="10" t="str">
        <f>IF(Random!Z279="","",IF(Controls!$B$7="Normal",Controls!$B$8,(Controls!$B$8+Controls!$B$9)/2)+Controls!$B$10*(F278-IF(Controls!$B$7="Normal",Controls!$B$8,(Controls!$B$8+Controls!$B$9)/2))+SQRT(1-Controls!$B$10^2)*(Random!Z279-IF(Controls!$B$7="Normal",Controls!$B$8,(Controls!$B$8+Controls!$B$9)/2)))</f>
        <v/>
      </c>
      <c r="G279" s="10" t="str">
        <f>IF(Random!AA279="","",IF(Controls!$B$7="Normal",Controls!$B$8,(Controls!$B$8+Controls!$B$9)/2)+Controls!$B$10*(G278-IF(Controls!$B$7="Normal",Controls!$B$8,(Controls!$B$8+Controls!$B$9)/2))+SQRT(1-Controls!$B$10^2)*(Random!AA279-IF(Controls!$B$7="Normal",Controls!$B$8,(Controls!$B$8+Controls!$B$9)/2)))</f>
        <v/>
      </c>
      <c r="H279" s="10" t="str">
        <f>IF(Random!AB279="","",IF(Controls!$B$7="Normal",Controls!$B$8,(Controls!$B$8+Controls!$B$9)/2)+Controls!$B$10*(H278-IF(Controls!$B$7="Normal",Controls!$B$8,(Controls!$B$8+Controls!$B$9)/2))+SQRT(1-Controls!$B$10^2)*(Random!AB279-IF(Controls!$B$7="Normal",Controls!$B$8,(Controls!$B$8+Controls!$B$9)/2)))</f>
        <v/>
      </c>
      <c r="I279" s="10" t="str">
        <f>IF(Random!AC279="","",IF(Controls!$B$7="Normal",Controls!$B$8,(Controls!$B$8+Controls!$B$9)/2)+Controls!$B$10*(I278-IF(Controls!$B$7="Normal",Controls!$B$8,(Controls!$B$8+Controls!$B$9)/2))+SQRT(1-Controls!$B$10^2)*(Random!AC279-IF(Controls!$B$7="Normal",Controls!$B$8,(Controls!$B$8+Controls!$B$9)/2)))</f>
        <v/>
      </c>
      <c r="J279" s="10" t="str">
        <f>IF(Random!AD279="","",IF(Controls!$B$7="Normal",Controls!$B$8,(Controls!$B$8+Controls!$B$9)/2)+Controls!$B$10*(J278-IF(Controls!$B$7="Normal",Controls!$B$8,(Controls!$B$8+Controls!$B$9)/2))+SQRT(1-Controls!$B$10^2)*(Random!AD279-IF(Controls!$B$7="Normal",Controls!$B$8,(Controls!$B$8+Controls!$B$9)/2)))</f>
        <v/>
      </c>
      <c r="K279" s="10" t="str">
        <f>IF(Random!AE279="","",IF(Controls!$B$7="Normal",Controls!$B$8,(Controls!$B$8+Controls!$B$9)/2)+Controls!$B$10*(K278-IF(Controls!$B$7="Normal",Controls!$B$8,(Controls!$B$8+Controls!$B$9)/2))+SQRT(1-Controls!$B$10^2)*(Random!AE279-IF(Controls!$B$7="Normal",Controls!$B$8,(Controls!$B$8+Controls!$B$9)/2)))</f>
        <v/>
      </c>
      <c r="L279" s="10" t="str">
        <f>IF($A279="","",IF(AND($A279&gt;=Controls!$B$25,$A279&lt;Controls!$B$25+Controls!$C$25),(Controls!$D$25-1)*EXP(-0.5*(($A279-Controls!$B$25-(Controls!$C$25-1)/2)/MAX(Controls!$C$25/4,0.5))^2),0))</f>
        <v/>
      </c>
      <c r="M279" s="10" t="str">
        <f>IF($A279="","",IF(AND($A279&gt;=Controls!$B$26,$A279&lt;Controls!$B$26+Controls!$C$26),(Controls!$D$26-1)*EXP(-0.5*(($A279-Controls!$B$26-(Controls!$C$26-1)/2)/MAX(Controls!$C$26/4,0.5))^2),0))</f>
        <v/>
      </c>
      <c r="N279" s="10" t="str">
        <f>IF($A279="","",IF(AND($A279&gt;=Controls!$B$27,$A279&lt;Controls!$B$27+Controls!$C$27),(Controls!$D$27-1)*EXP(-0.5*(($A279-Controls!$B$27-(Controls!$C$27-1)/2)/MAX(Controls!$C$27/4,0.5))^2),0))</f>
        <v/>
      </c>
      <c r="O279" s="10" t="str">
        <f>IF($A279="","",IF(AND($A279&gt;=Controls!$B$28,$A279&lt;Controls!$B$28+Controls!$C$28),(Controls!$D$28-1)*EXP(-0.5*(($A279-Controls!$B$28-(Controls!$C$28-1)/2)/MAX(Controls!$C$28/4,0.5))^2),0))</f>
        <v/>
      </c>
      <c r="P279" s="4" t="str">
        <f t="shared" si="1"/>
        <v/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21.0" customHeight="1">
      <c r="A280" s="7" t="str">
        <f>IF(279&lt;=Controls!$B$5,Controls!$B$4+278,"")</f>
        <v/>
      </c>
      <c r="B280" s="10" t="str">
        <f>IF(Random!V280="","",IF(Controls!$B$7="Normal",Controls!$B$8,(Controls!$B$8+Controls!$B$9)/2)+Controls!$B$10*(B279-IF(Controls!$B$7="Normal",Controls!$B$8,(Controls!$B$8+Controls!$B$9)/2))+SQRT(1-Controls!$B$10^2)*(Random!V280-IF(Controls!$B$7="Normal",Controls!$B$8,(Controls!$B$8+Controls!$B$9)/2)))</f>
        <v/>
      </c>
      <c r="C280" s="10" t="str">
        <f>IF(Random!W280="","",IF(Controls!$B$7="Normal",Controls!$B$8,(Controls!$B$8+Controls!$B$9)/2)+Controls!$B$10*(C279-IF(Controls!$B$7="Normal",Controls!$B$8,(Controls!$B$8+Controls!$B$9)/2))+SQRT(1-Controls!$B$10^2)*(Random!W280-IF(Controls!$B$7="Normal",Controls!$B$8,(Controls!$B$8+Controls!$B$9)/2)))</f>
        <v/>
      </c>
      <c r="D280" s="10" t="str">
        <f>IF(Random!X280="","",IF(Controls!$B$7="Normal",Controls!$B$8,(Controls!$B$8+Controls!$B$9)/2)+Controls!$B$10*(D279-IF(Controls!$B$7="Normal",Controls!$B$8,(Controls!$B$8+Controls!$B$9)/2))+SQRT(1-Controls!$B$10^2)*(Random!X280-IF(Controls!$B$7="Normal",Controls!$B$8,(Controls!$B$8+Controls!$B$9)/2)))</f>
        <v/>
      </c>
      <c r="E280" s="10" t="str">
        <f>IF(Random!Y280="","",IF(Controls!$B$7="Normal",Controls!$B$8,(Controls!$B$8+Controls!$B$9)/2)+Controls!$B$10*(E279-IF(Controls!$B$7="Normal",Controls!$B$8,(Controls!$B$8+Controls!$B$9)/2))+SQRT(1-Controls!$B$10^2)*(Random!Y280-IF(Controls!$B$7="Normal",Controls!$B$8,(Controls!$B$8+Controls!$B$9)/2)))</f>
        <v/>
      </c>
      <c r="F280" s="10" t="str">
        <f>IF(Random!Z280="","",IF(Controls!$B$7="Normal",Controls!$B$8,(Controls!$B$8+Controls!$B$9)/2)+Controls!$B$10*(F279-IF(Controls!$B$7="Normal",Controls!$B$8,(Controls!$B$8+Controls!$B$9)/2))+SQRT(1-Controls!$B$10^2)*(Random!Z280-IF(Controls!$B$7="Normal",Controls!$B$8,(Controls!$B$8+Controls!$B$9)/2)))</f>
        <v/>
      </c>
      <c r="G280" s="10" t="str">
        <f>IF(Random!AA280="","",IF(Controls!$B$7="Normal",Controls!$B$8,(Controls!$B$8+Controls!$B$9)/2)+Controls!$B$10*(G279-IF(Controls!$B$7="Normal",Controls!$B$8,(Controls!$B$8+Controls!$B$9)/2))+SQRT(1-Controls!$B$10^2)*(Random!AA280-IF(Controls!$B$7="Normal",Controls!$B$8,(Controls!$B$8+Controls!$B$9)/2)))</f>
        <v/>
      </c>
      <c r="H280" s="10" t="str">
        <f>IF(Random!AB280="","",IF(Controls!$B$7="Normal",Controls!$B$8,(Controls!$B$8+Controls!$B$9)/2)+Controls!$B$10*(H279-IF(Controls!$B$7="Normal",Controls!$B$8,(Controls!$B$8+Controls!$B$9)/2))+SQRT(1-Controls!$B$10^2)*(Random!AB280-IF(Controls!$B$7="Normal",Controls!$B$8,(Controls!$B$8+Controls!$B$9)/2)))</f>
        <v/>
      </c>
      <c r="I280" s="10" t="str">
        <f>IF(Random!AC280="","",IF(Controls!$B$7="Normal",Controls!$B$8,(Controls!$B$8+Controls!$B$9)/2)+Controls!$B$10*(I279-IF(Controls!$B$7="Normal",Controls!$B$8,(Controls!$B$8+Controls!$B$9)/2))+SQRT(1-Controls!$B$10^2)*(Random!AC280-IF(Controls!$B$7="Normal",Controls!$B$8,(Controls!$B$8+Controls!$B$9)/2)))</f>
        <v/>
      </c>
      <c r="J280" s="10" t="str">
        <f>IF(Random!AD280="","",IF(Controls!$B$7="Normal",Controls!$B$8,(Controls!$B$8+Controls!$B$9)/2)+Controls!$B$10*(J279-IF(Controls!$B$7="Normal",Controls!$B$8,(Controls!$B$8+Controls!$B$9)/2))+SQRT(1-Controls!$B$10^2)*(Random!AD280-IF(Controls!$B$7="Normal",Controls!$B$8,(Controls!$B$8+Controls!$B$9)/2)))</f>
        <v/>
      </c>
      <c r="K280" s="10" t="str">
        <f>IF(Random!AE280="","",IF(Controls!$B$7="Normal",Controls!$B$8,(Controls!$B$8+Controls!$B$9)/2)+Controls!$B$10*(K279-IF(Controls!$B$7="Normal",Controls!$B$8,(Controls!$B$8+Controls!$B$9)/2))+SQRT(1-Controls!$B$10^2)*(Random!AE280-IF(Controls!$B$7="Normal",Controls!$B$8,(Controls!$B$8+Controls!$B$9)/2)))</f>
        <v/>
      </c>
      <c r="L280" s="10" t="str">
        <f>IF($A280="","",IF(AND($A280&gt;=Controls!$B$25,$A280&lt;Controls!$B$25+Controls!$C$25),(Controls!$D$25-1)*EXP(-0.5*(($A280-Controls!$B$25-(Controls!$C$25-1)/2)/MAX(Controls!$C$25/4,0.5))^2),0))</f>
        <v/>
      </c>
      <c r="M280" s="10" t="str">
        <f>IF($A280="","",IF(AND($A280&gt;=Controls!$B$26,$A280&lt;Controls!$B$26+Controls!$C$26),(Controls!$D$26-1)*EXP(-0.5*(($A280-Controls!$B$26-(Controls!$C$26-1)/2)/MAX(Controls!$C$26/4,0.5))^2),0))</f>
        <v/>
      </c>
      <c r="N280" s="10" t="str">
        <f>IF($A280="","",IF(AND($A280&gt;=Controls!$B$27,$A280&lt;Controls!$B$27+Controls!$C$27),(Controls!$D$27-1)*EXP(-0.5*(($A280-Controls!$B$27-(Controls!$C$27-1)/2)/MAX(Controls!$C$27/4,0.5))^2),0))</f>
        <v/>
      </c>
      <c r="O280" s="10" t="str">
        <f>IF($A280="","",IF(AND($A280&gt;=Controls!$B$28,$A280&lt;Controls!$B$28+Controls!$C$28),(Controls!$D$28-1)*EXP(-0.5*(($A280-Controls!$B$28-(Controls!$C$28-1)/2)/MAX(Controls!$C$28/4,0.5))^2),0))</f>
        <v/>
      </c>
      <c r="P280" s="4" t="str">
        <f t="shared" si="1"/>
        <v/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21.0" customHeight="1">
      <c r="A281" s="7" t="str">
        <f>IF(280&lt;=Controls!$B$5,Controls!$B$4+279,"")</f>
        <v/>
      </c>
      <c r="B281" s="10" t="str">
        <f>IF(Random!V281="","",IF(Controls!$B$7="Normal",Controls!$B$8,(Controls!$B$8+Controls!$B$9)/2)+Controls!$B$10*(B280-IF(Controls!$B$7="Normal",Controls!$B$8,(Controls!$B$8+Controls!$B$9)/2))+SQRT(1-Controls!$B$10^2)*(Random!V281-IF(Controls!$B$7="Normal",Controls!$B$8,(Controls!$B$8+Controls!$B$9)/2)))</f>
        <v/>
      </c>
      <c r="C281" s="10" t="str">
        <f>IF(Random!W281="","",IF(Controls!$B$7="Normal",Controls!$B$8,(Controls!$B$8+Controls!$B$9)/2)+Controls!$B$10*(C280-IF(Controls!$B$7="Normal",Controls!$B$8,(Controls!$B$8+Controls!$B$9)/2))+SQRT(1-Controls!$B$10^2)*(Random!W281-IF(Controls!$B$7="Normal",Controls!$B$8,(Controls!$B$8+Controls!$B$9)/2)))</f>
        <v/>
      </c>
      <c r="D281" s="10" t="str">
        <f>IF(Random!X281="","",IF(Controls!$B$7="Normal",Controls!$B$8,(Controls!$B$8+Controls!$B$9)/2)+Controls!$B$10*(D280-IF(Controls!$B$7="Normal",Controls!$B$8,(Controls!$B$8+Controls!$B$9)/2))+SQRT(1-Controls!$B$10^2)*(Random!X281-IF(Controls!$B$7="Normal",Controls!$B$8,(Controls!$B$8+Controls!$B$9)/2)))</f>
        <v/>
      </c>
      <c r="E281" s="10" t="str">
        <f>IF(Random!Y281="","",IF(Controls!$B$7="Normal",Controls!$B$8,(Controls!$B$8+Controls!$B$9)/2)+Controls!$B$10*(E280-IF(Controls!$B$7="Normal",Controls!$B$8,(Controls!$B$8+Controls!$B$9)/2))+SQRT(1-Controls!$B$10^2)*(Random!Y281-IF(Controls!$B$7="Normal",Controls!$B$8,(Controls!$B$8+Controls!$B$9)/2)))</f>
        <v/>
      </c>
      <c r="F281" s="10" t="str">
        <f>IF(Random!Z281="","",IF(Controls!$B$7="Normal",Controls!$B$8,(Controls!$B$8+Controls!$B$9)/2)+Controls!$B$10*(F280-IF(Controls!$B$7="Normal",Controls!$B$8,(Controls!$B$8+Controls!$B$9)/2))+SQRT(1-Controls!$B$10^2)*(Random!Z281-IF(Controls!$B$7="Normal",Controls!$B$8,(Controls!$B$8+Controls!$B$9)/2)))</f>
        <v/>
      </c>
      <c r="G281" s="10" t="str">
        <f>IF(Random!AA281="","",IF(Controls!$B$7="Normal",Controls!$B$8,(Controls!$B$8+Controls!$B$9)/2)+Controls!$B$10*(G280-IF(Controls!$B$7="Normal",Controls!$B$8,(Controls!$B$8+Controls!$B$9)/2))+SQRT(1-Controls!$B$10^2)*(Random!AA281-IF(Controls!$B$7="Normal",Controls!$B$8,(Controls!$B$8+Controls!$B$9)/2)))</f>
        <v/>
      </c>
      <c r="H281" s="10" t="str">
        <f>IF(Random!AB281="","",IF(Controls!$B$7="Normal",Controls!$B$8,(Controls!$B$8+Controls!$B$9)/2)+Controls!$B$10*(H280-IF(Controls!$B$7="Normal",Controls!$B$8,(Controls!$B$8+Controls!$B$9)/2))+SQRT(1-Controls!$B$10^2)*(Random!AB281-IF(Controls!$B$7="Normal",Controls!$B$8,(Controls!$B$8+Controls!$B$9)/2)))</f>
        <v/>
      </c>
      <c r="I281" s="10" t="str">
        <f>IF(Random!AC281="","",IF(Controls!$B$7="Normal",Controls!$B$8,(Controls!$B$8+Controls!$B$9)/2)+Controls!$B$10*(I280-IF(Controls!$B$7="Normal",Controls!$B$8,(Controls!$B$8+Controls!$B$9)/2))+SQRT(1-Controls!$B$10^2)*(Random!AC281-IF(Controls!$B$7="Normal",Controls!$B$8,(Controls!$B$8+Controls!$B$9)/2)))</f>
        <v/>
      </c>
      <c r="J281" s="10" t="str">
        <f>IF(Random!AD281="","",IF(Controls!$B$7="Normal",Controls!$B$8,(Controls!$B$8+Controls!$B$9)/2)+Controls!$B$10*(J280-IF(Controls!$B$7="Normal",Controls!$B$8,(Controls!$B$8+Controls!$B$9)/2))+SQRT(1-Controls!$B$10^2)*(Random!AD281-IF(Controls!$B$7="Normal",Controls!$B$8,(Controls!$B$8+Controls!$B$9)/2)))</f>
        <v/>
      </c>
      <c r="K281" s="10" t="str">
        <f>IF(Random!AE281="","",IF(Controls!$B$7="Normal",Controls!$B$8,(Controls!$B$8+Controls!$B$9)/2)+Controls!$B$10*(K280-IF(Controls!$B$7="Normal",Controls!$B$8,(Controls!$B$8+Controls!$B$9)/2))+SQRT(1-Controls!$B$10^2)*(Random!AE281-IF(Controls!$B$7="Normal",Controls!$B$8,(Controls!$B$8+Controls!$B$9)/2)))</f>
        <v/>
      </c>
      <c r="L281" s="10" t="str">
        <f>IF($A281="","",IF(AND($A281&gt;=Controls!$B$25,$A281&lt;Controls!$B$25+Controls!$C$25),(Controls!$D$25-1)*EXP(-0.5*(($A281-Controls!$B$25-(Controls!$C$25-1)/2)/MAX(Controls!$C$25/4,0.5))^2),0))</f>
        <v/>
      </c>
      <c r="M281" s="10" t="str">
        <f>IF($A281="","",IF(AND($A281&gt;=Controls!$B$26,$A281&lt;Controls!$B$26+Controls!$C$26),(Controls!$D$26-1)*EXP(-0.5*(($A281-Controls!$B$26-(Controls!$C$26-1)/2)/MAX(Controls!$C$26/4,0.5))^2),0))</f>
        <v/>
      </c>
      <c r="N281" s="10" t="str">
        <f>IF($A281="","",IF(AND($A281&gt;=Controls!$B$27,$A281&lt;Controls!$B$27+Controls!$C$27),(Controls!$D$27-1)*EXP(-0.5*(($A281-Controls!$B$27-(Controls!$C$27-1)/2)/MAX(Controls!$C$27/4,0.5))^2),0))</f>
        <v/>
      </c>
      <c r="O281" s="10" t="str">
        <f>IF($A281="","",IF(AND($A281&gt;=Controls!$B$28,$A281&lt;Controls!$B$28+Controls!$C$28),(Controls!$D$28-1)*EXP(-0.5*(($A281-Controls!$B$28-(Controls!$C$28-1)/2)/MAX(Controls!$C$28/4,0.5))^2),0))</f>
        <v/>
      </c>
      <c r="P281" s="4" t="str">
        <f t="shared" si="1"/>
        <v/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21.0" customHeight="1">
      <c r="A282" s="7" t="str">
        <f>IF(281&lt;=Controls!$B$5,Controls!$B$4+280,"")</f>
        <v/>
      </c>
      <c r="B282" s="10" t="str">
        <f>IF(Random!V282="","",IF(Controls!$B$7="Normal",Controls!$B$8,(Controls!$B$8+Controls!$B$9)/2)+Controls!$B$10*(B281-IF(Controls!$B$7="Normal",Controls!$B$8,(Controls!$B$8+Controls!$B$9)/2))+SQRT(1-Controls!$B$10^2)*(Random!V282-IF(Controls!$B$7="Normal",Controls!$B$8,(Controls!$B$8+Controls!$B$9)/2)))</f>
        <v/>
      </c>
      <c r="C282" s="10" t="str">
        <f>IF(Random!W282="","",IF(Controls!$B$7="Normal",Controls!$B$8,(Controls!$B$8+Controls!$B$9)/2)+Controls!$B$10*(C281-IF(Controls!$B$7="Normal",Controls!$B$8,(Controls!$B$8+Controls!$B$9)/2))+SQRT(1-Controls!$B$10^2)*(Random!W282-IF(Controls!$B$7="Normal",Controls!$B$8,(Controls!$B$8+Controls!$B$9)/2)))</f>
        <v/>
      </c>
      <c r="D282" s="10" t="str">
        <f>IF(Random!X282="","",IF(Controls!$B$7="Normal",Controls!$B$8,(Controls!$B$8+Controls!$B$9)/2)+Controls!$B$10*(D281-IF(Controls!$B$7="Normal",Controls!$B$8,(Controls!$B$8+Controls!$B$9)/2))+SQRT(1-Controls!$B$10^2)*(Random!X282-IF(Controls!$B$7="Normal",Controls!$B$8,(Controls!$B$8+Controls!$B$9)/2)))</f>
        <v/>
      </c>
      <c r="E282" s="10" t="str">
        <f>IF(Random!Y282="","",IF(Controls!$B$7="Normal",Controls!$B$8,(Controls!$B$8+Controls!$B$9)/2)+Controls!$B$10*(E281-IF(Controls!$B$7="Normal",Controls!$B$8,(Controls!$B$8+Controls!$B$9)/2))+SQRT(1-Controls!$B$10^2)*(Random!Y282-IF(Controls!$B$7="Normal",Controls!$B$8,(Controls!$B$8+Controls!$B$9)/2)))</f>
        <v/>
      </c>
      <c r="F282" s="10" t="str">
        <f>IF(Random!Z282="","",IF(Controls!$B$7="Normal",Controls!$B$8,(Controls!$B$8+Controls!$B$9)/2)+Controls!$B$10*(F281-IF(Controls!$B$7="Normal",Controls!$B$8,(Controls!$B$8+Controls!$B$9)/2))+SQRT(1-Controls!$B$10^2)*(Random!Z282-IF(Controls!$B$7="Normal",Controls!$B$8,(Controls!$B$8+Controls!$B$9)/2)))</f>
        <v/>
      </c>
      <c r="G282" s="10" t="str">
        <f>IF(Random!AA282="","",IF(Controls!$B$7="Normal",Controls!$B$8,(Controls!$B$8+Controls!$B$9)/2)+Controls!$B$10*(G281-IF(Controls!$B$7="Normal",Controls!$B$8,(Controls!$B$8+Controls!$B$9)/2))+SQRT(1-Controls!$B$10^2)*(Random!AA282-IF(Controls!$B$7="Normal",Controls!$B$8,(Controls!$B$8+Controls!$B$9)/2)))</f>
        <v/>
      </c>
      <c r="H282" s="10" t="str">
        <f>IF(Random!AB282="","",IF(Controls!$B$7="Normal",Controls!$B$8,(Controls!$B$8+Controls!$B$9)/2)+Controls!$B$10*(H281-IF(Controls!$B$7="Normal",Controls!$B$8,(Controls!$B$8+Controls!$B$9)/2))+SQRT(1-Controls!$B$10^2)*(Random!AB282-IF(Controls!$B$7="Normal",Controls!$B$8,(Controls!$B$8+Controls!$B$9)/2)))</f>
        <v/>
      </c>
      <c r="I282" s="10" t="str">
        <f>IF(Random!AC282="","",IF(Controls!$B$7="Normal",Controls!$B$8,(Controls!$B$8+Controls!$B$9)/2)+Controls!$B$10*(I281-IF(Controls!$B$7="Normal",Controls!$B$8,(Controls!$B$8+Controls!$B$9)/2))+SQRT(1-Controls!$B$10^2)*(Random!AC282-IF(Controls!$B$7="Normal",Controls!$B$8,(Controls!$B$8+Controls!$B$9)/2)))</f>
        <v/>
      </c>
      <c r="J282" s="10" t="str">
        <f>IF(Random!AD282="","",IF(Controls!$B$7="Normal",Controls!$B$8,(Controls!$B$8+Controls!$B$9)/2)+Controls!$B$10*(J281-IF(Controls!$B$7="Normal",Controls!$B$8,(Controls!$B$8+Controls!$B$9)/2))+SQRT(1-Controls!$B$10^2)*(Random!AD282-IF(Controls!$B$7="Normal",Controls!$B$8,(Controls!$B$8+Controls!$B$9)/2)))</f>
        <v/>
      </c>
      <c r="K282" s="10" t="str">
        <f>IF(Random!AE282="","",IF(Controls!$B$7="Normal",Controls!$B$8,(Controls!$B$8+Controls!$B$9)/2)+Controls!$B$10*(K281-IF(Controls!$B$7="Normal",Controls!$B$8,(Controls!$B$8+Controls!$B$9)/2))+SQRT(1-Controls!$B$10^2)*(Random!AE282-IF(Controls!$B$7="Normal",Controls!$B$8,(Controls!$B$8+Controls!$B$9)/2)))</f>
        <v/>
      </c>
      <c r="L282" s="10" t="str">
        <f>IF($A282="","",IF(AND($A282&gt;=Controls!$B$25,$A282&lt;Controls!$B$25+Controls!$C$25),(Controls!$D$25-1)*EXP(-0.5*(($A282-Controls!$B$25-(Controls!$C$25-1)/2)/MAX(Controls!$C$25/4,0.5))^2),0))</f>
        <v/>
      </c>
      <c r="M282" s="10" t="str">
        <f>IF($A282="","",IF(AND($A282&gt;=Controls!$B$26,$A282&lt;Controls!$B$26+Controls!$C$26),(Controls!$D$26-1)*EXP(-0.5*(($A282-Controls!$B$26-(Controls!$C$26-1)/2)/MAX(Controls!$C$26/4,0.5))^2),0))</f>
        <v/>
      </c>
      <c r="N282" s="10" t="str">
        <f>IF($A282="","",IF(AND($A282&gt;=Controls!$B$27,$A282&lt;Controls!$B$27+Controls!$C$27),(Controls!$D$27-1)*EXP(-0.5*(($A282-Controls!$B$27-(Controls!$C$27-1)/2)/MAX(Controls!$C$27/4,0.5))^2),0))</f>
        <v/>
      </c>
      <c r="O282" s="10" t="str">
        <f>IF($A282="","",IF(AND($A282&gt;=Controls!$B$28,$A282&lt;Controls!$B$28+Controls!$C$28),(Controls!$D$28-1)*EXP(-0.5*(($A282-Controls!$B$28-(Controls!$C$28-1)/2)/MAX(Controls!$C$28/4,0.5))^2),0))</f>
        <v/>
      </c>
      <c r="P282" s="4" t="str">
        <f t="shared" si="1"/>
        <v/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21.0" customHeight="1">
      <c r="A283" s="7" t="str">
        <f>IF(282&lt;=Controls!$B$5,Controls!$B$4+281,"")</f>
        <v/>
      </c>
      <c r="B283" s="10" t="str">
        <f>IF(Random!V283="","",IF(Controls!$B$7="Normal",Controls!$B$8,(Controls!$B$8+Controls!$B$9)/2)+Controls!$B$10*(B282-IF(Controls!$B$7="Normal",Controls!$B$8,(Controls!$B$8+Controls!$B$9)/2))+SQRT(1-Controls!$B$10^2)*(Random!V283-IF(Controls!$B$7="Normal",Controls!$B$8,(Controls!$B$8+Controls!$B$9)/2)))</f>
        <v/>
      </c>
      <c r="C283" s="10" t="str">
        <f>IF(Random!W283="","",IF(Controls!$B$7="Normal",Controls!$B$8,(Controls!$B$8+Controls!$B$9)/2)+Controls!$B$10*(C282-IF(Controls!$B$7="Normal",Controls!$B$8,(Controls!$B$8+Controls!$B$9)/2))+SQRT(1-Controls!$B$10^2)*(Random!W283-IF(Controls!$B$7="Normal",Controls!$B$8,(Controls!$B$8+Controls!$B$9)/2)))</f>
        <v/>
      </c>
      <c r="D283" s="10" t="str">
        <f>IF(Random!X283="","",IF(Controls!$B$7="Normal",Controls!$B$8,(Controls!$B$8+Controls!$B$9)/2)+Controls!$B$10*(D282-IF(Controls!$B$7="Normal",Controls!$B$8,(Controls!$B$8+Controls!$B$9)/2))+SQRT(1-Controls!$B$10^2)*(Random!X283-IF(Controls!$B$7="Normal",Controls!$B$8,(Controls!$B$8+Controls!$B$9)/2)))</f>
        <v/>
      </c>
      <c r="E283" s="10" t="str">
        <f>IF(Random!Y283="","",IF(Controls!$B$7="Normal",Controls!$B$8,(Controls!$B$8+Controls!$B$9)/2)+Controls!$B$10*(E282-IF(Controls!$B$7="Normal",Controls!$B$8,(Controls!$B$8+Controls!$B$9)/2))+SQRT(1-Controls!$B$10^2)*(Random!Y283-IF(Controls!$B$7="Normal",Controls!$B$8,(Controls!$B$8+Controls!$B$9)/2)))</f>
        <v/>
      </c>
      <c r="F283" s="10" t="str">
        <f>IF(Random!Z283="","",IF(Controls!$B$7="Normal",Controls!$B$8,(Controls!$B$8+Controls!$B$9)/2)+Controls!$B$10*(F282-IF(Controls!$B$7="Normal",Controls!$B$8,(Controls!$B$8+Controls!$B$9)/2))+SQRT(1-Controls!$B$10^2)*(Random!Z283-IF(Controls!$B$7="Normal",Controls!$B$8,(Controls!$B$8+Controls!$B$9)/2)))</f>
        <v/>
      </c>
      <c r="G283" s="10" t="str">
        <f>IF(Random!AA283="","",IF(Controls!$B$7="Normal",Controls!$B$8,(Controls!$B$8+Controls!$B$9)/2)+Controls!$B$10*(G282-IF(Controls!$B$7="Normal",Controls!$B$8,(Controls!$B$8+Controls!$B$9)/2))+SQRT(1-Controls!$B$10^2)*(Random!AA283-IF(Controls!$B$7="Normal",Controls!$B$8,(Controls!$B$8+Controls!$B$9)/2)))</f>
        <v/>
      </c>
      <c r="H283" s="10" t="str">
        <f>IF(Random!AB283="","",IF(Controls!$B$7="Normal",Controls!$B$8,(Controls!$B$8+Controls!$B$9)/2)+Controls!$B$10*(H282-IF(Controls!$B$7="Normal",Controls!$B$8,(Controls!$B$8+Controls!$B$9)/2))+SQRT(1-Controls!$B$10^2)*(Random!AB283-IF(Controls!$B$7="Normal",Controls!$B$8,(Controls!$B$8+Controls!$B$9)/2)))</f>
        <v/>
      </c>
      <c r="I283" s="10" t="str">
        <f>IF(Random!AC283="","",IF(Controls!$B$7="Normal",Controls!$B$8,(Controls!$B$8+Controls!$B$9)/2)+Controls!$B$10*(I282-IF(Controls!$B$7="Normal",Controls!$B$8,(Controls!$B$8+Controls!$B$9)/2))+SQRT(1-Controls!$B$10^2)*(Random!AC283-IF(Controls!$B$7="Normal",Controls!$B$8,(Controls!$B$8+Controls!$B$9)/2)))</f>
        <v/>
      </c>
      <c r="J283" s="10" t="str">
        <f>IF(Random!AD283="","",IF(Controls!$B$7="Normal",Controls!$B$8,(Controls!$B$8+Controls!$B$9)/2)+Controls!$B$10*(J282-IF(Controls!$B$7="Normal",Controls!$B$8,(Controls!$B$8+Controls!$B$9)/2))+SQRT(1-Controls!$B$10^2)*(Random!AD283-IF(Controls!$B$7="Normal",Controls!$B$8,(Controls!$B$8+Controls!$B$9)/2)))</f>
        <v/>
      </c>
      <c r="K283" s="10" t="str">
        <f>IF(Random!AE283="","",IF(Controls!$B$7="Normal",Controls!$B$8,(Controls!$B$8+Controls!$B$9)/2)+Controls!$B$10*(K282-IF(Controls!$B$7="Normal",Controls!$B$8,(Controls!$B$8+Controls!$B$9)/2))+SQRT(1-Controls!$B$10^2)*(Random!AE283-IF(Controls!$B$7="Normal",Controls!$B$8,(Controls!$B$8+Controls!$B$9)/2)))</f>
        <v/>
      </c>
      <c r="L283" s="10" t="str">
        <f>IF($A283="","",IF(AND($A283&gt;=Controls!$B$25,$A283&lt;Controls!$B$25+Controls!$C$25),(Controls!$D$25-1)*EXP(-0.5*(($A283-Controls!$B$25-(Controls!$C$25-1)/2)/MAX(Controls!$C$25/4,0.5))^2),0))</f>
        <v/>
      </c>
      <c r="M283" s="10" t="str">
        <f>IF($A283="","",IF(AND($A283&gt;=Controls!$B$26,$A283&lt;Controls!$B$26+Controls!$C$26),(Controls!$D$26-1)*EXP(-0.5*(($A283-Controls!$B$26-(Controls!$C$26-1)/2)/MAX(Controls!$C$26/4,0.5))^2),0))</f>
        <v/>
      </c>
      <c r="N283" s="10" t="str">
        <f>IF($A283="","",IF(AND($A283&gt;=Controls!$B$27,$A283&lt;Controls!$B$27+Controls!$C$27),(Controls!$D$27-1)*EXP(-0.5*(($A283-Controls!$B$27-(Controls!$C$27-1)/2)/MAX(Controls!$C$27/4,0.5))^2),0))</f>
        <v/>
      </c>
      <c r="O283" s="10" t="str">
        <f>IF($A283="","",IF(AND($A283&gt;=Controls!$B$28,$A283&lt;Controls!$B$28+Controls!$C$28),(Controls!$D$28-1)*EXP(-0.5*(($A283-Controls!$B$28-(Controls!$C$28-1)/2)/MAX(Controls!$C$28/4,0.5))^2),0))</f>
        <v/>
      </c>
      <c r="P283" s="4" t="str">
        <f t="shared" si="1"/>
        <v/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21.0" customHeight="1">
      <c r="A284" s="7" t="str">
        <f>IF(283&lt;=Controls!$B$5,Controls!$B$4+282,"")</f>
        <v/>
      </c>
      <c r="B284" s="10" t="str">
        <f>IF(Random!V284="","",IF(Controls!$B$7="Normal",Controls!$B$8,(Controls!$B$8+Controls!$B$9)/2)+Controls!$B$10*(B283-IF(Controls!$B$7="Normal",Controls!$B$8,(Controls!$B$8+Controls!$B$9)/2))+SQRT(1-Controls!$B$10^2)*(Random!V284-IF(Controls!$B$7="Normal",Controls!$B$8,(Controls!$B$8+Controls!$B$9)/2)))</f>
        <v/>
      </c>
      <c r="C284" s="10" t="str">
        <f>IF(Random!W284="","",IF(Controls!$B$7="Normal",Controls!$B$8,(Controls!$B$8+Controls!$B$9)/2)+Controls!$B$10*(C283-IF(Controls!$B$7="Normal",Controls!$B$8,(Controls!$B$8+Controls!$B$9)/2))+SQRT(1-Controls!$B$10^2)*(Random!W284-IF(Controls!$B$7="Normal",Controls!$B$8,(Controls!$B$8+Controls!$B$9)/2)))</f>
        <v/>
      </c>
      <c r="D284" s="10" t="str">
        <f>IF(Random!X284="","",IF(Controls!$B$7="Normal",Controls!$B$8,(Controls!$B$8+Controls!$B$9)/2)+Controls!$B$10*(D283-IF(Controls!$B$7="Normal",Controls!$B$8,(Controls!$B$8+Controls!$B$9)/2))+SQRT(1-Controls!$B$10^2)*(Random!X284-IF(Controls!$B$7="Normal",Controls!$B$8,(Controls!$B$8+Controls!$B$9)/2)))</f>
        <v/>
      </c>
      <c r="E284" s="10" t="str">
        <f>IF(Random!Y284="","",IF(Controls!$B$7="Normal",Controls!$B$8,(Controls!$B$8+Controls!$B$9)/2)+Controls!$B$10*(E283-IF(Controls!$B$7="Normal",Controls!$B$8,(Controls!$B$8+Controls!$B$9)/2))+SQRT(1-Controls!$B$10^2)*(Random!Y284-IF(Controls!$B$7="Normal",Controls!$B$8,(Controls!$B$8+Controls!$B$9)/2)))</f>
        <v/>
      </c>
      <c r="F284" s="10" t="str">
        <f>IF(Random!Z284="","",IF(Controls!$B$7="Normal",Controls!$B$8,(Controls!$B$8+Controls!$B$9)/2)+Controls!$B$10*(F283-IF(Controls!$B$7="Normal",Controls!$B$8,(Controls!$B$8+Controls!$B$9)/2))+SQRT(1-Controls!$B$10^2)*(Random!Z284-IF(Controls!$B$7="Normal",Controls!$B$8,(Controls!$B$8+Controls!$B$9)/2)))</f>
        <v/>
      </c>
      <c r="G284" s="10" t="str">
        <f>IF(Random!AA284="","",IF(Controls!$B$7="Normal",Controls!$B$8,(Controls!$B$8+Controls!$B$9)/2)+Controls!$B$10*(G283-IF(Controls!$B$7="Normal",Controls!$B$8,(Controls!$B$8+Controls!$B$9)/2))+SQRT(1-Controls!$B$10^2)*(Random!AA284-IF(Controls!$B$7="Normal",Controls!$B$8,(Controls!$B$8+Controls!$B$9)/2)))</f>
        <v/>
      </c>
      <c r="H284" s="10" t="str">
        <f>IF(Random!AB284="","",IF(Controls!$B$7="Normal",Controls!$B$8,(Controls!$B$8+Controls!$B$9)/2)+Controls!$B$10*(H283-IF(Controls!$B$7="Normal",Controls!$B$8,(Controls!$B$8+Controls!$B$9)/2))+SQRT(1-Controls!$B$10^2)*(Random!AB284-IF(Controls!$B$7="Normal",Controls!$B$8,(Controls!$B$8+Controls!$B$9)/2)))</f>
        <v/>
      </c>
      <c r="I284" s="10" t="str">
        <f>IF(Random!AC284="","",IF(Controls!$B$7="Normal",Controls!$B$8,(Controls!$B$8+Controls!$B$9)/2)+Controls!$B$10*(I283-IF(Controls!$B$7="Normal",Controls!$B$8,(Controls!$B$8+Controls!$B$9)/2))+SQRT(1-Controls!$B$10^2)*(Random!AC284-IF(Controls!$B$7="Normal",Controls!$B$8,(Controls!$B$8+Controls!$B$9)/2)))</f>
        <v/>
      </c>
      <c r="J284" s="10" t="str">
        <f>IF(Random!AD284="","",IF(Controls!$B$7="Normal",Controls!$B$8,(Controls!$B$8+Controls!$B$9)/2)+Controls!$B$10*(J283-IF(Controls!$B$7="Normal",Controls!$B$8,(Controls!$B$8+Controls!$B$9)/2))+SQRT(1-Controls!$B$10^2)*(Random!AD284-IF(Controls!$B$7="Normal",Controls!$B$8,(Controls!$B$8+Controls!$B$9)/2)))</f>
        <v/>
      </c>
      <c r="K284" s="10" t="str">
        <f>IF(Random!AE284="","",IF(Controls!$B$7="Normal",Controls!$B$8,(Controls!$B$8+Controls!$B$9)/2)+Controls!$B$10*(K283-IF(Controls!$B$7="Normal",Controls!$B$8,(Controls!$B$8+Controls!$B$9)/2))+SQRT(1-Controls!$B$10^2)*(Random!AE284-IF(Controls!$B$7="Normal",Controls!$B$8,(Controls!$B$8+Controls!$B$9)/2)))</f>
        <v/>
      </c>
      <c r="L284" s="10" t="str">
        <f>IF($A284="","",IF(AND($A284&gt;=Controls!$B$25,$A284&lt;Controls!$B$25+Controls!$C$25),(Controls!$D$25-1)*EXP(-0.5*(($A284-Controls!$B$25-(Controls!$C$25-1)/2)/MAX(Controls!$C$25/4,0.5))^2),0))</f>
        <v/>
      </c>
      <c r="M284" s="10" t="str">
        <f>IF($A284="","",IF(AND($A284&gt;=Controls!$B$26,$A284&lt;Controls!$B$26+Controls!$C$26),(Controls!$D$26-1)*EXP(-0.5*(($A284-Controls!$B$26-(Controls!$C$26-1)/2)/MAX(Controls!$C$26/4,0.5))^2),0))</f>
        <v/>
      </c>
      <c r="N284" s="10" t="str">
        <f>IF($A284="","",IF(AND($A284&gt;=Controls!$B$27,$A284&lt;Controls!$B$27+Controls!$C$27),(Controls!$D$27-1)*EXP(-0.5*(($A284-Controls!$B$27-(Controls!$C$27-1)/2)/MAX(Controls!$C$27/4,0.5))^2),0))</f>
        <v/>
      </c>
      <c r="O284" s="10" t="str">
        <f>IF($A284="","",IF(AND($A284&gt;=Controls!$B$28,$A284&lt;Controls!$B$28+Controls!$C$28),(Controls!$D$28-1)*EXP(-0.5*(($A284-Controls!$B$28-(Controls!$C$28-1)/2)/MAX(Controls!$C$28/4,0.5))^2),0))</f>
        <v/>
      </c>
      <c r="P284" s="4" t="str">
        <f t="shared" si="1"/>
        <v/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21.0" customHeight="1">
      <c r="A285" s="7" t="str">
        <f>IF(284&lt;=Controls!$B$5,Controls!$B$4+283,"")</f>
        <v/>
      </c>
      <c r="B285" s="10" t="str">
        <f>IF(Random!V285="","",IF(Controls!$B$7="Normal",Controls!$B$8,(Controls!$B$8+Controls!$B$9)/2)+Controls!$B$10*(B284-IF(Controls!$B$7="Normal",Controls!$B$8,(Controls!$B$8+Controls!$B$9)/2))+SQRT(1-Controls!$B$10^2)*(Random!V285-IF(Controls!$B$7="Normal",Controls!$B$8,(Controls!$B$8+Controls!$B$9)/2)))</f>
        <v/>
      </c>
      <c r="C285" s="10" t="str">
        <f>IF(Random!W285="","",IF(Controls!$B$7="Normal",Controls!$B$8,(Controls!$B$8+Controls!$B$9)/2)+Controls!$B$10*(C284-IF(Controls!$B$7="Normal",Controls!$B$8,(Controls!$B$8+Controls!$B$9)/2))+SQRT(1-Controls!$B$10^2)*(Random!W285-IF(Controls!$B$7="Normal",Controls!$B$8,(Controls!$B$8+Controls!$B$9)/2)))</f>
        <v/>
      </c>
      <c r="D285" s="10" t="str">
        <f>IF(Random!X285="","",IF(Controls!$B$7="Normal",Controls!$B$8,(Controls!$B$8+Controls!$B$9)/2)+Controls!$B$10*(D284-IF(Controls!$B$7="Normal",Controls!$B$8,(Controls!$B$8+Controls!$B$9)/2))+SQRT(1-Controls!$B$10^2)*(Random!X285-IF(Controls!$B$7="Normal",Controls!$B$8,(Controls!$B$8+Controls!$B$9)/2)))</f>
        <v/>
      </c>
      <c r="E285" s="10" t="str">
        <f>IF(Random!Y285="","",IF(Controls!$B$7="Normal",Controls!$B$8,(Controls!$B$8+Controls!$B$9)/2)+Controls!$B$10*(E284-IF(Controls!$B$7="Normal",Controls!$B$8,(Controls!$B$8+Controls!$B$9)/2))+SQRT(1-Controls!$B$10^2)*(Random!Y285-IF(Controls!$B$7="Normal",Controls!$B$8,(Controls!$B$8+Controls!$B$9)/2)))</f>
        <v/>
      </c>
      <c r="F285" s="10" t="str">
        <f>IF(Random!Z285="","",IF(Controls!$B$7="Normal",Controls!$B$8,(Controls!$B$8+Controls!$B$9)/2)+Controls!$B$10*(F284-IF(Controls!$B$7="Normal",Controls!$B$8,(Controls!$B$8+Controls!$B$9)/2))+SQRT(1-Controls!$B$10^2)*(Random!Z285-IF(Controls!$B$7="Normal",Controls!$B$8,(Controls!$B$8+Controls!$B$9)/2)))</f>
        <v/>
      </c>
      <c r="G285" s="10" t="str">
        <f>IF(Random!AA285="","",IF(Controls!$B$7="Normal",Controls!$B$8,(Controls!$B$8+Controls!$B$9)/2)+Controls!$B$10*(G284-IF(Controls!$B$7="Normal",Controls!$B$8,(Controls!$B$8+Controls!$B$9)/2))+SQRT(1-Controls!$B$10^2)*(Random!AA285-IF(Controls!$B$7="Normal",Controls!$B$8,(Controls!$B$8+Controls!$B$9)/2)))</f>
        <v/>
      </c>
      <c r="H285" s="10" t="str">
        <f>IF(Random!AB285="","",IF(Controls!$B$7="Normal",Controls!$B$8,(Controls!$B$8+Controls!$B$9)/2)+Controls!$B$10*(H284-IF(Controls!$B$7="Normal",Controls!$B$8,(Controls!$B$8+Controls!$B$9)/2))+SQRT(1-Controls!$B$10^2)*(Random!AB285-IF(Controls!$B$7="Normal",Controls!$B$8,(Controls!$B$8+Controls!$B$9)/2)))</f>
        <v/>
      </c>
      <c r="I285" s="10" t="str">
        <f>IF(Random!AC285="","",IF(Controls!$B$7="Normal",Controls!$B$8,(Controls!$B$8+Controls!$B$9)/2)+Controls!$B$10*(I284-IF(Controls!$B$7="Normal",Controls!$B$8,(Controls!$B$8+Controls!$B$9)/2))+SQRT(1-Controls!$B$10^2)*(Random!AC285-IF(Controls!$B$7="Normal",Controls!$B$8,(Controls!$B$8+Controls!$B$9)/2)))</f>
        <v/>
      </c>
      <c r="J285" s="10" t="str">
        <f>IF(Random!AD285="","",IF(Controls!$B$7="Normal",Controls!$B$8,(Controls!$B$8+Controls!$B$9)/2)+Controls!$B$10*(J284-IF(Controls!$B$7="Normal",Controls!$B$8,(Controls!$B$8+Controls!$B$9)/2))+SQRT(1-Controls!$B$10^2)*(Random!AD285-IF(Controls!$B$7="Normal",Controls!$B$8,(Controls!$B$8+Controls!$B$9)/2)))</f>
        <v/>
      </c>
      <c r="K285" s="10" t="str">
        <f>IF(Random!AE285="","",IF(Controls!$B$7="Normal",Controls!$B$8,(Controls!$B$8+Controls!$B$9)/2)+Controls!$B$10*(K284-IF(Controls!$B$7="Normal",Controls!$B$8,(Controls!$B$8+Controls!$B$9)/2))+SQRT(1-Controls!$B$10^2)*(Random!AE285-IF(Controls!$B$7="Normal",Controls!$B$8,(Controls!$B$8+Controls!$B$9)/2)))</f>
        <v/>
      </c>
      <c r="L285" s="10" t="str">
        <f>IF($A285="","",IF(AND($A285&gt;=Controls!$B$25,$A285&lt;Controls!$B$25+Controls!$C$25),(Controls!$D$25-1)*EXP(-0.5*(($A285-Controls!$B$25-(Controls!$C$25-1)/2)/MAX(Controls!$C$25/4,0.5))^2),0))</f>
        <v/>
      </c>
      <c r="M285" s="10" t="str">
        <f>IF($A285="","",IF(AND($A285&gt;=Controls!$B$26,$A285&lt;Controls!$B$26+Controls!$C$26),(Controls!$D$26-1)*EXP(-0.5*(($A285-Controls!$B$26-(Controls!$C$26-1)/2)/MAX(Controls!$C$26/4,0.5))^2),0))</f>
        <v/>
      </c>
      <c r="N285" s="10" t="str">
        <f>IF($A285="","",IF(AND($A285&gt;=Controls!$B$27,$A285&lt;Controls!$B$27+Controls!$C$27),(Controls!$D$27-1)*EXP(-0.5*(($A285-Controls!$B$27-(Controls!$C$27-1)/2)/MAX(Controls!$C$27/4,0.5))^2),0))</f>
        <v/>
      </c>
      <c r="O285" s="10" t="str">
        <f>IF($A285="","",IF(AND($A285&gt;=Controls!$B$28,$A285&lt;Controls!$B$28+Controls!$C$28),(Controls!$D$28-1)*EXP(-0.5*(($A285-Controls!$B$28-(Controls!$C$28-1)/2)/MAX(Controls!$C$28/4,0.5))^2),0))</f>
        <v/>
      </c>
      <c r="P285" s="4" t="str">
        <f t="shared" si="1"/>
        <v/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21.0" customHeight="1">
      <c r="A286" s="7" t="str">
        <f>IF(285&lt;=Controls!$B$5,Controls!$B$4+284,"")</f>
        <v/>
      </c>
      <c r="B286" s="10" t="str">
        <f>IF(Random!V286="","",IF(Controls!$B$7="Normal",Controls!$B$8,(Controls!$B$8+Controls!$B$9)/2)+Controls!$B$10*(B285-IF(Controls!$B$7="Normal",Controls!$B$8,(Controls!$B$8+Controls!$B$9)/2))+SQRT(1-Controls!$B$10^2)*(Random!V286-IF(Controls!$B$7="Normal",Controls!$B$8,(Controls!$B$8+Controls!$B$9)/2)))</f>
        <v/>
      </c>
      <c r="C286" s="10" t="str">
        <f>IF(Random!W286="","",IF(Controls!$B$7="Normal",Controls!$B$8,(Controls!$B$8+Controls!$B$9)/2)+Controls!$B$10*(C285-IF(Controls!$B$7="Normal",Controls!$B$8,(Controls!$B$8+Controls!$B$9)/2))+SQRT(1-Controls!$B$10^2)*(Random!W286-IF(Controls!$B$7="Normal",Controls!$B$8,(Controls!$B$8+Controls!$B$9)/2)))</f>
        <v/>
      </c>
      <c r="D286" s="10" t="str">
        <f>IF(Random!X286="","",IF(Controls!$B$7="Normal",Controls!$B$8,(Controls!$B$8+Controls!$B$9)/2)+Controls!$B$10*(D285-IF(Controls!$B$7="Normal",Controls!$B$8,(Controls!$B$8+Controls!$B$9)/2))+SQRT(1-Controls!$B$10^2)*(Random!X286-IF(Controls!$B$7="Normal",Controls!$B$8,(Controls!$B$8+Controls!$B$9)/2)))</f>
        <v/>
      </c>
      <c r="E286" s="10" t="str">
        <f>IF(Random!Y286="","",IF(Controls!$B$7="Normal",Controls!$B$8,(Controls!$B$8+Controls!$B$9)/2)+Controls!$B$10*(E285-IF(Controls!$B$7="Normal",Controls!$B$8,(Controls!$B$8+Controls!$B$9)/2))+SQRT(1-Controls!$B$10^2)*(Random!Y286-IF(Controls!$B$7="Normal",Controls!$B$8,(Controls!$B$8+Controls!$B$9)/2)))</f>
        <v/>
      </c>
      <c r="F286" s="10" t="str">
        <f>IF(Random!Z286="","",IF(Controls!$B$7="Normal",Controls!$B$8,(Controls!$B$8+Controls!$B$9)/2)+Controls!$B$10*(F285-IF(Controls!$B$7="Normal",Controls!$B$8,(Controls!$B$8+Controls!$B$9)/2))+SQRT(1-Controls!$B$10^2)*(Random!Z286-IF(Controls!$B$7="Normal",Controls!$B$8,(Controls!$B$8+Controls!$B$9)/2)))</f>
        <v/>
      </c>
      <c r="G286" s="10" t="str">
        <f>IF(Random!AA286="","",IF(Controls!$B$7="Normal",Controls!$B$8,(Controls!$B$8+Controls!$B$9)/2)+Controls!$B$10*(G285-IF(Controls!$B$7="Normal",Controls!$B$8,(Controls!$B$8+Controls!$B$9)/2))+SQRT(1-Controls!$B$10^2)*(Random!AA286-IF(Controls!$B$7="Normal",Controls!$B$8,(Controls!$B$8+Controls!$B$9)/2)))</f>
        <v/>
      </c>
      <c r="H286" s="10" t="str">
        <f>IF(Random!AB286="","",IF(Controls!$B$7="Normal",Controls!$B$8,(Controls!$B$8+Controls!$B$9)/2)+Controls!$B$10*(H285-IF(Controls!$B$7="Normal",Controls!$B$8,(Controls!$B$8+Controls!$B$9)/2))+SQRT(1-Controls!$B$10^2)*(Random!AB286-IF(Controls!$B$7="Normal",Controls!$B$8,(Controls!$B$8+Controls!$B$9)/2)))</f>
        <v/>
      </c>
      <c r="I286" s="10" t="str">
        <f>IF(Random!AC286="","",IF(Controls!$B$7="Normal",Controls!$B$8,(Controls!$B$8+Controls!$B$9)/2)+Controls!$B$10*(I285-IF(Controls!$B$7="Normal",Controls!$B$8,(Controls!$B$8+Controls!$B$9)/2))+SQRT(1-Controls!$B$10^2)*(Random!AC286-IF(Controls!$B$7="Normal",Controls!$B$8,(Controls!$B$8+Controls!$B$9)/2)))</f>
        <v/>
      </c>
      <c r="J286" s="10" t="str">
        <f>IF(Random!AD286="","",IF(Controls!$B$7="Normal",Controls!$B$8,(Controls!$B$8+Controls!$B$9)/2)+Controls!$B$10*(J285-IF(Controls!$B$7="Normal",Controls!$B$8,(Controls!$B$8+Controls!$B$9)/2))+SQRT(1-Controls!$B$10^2)*(Random!AD286-IF(Controls!$B$7="Normal",Controls!$B$8,(Controls!$B$8+Controls!$B$9)/2)))</f>
        <v/>
      </c>
      <c r="K286" s="10" t="str">
        <f>IF(Random!AE286="","",IF(Controls!$B$7="Normal",Controls!$B$8,(Controls!$B$8+Controls!$B$9)/2)+Controls!$B$10*(K285-IF(Controls!$B$7="Normal",Controls!$B$8,(Controls!$B$8+Controls!$B$9)/2))+SQRT(1-Controls!$B$10^2)*(Random!AE286-IF(Controls!$B$7="Normal",Controls!$B$8,(Controls!$B$8+Controls!$B$9)/2)))</f>
        <v/>
      </c>
      <c r="L286" s="10" t="str">
        <f>IF($A286="","",IF(AND($A286&gt;=Controls!$B$25,$A286&lt;Controls!$B$25+Controls!$C$25),(Controls!$D$25-1)*EXP(-0.5*(($A286-Controls!$B$25-(Controls!$C$25-1)/2)/MAX(Controls!$C$25/4,0.5))^2),0))</f>
        <v/>
      </c>
      <c r="M286" s="10" t="str">
        <f>IF($A286="","",IF(AND($A286&gt;=Controls!$B$26,$A286&lt;Controls!$B$26+Controls!$C$26),(Controls!$D$26-1)*EXP(-0.5*(($A286-Controls!$B$26-(Controls!$C$26-1)/2)/MAX(Controls!$C$26/4,0.5))^2),0))</f>
        <v/>
      </c>
      <c r="N286" s="10" t="str">
        <f>IF($A286="","",IF(AND($A286&gt;=Controls!$B$27,$A286&lt;Controls!$B$27+Controls!$C$27),(Controls!$D$27-1)*EXP(-0.5*(($A286-Controls!$B$27-(Controls!$C$27-1)/2)/MAX(Controls!$C$27/4,0.5))^2),0))</f>
        <v/>
      </c>
      <c r="O286" s="10" t="str">
        <f>IF($A286="","",IF(AND($A286&gt;=Controls!$B$28,$A286&lt;Controls!$B$28+Controls!$C$28),(Controls!$D$28-1)*EXP(-0.5*(($A286-Controls!$B$28-(Controls!$C$28-1)/2)/MAX(Controls!$C$28/4,0.5))^2),0))</f>
        <v/>
      </c>
      <c r="P286" s="4" t="str">
        <f t="shared" si="1"/>
        <v/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21.0" customHeight="1">
      <c r="A287" s="7" t="str">
        <f>IF(286&lt;=Controls!$B$5,Controls!$B$4+285,"")</f>
        <v/>
      </c>
      <c r="B287" s="10" t="str">
        <f>IF(Random!V287="","",IF(Controls!$B$7="Normal",Controls!$B$8,(Controls!$B$8+Controls!$B$9)/2)+Controls!$B$10*(B286-IF(Controls!$B$7="Normal",Controls!$B$8,(Controls!$B$8+Controls!$B$9)/2))+SQRT(1-Controls!$B$10^2)*(Random!V287-IF(Controls!$B$7="Normal",Controls!$B$8,(Controls!$B$8+Controls!$B$9)/2)))</f>
        <v/>
      </c>
      <c r="C287" s="10" t="str">
        <f>IF(Random!W287="","",IF(Controls!$B$7="Normal",Controls!$B$8,(Controls!$B$8+Controls!$B$9)/2)+Controls!$B$10*(C286-IF(Controls!$B$7="Normal",Controls!$B$8,(Controls!$B$8+Controls!$B$9)/2))+SQRT(1-Controls!$B$10^2)*(Random!W287-IF(Controls!$B$7="Normal",Controls!$B$8,(Controls!$B$8+Controls!$B$9)/2)))</f>
        <v/>
      </c>
      <c r="D287" s="10" t="str">
        <f>IF(Random!X287="","",IF(Controls!$B$7="Normal",Controls!$B$8,(Controls!$B$8+Controls!$B$9)/2)+Controls!$B$10*(D286-IF(Controls!$B$7="Normal",Controls!$B$8,(Controls!$B$8+Controls!$B$9)/2))+SQRT(1-Controls!$B$10^2)*(Random!X287-IF(Controls!$B$7="Normal",Controls!$B$8,(Controls!$B$8+Controls!$B$9)/2)))</f>
        <v/>
      </c>
      <c r="E287" s="10" t="str">
        <f>IF(Random!Y287="","",IF(Controls!$B$7="Normal",Controls!$B$8,(Controls!$B$8+Controls!$B$9)/2)+Controls!$B$10*(E286-IF(Controls!$B$7="Normal",Controls!$B$8,(Controls!$B$8+Controls!$B$9)/2))+SQRT(1-Controls!$B$10^2)*(Random!Y287-IF(Controls!$B$7="Normal",Controls!$B$8,(Controls!$B$8+Controls!$B$9)/2)))</f>
        <v/>
      </c>
      <c r="F287" s="10" t="str">
        <f>IF(Random!Z287="","",IF(Controls!$B$7="Normal",Controls!$B$8,(Controls!$B$8+Controls!$B$9)/2)+Controls!$B$10*(F286-IF(Controls!$B$7="Normal",Controls!$B$8,(Controls!$B$8+Controls!$B$9)/2))+SQRT(1-Controls!$B$10^2)*(Random!Z287-IF(Controls!$B$7="Normal",Controls!$B$8,(Controls!$B$8+Controls!$B$9)/2)))</f>
        <v/>
      </c>
      <c r="G287" s="10" t="str">
        <f>IF(Random!AA287="","",IF(Controls!$B$7="Normal",Controls!$B$8,(Controls!$B$8+Controls!$B$9)/2)+Controls!$B$10*(G286-IF(Controls!$B$7="Normal",Controls!$B$8,(Controls!$B$8+Controls!$B$9)/2))+SQRT(1-Controls!$B$10^2)*(Random!AA287-IF(Controls!$B$7="Normal",Controls!$B$8,(Controls!$B$8+Controls!$B$9)/2)))</f>
        <v/>
      </c>
      <c r="H287" s="10" t="str">
        <f>IF(Random!AB287="","",IF(Controls!$B$7="Normal",Controls!$B$8,(Controls!$B$8+Controls!$B$9)/2)+Controls!$B$10*(H286-IF(Controls!$B$7="Normal",Controls!$B$8,(Controls!$B$8+Controls!$B$9)/2))+SQRT(1-Controls!$B$10^2)*(Random!AB287-IF(Controls!$B$7="Normal",Controls!$B$8,(Controls!$B$8+Controls!$B$9)/2)))</f>
        <v/>
      </c>
      <c r="I287" s="10" t="str">
        <f>IF(Random!AC287="","",IF(Controls!$B$7="Normal",Controls!$B$8,(Controls!$B$8+Controls!$B$9)/2)+Controls!$B$10*(I286-IF(Controls!$B$7="Normal",Controls!$B$8,(Controls!$B$8+Controls!$B$9)/2))+SQRT(1-Controls!$B$10^2)*(Random!AC287-IF(Controls!$B$7="Normal",Controls!$B$8,(Controls!$B$8+Controls!$B$9)/2)))</f>
        <v/>
      </c>
      <c r="J287" s="10" t="str">
        <f>IF(Random!AD287="","",IF(Controls!$B$7="Normal",Controls!$B$8,(Controls!$B$8+Controls!$B$9)/2)+Controls!$B$10*(J286-IF(Controls!$B$7="Normal",Controls!$B$8,(Controls!$B$8+Controls!$B$9)/2))+SQRT(1-Controls!$B$10^2)*(Random!AD287-IF(Controls!$B$7="Normal",Controls!$B$8,(Controls!$B$8+Controls!$B$9)/2)))</f>
        <v/>
      </c>
      <c r="K287" s="10" t="str">
        <f>IF(Random!AE287="","",IF(Controls!$B$7="Normal",Controls!$B$8,(Controls!$B$8+Controls!$B$9)/2)+Controls!$B$10*(K286-IF(Controls!$B$7="Normal",Controls!$B$8,(Controls!$B$8+Controls!$B$9)/2))+SQRT(1-Controls!$B$10^2)*(Random!AE287-IF(Controls!$B$7="Normal",Controls!$B$8,(Controls!$B$8+Controls!$B$9)/2)))</f>
        <v/>
      </c>
      <c r="L287" s="10" t="str">
        <f>IF($A287="","",IF(AND($A287&gt;=Controls!$B$25,$A287&lt;Controls!$B$25+Controls!$C$25),(Controls!$D$25-1)*EXP(-0.5*(($A287-Controls!$B$25-(Controls!$C$25-1)/2)/MAX(Controls!$C$25/4,0.5))^2),0))</f>
        <v/>
      </c>
      <c r="M287" s="10" t="str">
        <f>IF($A287="","",IF(AND($A287&gt;=Controls!$B$26,$A287&lt;Controls!$B$26+Controls!$C$26),(Controls!$D$26-1)*EXP(-0.5*(($A287-Controls!$B$26-(Controls!$C$26-1)/2)/MAX(Controls!$C$26/4,0.5))^2),0))</f>
        <v/>
      </c>
      <c r="N287" s="10" t="str">
        <f>IF($A287="","",IF(AND($A287&gt;=Controls!$B$27,$A287&lt;Controls!$B$27+Controls!$C$27),(Controls!$D$27-1)*EXP(-0.5*(($A287-Controls!$B$27-(Controls!$C$27-1)/2)/MAX(Controls!$C$27/4,0.5))^2),0))</f>
        <v/>
      </c>
      <c r="O287" s="10" t="str">
        <f>IF($A287="","",IF(AND($A287&gt;=Controls!$B$28,$A287&lt;Controls!$B$28+Controls!$C$28),(Controls!$D$28-1)*EXP(-0.5*(($A287-Controls!$B$28-(Controls!$C$28-1)/2)/MAX(Controls!$C$28/4,0.5))^2),0))</f>
        <v/>
      </c>
      <c r="P287" s="4" t="str">
        <f t="shared" si="1"/>
        <v/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21.0" customHeight="1">
      <c r="A288" s="7" t="str">
        <f>IF(287&lt;=Controls!$B$5,Controls!$B$4+286,"")</f>
        <v/>
      </c>
      <c r="B288" s="10" t="str">
        <f>IF(Random!V288="","",IF(Controls!$B$7="Normal",Controls!$B$8,(Controls!$B$8+Controls!$B$9)/2)+Controls!$B$10*(B287-IF(Controls!$B$7="Normal",Controls!$B$8,(Controls!$B$8+Controls!$B$9)/2))+SQRT(1-Controls!$B$10^2)*(Random!V288-IF(Controls!$B$7="Normal",Controls!$B$8,(Controls!$B$8+Controls!$B$9)/2)))</f>
        <v/>
      </c>
      <c r="C288" s="10" t="str">
        <f>IF(Random!W288="","",IF(Controls!$B$7="Normal",Controls!$B$8,(Controls!$B$8+Controls!$B$9)/2)+Controls!$B$10*(C287-IF(Controls!$B$7="Normal",Controls!$B$8,(Controls!$B$8+Controls!$B$9)/2))+SQRT(1-Controls!$B$10^2)*(Random!W288-IF(Controls!$B$7="Normal",Controls!$B$8,(Controls!$B$8+Controls!$B$9)/2)))</f>
        <v/>
      </c>
      <c r="D288" s="10" t="str">
        <f>IF(Random!X288="","",IF(Controls!$B$7="Normal",Controls!$B$8,(Controls!$B$8+Controls!$B$9)/2)+Controls!$B$10*(D287-IF(Controls!$B$7="Normal",Controls!$B$8,(Controls!$B$8+Controls!$B$9)/2))+SQRT(1-Controls!$B$10^2)*(Random!X288-IF(Controls!$B$7="Normal",Controls!$B$8,(Controls!$B$8+Controls!$B$9)/2)))</f>
        <v/>
      </c>
      <c r="E288" s="10" t="str">
        <f>IF(Random!Y288="","",IF(Controls!$B$7="Normal",Controls!$B$8,(Controls!$B$8+Controls!$B$9)/2)+Controls!$B$10*(E287-IF(Controls!$B$7="Normal",Controls!$B$8,(Controls!$B$8+Controls!$B$9)/2))+SQRT(1-Controls!$B$10^2)*(Random!Y288-IF(Controls!$B$7="Normal",Controls!$B$8,(Controls!$B$8+Controls!$B$9)/2)))</f>
        <v/>
      </c>
      <c r="F288" s="10" t="str">
        <f>IF(Random!Z288="","",IF(Controls!$B$7="Normal",Controls!$B$8,(Controls!$B$8+Controls!$B$9)/2)+Controls!$B$10*(F287-IF(Controls!$B$7="Normal",Controls!$B$8,(Controls!$B$8+Controls!$B$9)/2))+SQRT(1-Controls!$B$10^2)*(Random!Z288-IF(Controls!$B$7="Normal",Controls!$B$8,(Controls!$B$8+Controls!$B$9)/2)))</f>
        <v/>
      </c>
      <c r="G288" s="10" t="str">
        <f>IF(Random!AA288="","",IF(Controls!$B$7="Normal",Controls!$B$8,(Controls!$B$8+Controls!$B$9)/2)+Controls!$B$10*(G287-IF(Controls!$B$7="Normal",Controls!$B$8,(Controls!$B$8+Controls!$B$9)/2))+SQRT(1-Controls!$B$10^2)*(Random!AA288-IF(Controls!$B$7="Normal",Controls!$B$8,(Controls!$B$8+Controls!$B$9)/2)))</f>
        <v/>
      </c>
      <c r="H288" s="10" t="str">
        <f>IF(Random!AB288="","",IF(Controls!$B$7="Normal",Controls!$B$8,(Controls!$B$8+Controls!$B$9)/2)+Controls!$B$10*(H287-IF(Controls!$B$7="Normal",Controls!$B$8,(Controls!$B$8+Controls!$B$9)/2))+SQRT(1-Controls!$B$10^2)*(Random!AB288-IF(Controls!$B$7="Normal",Controls!$B$8,(Controls!$B$8+Controls!$B$9)/2)))</f>
        <v/>
      </c>
      <c r="I288" s="10" t="str">
        <f>IF(Random!AC288="","",IF(Controls!$B$7="Normal",Controls!$B$8,(Controls!$B$8+Controls!$B$9)/2)+Controls!$B$10*(I287-IF(Controls!$B$7="Normal",Controls!$B$8,(Controls!$B$8+Controls!$B$9)/2))+SQRT(1-Controls!$B$10^2)*(Random!AC288-IF(Controls!$B$7="Normal",Controls!$B$8,(Controls!$B$8+Controls!$B$9)/2)))</f>
        <v/>
      </c>
      <c r="J288" s="10" t="str">
        <f>IF(Random!AD288="","",IF(Controls!$B$7="Normal",Controls!$B$8,(Controls!$B$8+Controls!$B$9)/2)+Controls!$B$10*(J287-IF(Controls!$B$7="Normal",Controls!$B$8,(Controls!$B$8+Controls!$B$9)/2))+SQRT(1-Controls!$B$10^2)*(Random!AD288-IF(Controls!$B$7="Normal",Controls!$B$8,(Controls!$B$8+Controls!$B$9)/2)))</f>
        <v/>
      </c>
      <c r="K288" s="10" t="str">
        <f>IF(Random!AE288="","",IF(Controls!$B$7="Normal",Controls!$B$8,(Controls!$B$8+Controls!$B$9)/2)+Controls!$B$10*(K287-IF(Controls!$B$7="Normal",Controls!$B$8,(Controls!$B$8+Controls!$B$9)/2))+SQRT(1-Controls!$B$10^2)*(Random!AE288-IF(Controls!$B$7="Normal",Controls!$B$8,(Controls!$B$8+Controls!$B$9)/2)))</f>
        <v/>
      </c>
      <c r="L288" s="10" t="str">
        <f>IF($A288="","",IF(AND($A288&gt;=Controls!$B$25,$A288&lt;Controls!$B$25+Controls!$C$25),(Controls!$D$25-1)*EXP(-0.5*(($A288-Controls!$B$25-(Controls!$C$25-1)/2)/MAX(Controls!$C$25/4,0.5))^2),0))</f>
        <v/>
      </c>
      <c r="M288" s="10" t="str">
        <f>IF($A288="","",IF(AND($A288&gt;=Controls!$B$26,$A288&lt;Controls!$B$26+Controls!$C$26),(Controls!$D$26-1)*EXP(-0.5*(($A288-Controls!$B$26-(Controls!$C$26-1)/2)/MAX(Controls!$C$26/4,0.5))^2),0))</f>
        <v/>
      </c>
      <c r="N288" s="10" t="str">
        <f>IF($A288="","",IF(AND($A288&gt;=Controls!$B$27,$A288&lt;Controls!$B$27+Controls!$C$27),(Controls!$D$27-1)*EXP(-0.5*(($A288-Controls!$B$27-(Controls!$C$27-1)/2)/MAX(Controls!$C$27/4,0.5))^2),0))</f>
        <v/>
      </c>
      <c r="O288" s="10" t="str">
        <f>IF($A288="","",IF(AND($A288&gt;=Controls!$B$28,$A288&lt;Controls!$B$28+Controls!$C$28),(Controls!$D$28-1)*EXP(-0.5*(($A288-Controls!$B$28-(Controls!$C$28-1)/2)/MAX(Controls!$C$28/4,0.5))^2),0))</f>
        <v/>
      </c>
      <c r="P288" s="4" t="str">
        <f t="shared" si="1"/>
        <v/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21.0" customHeight="1">
      <c r="A289" s="7" t="str">
        <f>IF(288&lt;=Controls!$B$5,Controls!$B$4+287,"")</f>
        <v/>
      </c>
      <c r="B289" s="10" t="str">
        <f>IF(Random!V289="","",IF(Controls!$B$7="Normal",Controls!$B$8,(Controls!$B$8+Controls!$B$9)/2)+Controls!$B$10*(B288-IF(Controls!$B$7="Normal",Controls!$B$8,(Controls!$B$8+Controls!$B$9)/2))+SQRT(1-Controls!$B$10^2)*(Random!V289-IF(Controls!$B$7="Normal",Controls!$B$8,(Controls!$B$8+Controls!$B$9)/2)))</f>
        <v/>
      </c>
      <c r="C289" s="10" t="str">
        <f>IF(Random!W289="","",IF(Controls!$B$7="Normal",Controls!$B$8,(Controls!$B$8+Controls!$B$9)/2)+Controls!$B$10*(C288-IF(Controls!$B$7="Normal",Controls!$B$8,(Controls!$B$8+Controls!$B$9)/2))+SQRT(1-Controls!$B$10^2)*(Random!W289-IF(Controls!$B$7="Normal",Controls!$B$8,(Controls!$B$8+Controls!$B$9)/2)))</f>
        <v/>
      </c>
      <c r="D289" s="10" t="str">
        <f>IF(Random!X289="","",IF(Controls!$B$7="Normal",Controls!$B$8,(Controls!$B$8+Controls!$B$9)/2)+Controls!$B$10*(D288-IF(Controls!$B$7="Normal",Controls!$B$8,(Controls!$B$8+Controls!$B$9)/2))+SQRT(1-Controls!$B$10^2)*(Random!X289-IF(Controls!$B$7="Normal",Controls!$B$8,(Controls!$B$8+Controls!$B$9)/2)))</f>
        <v/>
      </c>
      <c r="E289" s="10" t="str">
        <f>IF(Random!Y289="","",IF(Controls!$B$7="Normal",Controls!$B$8,(Controls!$B$8+Controls!$B$9)/2)+Controls!$B$10*(E288-IF(Controls!$B$7="Normal",Controls!$B$8,(Controls!$B$8+Controls!$B$9)/2))+SQRT(1-Controls!$B$10^2)*(Random!Y289-IF(Controls!$B$7="Normal",Controls!$B$8,(Controls!$B$8+Controls!$B$9)/2)))</f>
        <v/>
      </c>
      <c r="F289" s="10" t="str">
        <f>IF(Random!Z289="","",IF(Controls!$B$7="Normal",Controls!$B$8,(Controls!$B$8+Controls!$B$9)/2)+Controls!$B$10*(F288-IF(Controls!$B$7="Normal",Controls!$B$8,(Controls!$B$8+Controls!$B$9)/2))+SQRT(1-Controls!$B$10^2)*(Random!Z289-IF(Controls!$B$7="Normal",Controls!$B$8,(Controls!$B$8+Controls!$B$9)/2)))</f>
        <v/>
      </c>
      <c r="G289" s="10" t="str">
        <f>IF(Random!AA289="","",IF(Controls!$B$7="Normal",Controls!$B$8,(Controls!$B$8+Controls!$B$9)/2)+Controls!$B$10*(G288-IF(Controls!$B$7="Normal",Controls!$B$8,(Controls!$B$8+Controls!$B$9)/2))+SQRT(1-Controls!$B$10^2)*(Random!AA289-IF(Controls!$B$7="Normal",Controls!$B$8,(Controls!$B$8+Controls!$B$9)/2)))</f>
        <v/>
      </c>
      <c r="H289" s="10" t="str">
        <f>IF(Random!AB289="","",IF(Controls!$B$7="Normal",Controls!$B$8,(Controls!$B$8+Controls!$B$9)/2)+Controls!$B$10*(H288-IF(Controls!$B$7="Normal",Controls!$B$8,(Controls!$B$8+Controls!$B$9)/2))+SQRT(1-Controls!$B$10^2)*(Random!AB289-IF(Controls!$B$7="Normal",Controls!$B$8,(Controls!$B$8+Controls!$B$9)/2)))</f>
        <v/>
      </c>
      <c r="I289" s="10" t="str">
        <f>IF(Random!AC289="","",IF(Controls!$B$7="Normal",Controls!$B$8,(Controls!$B$8+Controls!$B$9)/2)+Controls!$B$10*(I288-IF(Controls!$B$7="Normal",Controls!$B$8,(Controls!$B$8+Controls!$B$9)/2))+SQRT(1-Controls!$B$10^2)*(Random!AC289-IF(Controls!$B$7="Normal",Controls!$B$8,(Controls!$B$8+Controls!$B$9)/2)))</f>
        <v/>
      </c>
      <c r="J289" s="10" t="str">
        <f>IF(Random!AD289="","",IF(Controls!$B$7="Normal",Controls!$B$8,(Controls!$B$8+Controls!$B$9)/2)+Controls!$B$10*(J288-IF(Controls!$B$7="Normal",Controls!$B$8,(Controls!$B$8+Controls!$B$9)/2))+SQRT(1-Controls!$B$10^2)*(Random!AD289-IF(Controls!$B$7="Normal",Controls!$B$8,(Controls!$B$8+Controls!$B$9)/2)))</f>
        <v/>
      </c>
      <c r="K289" s="10" t="str">
        <f>IF(Random!AE289="","",IF(Controls!$B$7="Normal",Controls!$B$8,(Controls!$B$8+Controls!$B$9)/2)+Controls!$B$10*(K288-IF(Controls!$B$7="Normal",Controls!$B$8,(Controls!$B$8+Controls!$B$9)/2))+SQRT(1-Controls!$B$10^2)*(Random!AE289-IF(Controls!$B$7="Normal",Controls!$B$8,(Controls!$B$8+Controls!$B$9)/2)))</f>
        <v/>
      </c>
      <c r="L289" s="10" t="str">
        <f>IF($A289="","",IF(AND($A289&gt;=Controls!$B$25,$A289&lt;Controls!$B$25+Controls!$C$25),(Controls!$D$25-1)*EXP(-0.5*(($A289-Controls!$B$25-(Controls!$C$25-1)/2)/MAX(Controls!$C$25/4,0.5))^2),0))</f>
        <v/>
      </c>
      <c r="M289" s="10" t="str">
        <f>IF($A289="","",IF(AND($A289&gt;=Controls!$B$26,$A289&lt;Controls!$B$26+Controls!$C$26),(Controls!$D$26-1)*EXP(-0.5*(($A289-Controls!$B$26-(Controls!$C$26-1)/2)/MAX(Controls!$C$26/4,0.5))^2),0))</f>
        <v/>
      </c>
      <c r="N289" s="10" t="str">
        <f>IF($A289="","",IF(AND($A289&gt;=Controls!$B$27,$A289&lt;Controls!$B$27+Controls!$C$27),(Controls!$D$27-1)*EXP(-0.5*(($A289-Controls!$B$27-(Controls!$C$27-1)/2)/MAX(Controls!$C$27/4,0.5))^2),0))</f>
        <v/>
      </c>
      <c r="O289" s="10" t="str">
        <f>IF($A289="","",IF(AND($A289&gt;=Controls!$B$28,$A289&lt;Controls!$B$28+Controls!$C$28),(Controls!$D$28-1)*EXP(-0.5*(($A289-Controls!$B$28-(Controls!$C$28-1)/2)/MAX(Controls!$C$28/4,0.5))^2),0))</f>
        <v/>
      </c>
      <c r="P289" s="4" t="str">
        <f t="shared" si="1"/>
        <v/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21.0" customHeight="1">
      <c r="A290" s="7" t="str">
        <f>IF(289&lt;=Controls!$B$5,Controls!$B$4+288,"")</f>
        <v/>
      </c>
      <c r="B290" s="10" t="str">
        <f>IF(Random!V290="","",IF(Controls!$B$7="Normal",Controls!$B$8,(Controls!$B$8+Controls!$B$9)/2)+Controls!$B$10*(B289-IF(Controls!$B$7="Normal",Controls!$B$8,(Controls!$B$8+Controls!$B$9)/2))+SQRT(1-Controls!$B$10^2)*(Random!V290-IF(Controls!$B$7="Normal",Controls!$B$8,(Controls!$B$8+Controls!$B$9)/2)))</f>
        <v/>
      </c>
      <c r="C290" s="10" t="str">
        <f>IF(Random!W290="","",IF(Controls!$B$7="Normal",Controls!$B$8,(Controls!$B$8+Controls!$B$9)/2)+Controls!$B$10*(C289-IF(Controls!$B$7="Normal",Controls!$B$8,(Controls!$B$8+Controls!$B$9)/2))+SQRT(1-Controls!$B$10^2)*(Random!W290-IF(Controls!$B$7="Normal",Controls!$B$8,(Controls!$B$8+Controls!$B$9)/2)))</f>
        <v/>
      </c>
      <c r="D290" s="10" t="str">
        <f>IF(Random!X290="","",IF(Controls!$B$7="Normal",Controls!$B$8,(Controls!$B$8+Controls!$B$9)/2)+Controls!$B$10*(D289-IF(Controls!$B$7="Normal",Controls!$B$8,(Controls!$B$8+Controls!$B$9)/2))+SQRT(1-Controls!$B$10^2)*(Random!X290-IF(Controls!$B$7="Normal",Controls!$B$8,(Controls!$B$8+Controls!$B$9)/2)))</f>
        <v/>
      </c>
      <c r="E290" s="10" t="str">
        <f>IF(Random!Y290="","",IF(Controls!$B$7="Normal",Controls!$B$8,(Controls!$B$8+Controls!$B$9)/2)+Controls!$B$10*(E289-IF(Controls!$B$7="Normal",Controls!$B$8,(Controls!$B$8+Controls!$B$9)/2))+SQRT(1-Controls!$B$10^2)*(Random!Y290-IF(Controls!$B$7="Normal",Controls!$B$8,(Controls!$B$8+Controls!$B$9)/2)))</f>
        <v/>
      </c>
      <c r="F290" s="10" t="str">
        <f>IF(Random!Z290="","",IF(Controls!$B$7="Normal",Controls!$B$8,(Controls!$B$8+Controls!$B$9)/2)+Controls!$B$10*(F289-IF(Controls!$B$7="Normal",Controls!$B$8,(Controls!$B$8+Controls!$B$9)/2))+SQRT(1-Controls!$B$10^2)*(Random!Z290-IF(Controls!$B$7="Normal",Controls!$B$8,(Controls!$B$8+Controls!$B$9)/2)))</f>
        <v/>
      </c>
      <c r="G290" s="10" t="str">
        <f>IF(Random!AA290="","",IF(Controls!$B$7="Normal",Controls!$B$8,(Controls!$B$8+Controls!$B$9)/2)+Controls!$B$10*(G289-IF(Controls!$B$7="Normal",Controls!$B$8,(Controls!$B$8+Controls!$B$9)/2))+SQRT(1-Controls!$B$10^2)*(Random!AA290-IF(Controls!$B$7="Normal",Controls!$B$8,(Controls!$B$8+Controls!$B$9)/2)))</f>
        <v/>
      </c>
      <c r="H290" s="10" t="str">
        <f>IF(Random!AB290="","",IF(Controls!$B$7="Normal",Controls!$B$8,(Controls!$B$8+Controls!$B$9)/2)+Controls!$B$10*(H289-IF(Controls!$B$7="Normal",Controls!$B$8,(Controls!$B$8+Controls!$B$9)/2))+SQRT(1-Controls!$B$10^2)*(Random!AB290-IF(Controls!$B$7="Normal",Controls!$B$8,(Controls!$B$8+Controls!$B$9)/2)))</f>
        <v/>
      </c>
      <c r="I290" s="10" t="str">
        <f>IF(Random!AC290="","",IF(Controls!$B$7="Normal",Controls!$B$8,(Controls!$B$8+Controls!$B$9)/2)+Controls!$B$10*(I289-IF(Controls!$B$7="Normal",Controls!$B$8,(Controls!$B$8+Controls!$B$9)/2))+SQRT(1-Controls!$B$10^2)*(Random!AC290-IF(Controls!$B$7="Normal",Controls!$B$8,(Controls!$B$8+Controls!$B$9)/2)))</f>
        <v/>
      </c>
      <c r="J290" s="10" t="str">
        <f>IF(Random!AD290="","",IF(Controls!$B$7="Normal",Controls!$B$8,(Controls!$B$8+Controls!$B$9)/2)+Controls!$B$10*(J289-IF(Controls!$B$7="Normal",Controls!$B$8,(Controls!$B$8+Controls!$B$9)/2))+SQRT(1-Controls!$B$10^2)*(Random!AD290-IF(Controls!$B$7="Normal",Controls!$B$8,(Controls!$B$8+Controls!$B$9)/2)))</f>
        <v/>
      </c>
      <c r="K290" s="10" t="str">
        <f>IF(Random!AE290="","",IF(Controls!$B$7="Normal",Controls!$B$8,(Controls!$B$8+Controls!$B$9)/2)+Controls!$B$10*(K289-IF(Controls!$B$7="Normal",Controls!$B$8,(Controls!$B$8+Controls!$B$9)/2))+SQRT(1-Controls!$B$10^2)*(Random!AE290-IF(Controls!$B$7="Normal",Controls!$B$8,(Controls!$B$8+Controls!$B$9)/2)))</f>
        <v/>
      </c>
      <c r="L290" s="10" t="str">
        <f>IF($A290="","",IF(AND($A290&gt;=Controls!$B$25,$A290&lt;Controls!$B$25+Controls!$C$25),(Controls!$D$25-1)*EXP(-0.5*(($A290-Controls!$B$25-(Controls!$C$25-1)/2)/MAX(Controls!$C$25/4,0.5))^2),0))</f>
        <v/>
      </c>
      <c r="M290" s="10" t="str">
        <f>IF($A290="","",IF(AND($A290&gt;=Controls!$B$26,$A290&lt;Controls!$B$26+Controls!$C$26),(Controls!$D$26-1)*EXP(-0.5*(($A290-Controls!$B$26-(Controls!$C$26-1)/2)/MAX(Controls!$C$26/4,0.5))^2),0))</f>
        <v/>
      </c>
      <c r="N290" s="10" t="str">
        <f>IF($A290="","",IF(AND($A290&gt;=Controls!$B$27,$A290&lt;Controls!$B$27+Controls!$C$27),(Controls!$D$27-1)*EXP(-0.5*(($A290-Controls!$B$27-(Controls!$C$27-1)/2)/MAX(Controls!$C$27/4,0.5))^2),0))</f>
        <v/>
      </c>
      <c r="O290" s="10" t="str">
        <f>IF($A290="","",IF(AND($A290&gt;=Controls!$B$28,$A290&lt;Controls!$B$28+Controls!$C$28),(Controls!$D$28-1)*EXP(-0.5*(($A290-Controls!$B$28-(Controls!$C$28-1)/2)/MAX(Controls!$C$28/4,0.5))^2),0))</f>
        <v/>
      </c>
      <c r="P290" s="4" t="str">
        <f t="shared" si="1"/>
        <v/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21.0" customHeight="1">
      <c r="A291" s="7" t="str">
        <f>IF(290&lt;=Controls!$B$5,Controls!$B$4+289,"")</f>
        <v/>
      </c>
      <c r="B291" s="10" t="str">
        <f>IF(Random!V291="","",IF(Controls!$B$7="Normal",Controls!$B$8,(Controls!$B$8+Controls!$B$9)/2)+Controls!$B$10*(B290-IF(Controls!$B$7="Normal",Controls!$B$8,(Controls!$B$8+Controls!$B$9)/2))+SQRT(1-Controls!$B$10^2)*(Random!V291-IF(Controls!$B$7="Normal",Controls!$B$8,(Controls!$B$8+Controls!$B$9)/2)))</f>
        <v/>
      </c>
      <c r="C291" s="10" t="str">
        <f>IF(Random!W291="","",IF(Controls!$B$7="Normal",Controls!$B$8,(Controls!$B$8+Controls!$B$9)/2)+Controls!$B$10*(C290-IF(Controls!$B$7="Normal",Controls!$B$8,(Controls!$B$8+Controls!$B$9)/2))+SQRT(1-Controls!$B$10^2)*(Random!W291-IF(Controls!$B$7="Normal",Controls!$B$8,(Controls!$B$8+Controls!$B$9)/2)))</f>
        <v/>
      </c>
      <c r="D291" s="10" t="str">
        <f>IF(Random!X291="","",IF(Controls!$B$7="Normal",Controls!$B$8,(Controls!$B$8+Controls!$B$9)/2)+Controls!$B$10*(D290-IF(Controls!$B$7="Normal",Controls!$B$8,(Controls!$B$8+Controls!$B$9)/2))+SQRT(1-Controls!$B$10^2)*(Random!X291-IF(Controls!$B$7="Normal",Controls!$B$8,(Controls!$B$8+Controls!$B$9)/2)))</f>
        <v/>
      </c>
      <c r="E291" s="10" t="str">
        <f>IF(Random!Y291="","",IF(Controls!$B$7="Normal",Controls!$B$8,(Controls!$B$8+Controls!$B$9)/2)+Controls!$B$10*(E290-IF(Controls!$B$7="Normal",Controls!$B$8,(Controls!$B$8+Controls!$B$9)/2))+SQRT(1-Controls!$B$10^2)*(Random!Y291-IF(Controls!$B$7="Normal",Controls!$B$8,(Controls!$B$8+Controls!$B$9)/2)))</f>
        <v/>
      </c>
      <c r="F291" s="10" t="str">
        <f>IF(Random!Z291="","",IF(Controls!$B$7="Normal",Controls!$B$8,(Controls!$B$8+Controls!$B$9)/2)+Controls!$B$10*(F290-IF(Controls!$B$7="Normal",Controls!$B$8,(Controls!$B$8+Controls!$B$9)/2))+SQRT(1-Controls!$B$10^2)*(Random!Z291-IF(Controls!$B$7="Normal",Controls!$B$8,(Controls!$B$8+Controls!$B$9)/2)))</f>
        <v/>
      </c>
      <c r="G291" s="10" t="str">
        <f>IF(Random!AA291="","",IF(Controls!$B$7="Normal",Controls!$B$8,(Controls!$B$8+Controls!$B$9)/2)+Controls!$B$10*(G290-IF(Controls!$B$7="Normal",Controls!$B$8,(Controls!$B$8+Controls!$B$9)/2))+SQRT(1-Controls!$B$10^2)*(Random!AA291-IF(Controls!$B$7="Normal",Controls!$B$8,(Controls!$B$8+Controls!$B$9)/2)))</f>
        <v/>
      </c>
      <c r="H291" s="10" t="str">
        <f>IF(Random!AB291="","",IF(Controls!$B$7="Normal",Controls!$B$8,(Controls!$B$8+Controls!$B$9)/2)+Controls!$B$10*(H290-IF(Controls!$B$7="Normal",Controls!$B$8,(Controls!$B$8+Controls!$B$9)/2))+SQRT(1-Controls!$B$10^2)*(Random!AB291-IF(Controls!$B$7="Normal",Controls!$B$8,(Controls!$B$8+Controls!$B$9)/2)))</f>
        <v/>
      </c>
      <c r="I291" s="10" t="str">
        <f>IF(Random!AC291="","",IF(Controls!$B$7="Normal",Controls!$B$8,(Controls!$B$8+Controls!$B$9)/2)+Controls!$B$10*(I290-IF(Controls!$B$7="Normal",Controls!$B$8,(Controls!$B$8+Controls!$B$9)/2))+SQRT(1-Controls!$B$10^2)*(Random!AC291-IF(Controls!$B$7="Normal",Controls!$B$8,(Controls!$B$8+Controls!$B$9)/2)))</f>
        <v/>
      </c>
      <c r="J291" s="10" t="str">
        <f>IF(Random!AD291="","",IF(Controls!$B$7="Normal",Controls!$B$8,(Controls!$B$8+Controls!$B$9)/2)+Controls!$B$10*(J290-IF(Controls!$B$7="Normal",Controls!$B$8,(Controls!$B$8+Controls!$B$9)/2))+SQRT(1-Controls!$B$10^2)*(Random!AD291-IF(Controls!$B$7="Normal",Controls!$B$8,(Controls!$B$8+Controls!$B$9)/2)))</f>
        <v/>
      </c>
      <c r="K291" s="10" t="str">
        <f>IF(Random!AE291="","",IF(Controls!$B$7="Normal",Controls!$B$8,(Controls!$B$8+Controls!$B$9)/2)+Controls!$B$10*(K290-IF(Controls!$B$7="Normal",Controls!$B$8,(Controls!$B$8+Controls!$B$9)/2))+SQRT(1-Controls!$B$10^2)*(Random!AE291-IF(Controls!$B$7="Normal",Controls!$B$8,(Controls!$B$8+Controls!$B$9)/2)))</f>
        <v/>
      </c>
      <c r="L291" s="10" t="str">
        <f>IF($A291="","",IF(AND($A291&gt;=Controls!$B$25,$A291&lt;Controls!$B$25+Controls!$C$25),(Controls!$D$25-1)*EXP(-0.5*(($A291-Controls!$B$25-(Controls!$C$25-1)/2)/MAX(Controls!$C$25/4,0.5))^2),0))</f>
        <v/>
      </c>
      <c r="M291" s="10" t="str">
        <f>IF($A291="","",IF(AND($A291&gt;=Controls!$B$26,$A291&lt;Controls!$B$26+Controls!$C$26),(Controls!$D$26-1)*EXP(-0.5*(($A291-Controls!$B$26-(Controls!$C$26-1)/2)/MAX(Controls!$C$26/4,0.5))^2),0))</f>
        <v/>
      </c>
      <c r="N291" s="10" t="str">
        <f>IF($A291="","",IF(AND($A291&gt;=Controls!$B$27,$A291&lt;Controls!$B$27+Controls!$C$27),(Controls!$D$27-1)*EXP(-0.5*(($A291-Controls!$B$27-(Controls!$C$27-1)/2)/MAX(Controls!$C$27/4,0.5))^2),0))</f>
        <v/>
      </c>
      <c r="O291" s="10" t="str">
        <f>IF($A291="","",IF(AND($A291&gt;=Controls!$B$28,$A291&lt;Controls!$B$28+Controls!$C$28),(Controls!$D$28-1)*EXP(-0.5*(($A291-Controls!$B$28-(Controls!$C$28-1)/2)/MAX(Controls!$C$28/4,0.5))^2),0))</f>
        <v/>
      </c>
      <c r="P291" s="4" t="str">
        <f t="shared" si="1"/>
        <v/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21.0" customHeight="1">
      <c r="A292" s="7" t="str">
        <f>IF(291&lt;=Controls!$B$5,Controls!$B$4+290,"")</f>
        <v/>
      </c>
      <c r="B292" s="10" t="str">
        <f>IF(Random!V292="","",IF(Controls!$B$7="Normal",Controls!$B$8,(Controls!$B$8+Controls!$B$9)/2)+Controls!$B$10*(B291-IF(Controls!$B$7="Normal",Controls!$B$8,(Controls!$B$8+Controls!$B$9)/2))+SQRT(1-Controls!$B$10^2)*(Random!V292-IF(Controls!$B$7="Normal",Controls!$B$8,(Controls!$B$8+Controls!$B$9)/2)))</f>
        <v/>
      </c>
      <c r="C292" s="10" t="str">
        <f>IF(Random!W292="","",IF(Controls!$B$7="Normal",Controls!$B$8,(Controls!$B$8+Controls!$B$9)/2)+Controls!$B$10*(C291-IF(Controls!$B$7="Normal",Controls!$B$8,(Controls!$B$8+Controls!$B$9)/2))+SQRT(1-Controls!$B$10^2)*(Random!W292-IF(Controls!$B$7="Normal",Controls!$B$8,(Controls!$B$8+Controls!$B$9)/2)))</f>
        <v/>
      </c>
      <c r="D292" s="10" t="str">
        <f>IF(Random!X292="","",IF(Controls!$B$7="Normal",Controls!$B$8,(Controls!$B$8+Controls!$B$9)/2)+Controls!$B$10*(D291-IF(Controls!$B$7="Normal",Controls!$B$8,(Controls!$B$8+Controls!$B$9)/2))+SQRT(1-Controls!$B$10^2)*(Random!X292-IF(Controls!$B$7="Normal",Controls!$B$8,(Controls!$B$8+Controls!$B$9)/2)))</f>
        <v/>
      </c>
      <c r="E292" s="10" t="str">
        <f>IF(Random!Y292="","",IF(Controls!$B$7="Normal",Controls!$B$8,(Controls!$B$8+Controls!$B$9)/2)+Controls!$B$10*(E291-IF(Controls!$B$7="Normal",Controls!$B$8,(Controls!$B$8+Controls!$B$9)/2))+SQRT(1-Controls!$B$10^2)*(Random!Y292-IF(Controls!$B$7="Normal",Controls!$B$8,(Controls!$B$8+Controls!$B$9)/2)))</f>
        <v/>
      </c>
      <c r="F292" s="10" t="str">
        <f>IF(Random!Z292="","",IF(Controls!$B$7="Normal",Controls!$B$8,(Controls!$B$8+Controls!$B$9)/2)+Controls!$B$10*(F291-IF(Controls!$B$7="Normal",Controls!$B$8,(Controls!$B$8+Controls!$B$9)/2))+SQRT(1-Controls!$B$10^2)*(Random!Z292-IF(Controls!$B$7="Normal",Controls!$B$8,(Controls!$B$8+Controls!$B$9)/2)))</f>
        <v/>
      </c>
      <c r="G292" s="10" t="str">
        <f>IF(Random!AA292="","",IF(Controls!$B$7="Normal",Controls!$B$8,(Controls!$B$8+Controls!$B$9)/2)+Controls!$B$10*(G291-IF(Controls!$B$7="Normal",Controls!$B$8,(Controls!$B$8+Controls!$B$9)/2))+SQRT(1-Controls!$B$10^2)*(Random!AA292-IF(Controls!$B$7="Normal",Controls!$B$8,(Controls!$B$8+Controls!$B$9)/2)))</f>
        <v/>
      </c>
      <c r="H292" s="10" t="str">
        <f>IF(Random!AB292="","",IF(Controls!$B$7="Normal",Controls!$B$8,(Controls!$B$8+Controls!$B$9)/2)+Controls!$B$10*(H291-IF(Controls!$B$7="Normal",Controls!$B$8,(Controls!$B$8+Controls!$B$9)/2))+SQRT(1-Controls!$B$10^2)*(Random!AB292-IF(Controls!$B$7="Normal",Controls!$B$8,(Controls!$B$8+Controls!$B$9)/2)))</f>
        <v/>
      </c>
      <c r="I292" s="10" t="str">
        <f>IF(Random!AC292="","",IF(Controls!$B$7="Normal",Controls!$B$8,(Controls!$B$8+Controls!$B$9)/2)+Controls!$B$10*(I291-IF(Controls!$B$7="Normal",Controls!$B$8,(Controls!$B$8+Controls!$B$9)/2))+SQRT(1-Controls!$B$10^2)*(Random!AC292-IF(Controls!$B$7="Normal",Controls!$B$8,(Controls!$B$8+Controls!$B$9)/2)))</f>
        <v/>
      </c>
      <c r="J292" s="10" t="str">
        <f>IF(Random!AD292="","",IF(Controls!$B$7="Normal",Controls!$B$8,(Controls!$B$8+Controls!$B$9)/2)+Controls!$B$10*(J291-IF(Controls!$B$7="Normal",Controls!$B$8,(Controls!$B$8+Controls!$B$9)/2))+SQRT(1-Controls!$B$10^2)*(Random!AD292-IF(Controls!$B$7="Normal",Controls!$B$8,(Controls!$B$8+Controls!$B$9)/2)))</f>
        <v/>
      </c>
      <c r="K292" s="10" t="str">
        <f>IF(Random!AE292="","",IF(Controls!$B$7="Normal",Controls!$B$8,(Controls!$B$8+Controls!$B$9)/2)+Controls!$B$10*(K291-IF(Controls!$B$7="Normal",Controls!$B$8,(Controls!$B$8+Controls!$B$9)/2))+SQRT(1-Controls!$B$10^2)*(Random!AE292-IF(Controls!$B$7="Normal",Controls!$B$8,(Controls!$B$8+Controls!$B$9)/2)))</f>
        <v/>
      </c>
      <c r="L292" s="10" t="str">
        <f>IF($A292="","",IF(AND($A292&gt;=Controls!$B$25,$A292&lt;Controls!$B$25+Controls!$C$25),(Controls!$D$25-1)*EXP(-0.5*(($A292-Controls!$B$25-(Controls!$C$25-1)/2)/MAX(Controls!$C$25/4,0.5))^2),0))</f>
        <v/>
      </c>
      <c r="M292" s="10" t="str">
        <f>IF($A292="","",IF(AND($A292&gt;=Controls!$B$26,$A292&lt;Controls!$B$26+Controls!$C$26),(Controls!$D$26-1)*EXP(-0.5*(($A292-Controls!$B$26-(Controls!$C$26-1)/2)/MAX(Controls!$C$26/4,0.5))^2),0))</f>
        <v/>
      </c>
      <c r="N292" s="10" t="str">
        <f>IF($A292="","",IF(AND($A292&gt;=Controls!$B$27,$A292&lt;Controls!$B$27+Controls!$C$27),(Controls!$D$27-1)*EXP(-0.5*(($A292-Controls!$B$27-(Controls!$C$27-1)/2)/MAX(Controls!$C$27/4,0.5))^2),0))</f>
        <v/>
      </c>
      <c r="O292" s="10" t="str">
        <f>IF($A292="","",IF(AND($A292&gt;=Controls!$B$28,$A292&lt;Controls!$B$28+Controls!$C$28),(Controls!$D$28-1)*EXP(-0.5*(($A292-Controls!$B$28-(Controls!$C$28-1)/2)/MAX(Controls!$C$28/4,0.5))^2),0))</f>
        <v/>
      </c>
      <c r="P292" s="4" t="str">
        <f t="shared" si="1"/>
        <v/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21.0" customHeight="1">
      <c r="A293" s="7" t="str">
        <f>IF(292&lt;=Controls!$B$5,Controls!$B$4+291,"")</f>
        <v/>
      </c>
      <c r="B293" s="10" t="str">
        <f>IF(Random!V293="","",IF(Controls!$B$7="Normal",Controls!$B$8,(Controls!$B$8+Controls!$B$9)/2)+Controls!$B$10*(B292-IF(Controls!$B$7="Normal",Controls!$B$8,(Controls!$B$8+Controls!$B$9)/2))+SQRT(1-Controls!$B$10^2)*(Random!V293-IF(Controls!$B$7="Normal",Controls!$B$8,(Controls!$B$8+Controls!$B$9)/2)))</f>
        <v/>
      </c>
      <c r="C293" s="10" t="str">
        <f>IF(Random!W293="","",IF(Controls!$B$7="Normal",Controls!$B$8,(Controls!$B$8+Controls!$B$9)/2)+Controls!$B$10*(C292-IF(Controls!$B$7="Normal",Controls!$B$8,(Controls!$B$8+Controls!$B$9)/2))+SQRT(1-Controls!$B$10^2)*(Random!W293-IF(Controls!$B$7="Normal",Controls!$B$8,(Controls!$B$8+Controls!$B$9)/2)))</f>
        <v/>
      </c>
      <c r="D293" s="10" t="str">
        <f>IF(Random!X293="","",IF(Controls!$B$7="Normal",Controls!$B$8,(Controls!$B$8+Controls!$B$9)/2)+Controls!$B$10*(D292-IF(Controls!$B$7="Normal",Controls!$B$8,(Controls!$B$8+Controls!$B$9)/2))+SQRT(1-Controls!$B$10^2)*(Random!X293-IF(Controls!$B$7="Normal",Controls!$B$8,(Controls!$B$8+Controls!$B$9)/2)))</f>
        <v/>
      </c>
      <c r="E293" s="10" t="str">
        <f>IF(Random!Y293="","",IF(Controls!$B$7="Normal",Controls!$B$8,(Controls!$B$8+Controls!$B$9)/2)+Controls!$B$10*(E292-IF(Controls!$B$7="Normal",Controls!$B$8,(Controls!$B$8+Controls!$B$9)/2))+SQRT(1-Controls!$B$10^2)*(Random!Y293-IF(Controls!$B$7="Normal",Controls!$B$8,(Controls!$B$8+Controls!$B$9)/2)))</f>
        <v/>
      </c>
      <c r="F293" s="10" t="str">
        <f>IF(Random!Z293="","",IF(Controls!$B$7="Normal",Controls!$B$8,(Controls!$B$8+Controls!$B$9)/2)+Controls!$B$10*(F292-IF(Controls!$B$7="Normal",Controls!$B$8,(Controls!$B$8+Controls!$B$9)/2))+SQRT(1-Controls!$B$10^2)*(Random!Z293-IF(Controls!$B$7="Normal",Controls!$B$8,(Controls!$B$8+Controls!$B$9)/2)))</f>
        <v/>
      </c>
      <c r="G293" s="10" t="str">
        <f>IF(Random!AA293="","",IF(Controls!$B$7="Normal",Controls!$B$8,(Controls!$B$8+Controls!$B$9)/2)+Controls!$B$10*(G292-IF(Controls!$B$7="Normal",Controls!$B$8,(Controls!$B$8+Controls!$B$9)/2))+SQRT(1-Controls!$B$10^2)*(Random!AA293-IF(Controls!$B$7="Normal",Controls!$B$8,(Controls!$B$8+Controls!$B$9)/2)))</f>
        <v/>
      </c>
      <c r="H293" s="10" t="str">
        <f>IF(Random!AB293="","",IF(Controls!$B$7="Normal",Controls!$B$8,(Controls!$B$8+Controls!$B$9)/2)+Controls!$B$10*(H292-IF(Controls!$B$7="Normal",Controls!$B$8,(Controls!$B$8+Controls!$B$9)/2))+SQRT(1-Controls!$B$10^2)*(Random!AB293-IF(Controls!$B$7="Normal",Controls!$B$8,(Controls!$B$8+Controls!$B$9)/2)))</f>
        <v/>
      </c>
      <c r="I293" s="10" t="str">
        <f>IF(Random!AC293="","",IF(Controls!$B$7="Normal",Controls!$B$8,(Controls!$B$8+Controls!$B$9)/2)+Controls!$B$10*(I292-IF(Controls!$B$7="Normal",Controls!$B$8,(Controls!$B$8+Controls!$B$9)/2))+SQRT(1-Controls!$B$10^2)*(Random!AC293-IF(Controls!$B$7="Normal",Controls!$B$8,(Controls!$B$8+Controls!$B$9)/2)))</f>
        <v/>
      </c>
      <c r="J293" s="10" t="str">
        <f>IF(Random!AD293="","",IF(Controls!$B$7="Normal",Controls!$B$8,(Controls!$B$8+Controls!$B$9)/2)+Controls!$B$10*(J292-IF(Controls!$B$7="Normal",Controls!$B$8,(Controls!$B$8+Controls!$B$9)/2))+SQRT(1-Controls!$B$10^2)*(Random!AD293-IF(Controls!$B$7="Normal",Controls!$B$8,(Controls!$B$8+Controls!$B$9)/2)))</f>
        <v/>
      </c>
      <c r="K293" s="10" t="str">
        <f>IF(Random!AE293="","",IF(Controls!$B$7="Normal",Controls!$B$8,(Controls!$B$8+Controls!$B$9)/2)+Controls!$B$10*(K292-IF(Controls!$B$7="Normal",Controls!$B$8,(Controls!$B$8+Controls!$B$9)/2))+SQRT(1-Controls!$B$10^2)*(Random!AE293-IF(Controls!$B$7="Normal",Controls!$B$8,(Controls!$B$8+Controls!$B$9)/2)))</f>
        <v/>
      </c>
      <c r="L293" s="10" t="str">
        <f>IF($A293="","",IF(AND($A293&gt;=Controls!$B$25,$A293&lt;Controls!$B$25+Controls!$C$25),(Controls!$D$25-1)*EXP(-0.5*(($A293-Controls!$B$25-(Controls!$C$25-1)/2)/MAX(Controls!$C$25/4,0.5))^2),0))</f>
        <v/>
      </c>
      <c r="M293" s="10" t="str">
        <f>IF($A293="","",IF(AND($A293&gt;=Controls!$B$26,$A293&lt;Controls!$B$26+Controls!$C$26),(Controls!$D$26-1)*EXP(-0.5*(($A293-Controls!$B$26-(Controls!$C$26-1)/2)/MAX(Controls!$C$26/4,0.5))^2),0))</f>
        <v/>
      </c>
      <c r="N293" s="10" t="str">
        <f>IF($A293="","",IF(AND($A293&gt;=Controls!$B$27,$A293&lt;Controls!$B$27+Controls!$C$27),(Controls!$D$27-1)*EXP(-0.5*(($A293-Controls!$B$27-(Controls!$C$27-1)/2)/MAX(Controls!$C$27/4,0.5))^2),0))</f>
        <v/>
      </c>
      <c r="O293" s="10" t="str">
        <f>IF($A293="","",IF(AND($A293&gt;=Controls!$B$28,$A293&lt;Controls!$B$28+Controls!$C$28),(Controls!$D$28-1)*EXP(-0.5*(($A293-Controls!$B$28-(Controls!$C$28-1)/2)/MAX(Controls!$C$28/4,0.5))^2),0))</f>
        <v/>
      </c>
      <c r="P293" s="4" t="str">
        <f t="shared" si="1"/>
        <v/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21.0" customHeight="1">
      <c r="A294" s="7" t="str">
        <f>IF(293&lt;=Controls!$B$5,Controls!$B$4+292,"")</f>
        <v/>
      </c>
      <c r="B294" s="10" t="str">
        <f>IF(Random!V294="","",IF(Controls!$B$7="Normal",Controls!$B$8,(Controls!$B$8+Controls!$B$9)/2)+Controls!$B$10*(B293-IF(Controls!$B$7="Normal",Controls!$B$8,(Controls!$B$8+Controls!$B$9)/2))+SQRT(1-Controls!$B$10^2)*(Random!V294-IF(Controls!$B$7="Normal",Controls!$B$8,(Controls!$B$8+Controls!$B$9)/2)))</f>
        <v/>
      </c>
      <c r="C294" s="10" t="str">
        <f>IF(Random!W294="","",IF(Controls!$B$7="Normal",Controls!$B$8,(Controls!$B$8+Controls!$B$9)/2)+Controls!$B$10*(C293-IF(Controls!$B$7="Normal",Controls!$B$8,(Controls!$B$8+Controls!$B$9)/2))+SQRT(1-Controls!$B$10^2)*(Random!W294-IF(Controls!$B$7="Normal",Controls!$B$8,(Controls!$B$8+Controls!$B$9)/2)))</f>
        <v/>
      </c>
      <c r="D294" s="10" t="str">
        <f>IF(Random!X294="","",IF(Controls!$B$7="Normal",Controls!$B$8,(Controls!$B$8+Controls!$B$9)/2)+Controls!$B$10*(D293-IF(Controls!$B$7="Normal",Controls!$B$8,(Controls!$B$8+Controls!$B$9)/2))+SQRT(1-Controls!$B$10^2)*(Random!X294-IF(Controls!$B$7="Normal",Controls!$B$8,(Controls!$B$8+Controls!$B$9)/2)))</f>
        <v/>
      </c>
      <c r="E294" s="10" t="str">
        <f>IF(Random!Y294="","",IF(Controls!$B$7="Normal",Controls!$B$8,(Controls!$B$8+Controls!$B$9)/2)+Controls!$B$10*(E293-IF(Controls!$B$7="Normal",Controls!$B$8,(Controls!$B$8+Controls!$B$9)/2))+SQRT(1-Controls!$B$10^2)*(Random!Y294-IF(Controls!$B$7="Normal",Controls!$B$8,(Controls!$B$8+Controls!$B$9)/2)))</f>
        <v/>
      </c>
      <c r="F294" s="10" t="str">
        <f>IF(Random!Z294="","",IF(Controls!$B$7="Normal",Controls!$B$8,(Controls!$B$8+Controls!$B$9)/2)+Controls!$B$10*(F293-IF(Controls!$B$7="Normal",Controls!$B$8,(Controls!$B$8+Controls!$B$9)/2))+SQRT(1-Controls!$B$10^2)*(Random!Z294-IF(Controls!$B$7="Normal",Controls!$B$8,(Controls!$B$8+Controls!$B$9)/2)))</f>
        <v/>
      </c>
      <c r="G294" s="10" t="str">
        <f>IF(Random!AA294="","",IF(Controls!$B$7="Normal",Controls!$B$8,(Controls!$B$8+Controls!$B$9)/2)+Controls!$B$10*(G293-IF(Controls!$B$7="Normal",Controls!$B$8,(Controls!$B$8+Controls!$B$9)/2))+SQRT(1-Controls!$B$10^2)*(Random!AA294-IF(Controls!$B$7="Normal",Controls!$B$8,(Controls!$B$8+Controls!$B$9)/2)))</f>
        <v/>
      </c>
      <c r="H294" s="10" t="str">
        <f>IF(Random!AB294="","",IF(Controls!$B$7="Normal",Controls!$B$8,(Controls!$B$8+Controls!$B$9)/2)+Controls!$B$10*(H293-IF(Controls!$B$7="Normal",Controls!$B$8,(Controls!$B$8+Controls!$B$9)/2))+SQRT(1-Controls!$B$10^2)*(Random!AB294-IF(Controls!$B$7="Normal",Controls!$B$8,(Controls!$B$8+Controls!$B$9)/2)))</f>
        <v/>
      </c>
      <c r="I294" s="10" t="str">
        <f>IF(Random!AC294="","",IF(Controls!$B$7="Normal",Controls!$B$8,(Controls!$B$8+Controls!$B$9)/2)+Controls!$B$10*(I293-IF(Controls!$B$7="Normal",Controls!$B$8,(Controls!$B$8+Controls!$B$9)/2))+SQRT(1-Controls!$B$10^2)*(Random!AC294-IF(Controls!$B$7="Normal",Controls!$B$8,(Controls!$B$8+Controls!$B$9)/2)))</f>
        <v/>
      </c>
      <c r="J294" s="10" t="str">
        <f>IF(Random!AD294="","",IF(Controls!$B$7="Normal",Controls!$B$8,(Controls!$B$8+Controls!$B$9)/2)+Controls!$B$10*(J293-IF(Controls!$B$7="Normal",Controls!$B$8,(Controls!$B$8+Controls!$B$9)/2))+SQRT(1-Controls!$B$10^2)*(Random!AD294-IF(Controls!$B$7="Normal",Controls!$B$8,(Controls!$B$8+Controls!$B$9)/2)))</f>
        <v/>
      </c>
      <c r="K294" s="10" t="str">
        <f>IF(Random!AE294="","",IF(Controls!$B$7="Normal",Controls!$B$8,(Controls!$B$8+Controls!$B$9)/2)+Controls!$B$10*(K293-IF(Controls!$B$7="Normal",Controls!$B$8,(Controls!$B$8+Controls!$B$9)/2))+SQRT(1-Controls!$B$10^2)*(Random!AE294-IF(Controls!$B$7="Normal",Controls!$B$8,(Controls!$B$8+Controls!$B$9)/2)))</f>
        <v/>
      </c>
      <c r="L294" s="10" t="str">
        <f>IF($A294="","",IF(AND($A294&gt;=Controls!$B$25,$A294&lt;Controls!$B$25+Controls!$C$25),(Controls!$D$25-1)*EXP(-0.5*(($A294-Controls!$B$25-(Controls!$C$25-1)/2)/MAX(Controls!$C$25/4,0.5))^2),0))</f>
        <v/>
      </c>
      <c r="M294" s="10" t="str">
        <f>IF($A294="","",IF(AND($A294&gt;=Controls!$B$26,$A294&lt;Controls!$B$26+Controls!$C$26),(Controls!$D$26-1)*EXP(-0.5*(($A294-Controls!$B$26-(Controls!$C$26-1)/2)/MAX(Controls!$C$26/4,0.5))^2),0))</f>
        <v/>
      </c>
      <c r="N294" s="10" t="str">
        <f>IF($A294="","",IF(AND($A294&gt;=Controls!$B$27,$A294&lt;Controls!$B$27+Controls!$C$27),(Controls!$D$27-1)*EXP(-0.5*(($A294-Controls!$B$27-(Controls!$C$27-1)/2)/MAX(Controls!$C$27/4,0.5))^2),0))</f>
        <v/>
      </c>
      <c r="O294" s="10" t="str">
        <f>IF($A294="","",IF(AND($A294&gt;=Controls!$B$28,$A294&lt;Controls!$B$28+Controls!$C$28),(Controls!$D$28-1)*EXP(-0.5*(($A294-Controls!$B$28-(Controls!$C$28-1)/2)/MAX(Controls!$C$28/4,0.5))^2),0))</f>
        <v/>
      </c>
      <c r="P294" s="4" t="str">
        <f t="shared" si="1"/>
        <v/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21.0" customHeight="1">
      <c r="A295" s="7" t="str">
        <f>IF(294&lt;=Controls!$B$5,Controls!$B$4+293,"")</f>
        <v/>
      </c>
      <c r="B295" s="10" t="str">
        <f>IF(Random!V295="","",IF(Controls!$B$7="Normal",Controls!$B$8,(Controls!$B$8+Controls!$B$9)/2)+Controls!$B$10*(B294-IF(Controls!$B$7="Normal",Controls!$B$8,(Controls!$B$8+Controls!$B$9)/2))+SQRT(1-Controls!$B$10^2)*(Random!V295-IF(Controls!$B$7="Normal",Controls!$B$8,(Controls!$B$8+Controls!$B$9)/2)))</f>
        <v/>
      </c>
      <c r="C295" s="10" t="str">
        <f>IF(Random!W295="","",IF(Controls!$B$7="Normal",Controls!$B$8,(Controls!$B$8+Controls!$B$9)/2)+Controls!$B$10*(C294-IF(Controls!$B$7="Normal",Controls!$B$8,(Controls!$B$8+Controls!$B$9)/2))+SQRT(1-Controls!$B$10^2)*(Random!W295-IF(Controls!$B$7="Normal",Controls!$B$8,(Controls!$B$8+Controls!$B$9)/2)))</f>
        <v/>
      </c>
      <c r="D295" s="10" t="str">
        <f>IF(Random!X295="","",IF(Controls!$B$7="Normal",Controls!$B$8,(Controls!$B$8+Controls!$B$9)/2)+Controls!$B$10*(D294-IF(Controls!$B$7="Normal",Controls!$B$8,(Controls!$B$8+Controls!$B$9)/2))+SQRT(1-Controls!$B$10^2)*(Random!X295-IF(Controls!$B$7="Normal",Controls!$B$8,(Controls!$B$8+Controls!$B$9)/2)))</f>
        <v/>
      </c>
      <c r="E295" s="10" t="str">
        <f>IF(Random!Y295="","",IF(Controls!$B$7="Normal",Controls!$B$8,(Controls!$B$8+Controls!$B$9)/2)+Controls!$B$10*(E294-IF(Controls!$B$7="Normal",Controls!$B$8,(Controls!$B$8+Controls!$B$9)/2))+SQRT(1-Controls!$B$10^2)*(Random!Y295-IF(Controls!$B$7="Normal",Controls!$B$8,(Controls!$B$8+Controls!$B$9)/2)))</f>
        <v/>
      </c>
      <c r="F295" s="10" t="str">
        <f>IF(Random!Z295="","",IF(Controls!$B$7="Normal",Controls!$B$8,(Controls!$B$8+Controls!$B$9)/2)+Controls!$B$10*(F294-IF(Controls!$B$7="Normal",Controls!$B$8,(Controls!$B$8+Controls!$B$9)/2))+SQRT(1-Controls!$B$10^2)*(Random!Z295-IF(Controls!$B$7="Normal",Controls!$B$8,(Controls!$B$8+Controls!$B$9)/2)))</f>
        <v/>
      </c>
      <c r="G295" s="10" t="str">
        <f>IF(Random!AA295="","",IF(Controls!$B$7="Normal",Controls!$B$8,(Controls!$B$8+Controls!$B$9)/2)+Controls!$B$10*(G294-IF(Controls!$B$7="Normal",Controls!$B$8,(Controls!$B$8+Controls!$B$9)/2))+SQRT(1-Controls!$B$10^2)*(Random!AA295-IF(Controls!$B$7="Normal",Controls!$B$8,(Controls!$B$8+Controls!$B$9)/2)))</f>
        <v/>
      </c>
      <c r="H295" s="10" t="str">
        <f>IF(Random!AB295="","",IF(Controls!$B$7="Normal",Controls!$B$8,(Controls!$B$8+Controls!$B$9)/2)+Controls!$B$10*(H294-IF(Controls!$B$7="Normal",Controls!$B$8,(Controls!$B$8+Controls!$B$9)/2))+SQRT(1-Controls!$B$10^2)*(Random!AB295-IF(Controls!$B$7="Normal",Controls!$B$8,(Controls!$B$8+Controls!$B$9)/2)))</f>
        <v/>
      </c>
      <c r="I295" s="10" t="str">
        <f>IF(Random!AC295="","",IF(Controls!$B$7="Normal",Controls!$B$8,(Controls!$B$8+Controls!$B$9)/2)+Controls!$B$10*(I294-IF(Controls!$B$7="Normal",Controls!$B$8,(Controls!$B$8+Controls!$B$9)/2))+SQRT(1-Controls!$B$10^2)*(Random!AC295-IF(Controls!$B$7="Normal",Controls!$B$8,(Controls!$B$8+Controls!$B$9)/2)))</f>
        <v/>
      </c>
      <c r="J295" s="10" t="str">
        <f>IF(Random!AD295="","",IF(Controls!$B$7="Normal",Controls!$B$8,(Controls!$B$8+Controls!$B$9)/2)+Controls!$B$10*(J294-IF(Controls!$B$7="Normal",Controls!$B$8,(Controls!$B$8+Controls!$B$9)/2))+SQRT(1-Controls!$B$10^2)*(Random!AD295-IF(Controls!$B$7="Normal",Controls!$B$8,(Controls!$B$8+Controls!$B$9)/2)))</f>
        <v/>
      </c>
      <c r="K295" s="10" t="str">
        <f>IF(Random!AE295="","",IF(Controls!$B$7="Normal",Controls!$B$8,(Controls!$B$8+Controls!$B$9)/2)+Controls!$B$10*(K294-IF(Controls!$B$7="Normal",Controls!$B$8,(Controls!$B$8+Controls!$B$9)/2))+SQRT(1-Controls!$B$10^2)*(Random!AE295-IF(Controls!$B$7="Normal",Controls!$B$8,(Controls!$B$8+Controls!$B$9)/2)))</f>
        <v/>
      </c>
      <c r="L295" s="10" t="str">
        <f>IF($A295="","",IF(AND($A295&gt;=Controls!$B$25,$A295&lt;Controls!$B$25+Controls!$C$25),(Controls!$D$25-1)*EXP(-0.5*(($A295-Controls!$B$25-(Controls!$C$25-1)/2)/MAX(Controls!$C$25/4,0.5))^2),0))</f>
        <v/>
      </c>
      <c r="M295" s="10" t="str">
        <f>IF($A295="","",IF(AND($A295&gt;=Controls!$B$26,$A295&lt;Controls!$B$26+Controls!$C$26),(Controls!$D$26-1)*EXP(-0.5*(($A295-Controls!$B$26-(Controls!$C$26-1)/2)/MAX(Controls!$C$26/4,0.5))^2),0))</f>
        <v/>
      </c>
      <c r="N295" s="10" t="str">
        <f>IF($A295="","",IF(AND($A295&gt;=Controls!$B$27,$A295&lt;Controls!$B$27+Controls!$C$27),(Controls!$D$27-1)*EXP(-0.5*(($A295-Controls!$B$27-(Controls!$C$27-1)/2)/MAX(Controls!$C$27/4,0.5))^2),0))</f>
        <v/>
      </c>
      <c r="O295" s="10" t="str">
        <f>IF($A295="","",IF(AND($A295&gt;=Controls!$B$28,$A295&lt;Controls!$B$28+Controls!$C$28),(Controls!$D$28-1)*EXP(-0.5*(($A295-Controls!$B$28-(Controls!$C$28-1)/2)/MAX(Controls!$C$28/4,0.5))^2),0))</f>
        <v/>
      </c>
      <c r="P295" s="4" t="str">
        <f t="shared" si="1"/>
        <v/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21.0" customHeight="1">
      <c r="A296" s="7" t="str">
        <f>IF(295&lt;=Controls!$B$5,Controls!$B$4+294,"")</f>
        <v/>
      </c>
      <c r="B296" s="10" t="str">
        <f>IF(Random!V296="","",IF(Controls!$B$7="Normal",Controls!$B$8,(Controls!$B$8+Controls!$B$9)/2)+Controls!$B$10*(B295-IF(Controls!$B$7="Normal",Controls!$B$8,(Controls!$B$8+Controls!$B$9)/2))+SQRT(1-Controls!$B$10^2)*(Random!V296-IF(Controls!$B$7="Normal",Controls!$B$8,(Controls!$B$8+Controls!$B$9)/2)))</f>
        <v/>
      </c>
      <c r="C296" s="10" t="str">
        <f>IF(Random!W296="","",IF(Controls!$B$7="Normal",Controls!$B$8,(Controls!$B$8+Controls!$B$9)/2)+Controls!$B$10*(C295-IF(Controls!$B$7="Normal",Controls!$B$8,(Controls!$B$8+Controls!$B$9)/2))+SQRT(1-Controls!$B$10^2)*(Random!W296-IF(Controls!$B$7="Normal",Controls!$B$8,(Controls!$B$8+Controls!$B$9)/2)))</f>
        <v/>
      </c>
      <c r="D296" s="10" t="str">
        <f>IF(Random!X296="","",IF(Controls!$B$7="Normal",Controls!$B$8,(Controls!$B$8+Controls!$B$9)/2)+Controls!$B$10*(D295-IF(Controls!$B$7="Normal",Controls!$B$8,(Controls!$B$8+Controls!$B$9)/2))+SQRT(1-Controls!$B$10^2)*(Random!X296-IF(Controls!$B$7="Normal",Controls!$B$8,(Controls!$B$8+Controls!$B$9)/2)))</f>
        <v/>
      </c>
      <c r="E296" s="10" t="str">
        <f>IF(Random!Y296="","",IF(Controls!$B$7="Normal",Controls!$B$8,(Controls!$B$8+Controls!$B$9)/2)+Controls!$B$10*(E295-IF(Controls!$B$7="Normal",Controls!$B$8,(Controls!$B$8+Controls!$B$9)/2))+SQRT(1-Controls!$B$10^2)*(Random!Y296-IF(Controls!$B$7="Normal",Controls!$B$8,(Controls!$B$8+Controls!$B$9)/2)))</f>
        <v/>
      </c>
      <c r="F296" s="10" t="str">
        <f>IF(Random!Z296="","",IF(Controls!$B$7="Normal",Controls!$B$8,(Controls!$B$8+Controls!$B$9)/2)+Controls!$B$10*(F295-IF(Controls!$B$7="Normal",Controls!$B$8,(Controls!$B$8+Controls!$B$9)/2))+SQRT(1-Controls!$B$10^2)*(Random!Z296-IF(Controls!$B$7="Normal",Controls!$B$8,(Controls!$B$8+Controls!$B$9)/2)))</f>
        <v/>
      </c>
      <c r="G296" s="10" t="str">
        <f>IF(Random!AA296="","",IF(Controls!$B$7="Normal",Controls!$B$8,(Controls!$B$8+Controls!$B$9)/2)+Controls!$B$10*(G295-IF(Controls!$B$7="Normal",Controls!$B$8,(Controls!$B$8+Controls!$B$9)/2))+SQRT(1-Controls!$B$10^2)*(Random!AA296-IF(Controls!$B$7="Normal",Controls!$B$8,(Controls!$B$8+Controls!$B$9)/2)))</f>
        <v/>
      </c>
      <c r="H296" s="10" t="str">
        <f>IF(Random!AB296="","",IF(Controls!$B$7="Normal",Controls!$B$8,(Controls!$B$8+Controls!$B$9)/2)+Controls!$B$10*(H295-IF(Controls!$B$7="Normal",Controls!$B$8,(Controls!$B$8+Controls!$B$9)/2))+SQRT(1-Controls!$B$10^2)*(Random!AB296-IF(Controls!$B$7="Normal",Controls!$B$8,(Controls!$B$8+Controls!$B$9)/2)))</f>
        <v/>
      </c>
      <c r="I296" s="10" t="str">
        <f>IF(Random!AC296="","",IF(Controls!$B$7="Normal",Controls!$B$8,(Controls!$B$8+Controls!$B$9)/2)+Controls!$B$10*(I295-IF(Controls!$B$7="Normal",Controls!$B$8,(Controls!$B$8+Controls!$B$9)/2))+SQRT(1-Controls!$B$10^2)*(Random!AC296-IF(Controls!$B$7="Normal",Controls!$B$8,(Controls!$B$8+Controls!$B$9)/2)))</f>
        <v/>
      </c>
      <c r="J296" s="10" t="str">
        <f>IF(Random!AD296="","",IF(Controls!$B$7="Normal",Controls!$B$8,(Controls!$B$8+Controls!$B$9)/2)+Controls!$B$10*(J295-IF(Controls!$B$7="Normal",Controls!$B$8,(Controls!$B$8+Controls!$B$9)/2))+SQRT(1-Controls!$B$10^2)*(Random!AD296-IF(Controls!$B$7="Normal",Controls!$B$8,(Controls!$B$8+Controls!$B$9)/2)))</f>
        <v/>
      </c>
      <c r="K296" s="10" t="str">
        <f>IF(Random!AE296="","",IF(Controls!$B$7="Normal",Controls!$B$8,(Controls!$B$8+Controls!$B$9)/2)+Controls!$B$10*(K295-IF(Controls!$B$7="Normal",Controls!$B$8,(Controls!$B$8+Controls!$B$9)/2))+SQRT(1-Controls!$B$10^2)*(Random!AE296-IF(Controls!$B$7="Normal",Controls!$B$8,(Controls!$B$8+Controls!$B$9)/2)))</f>
        <v/>
      </c>
      <c r="L296" s="10" t="str">
        <f>IF($A296="","",IF(AND($A296&gt;=Controls!$B$25,$A296&lt;Controls!$B$25+Controls!$C$25),(Controls!$D$25-1)*EXP(-0.5*(($A296-Controls!$B$25-(Controls!$C$25-1)/2)/MAX(Controls!$C$25/4,0.5))^2),0))</f>
        <v/>
      </c>
      <c r="M296" s="10" t="str">
        <f>IF($A296="","",IF(AND($A296&gt;=Controls!$B$26,$A296&lt;Controls!$B$26+Controls!$C$26),(Controls!$D$26-1)*EXP(-0.5*(($A296-Controls!$B$26-(Controls!$C$26-1)/2)/MAX(Controls!$C$26/4,0.5))^2),0))</f>
        <v/>
      </c>
      <c r="N296" s="10" t="str">
        <f>IF($A296="","",IF(AND($A296&gt;=Controls!$B$27,$A296&lt;Controls!$B$27+Controls!$C$27),(Controls!$D$27-1)*EXP(-0.5*(($A296-Controls!$B$27-(Controls!$C$27-1)/2)/MAX(Controls!$C$27/4,0.5))^2),0))</f>
        <v/>
      </c>
      <c r="O296" s="10" t="str">
        <f>IF($A296="","",IF(AND($A296&gt;=Controls!$B$28,$A296&lt;Controls!$B$28+Controls!$C$28),(Controls!$D$28-1)*EXP(-0.5*(($A296-Controls!$B$28-(Controls!$C$28-1)/2)/MAX(Controls!$C$28/4,0.5))^2),0))</f>
        <v/>
      </c>
      <c r="P296" s="4" t="str">
        <f t="shared" si="1"/>
        <v/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21.0" customHeight="1">
      <c r="A297" s="7" t="str">
        <f>IF(296&lt;=Controls!$B$5,Controls!$B$4+295,"")</f>
        <v/>
      </c>
      <c r="B297" s="10" t="str">
        <f>IF(Random!V297="","",IF(Controls!$B$7="Normal",Controls!$B$8,(Controls!$B$8+Controls!$B$9)/2)+Controls!$B$10*(B296-IF(Controls!$B$7="Normal",Controls!$B$8,(Controls!$B$8+Controls!$B$9)/2))+SQRT(1-Controls!$B$10^2)*(Random!V297-IF(Controls!$B$7="Normal",Controls!$B$8,(Controls!$B$8+Controls!$B$9)/2)))</f>
        <v/>
      </c>
      <c r="C297" s="10" t="str">
        <f>IF(Random!W297="","",IF(Controls!$B$7="Normal",Controls!$B$8,(Controls!$B$8+Controls!$B$9)/2)+Controls!$B$10*(C296-IF(Controls!$B$7="Normal",Controls!$B$8,(Controls!$B$8+Controls!$B$9)/2))+SQRT(1-Controls!$B$10^2)*(Random!W297-IF(Controls!$B$7="Normal",Controls!$B$8,(Controls!$B$8+Controls!$B$9)/2)))</f>
        <v/>
      </c>
      <c r="D297" s="10" t="str">
        <f>IF(Random!X297="","",IF(Controls!$B$7="Normal",Controls!$B$8,(Controls!$B$8+Controls!$B$9)/2)+Controls!$B$10*(D296-IF(Controls!$B$7="Normal",Controls!$B$8,(Controls!$B$8+Controls!$B$9)/2))+SQRT(1-Controls!$B$10^2)*(Random!X297-IF(Controls!$B$7="Normal",Controls!$B$8,(Controls!$B$8+Controls!$B$9)/2)))</f>
        <v/>
      </c>
      <c r="E297" s="10" t="str">
        <f>IF(Random!Y297="","",IF(Controls!$B$7="Normal",Controls!$B$8,(Controls!$B$8+Controls!$B$9)/2)+Controls!$B$10*(E296-IF(Controls!$B$7="Normal",Controls!$B$8,(Controls!$B$8+Controls!$B$9)/2))+SQRT(1-Controls!$B$10^2)*(Random!Y297-IF(Controls!$B$7="Normal",Controls!$B$8,(Controls!$B$8+Controls!$B$9)/2)))</f>
        <v/>
      </c>
      <c r="F297" s="10" t="str">
        <f>IF(Random!Z297="","",IF(Controls!$B$7="Normal",Controls!$B$8,(Controls!$B$8+Controls!$B$9)/2)+Controls!$B$10*(F296-IF(Controls!$B$7="Normal",Controls!$B$8,(Controls!$B$8+Controls!$B$9)/2))+SQRT(1-Controls!$B$10^2)*(Random!Z297-IF(Controls!$B$7="Normal",Controls!$B$8,(Controls!$B$8+Controls!$B$9)/2)))</f>
        <v/>
      </c>
      <c r="G297" s="10" t="str">
        <f>IF(Random!AA297="","",IF(Controls!$B$7="Normal",Controls!$B$8,(Controls!$B$8+Controls!$B$9)/2)+Controls!$B$10*(G296-IF(Controls!$B$7="Normal",Controls!$B$8,(Controls!$B$8+Controls!$B$9)/2))+SQRT(1-Controls!$B$10^2)*(Random!AA297-IF(Controls!$B$7="Normal",Controls!$B$8,(Controls!$B$8+Controls!$B$9)/2)))</f>
        <v/>
      </c>
      <c r="H297" s="10" t="str">
        <f>IF(Random!AB297="","",IF(Controls!$B$7="Normal",Controls!$B$8,(Controls!$B$8+Controls!$B$9)/2)+Controls!$B$10*(H296-IF(Controls!$B$7="Normal",Controls!$B$8,(Controls!$B$8+Controls!$B$9)/2))+SQRT(1-Controls!$B$10^2)*(Random!AB297-IF(Controls!$B$7="Normal",Controls!$B$8,(Controls!$B$8+Controls!$B$9)/2)))</f>
        <v/>
      </c>
      <c r="I297" s="10" t="str">
        <f>IF(Random!AC297="","",IF(Controls!$B$7="Normal",Controls!$B$8,(Controls!$B$8+Controls!$B$9)/2)+Controls!$B$10*(I296-IF(Controls!$B$7="Normal",Controls!$B$8,(Controls!$B$8+Controls!$B$9)/2))+SQRT(1-Controls!$B$10^2)*(Random!AC297-IF(Controls!$B$7="Normal",Controls!$B$8,(Controls!$B$8+Controls!$B$9)/2)))</f>
        <v/>
      </c>
      <c r="J297" s="10" t="str">
        <f>IF(Random!AD297="","",IF(Controls!$B$7="Normal",Controls!$B$8,(Controls!$B$8+Controls!$B$9)/2)+Controls!$B$10*(J296-IF(Controls!$B$7="Normal",Controls!$B$8,(Controls!$B$8+Controls!$B$9)/2))+SQRT(1-Controls!$B$10^2)*(Random!AD297-IF(Controls!$B$7="Normal",Controls!$B$8,(Controls!$B$8+Controls!$B$9)/2)))</f>
        <v/>
      </c>
      <c r="K297" s="10" t="str">
        <f>IF(Random!AE297="","",IF(Controls!$B$7="Normal",Controls!$B$8,(Controls!$B$8+Controls!$B$9)/2)+Controls!$B$10*(K296-IF(Controls!$B$7="Normal",Controls!$B$8,(Controls!$B$8+Controls!$B$9)/2))+SQRT(1-Controls!$B$10^2)*(Random!AE297-IF(Controls!$B$7="Normal",Controls!$B$8,(Controls!$B$8+Controls!$B$9)/2)))</f>
        <v/>
      </c>
      <c r="L297" s="10" t="str">
        <f>IF($A297="","",IF(AND($A297&gt;=Controls!$B$25,$A297&lt;Controls!$B$25+Controls!$C$25),(Controls!$D$25-1)*EXP(-0.5*(($A297-Controls!$B$25-(Controls!$C$25-1)/2)/MAX(Controls!$C$25/4,0.5))^2),0))</f>
        <v/>
      </c>
      <c r="M297" s="10" t="str">
        <f>IF($A297="","",IF(AND($A297&gt;=Controls!$B$26,$A297&lt;Controls!$B$26+Controls!$C$26),(Controls!$D$26-1)*EXP(-0.5*(($A297-Controls!$B$26-(Controls!$C$26-1)/2)/MAX(Controls!$C$26/4,0.5))^2),0))</f>
        <v/>
      </c>
      <c r="N297" s="10" t="str">
        <f>IF($A297="","",IF(AND($A297&gt;=Controls!$B$27,$A297&lt;Controls!$B$27+Controls!$C$27),(Controls!$D$27-1)*EXP(-0.5*(($A297-Controls!$B$27-(Controls!$C$27-1)/2)/MAX(Controls!$C$27/4,0.5))^2),0))</f>
        <v/>
      </c>
      <c r="O297" s="10" t="str">
        <f>IF($A297="","",IF(AND($A297&gt;=Controls!$B$28,$A297&lt;Controls!$B$28+Controls!$C$28),(Controls!$D$28-1)*EXP(-0.5*(($A297-Controls!$B$28-(Controls!$C$28-1)/2)/MAX(Controls!$C$28/4,0.5))^2),0))</f>
        <v/>
      </c>
      <c r="P297" s="4" t="str">
        <f t="shared" si="1"/>
        <v/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21.0" customHeight="1">
      <c r="A298" s="7" t="str">
        <f>IF(297&lt;=Controls!$B$5,Controls!$B$4+296,"")</f>
        <v/>
      </c>
      <c r="B298" s="10" t="str">
        <f>IF(Random!V298="","",IF(Controls!$B$7="Normal",Controls!$B$8,(Controls!$B$8+Controls!$B$9)/2)+Controls!$B$10*(B297-IF(Controls!$B$7="Normal",Controls!$B$8,(Controls!$B$8+Controls!$B$9)/2))+SQRT(1-Controls!$B$10^2)*(Random!V298-IF(Controls!$B$7="Normal",Controls!$B$8,(Controls!$B$8+Controls!$B$9)/2)))</f>
        <v/>
      </c>
      <c r="C298" s="10" t="str">
        <f>IF(Random!W298="","",IF(Controls!$B$7="Normal",Controls!$B$8,(Controls!$B$8+Controls!$B$9)/2)+Controls!$B$10*(C297-IF(Controls!$B$7="Normal",Controls!$B$8,(Controls!$B$8+Controls!$B$9)/2))+SQRT(1-Controls!$B$10^2)*(Random!W298-IF(Controls!$B$7="Normal",Controls!$B$8,(Controls!$B$8+Controls!$B$9)/2)))</f>
        <v/>
      </c>
      <c r="D298" s="10" t="str">
        <f>IF(Random!X298="","",IF(Controls!$B$7="Normal",Controls!$B$8,(Controls!$B$8+Controls!$B$9)/2)+Controls!$B$10*(D297-IF(Controls!$B$7="Normal",Controls!$B$8,(Controls!$B$8+Controls!$B$9)/2))+SQRT(1-Controls!$B$10^2)*(Random!X298-IF(Controls!$B$7="Normal",Controls!$B$8,(Controls!$B$8+Controls!$B$9)/2)))</f>
        <v/>
      </c>
      <c r="E298" s="10" t="str">
        <f>IF(Random!Y298="","",IF(Controls!$B$7="Normal",Controls!$B$8,(Controls!$B$8+Controls!$B$9)/2)+Controls!$B$10*(E297-IF(Controls!$B$7="Normal",Controls!$B$8,(Controls!$B$8+Controls!$B$9)/2))+SQRT(1-Controls!$B$10^2)*(Random!Y298-IF(Controls!$B$7="Normal",Controls!$B$8,(Controls!$B$8+Controls!$B$9)/2)))</f>
        <v/>
      </c>
      <c r="F298" s="10" t="str">
        <f>IF(Random!Z298="","",IF(Controls!$B$7="Normal",Controls!$B$8,(Controls!$B$8+Controls!$B$9)/2)+Controls!$B$10*(F297-IF(Controls!$B$7="Normal",Controls!$B$8,(Controls!$B$8+Controls!$B$9)/2))+SQRT(1-Controls!$B$10^2)*(Random!Z298-IF(Controls!$B$7="Normal",Controls!$B$8,(Controls!$B$8+Controls!$B$9)/2)))</f>
        <v/>
      </c>
      <c r="G298" s="10" t="str">
        <f>IF(Random!AA298="","",IF(Controls!$B$7="Normal",Controls!$B$8,(Controls!$B$8+Controls!$B$9)/2)+Controls!$B$10*(G297-IF(Controls!$B$7="Normal",Controls!$B$8,(Controls!$B$8+Controls!$B$9)/2))+SQRT(1-Controls!$B$10^2)*(Random!AA298-IF(Controls!$B$7="Normal",Controls!$B$8,(Controls!$B$8+Controls!$B$9)/2)))</f>
        <v/>
      </c>
      <c r="H298" s="10" t="str">
        <f>IF(Random!AB298="","",IF(Controls!$B$7="Normal",Controls!$B$8,(Controls!$B$8+Controls!$B$9)/2)+Controls!$B$10*(H297-IF(Controls!$B$7="Normal",Controls!$B$8,(Controls!$B$8+Controls!$B$9)/2))+SQRT(1-Controls!$B$10^2)*(Random!AB298-IF(Controls!$B$7="Normal",Controls!$B$8,(Controls!$B$8+Controls!$B$9)/2)))</f>
        <v/>
      </c>
      <c r="I298" s="10" t="str">
        <f>IF(Random!AC298="","",IF(Controls!$B$7="Normal",Controls!$B$8,(Controls!$B$8+Controls!$B$9)/2)+Controls!$B$10*(I297-IF(Controls!$B$7="Normal",Controls!$B$8,(Controls!$B$8+Controls!$B$9)/2))+SQRT(1-Controls!$B$10^2)*(Random!AC298-IF(Controls!$B$7="Normal",Controls!$B$8,(Controls!$B$8+Controls!$B$9)/2)))</f>
        <v/>
      </c>
      <c r="J298" s="10" t="str">
        <f>IF(Random!AD298="","",IF(Controls!$B$7="Normal",Controls!$B$8,(Controls!$B$8+Controls!$B$9)/2)+Controls!$B$10*(J297-IF(Controls!$B$7="Normal",Controls!$B$8,(Controls!$B$8+Controls!$B$9)/2))+SQRT(1-Controls!$B$10^2)*(Random!AD298-IF(Controls!$B$7="Normal",Controls!$B$8,(Controls!$B$8+Controls!$B$9)/2)))</f>
        <v/>
      </c>
      <c r="K298" s="10" t="str">
        <f>IF(Random!AE298="","",IF(Controls!$B$7="Normal",Controls!$B$8,(Controls!$B$8+Controls!$B$9)/2)+Controls!$B$10*(K297-IF(Controls!$B$7="Normal",Controls!$B$8,(Controls!$B$8+Controls!$B$9)/2))+SQRT(1-Controls!$B$10^2)*(Random!AE298-IF(Controls!$B$7="Normal",Controls!$B$8,(Controls!$B$8+Controls!$B$9)/2)))</f>
        <v/>
      </c>
      <c r="L298" s="10" t="str">
        <f>IF($A298="","",IF(AND($A298&gt;=Controls!$B$25,$A298&lt;Controls!$B$25+Controls!$C$25),(Controls!$D$25-1)*EXP(-0.5*(($A298-Controls!$B$25-(Controls!$C$25-1)/2)/MAX(Controls!$C$25/4,0.5))^2),0))</f>
        <v/>
      </c>
      <c r="M298" s="10" t="str">
        <f>IF($A298="","",IF(AND($A298&gt;=Controls!$B$26,$A298&lt;Controls!$B$26+Controls!$C$26),(Controls!$D$26-1)*EXP(-0.5*(($A298-Controls!$B$26-(Controls!$C$26-1)/2)/MAX(Controls!$C$26/4,0.5))^2),0))</f>
        <v/>
      </c>
      <c r="N298" s="10" t="str">
        <f>IF($A298="","",IF(AND($A298&gt;=Controls!$B$27,$A298&lt;Controls!$B$27+Controls!$C$27),(Controls!$D$27-1)*EXP(-0.5*(($A298-Controls!$B$27-(Controls!$C$27-1)/2)/MAX(Controls!$C$27/4,0.5))^2),0))</f>
        <v/>
      </c>
      <c r="O298" s="10" t="str">
        <f>IF($A298="","",IF(AND($A298&gt;=Controls!$B$28,$A298&lt;Controls!$B$28+Controls!$C$28),(Controls!$D$28-1)*EXP(-0.5*(($A298-Controls!$B$28-(Controls!$C$28-1)/2)/MAX(Controls!$C$28/4,0.5))^2),0))</f>
        <v/>
      </c>
      <c r="P298" s="4" t="str">
        <f t="shared" si="1"/>
        <v/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21.0" customHeight="1">
      <c r="A299" s="7" t="str">
        <f>IF(298&lt;=Controls!$B$5,Controls!$B$4+297,"")</f>
        <v/>
      </c>
      <c r="B299" s="10" t="str">
        <f>IF(Random!V299="","",IF(Controls!$B$7="Normal",Controls!$B$8,(Controls!$B$8+Controls!$B$9)/2)+Controls!$B$10*(B298-IF(Controls!$B$7="Normal",Controls!$B$8,(Controls!$B$8+Controls!$B$9)/2))+SQRT(1-Controls!$B$10^2)*(Random!V299-IF(Controls!$B$7="Normal",Controls!$B$8,(Controls!$B$8+Controls!$B$9)/2)))</f>
        <v/>
      </c>
      <c r="C299" s="10" t="str">
        <f>IF(Random!W299="","",IF(Controls!$B$7="Normal",Controls!$B$8,(Controls!$B$8+Controls!$B$9)/2)+Controls!$B$10*(C298-IF(Controls!$B$7="Normal",Controls!$B$8,(Controls!$B$8+Controls!$B$9)/2))+SQRT(1-Controls!$B$10^2)*(Random!W299-IF(Controls!$B$7="Normal",Controls!$B$8,(Controls!$B$8+Controls!$B$9)/2)))</f>
        <v/>
      </c>
      <c r="D299" s="10" t="str">
        <f>IF(Random!X299="","",IF(Controls!$B$7="Normal",Controls!$B$8,(Controls!$B$8+Controls!$B$9)/2)+Controls!$B$10*(D298-IF(Controls!$B$7="Normal",Controls!$B$8,(Controls!$B$8+Controls!$B$9)/2))+SQRT(1-Controls!$B$10^2)*(Random!X299-IF(Controls!$B$7="Normal",Controls!$B$8,(Controls!$B$8+Controls!$B$9)/2)))</f>
        <v/>
      </c>
      <c r="E299" s="10" t="str">
        <f>IF(Random!Y299="","",IF(Controls!$B$7="Normal",Controls!$B$8,(Controls!$B$8+Controls!$B$9)/2)+Controls!$B$10*(E298-IF(Controls!$B$7="Normal",Controls!$B$8,(Controls!$B$8+Controls!$B$9)/2))+SQRT(1-Controls!$B$10^2)*(Random!Y299-IF(Controls!$B$7="Normal",Controls!$B$8,(Controls!$B$8+Controls!$B$9)/2)))</f>
        <v/>
      </c>
      <c r="F299" s="10" t="str">
        <f>IF(Random!Z299="","",IF(Controls!$B$7="Normal",Controls!$B$8,(Controls!$B$8+Controls!$B$9)/2)+Controls!$B$10*(F298-IF(Controls!$B$7="Normal",Controls!$B$8,(Controls!$B$8+Controls!$B$9)/2))+SQRT(1-Controls!$B$10^2)*(Random!Z299-IF(Controls!$B$7="Normal",Controls!$B$8,(Controls!$B$8+Controls!$B$9)/2)))</f>
        <v/>
      </c>
      <c r="G299" s="10" t="str">
        <f>IF(Random!AA299="","",IF(Controls!$B$7="Normal",Controls!$B$8,(Controls!$B$8+Controls!$B$9)/2)+Controls!$B$10*(G298-IF(Controls!$B$7="Normal",Controls!$B$8,(Controls!$B$8+Controls!$B$9)/2))+SQRT(1-Controls!$B$10^2)*(Random!AA299-IF(Controls!$B$7="Normal",Controls!$B$8,(Controls!$B$8+Controls!$B$9)/2)))</f>
        <v/>
      </c>
      <c r="H299" s="10" t="str">
        <f>IF(Random!AB299="","",IF(Controls!$B$7="Normal",Controls!$B$8,(Controls!$B$8+Controls!$B$9)/2)+Controls!$B$10*(H298-IF(Controls!$B$7="Normal",Controls!$B$8,(Controls!$B$8+Controls!$B$9)/2))+SQRT(1-Controls!$B$10^2)*(Random!AB299-IF(Controls!$B$7="Normal",Controls!$B$8,(Controls!$B$8+Controls!$B$9)/2)))</f>
        <v/>
      </c>
      <c r="I299" s="10" t="str">
        <f>IF(Random!AC299="","",IF(Controls!$B$7="Normal",Controls!$B$8,(Controls!$B$8+Controls!$B$9)/2)+Controls!$B$10*(I298-IF(Controls!$B$7="Normal",Controls!$B$8,(Controls!$B$8+Controls!$B$9)/2))+SQRT(1-Controls!$B$10^2)*(Random!AC299-IF(Controls!$B$7="Normal",Controls!$B$8,(Controls!$B$8+Controls!$B$9)/2)))</f>
        <v/>
      </c>
      <c r="J299" s="10" t="str">
        <f>IF(Random!AD299="","",IF(Controls!$B$7="Normal",Controls!$B$8,(Controls!$B$8+Controls!$B$9)/2)+Controls!$B$10*(J298-IF(Controls!$B$7="Normal",Controls!$B$8,(Controls!$B$8+Controls!$B$9)/2))+SQRT(1-Controls!$B$10^2)*(Random!AD299-IF(Controls!$B$7="Normal",Controls!$B$8,(Controls!$B$8+Controls!$B$9)/2)))</f>
        <v/>
      </c>
      <c r="K299" s="10" t="str">
        <f>IF(Random!AE299="","",IF(Controls!$B$7="Normal",Controls!$B$8,(Controls!$B$8+Controls!$B$9)/2)+Controls!$B$10*(K298-IF(Controls!$B$7="Normal",Controls!$B$8,(Controls!$B$8+Controls!$B$9)/2))+SQRT(1-Controls!$B$10^2)*(Random!AE299-IF(Controls!$B$7="Normal",Controls!$B$8,(Controls!$B$8+Controls!$B$9)/2)))</f>
        <v/>
      </c>
      <c r="L299" s="10" t="str">
        <f>IF($A299="","",IF(AND($A299&gt;=Controls!$B$25,$A299&lt;Controls!$B$25+Controls!$C$25),(Controls!$D$25-1)*EXP(-0.5*(($A299-Controls!$B$25-(Controls!$C$25-1)/2)/MAX(Controls!$C$25/4,0.5))^2),0))</f>
        <v/>
      </c>
      <c r="M299" s="10" t="str">
        <f>IF($A299="","",IF(AND($A299&gt;=Controls!$B$26,$A299&lt;Controls!$B$26+Controls!$C$26),(Controls!$D$26-1)*EXP(-0.5*(($A299-Controls!$B$26-(Controls!$C$26-1)/2)/MAX(Controls!$C$26/4,0.5))^2),0))</f>
        <v/>
      </c>
      <c r="N299" s="10" t="str">
        <f>IF($A299="","",IF(AND($A299&gt;=Controls!$B$27,$A299&lt;Controls!$B$27+Controls!$C$27),(Controls!$D$27-1)*EXP(-0.5*(($A299-Controls!$B$27-(Controls!$C$27-1)/2)/MAX(Controls!$C$27/4,0.5))^2),0))</f>
        <v/>
      </c>
      <c r="O299" s="10" t="str">
        <f>IF($A299="","",IF(AND($A299&gt;=Controls!$B$28,$A299&lt;Controls!$B$28+Controls!$C$28),(Controls!$D$28-1)*EXP(-0.5*(($A299-Controls!$B$28-(Controls!$C$28-1)/2)/MAX(Controls!$C$28/4,0.5))^2),0))</f>
        <v/>
      </c>
      <c r="P299" s="4" t="str">
        <f t="shared" si="1"/>
        <v/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21.0" customHeight="1">
      <c r="A300" s="7" t="str">
        <f>IF(299&lt;=Controls!$B$5,Controls!$B$4+298,"")</f>
        <v/>
      </c>
      <c r="B300" s="10" t="str">
        <f>IF(Random!V300="","",IF(Controls!$B$7="Normal",Controls!$B$8,(Controls!$B$8+Controls!$B$9)/2)+Controls!$B$10*(B299-IF(Controls!$B$7="Normal",Controls!$B$8,(Controls!$B$8+Controls!$B$9)/2))+SQRT(1-Controls!$B$10^2)*(Random!V300-IF(Controls!$B$7="Normal",Controls!$B$8,(Controls!$B$8+Controls!$B$9)/2)))</f>
        <v/>
      </c>
      <c r="C300" s="10" t="str">
        <f>IF(Random!W300="","",IF(Controls!$B$7="Normal",Controls!$B$8,(Controls!$B$8+Controls!$B$9)/2)+Controls!$B$10*(C299-IF(Controls!$B$7="Normal",Controls!$B$8,(Controls!$B$8+Controls!$B$9)/2))+SQRT(1-Controls!$B$10^2)*(Random!W300-IF(Controls!$B$7="Normal",Controls!$B$8,(Controls!$B$8+Controls!$B$9)/2)))</f>
        <v/>
      </c>
      <c r="D300" s="10" t="str">
        <f>IF(Random!X300="","",IF(Controls!$B$7="Normal",Controls!$B$8,(Controls!$B$8+Controls!$B$9)/2)+Controls!$B$10*(D299-IF(Controls!$B$7="Normal",Controls!$B$8,(Controls!$B$8+Controls!$B$9)/2))+SQRT(1-Controls!$B$10^2)*(Random!X300-IF(Controls!$B$7="Normal",Controls!$B$8,(Controls!$B$8+Controls!$B$9)/2)))</f>
        <v/>
      </c>
      <c r="E300" s="10" t="str">
        <f>IF(Random!Y300="","",IF(Controls!$B$7="Normal",Controls!$B$8,(Controls!$B$8+Controls!$B$9)/2)+Controls!$B$10*(E299-IF(Controls!$B$7="Normal",Controls!$B$8,(Controls!$B$8+Controls!$B$9)/2))+SQRT(1-Controls!$B$10^2)*(Random!Y300-IF(Controls!$B$7="Normal",Controls!$B$8,(Controls!$B$8+Controls!$B$9)/2)))</f>
        <v/>
      </c>
      <c r="F300" s="10" t="str">
        <f>IF(Random!Z300="","",IF(Controls!$B$7="Normal",Controls!$B$8,(Controls!$B$8+Controls!$B$9)/2)+Controls!$B$10*(F299-IF(Controls!$B$7="Normal",Controls!$B$8,(Controls!$B$8+Controls!$B$9)/2))+SQRT(1-Controls!$B$10^2)*(Random!Z300-IF(Controls!$B$7="Normal",Controls!$B$8,(Controls!$B$8+Controls!$B$9)/2)))</f>
        <v/>
      </c>
      <c r="G300" s="10" t="str">
        <f>IF(Random!AA300="","",IF(Controls!$B$7="Normal",Controls!$B$8,(Controls!$B$8+Controls!$B$9)/2)+Controls!$B$10*(G299-IF(Controls!$B$7="Normal",Controls!$B$8,(Controls!$B$8+Controls!$B$9)/2))+SQRT(1-Controls!$B$10^2)*(Random!AA300-IF(Controls!$B$7="Normal",Controls!$B$8,(Controls!$B$8+Controls!$B$9)/2)))</f>
        <v/>
      </c>
      <c r="H300" s="10" t="str">
        <f>IF(Random!AB300="","",IF(Controls!$B$7="Normal",Controls!$B$8,(Controls!$B$8+Controls!$B$9)/2)+Controls!$B$10*(H299-IF(Controls!$B$7="Normal",Controls!$B$8,(Controls!$B$8+Controls!$B$9)/2))+SQRT(1-Controls!$B$10^2)*(Random!AB300-IF(Controls!$B$7="Normal",Controls!$B$8,(Controls!$B$8+Controls!$B$9)/2)))</f>
        <v/>
      </c>
      <c r="I300" s="10" t="str">
        <f>IF(Random!AC300="","",IF(Controls!$B$7="Normal",Controls!$B$8,(Controls!$B$8+Controls!$B$9)/2)+Controls!$B$10*(I299-IF(Controls!$B$7="Normal",Controls!$B$8,(Controls!$B$8+Controls!$B$9)/2))+SQRT(1-Controls!$B$10^2)*(Random!AC300-IF(Controls!$B$7="Normal",Controls!$B$8,(Controls!$B$8+Controls!$B$9)/2)))</f>
        <v/>
      </c>
      <c r="J300" s="10" t="str">
        <f>IF(Random!AD300="","",IF(Controls!$B$7="Normal",Controls!$B$8,(Controls!$B$8+Controls!$B$9)/2)+Controls!$B$10*(J299-IF(Controls!$B$7="Normal",Controls!$B$8,(Controls!$B$8+Controls!$B$9)/2))+SQRT(1-Controls!$B$10^2)*(Random!AD300-IF(Controls!$B$7="Normal",Controls!$B$8,(Controls!$B$8+Controls!$B$9)/2)))</f>
        <v/>
      </c>
      <c r="K300" s="10" t="str">
        <f>IF(Random!AE300="","",IF(Controls!$B$7="Normal",Controls!$B$8,(Controls!$B$8+Controls!$B$9)/2)+Controls!$B$10*(K299-IF(Controls!$B$7="Normal",Controls!$B$8,(Controls!$B$8+Controls!$B$9)/2))+SQRT(1-Controls!$B$10^2)*(Random!AE300-IF(Controls!$B$7="Normal",Controls!$B$8,(Controls!$B$8+Controls!$B$9)/2)))</f>
        <v/>
      </c>
      <c r="L300" s="10" t="str">
        <f>IF($A300="","",IF(AND($A300&gt;=Controls!$B$25,$A300&lt;Controls!$B$25+Controls!$C$25),(Controls!$D$25-1)*EXP(-0.5*(($A300-Controls!$B$25-(Controls!$C$25-1)/2)/MAX(Controls!$C$25/4,0.5))^2),0))</f>
        <v/>
      </c>
      <c r="M300" s="10" t="str">
        <f>IF($A300="","",IF(AND($A300&gt;=Controls!$B$26,$A300&lt;Controls!$B$26+Controls!$C$26),(Controls!$D$26-1)*EXP(-0.5*(($A300-Controls!$B$26-(Controls!$C$26-1)/2)/MAX(Controls!$C$26/4,0.5))^2),0))</f>
        <v/>
      </c>
      <c r="N300" s="10" t="str">
        <f>IF($A300="","",IF(AND($A300&gt;=Controls!$B$27,$A300&lt;Controls!$B$27+Controls!$C$27),(Controls!$D$27-1)*EXP(-0.5*(($A300-Controls!$B$27-(Controls!$C$27-1)/2)/MAX(Controls!$C$27/4,0.5))^2),0))</f>
        <v/>
      </c>
      <c r="O300" s="10" t="str">
        <f>IF($A300="","",IF(AND($A300&gt;=Controls!$B$28,$A300&lt;Controls!$B$28+Controls!$C$28),(Controls!$D$28-1)*EXP(-0.5*(($A300-Controls!$B$28-(Controls!$C$28-1)/2)/MAX(Controls!$C$28/4,0.5))^2),0))</f>
        <v/>
      </c>
      <c r="P300" s="4" t="str">
        <f t="shared" si="1"/>
        <v/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21.0" customHeight="1">
      <c r="A301" s="7" t="str">
        <f>IF(300&lt;=Controls!$B$5,Controls!$B$4+299,"")</f>
        <v/>
      </c>
      <c r="B301" s="10" t="str">
        <f>IF(Random!V301="","",IF(Controls!$B$7="Normal",Controls!$B$8,(Controls!$B$8+Controls!$B$9)/2)+Controls!$B$10*(B300-IF(Controls!$B$7="Normal",Controls!$B$8,(Controls!$B$8+Controls!$B$9)/2))+SQRT(1-Controls!$B$10^2)*(Random!V301-IF(Controls!$B$7="Normal",Controls!$B$8,(Controls!$B$8+Controls!$B$9)/2)))</f>
        <v/>
      </c>
      <c r="C301" s="10" t="str">
        <f>IF(Random!W301="","",IF(Controls!$B$7="Normal",Controls!$B$8,(Controls!$B$8+Controls!$B$9)/2)+Controls!$B$10*(C300-IF(Controls!$B$7="Normal",Controls!$B$8,(Controls!$B$8+Controls!$B$9)/2))+SQRT(1-Controls!$B$10^2)*(Random!W301-IF(Controls!$B$7="Normal",Controls!$B$8,(Controls!$B$8+Controls!$B$9)/2)))</f>
        <v/>
      </c>
      <c r="D301" s="10" t="str">
        <f>IF(Random!X301="","",IF(Controls!$B$7="Normal",Controls!$B$8,(Controls!$B$8+Controls!$B$9)/2)+Controls!$B$10*(D300-IF(Controls!$B$7="Normal",Controls!$B$8,(Controls!$B$8+Controls!$B$9)/2))+SQRT(1-Controls!$B$10^2)*(Random!X301-IF(Controls!$B$7="Normal",Controls!$B$8,(Controls!$B$8+Controls!$B$9)/2)))</f>
        <v/>
      </c>
      <c r="E301" s="10" t="str">
        <f>IF(Random!Y301="","",IF(Controls!$B$7="Normal",Controls!$B$8,(Controls!$B$8+Controls!$B$9)/2)+Controls!$B$10*(E300-IF(Controls!$B$7="Normal",Controls!$B$8,(Controls!$B$8+Controls!$B$9)/2))+SQRT(1-Controls!$B$10^2)*(Random!Y301-IF(Controls!$B$7="Normal",Controls!$B$8,(Controls!$B$8+Controls!$B$9)/2)))</f>
        <v/>
      </c>
      <c r="F301" s="10" t="str">
        <f>IF(Random!Z301="","",IF(Controls!$B$7="Normal",Controls!$B$8,(Controls!$B$8+Controls!$B$9)/2)+Controls!$B$10*(F300-IF(Controls!$B$7="Normal",Controls!$B$8,(Controls!$B$8+Controls!$B$9)/2))+SQRT(1-Controls!$B$10^2)*(Random!Z301-IF(Controls!$B$7="Normal",Controls!$B$8,(Controls!$B$8+Controls!$B$9)/2)))</f>
        <v/>
      </c>
      <c r="G301" s="10" t="str">
        <f>IF(Random!AA301="","",IF(Controls!$B$7="Normal",Controls!$B$8,(Controls!$B$8+Controls!$B$9)/2)+Controls!$B$10*(G300-IF(Controls!$B$7="Normal",Controls!$B$8,(Controls!$B$8+Controls!$B$9)/2))+SQRT(1-Controls!$B$10^2)*(Random!AA301-IF(Controls!$B$7="Normal",Controls!$B$8,(Controls!$B$8+Controls!$B$9)/2)))</f>
        <v/>
      </c>
      <c r="H301" s="10" t="str">
        <f>IF(Random!AB301="","",IF(Controls!$B$7="Normal",Controls!$B$8,(Controls!$B$8+Controls!$B$9)/2)+Controls!$B$10*(H300-IF(Controls!$B$7="Normal",Controls!$B$8,(Controls!$B$8+Controls!$B$9)/2))+SQRT(1-Controls!$B$10^2)*(Random!AB301-IF(Controls!$B$7="Normal",Controls!$B$8,(Controls!$B$8+Controls!$B$9)/2)))</f>
        <v/>
      </c>
      <c r="I301" s="10" t="str">
        <f>IF(Random!AC301="","",IF(Controls!$B$7="Normal",Controls!$B$8,(Controls!$B$8+Controls!$B$9)/2)+Controls!$B$10*(I300-IF(Controls!$B$7="Normal",Controls!$B$8,(Controls!$B$8+Controls!$B$9)/2))+SQRT(1-Controls!$B$10^2)*(Random!AC301-IF(Controls!$B$7="Normal",Controls!$B$8,(Controls!$B$8+Controls!$B$9)/2)))</f>
        <v/>
      </c>
      <c r="J301" s="10" t="str">
        <f>IF(Random!AD301="","",IF(Controls!$B$7="Normal",Controls!$B$8,(Controls!$B$8+Controls!$B$9)/2)+Controls!$B$10*(J300-IF(Controls!$B$7="Normal",Controls!$B$8,(Controls!$B$8+Controls!$B$9)/2))+SQRT(1-Controls!$B$10^2)*(Random!AD301-IF(Controls!$B$7="Normal",Controls!$B$8,(Controls!$B$8+Controls!$B$9)/2)))</f>
        <v/>
      </c>
      <c r="K301" s="10" t="str">
        <f>IF(Random!AE301="","",IF(Controls!$B$7="Normal",Controls!$B$8,(Controls!$B$8+Controls!$B$9)/2)+Controls!$B$10*(K300-IF(Controls!$B$7="Normal",Controls!$B$8,(Controls!$B$8+Controls!$B$9)/2))+SQRT(1-Controls!$B$10^2)*(Random!AE301-IF(Controls!$B$7="Normal",Controls!$B$8,(Controls!$B$8+Controls!$B$9)/2)))</f>
        <v/>
      </c>
      <c r="L301" s="10" t="str">
        <f>IF($A301="","",IF(AND($A301&gt;=Controls!$B$25,$A301&lt;Controls!$B$25+Controls!$C$25),(Controls!$D$25-1)*EXP(-0.5*(($A301-Controls!$B$25-(Controls!$C$25-1)/2)/MAX(Controls!$C$25/4,0.5))^2),0))</f>
        <v/>
      </c>
      <c r="M301" s="10" t="str">
        <f>IF($A301="","",IF(AND($A301&gt;=Controls!$B$26,$A301&lt;Controls!$B$26+Controls!$C$26),(Controls!$D$26-1)*EXP(-0.5*(($A301-Controls!$B$26-(Controls!$C$26-1)/2)/MAX(Controls!$C$26/4,0.5))^2),0))</f>
        <v/>
      </c>
      <c r="N301" s="10" t="str">
        <f>IF($A301="","",IF(AND($A301&gt;=Controls!$B$27,$A301&lt;Controls!$B$27+Controls!$C$27),(Controls!$D$27-1)*EXP(-0.5*(($A301-Controls!$B$27-(Controls!$C$27-1)/2)/MAX(Controls!$C$27/4,0.5))^2),0))</f>
        <v/>
      </c>
      <c r="O301" s="10" t="str">
        <f>IF($A301="","",IF(AND($A301&gt;=Controls!$B$28,$A301&lt;Controls!$B$28+Controls!$C$28),(Controls!$D$28-1)*EXP(-0.5*(($A301-Controls!$B$28-(Controls!$C$28-1)/2)/MAX(Controls!$C$28/4,0.5))^2),0))</f>
        <v/>
      </c>
      <c r="P301" s="4" t="str">
        <f t="shared" si="1"/>
        <v/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21.0" customHeight="1">
      <c r="A302" s="7" t="str">
        <f>IF(301&lt;=Controls!$B$5,Controls!$B$4+300,"")</f>
        <v/>
      </c>
      <c r="B302" s="10" t="str">
        <f>IF(Random!V302="","",IF(Controls!$B$7="Normal",Controls!$B$8,(Controls!$B$8+Controls!$B$9)/2)+Controls!$B$10*(B301-IF(Controls!$B$7="Normal",Controls!$B$8,(Controls!$B$8+Controls!$B$9)/2))+SQRT(1-Controls!$B$10^2)*(Random!V302-IF(Controls!$B$7="Normal",Controls!$B$8,(Controls!$B$8+Controls!$B$9)/2)))</f>
        <v/>
      </c>
      <c r="C302" s="10" t="str">
        <f>IF(Random!W302="","",IF(Controls!$B$7="Normal",Controls!$B$8,(Controls!$B$8+Controls!$B$9)/2)+Controls!$B$10*(C301-IF(Controls!$B$7="Normal",Controls!$B$8,(Controls!$B$8+Controls!$B$9)/2))+SQRT(1-Controls!$B$10^2)*(Random!W302-IF(Controls!$B$7="Normal",Controls!$B$8,(Controls!$B$8+Controls!$B$9)/2)))</f>
        <v/>
      </c>
      <c r="D302" s="10" t="str">
        <f>IF(Random!X302="","",IF(Controls!$B$7="Normal",Controls!$B$8,(Controls!$B$8+Controls!$B$9)/2)+Controls!$B$10*(D301-IF(Controls!$B$7="Normal",Controls!$B$8,(Controls!$B$8+Controls!$B$9)/2))+SQRT(1-Controls!$B$10^2)*(Random!X302-IF(Controls!$B$7="Normal",Controls!$B$8,(Controls!$B$8+Controls!$B$9)/2)))</f>
        <v/>
      </c>
      <c r="E302" s="10" t="str">
        <f>IF(Random!Y302="","",IF(Controls!$B$7="Normal",Controls!$B$8,(Controls!$B$8+Controls!$B$9)/2)+Controls!$B$10*(E301-IF(Controls!$B$7="Normal",Controls!$B$8,(Controls!$B$8+Controls!$B$9)/2))+SQRT(1-Controls!$B$10^2)*(Random!Y302-IF(Controls!$B$7="Normal",Controls!$B$8,(Controls!$B$8+Controls!$B$9)/2)))</f>
        <v/>
      </c>
      <c r="F302" s="10" t="str">
        <f>IF(Random!Z302="","",IF(Controls!$B$7="Normal",Controls!$B$8,(Controls!$B$8+Controls!$B$9)/2)+Controls!$B$10*(F301-IF(Controls!$B$7="Normal",Controls!$B$8,(Controls!$B$8+Controls!$B$9)/2))+SQRT(1-Controls!$B$10^2)*(Random!Z302-IF(Controls!$B$7="Normal",Controls!$B$8,(Controls!$B$8+Controls!$B$9)/2)))</f>
        <v/>
      </c>
      <c r="G302" s="10" t="str">
        <f>IF(Random!AA302="","",IF(Controls!$B$7="Normal",Controls!$B$8,(Controls!$B$8+Controls!$B$9)/2)+Controls!$B$10*(G301-IF(Controls!$B$7="Normal",Controls!$B$8,(Controls!$B$8+Controls!$B$9)/2))+SQRT(1-Controls!$B$10^2)*(Random!AA302-IF(Controls!$B$7="Normal",Controls!$B$8,(Controls!$B$8+Controls!$B$9)/2)))</f>
        <v/>
      </c>
      <c r="H302" s="10" t="str">
        <f>IF(Random!AB302="","",IF(Controls!$B$7="Normal",Controls!$B$8,(Controls!$B$8+Controls!$B$9)/2)+Controls!$B$10*(H301-IF(Controls!$B$7="Normal",Controls!$B$8,(Controls!$B$8+Controls!$B$9)/2))+SQRT(1-Controls!$B$10^2)*(Random!AB302-IF(Controls!$B$7="Normal",Controls!$B$8,(Controls!$B$8+Controls!$B$9)/2)))</f>
        <v/>
      </c>
      <c r="I302" s="10" t="str">
        <f>IF(Random!AC302="","",IF(Controls!$B$7="Normal",Controls!$B$8,(Controls!$B$8+Controls!$B$9)/2)+Controls!$B$10*(I301-IF(Controls!$B$7="Normal",Controls!$B$8,(Controls!$B$8+Controls!$B$9)/2))+SQRT(1-Controls!$B$10^2)*(Random!AC302-IF(Controls!$B$7="Normal",Controls!$B$8,(Controls!$B$8+Controls!$B$9)/2)))</f>
        <v/>
      </c>
      <c r="J302" s="10" t="str">
        <f>IF(Random!AD302="","",IF(Controls!$B$7="Normal",Controls!$B$8,(Controls!$B$8+Controls!$B$9)/2)+Controls!$B$10*(J301-IF(Controls!$B$7="Normal",Controls!$B$8,(Controls!$B$8+Controls!$B$9)/2))+SQRT(1-Controls!$B$10^2)*(Random!AD302-IF(Controls!$B$7="Normal",Controls!$B$8,(Controls!$B$8+Controls!$B$9)/2)))</f>
        <v/>
      </c>
      <c r="K302" s="10" t="str">
        <f>IF(Random!AE302="","",IF(Controls!$B$7="Normal",Controls!$B$8,(Controls!$B$8+Controls!$B$9)/2)+Controls!$B$10*(K301-IF(Controls!$B$7="Normal",Controls!$B$8,(Controls!$B$8+Controls!$B$9)/2))+SQRT(1-Controls!$B$10^2)*(Random!AE302-IF(Controls!$B$7="Normal",Controls!$B$8,(Controls!$B$8+Controls!$B$9)/2)))</f>
        <v/>
      </c>
      <c r="L302" s="10" t="str">
        <f>IF($A302="","",IF(AND($A302&gt;=Controls!$B$25,$A302&lt;Controls!$B$25+Controls!$C$25),(Controls!$D$25-1)*EXP(-0.5*(($A302-Controls!$B$25-(Controls!$C$25-1)/2)/MAX(Controls!$C$25/4,0.5))^2),0))</f>
        <v/>
      </c>
      <c r="M302" s="10" t="str">
        <f>IF($A302="","",IF(AND($A302&gt;=Controls!$B$26,$A302&lt;Controls!$B$26+Controls!$C$26),(Controls!$D$26-1)*EXP(-0.5*(($A302-Controls!$B$26-(Controls!$C$26-1)/2)/MAX(Controls!$C$26/4,0.5))^2),0))</f>
        <v/>
      </c>
      <c r="N302" s="10" t="str">
        <f>IF($A302="","",IF(AND($A302&gt;=Controls!$B$27,$A302&lt;Controls!$B$27+Controls!$C$27),(Controls!$D$27-1)*EXP(-0.5*(($A302-Controls!$B$27-(Controls!$C$27-1)/2)/MAX(Controls!$C$27/4,0.5))^2),0))</f>
        <v/>
      </c>
      <c r="O302" s="10" t="str">
        <f>IF($A302="","",IF(AND($A302&gt;=Controls!$B$28,$A302&lt;Controls!$B$28+Controls!$C$28),(Controls!$D$28-1)*EXP(-0.5*(($A302-Controls!$B$28-(Controls!$C$28-1)/2)/MAX(Controls!$C$28/4,0.5))^2),0))</f>
        <v/>
      </c>
      <c r="P302" s="4" t="str">
        <f t="shared" si="1"/>
        <v/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21.0" customHeight="1">
      <c r="A303" s="7" t="str">
        <f>IF(302&lt;=Controls!$B$5,Controls!$B$4+301,"")</f>
        <v/>
      </c>
      <c r="B303" s="10" t="str">
        <f>IF(Random!V303="","",IF(Controls!$B$7="Normal",Controls!$B$8,(Controls!$B$8+Controls!$B$9)/2)+Controls!$B$10*(B302-IF(Controls!$B$7="Normal",Controls!$B$8,(Controls!$B$8+Controls!$B$9)/2))+SQRT(1-Controls!$B$10^2)*(Random!V303-IF(Controls!$B$7="Normal",Controls!$B$8,(Controls!$B$8+Controls!$B$9)/2)))</f>
        <v/>
      </c>
      <c r="C303" s="10" t="str">
        <f>IF(Random!W303="","",IF(Controls!$B$7="Normal",Controls!$B$8,(Controls!$B$8+Controls!$B$9)/2)+Controls!$B$10*(C302-IF(Controls!$B$7="Normal",Controls!$B$8,(Controls!$B$8+Controls!$B$9)/2))+SQRT(1-Controls!$B$10^2)*(Random!W303-IF(Controls!$B$7="Normal",Controls!$B$8,(Controls!$B$8+Controls!$B$9)/2)))</f>
        <v/>
      </c>
      <c r="D303" s="10" t="str">
        <f>IF(Random!X303="","",IF(Controls!$B$7="Normal",Controls!$B$8,(Controls!$B$8+Controls!$B$9)/2)+Controls!$B$10*(D302-IF(Controls!$B$7="Normal",Controls!$B$8,(Controls!$B$8+Controls!$B$9)/2))+SQRT(1-Controls!$B$10^2)*(Random!X303-IF(Controls!$B$7="Normal",Controls!$B$8,(Controls!$B$8+Controls!$B$9)/2)))</f>
        <v/>
      </c>
      <c r="E303" s="10" t="str">
        <f>IF(Random!Y303="","",IF(Controls!$B$7="Normal",Controls!$B$8,(Controls!$B$8+Controls!$B$9)/2)+Controls!$B$10*(E302-IF(Controls!$B$7="Normal",Controls!$B$8,(Controls!$B$8+Controls!$B$9)/2))+SQRT(1-Controls!$B$10^2)*(Random!Y303-IF(Controls!$B$7="Normal",Controls!$B$8,(Controls!$B$8+Controls!$B$9)/2)))</f>
        <v/>
      </c>
      <c r="F303" s="10" t="str">
        <f>IF(Random!Z303="","",IF(Controls!$B$7="Normal",Controls!$B$8,(Controls!$B$8+Controls!$B$9)/2)+Controls!$B$10*(F302-IF(Controls!$B$7="Normal",Controls!$B$8,(Controls!$B$8+Controls!$B$9)/2))+SQRT(1-Controls!$B$10^2)*(Random!Z303-IF(Controls!$B$7="Normal",Controls!$B$8,(Controls!$B$8+Controls!$B$9)/2)))</f>
        <v/>
      </c>
      <c r="G303" s="10" t="str">
        <f>IF(Random!AA303="","",IF(Controls!$B$7="Normal",Controls!$B$8,(Controls!$B$8+Controls!$B$9)/2)+Controls!$B$10*(G302-IF(Controls!$B$7="Normal",Controls!$B$8,(Controls!$B$8+Controls!$B$9)/2))+SQRT(1-Controls!$B$10^2)*(Random!AA303-IF(Controls!$B$7="Normal",Controls!$B$8,(Controls!$B$8+Controls!$B$9)/2)))</f>
        <v/>
      </c>
      <c r="H303" s="10" t="str">
        <f>IF(Random!AB303="","",IF(Controls!$B$7="Normal",Controls!$B$8,(Controls!$B$8+Controls!$B$9)/2)+Controls!$B$10*(H302-IF(Controls!$B$7="Normal",Controls!$B$8,(Controls!$B$8+Controls!$B$9)/2))+SQRT(1-Controls!$B$10^2)*(Random!AB303-IF(Controls!$B$7="Normal",Controls!$B$8,(Controls!$B$8+Controls!$B$9)/2)))</f>
        <v/>
      </c>
      <c r="I303" s="10" t="str">
        <f>IF(Random!AC303="","",IF(Controls!$B$7="Normal",Controls!$B$8,(Controls!$B$8+Controls!$B$9)/2)+Controls!$B$10*(I302-IF(Controls!$B$7="Normal",Controls!$B$8,(Controls!$B$8+Controls!$B$9)/2))+SQRT(1-Controls!$B$10^2)*(Random!AC303-IF(Controls!$B$7="Normal",Controls!$B$8,(Controls!$B$8+Controls!$B$9)/2)))</f>
        <v/>
      </c>
      <c r="J303" s="10" t="str">
        <f>IF(Random!AD303="","",IF(Controls!$B$7="Normal",Controls!$B$8,(Controls!$B$8+Controls!$B$9)/2)+Controls!$B$10*(J302-IF(Controls!$B$7="Normal",Controls!$B$8,(Controls!$B$8+Controls!$B$9)/2))+SQRT(1-Controls!$B$10^2)*(Random!AD303-IF(Controls!$B$7="Normal",Controls!$B$8,(Controls!$B$8+Controls!$B$9)/2)))</f>
        <v/>
      </c>
      <c r="K303" s="10" t="str">
        <f>IF(Random!AE303="","",IF(Controls!$B$7="Normal",Controls!$B$8,(Controls!$B$8+Controls!$B$9)/2)+Controls!$B$10*(K302-IF(Controls!$B$7="Normal",Controls!$B$8,(Controls!$B$8+Controls!$B$9)/2))+SQRT(1-Controls!$B$10^2)*(Random!AE303-IF(Controls!$B$7="Normal",Controls!$B$8,(Controls!$B$8+Controls!$B$9)/2)))</f>
        <v/>
      </c>
      <c r="L303" s="10" t="str">
        <f>IF($A303="","",IF(AND($A303&gt;=Controls!$B$25,$A303&lt;Controls!$B$25+Controls!$C$25),(Controls!$D$25-1)*EXP(-0.5*(($A303-Controls!$B$25-(Controls!$C$25-1)/2)/MAX(Controls!$C$25/4,0.5))^2),0))</f>
        <v/>
      </c>
      <c r="M303" s="10" t="str">
        <f>IF($A303="","",IF(AND($A303&gt;=Controls!$B$26,$A303&lt;Controls!$B$26+Controls!$C$26),(Controls!$D$26-1)*EXP(-0.5*(($A303-Controls!$B$26-(Controls!$C$26-1)/2)/MAX(Controls!$C$26/4,0.5))^2),0))</f>
        <v/>
      </c>
      <c r="N303" s="10" t="str">
        <f>IF($A303="","",IF(AND($A303&gt;=Controls!$B$27,$A303&lt;Controls!$B$27+Controls!$C$27),(Controls!$D$27-1)*EXP(-0.5*(($A303-Controls!$B$27-(Controls!$C$27-1)/2)/MAX(Controls!$C$27/4,0.5))^2),0))</f>
        <v/>
      </c>
      <c r="O303" s="10" t="str">
        <f>IF($A303="","",IF(AND($A303&gt;=Controls!$B$28,$A303&lt;Controls!$B$28+Controls!$C$28),(Controls!$D$28-1)*EXP(-0.5*(($A303-Controls!$B$28-(Controls!$C$28-1)/2)/MAX(Controls!$C$28/4,0.5))^2),0))</f>
        <v/>
      </c>
      <c r="P303" s="4" t="str">
        <f t="shared" si="1"/>
        <v/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21.0" customHeight="1">
      <c r="A304" s="7" t="str">
        <f>IF(303&lt;=Controls!$B$5,Controls!$B$4+302,"")</f>
        <v/>
      </c>
      <c r="B304" s="10" t="str">
        <f>IF(Random!V304="","",IF(Controls!$B$7="Normal",Controls!$B$8,(Controls!$B$8+Controls!$B$9)/2)+Controls!$B$10*(B303-IF(Controls!$B$7="Normal",Controls!$B$8,(Controls!$B$8+Controls!$B$9)/2))+SQRT(1-Controls!$B$10^2)*(Random!V304-IF(Controls!$B$7="Normal",Controls!$B$8,(Controls!$B$8+Controls!$B$9)/2)))</f>
        <v/>
      </c>
      <c r="C304" s="10" t="str">
        <f>IF(Random!W304="","",IF(Controls!$B$7="Normal",Controls!$B$8,(Controls!$B$8+Controls!$B$9)/2)+Controls!$B$10*(C303-IF(Controls!$B$7="Normal",Controls!$B$8,(Controls!$B$8+Controls!$B$9)/2))+SQRT(1-Controls!$B$10^2)*(Random!W304-IF(Controls!$B$7="Normal",Controls!$B$8,(Controls!$B$8+Controls!$B$9)/2)))</f>
        <v/>
      </c>
      <c r="D304" s="10" t="str">
        <f>IF(Random!X304="","",IF(Controls!$B$7="Normal",Controls!$B$8,(Controls!$B$8+Controls!$B$9)/2)+Controls!$B$10*(D303-IF(Controls!$B$7="Normal",Controls!$B$8,(Controls!$B$8+Controls!$B$9)/2))+SQRT(1-Controls!$B$10^2)*(Random!X304-IF(Controls!$B$7="Normal",Controls!$B$8,(Controls!$B$8+Controls!$B$9)/2)))</f>
        <v/>
      </c>
      <c r="E304" s="10" t="str">
        <f>IF(Random!Y304="","",IF(Controls!$B$7="Normal",Controls!$B$8,(Controls!$B$8+Controls!$B$9)/2)+Controls!$B$10*(E303-IF(Controls!$B$7="Normal",Controls!$B$8,(Controls!$B$8+Controls!$B$9)/2))+SQRT(1-Controls!$B$10^2)*(Random!Y304-IF(Controls!$B$7="Normal",Controls!$B$8,(Controls!$B$8+Controls!$B$9)/2)))</f>
        <v/>
      </c>
      <c r="F304" s="10" t="str">
        <f>IF(Random!Z304="","",IF(Controls!$B$7="Normal",Controls!$B$8,(Controls!$B$8+Controls!$B$9)/2)+Controls!$B$10*(F303-IF(Controls!$B$7="Normal",Controls!$B$8,(Controls!$B$8+Controls!$B$9)/2))+SQRT(1-Controls!$B$10^2)*(Random!Z304-IF(Controls!$B$7="Normal",Controls!$B$8,(Controls!$B$8+Controls!$B$9)/2)))</f>
        <v/>
      </c>
      <c r="G304" s="10" t="str">
        <f>IF(Random!AA304="","",IF(Controls!$B$7="Normal",Controls!$B$8,(Controls!$B$8+Controls!$B$9)/2)+Controls!$B$10*(G303-IF(Controls!$B$7="Normal",Controls!$B$8,(Controls!$B$8+Controls!$B$9)/2))+SQRT(1-Controls!$B$10^2)*(Random!AA304-IF(Controls!$B$7="Normal",Controls!$B$8,(Controls!$B$8+Controls!$B$9)/2)))</f>
        <v/>
      </c>
      <c r="H304" s="10" t="str">
        <f>IF(Random!AB304="","",IF(Controls!$B$7="Normal",Controls!$B$8,(Controls!$B$8+Controls!$B$9)/2)+Controls!$B$10*(H303-IF(Controls!$B$7="Normal",Controls!$B$8,(Controls!$B$8+Controls!$B$9)/2))+SQRT(1-Controls!$B$10^2)*(Random!AB304-IF(Controls!$B$7="Normal",Controls!$B$8,(Controls!$B$8+Controls!$B$9)/2)))</f>
        <v/>
      </c>
      <c r="I304" s="10" t="str">
        <f>IF(Random!AC304="","",IF(Controls!$B$7="Normal",Controls!$B$8,(Controls!$B$8+Controls!$B$9)/2)+Controls!$B$10*(I303-IF(Controls!$B$7="Normal",Controls!$B$8,(Controls!$B$8+Controls!$B$9)/2))+SQRT(1-Controls!$B$10^2)*(Random!AC304-IF(Controls!$B$7="Normal",Controls!$B$8,(Controls!$B$8+Controls!$B$9)/2)))</f>
        <v/>
      </c>
      <c r="J304" s="10" t="str">
        <f>IF(Random!AD304="","",IF(Controls!$B$7="Normal",Controls!$B$8,(Controls!$B$8+Controls!$B$9)/2)+Controls!$B$10*(J303-IF(Controls!$B$7="Normal",Controls!$B$8,(Controls!$B$8+Controls!$B$9)/2))+SQRT(1-Controls!$B$10^2)*(Random!AD304-IF(Controls!$B$7="Normal",Controls!$B$8,(Controls!$B$8+Controls!$B$9)/2)))</f>
        <v/>
      </c>
      <c r="K304" s="10" t="str">
        <f>IF(Random!AE304="","",IF(Controls!$B$7="Normal",Controls!$B$8,(Controls!$B$8+Controls!$B$9)/2)+Controls!$B$10*(K303-IF(Controls!$B$7="Normal",Controls!$B$8,(Controls!$B$8+Controls!$B$9)/2))+SQRT(1-Controls!$B$10^2)*(Random!AE304-IF(Controls!$B$7="Normal",Controls!$B$8,(Controls!$B$8+Controls!$B$9)/2)))</f>
        <v/>
      </c>
      <c r="L304" s="10" t="str">
        <f>IF($A304="","",IF(AND($A304&gt;=Controls!$B$25,$A304&lt;Controls!$B$25+Controls!$C$25),(Controls!$D$25-1)*EXP(-0.5*(($A304-Controls!$B$25-(Controls!$C$25-1)/2)/MAX(Controls!$C$25/4,0.5))^2),0))</f>
        <v/>
      </c>
      <c r="M304" s="10" t="str">
        <f>IF($A304="","",IF(AND($A304&gt;=Controls!$B$26,$A304&lt;Controls!$B$26+Controls!$C$26),(Controls!$D$26-1)*EXP(-0.5*(($A304-Controls!$B$26-(Controls!$C$26-1)/2)/MAX(Controls!$C$26/4,0.5))^2),0))</f>
        <v/>
      </c>
      <c r="N304" s="10" t="str">
        <f>IF($A304="","",IF(AND($A304&gt;=Controls!$B$27,$A304&lt;Controls!$B$27+Controls!$C$27),(Controls!$D$27-1)*EXP(-0.5*(($A304-Controls!$B$27-(Controls!$C$27-1)/2)/MAX(Controls!$C$27/4,0.5))^2),0))</f>
        <v/>
      </c>
      <c r="O304" s="10" t="str">
        <f>IF($A304="","",IF(AND($A304&gt;=Controls!$B$28,$A304&lt;Controls!$B$28+Controls!$C$28),(Controls!$D$28-1)*EXP(-0.5*(($A304-Controls!$B$28-(Controls!$C$28-1)/2)/MAX(Controls!$C$28/4,0.5))^2),0))</f>
        <v/>
      </c>
      <c r="P304" s="4" t="str">
        <f t="shared" si="1"/>
        <v/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21.0" customHeight="1">
      <c r="A305" s="7" t="str">
        <f>IF(304&lt;=Controls!$B$5,Controls!$B$4+303,"")</f>
        <v/>
      </c>
      <c r="B305" s="10" t="str">
        <f>IF(Random!V305="","",IF(Controls!$B$7="Normal",Controls!$B$8,(Controls!$B$8+Controls!$B$9)/2)+Controls!$B$10*(B304-IF(Controls!$B$7="Normal",Controls!$B$8,(Controls!$B$8+Controls!$B$9)/2))+SQRT(1-Controls!$B$10^2)*(Random!V305-IF(Controls!$B$7="Normal",Controls!$B$8,(Controls!$B$8+Controls!$B$9)/2)))</f>
        <v/>
      </c>
      <c r="C305" s="10" t="str">
        <f>IF(Random!W305="","",IF(Controls!$B$7="Normal",Controls!$B$8,(Controls!$B$8+Controls!$B$9)/2)+Controls!$B$10*(C304-IF(Controls!$B$7="Normal",Controls!$B$8,(Controls!$B$8+Controls!$B$9)/2))+SQRT(1-Controls!$B$10^2)*(Random!W305-IF(Controls!$B$7="Normal",Controls!$B$8,(Controls!$B$8+Controls!$B$9)/2)))</f>
        <v/>
      </c>
      <c r="D305" s="10" t="str">
        <f>IF(Random!X305="","",IF(Controls!$B$7="Normal",Controls!$B$8,(Controls!$B$8+Controls!$B$9)/2)+Controls!$B$10*(D304-IF(Controls!$B$7="Normal",Controls!$B$8,(Controls!$B$8+Controls!$B$9)/2))+SQRT(1-Controls!$B$10^2)*(Random!X305-IF(Controls!$B$7="Normal",Controls!$B$8,(Controls!$B$8+Controls!$B$9)/2)))</f>
        <v/>
      </c>
      <c r="E305" s="10" t="str">
        <f>IF(Random!Y305="","",IF(Controls!$B$7="Normal",Controls!$B$8,(Controls!$B$8+Controls!$B$9)/2)+Controls!$B$10*(E304-IF(Controls!$B$7="Normal",Controls!$B$8,(Controls!$B$8+Controls!$B$9)/2))+SQRT(1-Controls!$B$10^2)*(Random!Y305-IF(Controls!$B$7="Normal",Controls!$B$8,(Controls!$B$8+Controls!$B$9)/2)))</f>
        <v/>
      </c>
      <c r="F305" s="10" t="str">
        <f>IF(Random!Z305="","",IF(Controls!$B$7="Normal",Controls!$B$8,(Controls!$B$8+Controls!$B$9)/2)+Controls!$B$10*(F304-IF(Controls!$B$7="Normal",Controls!$B$8,(Controls!$B$8+Controls!$B$9)/2))+SQRT(1-Controls!$B$10^2)*(Random!Z305-IF(Controls!$B$7="Normal",Controls!$B$8,(Controls!$B$8+Controls!$B$9)/2)))</f>
        <v/>
      </c>
      <c r="G305" s="10" t="str">
        <f>IF(Random!AA305="","",IF(Controls!$B$7="Normal",Controls!$B$8,(Controls!$B$8+Controls!$B$9)/2)+Controls!$B$10*(G304-IF(Controls!$B$7="Normal",Controls!$B$8,(Controls!$B$8+Controls!$B$9)/2))+SQRT(1-Controls!$B$10^2)*(Random!AA305-IF(Controls!$B$7="Normal",Controls!$B$8,(Controls!$B$8+Controls!$B$9)/2)))</f>
        <v/>
      </c>
      <c r="H305" s="10" t="str">
        <f>IF(Random!AB305="","",IF(Controls!$B$7="Normal",Controls!$B$8,(Controls!$B$8+Controls!$B$9)/2)+Controls!$B$10*(H304-IF(Controls!$B$7="Normal",Controls!$B$8,(Controls!$B$8+Controls!$B$9)/2))+SQRT(1-Controls!$B$10^2)*(Random!AB305-IF(Controls!$B$7="Normal",Controls!$B$8,(Controls!$B$8+Controls!$B$9)/2)))</f>
        <v/>
      </c>
      <c r="I305" s="10" t="str">
        <f>IF(Random!AC305="","",IF(Controls!$B$7="Normal",Controls!$B$8,(Controls!$B$8+Controls!$B$9)/2)+Controls!$B$10*(I304-IF(Controls!$B$7="Normal",Controls!$B$8,(Controls!$B$8+Controls!$B$9)/2))+SQRT(1-Controls!$B$10^2)*(Random!AC305-IF(Controls!$B$7="Normal",Controls!$B$8,(Controls!$B$8+Controls!$B$9)/2)))</f>
        <v/>
      </c>
      <c r="J305" s="10" t="str">
        <f>IF(Random!AD305="","",IF(Controls!$B$7="Normal",Controls!$B$8,(Controls!$B$8+Controls!$B$9)/2)+Controls!$B$10*(J304-IF(Controls!$B$7="Normal",Controls!$B$8,(Controls!$B$8+Controls!$B$9)/2))+SQRT(1-Controls!$B$10^2)*(Random!AD305-IF(Controls!$B$7="Normal",Controls!$B$8,(Controls!$B$8+Controls!$B$9)/2)))</f>
        <v/>
      </c>
      <c r="K305" s="10" t="str">
        <f>IF(Random!AE305="","",IF(Controls!$B$7="Normal",Controls!$B$8,(Controls!$B$8+Controls!$B$9)/2)+Controls!$B$10*(K304-IF(Controls!$B$7="Normal",Controls!$B$8,(Controls!$B$8+Controls!$B$9)/2))+SQRT(1-Controls!$B$10^2)*(Random!AE305-IF(Controls!$B$7="Normal",Controls!$B$8,(Controls!$B$8+Controls!$B$9)/2)))</f>
        <v/>
      </c>
      <c r="L305" s="10" t="str">
        <f>IF($A305="","",IF(AND($A305&gt;=Controls!$B$25,$A305&lt;Controls!$B$25+Controls!$C$25),(Controls!$D$25-1)*EXP(-0.5*(($A305-Controls!$B$25-(Controls!$C$25-1)/2)/MAX(Controls!$C$25/4,0.5))^2),0))</f>
        <v/>
      </c>
      <c r="M305" s="10" t="str">
        <f>IF($A305="","",IF(AND($A305&gt;=Controls!$B$26,$A305&lt;Controls!$B$26+Controls!$C$26),(Controls!$D$26-1)*EXP(-0.5*(($A305-Controls!$B$26-(Controls!$C$26-1)/2)/MAX(Controls!$C$26/4,0.5))^2),0))</f>
        <v/>
      </c>
      <c r="N305" s="10" t="str">
        <f>IF($A305="","",IF(AND($A305&gt;=Controls!$B$27,$A305&lt;Controls!$B$27+Controls!$C$27),(Controls!$D$27-1)*EXP(-0.5*(($A305-Controls!$B$27-(Controls!$C$27-1)/2)/MAX(Controls!$C$27/4,0.5))^2),0))</f>
        <v/>
      </c>
      <c r="O305" s="10" t="str">
        <f>IF($A305="","",IF(AND($A305&gt;=Controls!$B$28,$A305&lt;Controls!$B$28+Controls!$C$28),(Controls!$D$28-1)*EXP(-0.5*(($A305-Controls!$B$28-(Controls!$C$28-1)/2)/MAX(Controls!$C$28/4,0.5))^2),0))</f>
        <v/>
      </c>
      <c r="P305" s="4" t="str">
        <f t="shared" si="1"/>
        <v/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21.0" customHeight="1">
      <c r="A306" s="7" t="str">
        <f>IF(305&lt;=Controls!$B$5,Controls!$B$4+304,"")</f>
        <v/>
      </c>
      <c r="B306" s="10" t="str">
        <f>IF(Random!V306="","",IF(Controls!$B$7="Normal",Controls!$B$8,(Controls!$B$8+Controls!$B$9)/2)+Controls!$B$10*(B305-IF(Controls!$B$7="Normal",Controls!$B$8,(Controls!$B$8+Controls!$B$9)/2))+SQRT(1-Controls!$B$10^2)*(Random!V306-IF(Controls!$B$7="Normal",Controls!$B$8,(Controls!$B$8+Controls!$B$9)/2)))</f>
        <v/>
      </c>
      <c r="C306" s="10" t="str">
        <f>IF(Random!W306="","",IF(Controls!$B$7="Normal",Controls!$B$8,(Controls!$B$8+Controls!$B$9)/2)+Controls!$B$10*(C305-IF(Controls!$B$7="Normal",Controls!$B$8,(Controls!$B$8+Controls!$B$9)/2))+SQRT(1-Controls!$B$10^2)*(Random!W306-IF(Controls!$B$7="Normal",Controls!$B$8,(Controls!$B$8+Controls!$B$9)/2)))</f>
        <v/>
      </c>
      <c r="D306" s="10" t="str">
        <f>IF(Random!X306="","",IF(Controls!$B$7="Normal",Controls!$B$8,(Controls!$B$8+Controls!$B$9)/2)+Controls!$B$10*(D305-IF(Controls!$B$7="Normal",Controls!$B$8,(Controls!$B$8+Controls!$B$9)/2))+SQRT(1-Controls!$B$10^2)*(Random!X306-IF(Controls!$B$7="Normal",Controls!$B$8,(Controls!$B$8+Controls!$B$9)/2)))</f>
        <v/>
      </c>
      <c r="E306" s="10" t="str">
        <f>IF(Random!Y306="","",IF(Controls!$B$7="Normal",Controls!$B$8,(Controls!$B$8+Controls!$B$9)/2)+Controls!$B$10*(E305-IF(Controls!$B$7="Normal",Controls!$B$8,(Controls!$B$8+Controls!$B$9)/2))+SQRT(1-Controls!$B$10^2)*(Random!Y306-IF(Controls!$B$7="Normal",Controls!$B$8,(Controls!$B$8+Controls!$B$9)/2)))</f>
        <v/>
      </c>
      <c r="F306" s="10" t="str">
        <f>IF(Random!Z306="","",IF(Controls!$B$7="Normal",Controls!$B$8,(Controls!$B$8+Controls!$B$9)/2)+Controls!$B$10*(F305-IF(Controls!$B$7="Normal",Controls!$B$8,(Controls!$B$8+Controls!$B$9)/2))+SQRT(1-Controls!$B$10^2)*(Random!Z306-IF(Controls!$B$7="Normal",Controls!$B$8,(Controls!$B$8+Controls!$B$9)/2)))</f>
        <v/>
      </c>
      <c r="G306" s="10" t="str">
        <f>IF(Random!AA306="","",IF(Controls!$B$7="Normal",Controls!$B$8,(Controls!$B$8+Controls!$B$9)/2)+Controls!$B$10*(G305-IF(Controls!$B$7="Normal",Controls!$B$8,(Controls!$B$8+Controls!$B$9)/2))+SQRT(1-Controls!$B$10^2)*(Random!AA306-IF(Controls!$B$7="Normal",Controls!$B$8,(Controls!$B$8+Controls!$B$9)/2)))</f>
        <v/>
      </c>
      <c r="H306" s="10" t="str">
        <f>IF(Random!AB306="","",IF(Controls!$B$7="Normal",Controls!$B$8,(Controls!$B$8+Controls!$B$9)/2)+Controls!$B$10*(H305-IF(Controls!$B$7="Normal",Controls!$B$8,(Controls!$B$8+Controls!$B$9)/2))+SQRT(1-Controls!$B$10^2)*(Random!AB306-IF(Controls!$B$7="Normal",Controls!$B$8,(Controls!$B$8+Controls!$B$9)/2)))</f>
        <v/>
      </c>
      <c r="I306" s="10" t="str">
        <f>IF(Random!AC306="","",IF(Controls!$B$7="Normal",Controls!$B$8,(Controls!$B$8+Controls!$B$9)/2)+Controls!$B$10*(I305-IF(Controls!$B$7="Normal",Controls!$B$8,(Controls!$B$8+Controls!$B$9)/2))+SQRT(1-Controls!$B$10^2)*(Random!AC306-IF(Controls!$B$7="Normal",Controls!$B$8,(Controls!$B$8+Controls!$B$9)/2)))</f>
        <v/>
      </c>
      <c r="J306" s="10" t="str">
        <f>IF(Random!AD306="","",IF(Controls!$B$7="Normal",Controls!$B$8,(Controls!$B$8+Controls!$B$9)/2)+Controls!$B$10*(J305-IF(Controls!$B$7="Normal",Controls!$B$8,(Controls!$B$8+Controls!$B$9)/2))+SQRT(1-Controls!$B$10^2)*(Random!AD306-IF(Controls!$B$7="Normal",Controls!$B$8,(Controls!$B$8+Controls!$B$9)/2)))</f>
        <v/>
      </c>
      <c r="K306" s="10" t="str">
        <f>IF(Random!AE306="","",IF(Controls!$B$7="Normal",Controls!$B$8,(Controls!$B$8+Controls!$B$9)/2)+Controls!$B$10*(K305-IF(Controls!$B$7="Normal",Controls!$B$8,(Controls!$B$8+Controls!$B$9)/2))+SQRT(1-Controls!$B$10^2)*(Random!AE306-IF(Controls!$B$7="Normal",Controls!$B$8,(Controls!$B$8+Controls!$B$9)/2)))</f>
        <v/>
      </c>
      <c r="L306" s="10" t="str">
        <f>IF($A306="","",IF(AND($A306&gt;=Controls!$B$25,$A306&lt;Controls!$B$25+Controls!$C$25),(Controls!$D$25-1)*EXP(-0.5*(($A306-Controls!$B$25-(Controls!$C$25-1)/2)/MAX(Controls!$C$25/4,0.5))^2),0))</f>
        <v/>
      </c>
      <c r="M306" s="10" t="str">
        <f>IF($A306="","",IF(AND($A306&gt;=Controls!$B$26,$A306&lt;Controls!$B$26+Controls!$C$26),(Controls!$D$26-1)*EXP(-0.5*(($A306-Controls!$B$26-(Controls!$C$26-1)/2)/MAX(Controls!$C$26/4,0.5))^2),0))</f>
        <v/>
      </c>
      <c r="N306" s="10" t="str">
        <f>IF($A306="","",IF(AND($A306&gt;=Controls!$B$27,$A306&lt;Controls!$B$27+Controls!$C$27),(Controls!$D$27-1)*EXP(-0.5*(($A306-Controls!$B$27-(Controls!$C$27-1)/2)/MAX(Controls!$C$27/4,0.5))^2),0))</f>
        <v/>
      </c>
      <c r="O306" s="10" t="str">
        <f>IF($A306="","",IF(AND($A306&gt;=Controls!$B$28,$A306&lt;Controls!$B$28+Controls!$C$28),(Controls!$D$28-1)*EXP(-0.5*(($A306-Controls!$B$28-(Controls!$C$28-1)/2)/MAX(Controls!$C$28/4,0.5))^2),0))</f>
        <v/>
      </c>
      <c r="P306" s="4" t="str">
        <f t="shared" si="1"/>
        <v/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21.0" customHeight="1">
      <c r="A307" s="7" t="str">
        <f>IF(306&lt;=Controls!$B$5,Controls!$B$4+305,"")</f>
        <v/>
      </c>
      <c r="B307" s="10" t="str">
        <f>IF(Random!V307="","",IF(Controls!$B$7="Normal",Controls!$B$8,(Controls!$B$8+Controls!$B$9)/2)+Controls!$B$10*(B306-IF(Controls!$B$7="Normal",Controls!$B$8,(Controls!$B$8+Controls!$B$9)/2))+SQRT(1-Controls!$B$10^2)*(Random!V307-IF(Controls!$B$7="Normal",Controls!$B$8,(Controls!$B$8+Controls!$B$9)/2)))</f>
        <v/>
      </c>
      <c r="C307" s="10" t="str">
        <f>IF(Random!W307="","",IF(Controls!$B$7="Normal",Controls!$B$8,(Controls!$B$8+Controls!$B$9)/2)+Controls!$B$10*(C306-IF(Controls!$B$7="Normal",Controls!$B$8,(Controls!$B$8+Controls!$B$9)/2))+SQRT(1-Controls!$B$10^2)*(Random!W307-IF(Controls!$B$7="Normal",Controls!$B$8,(Controls!$B$8+Controls!$B$9)/2)))</f>
        <v/>
      </c>
      <c r="D307" s="10" t="str">
        <f>IF(Random!X307="","",IF(Controls!$B$7="Normal",Controls!$B$8,(Controls!$B$8+Controls!$B$9)/2)+Controls!$B$10*(D306-IF(Controls!$B$7="Normal",Controls!$B$8,(Controls!$B$8+Controls!$B$9)/2))+SQRT(1-Controls!$B$10^2)*(Random!X307-IF(Controls!$B$7="Normal",Controls!$B$8,(Controls!$B$8+Controls!$B$9)/2)))</f>
        <v/>
      </c>
      <c r="E307" s="10" t="str">
        <f>IF(Random!Y307="","",IF(Controls!$B$7="Normal",Controls!$B$8,(Controls!$B$8+Controls!$B$9)/2)+Controls!$B$10*(E306-IF(Controls!$B$7="Normal",Controls!$B$8,(Controls!$B$8+Controls!$B$9)/2))+SQRT(1-Controls!$B$10^2)*(Random!Y307-IF(Controls!$B$7="Normal",Controls!$B$8,(Controls!$B$8+Controls!$B$9)/2)))</f>
        <v/>
      </c>
      <c r="F307" s="10" t="str">
        <f>IF(Random!Z307="","",IF(Controls!$B$7="Normal",Controls!$B$8,(Controls!$B$8+Controls!$B$9)/2)+Controls!$B$10*(F306-IF(Controls!$B$7="Normal",Controls!$B$8,(Controls!$B$8+Controls!$B$9)/2))+SQRT(1-Controls!$B$10^2)*(Random!Z307-IF(Controls!$B$7="Normal",Controls!$B$8,(Controls!$B$8+Controls!$B$9)/2)))</f>
        <v/>
      </c>
      <c r="G307" s="10" t="str">
        <f>IF(Random!AA307="","",IF(Controls!$B$7="Normal",Controls!$B$8,(Controls!$B$8+Controls!$B$9)/2)+Controls!$B$10*(G306-IF(Controls!$B$7="Normal",Controls!$B$8,(Controls!$B$8+Controls!$B$9)/2))+SQRT(1-Controls!$B$10^2)*(Random!AA307-IF(Controls!$B$7="Normal",Controls!$B$8,(Controls!$B$8+Controls!$B$9)/2)))</f>
        <v/>
      </c>
      <c r="H307" s="10" t="str">
        <f>IF(Random!AB307="","",IF(Controls!$B$7="Normal",Controls!$B$8,(Controls!$B$8+Controls!$B$9)/2)+Controls!$B$10*(H306-IF(Controls!$B$7="Normal",Controls!$B$8,(Controls!$B$8+Controls!$B$9)/2))+SQRT(1-Controls!$B$10^2)*(Random!AB307-IF(Controls!$B$7="Normal",Controls!$B$8,(Controls!$B$8+Controls!$B$9)/2)))</f>
        <v/>
      </c>
      <c r="I307" s="10" t="str">
        <f>IF(Random!AC307="","",IF(Controls!$B$7="Normal",Controls!$B$8,(Controls!$B$8+Controls!$B$9)/2)+Controls!$B$10*(I306-IF(Controls!$B$7="Normal",Controls!$B$8,(Controls!$B$8+Controls!$B$9)/2))+SQRT(1-Controls!$B$10^2)*(Random!AC307-IF(Controls!$B$7="Normal",Controls!$B$8,(Controls!$B$8+Controls!$B$9)/2)))</f>
        <v/>
      </c>
      <c r="J307" s="10" t="str">
        <f>IF(Random!AD307="","",IF(Controls!$B$7="Normal",Controls!$B$8,(Controls!$B$8+Controls!$B$9)/2)+Controls!$B$10*(J306-IF(Controls!$B$7="Normal",Controls!$B$8,(Controls!$B$8+Controls!$B$9)/2))+SQRT(1-Controls!$B$10^2)*(Random!AD307-IF(Controls!$B$7="Normal",Controls!$B$8,(Controls!$B$8+Controls!$B$9)/2)))</f>
        <v/>
      </c>
      <c r="K307" s="10" t="str">
        <f>IF(Random!AE307="","",IF(Controls!$B$7="Normal",Controls!$B$8,(Controls!$B$8+Controls!$B$9)/2)+Controls!$B$10*(K306-IF(Controls!$B$7="Normal",Controls!$B$8,(Controls!$B$8+Controls!$B$9)/2))+SQRT(1-Controls!$B$10^2)*(Random!AE307-IF(Controls!$B$7="Normal",Controls!$B$8,(Controls!$B$8+Controls!$B$9)/2)))</f>
        <v/>
      </c>
      <c r="L307" s="10" t="str">
        <f>IF($A307="","",IF(AND($A307&gt;=Controls!$B$25,$A307&lt;Controls!$B$25+Controls!$C$25),(Controls!$D$25-1)*EXP(-0.5*(($A307-Controls!$B$25-(Controls!$C$25-1)/2)/MAX(Controls!$C$25/4,0.5))^2),0))</f>
        <v/>
      </c>
      <c r="M307" s="10" t="str">
        <f>IF($A307="","",IF(AND($A307&gt;=Controls!$B$26,$A307&lt;Controls!$B$26+Controls!$C$26),(Controls!$D$26-1)*EXP(-0.5*(($A307-Controls!$B$26-(Controls!$C$26-1)/2)/MAX(Controls!$C$26/4,0.5))^2),0))</f>
        <v/>
      </c>
      <c r="N307" s="10" t="str">
        <f>IF($A307="","",IF(AND($A307&gt;=Controls!$B$27,$A307&lt;Controls!$B$27+Controls!$C$27),(Controls!$D$27-1)*EXP(-0.5*(($A307-Controls!$B$27-(Controls!$C$27-1)/2)/MAX(Controls!$C$27/4,0.5))^2),0))</f>
        <v/>
      </c>
      <c r="O307" s="10" t="str">
        <f>IF($A307="","",IF(AND($A307&gt;=Controls!$B$28,$A307&lt;Controls!$B$28+Controls!$C$28),(Controls!$D$28-1)*EXP(-0.5*(($A307-Controls!$B$28-(Controls!$C$28-1)/2)/MAX(Controls!$C$28/4,0.5))^2),0))</f>
        <v/>
      </c>
      <c r="P307" s="4" t="str">
        <f t="shared" si="1"/>
        <v/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21.0" customHeight="1">
      <c r="A308" s="7" t="str">
        <f>IF(307&lt;=Controls!$B$5,Controls!$B$4+306,"")</f>
        <v/>
      </c>
      <c r="B308" s="10" t="str">
        <f>IF(Random!V308="","",IF(Controls!$B$7="Normal",Controls!$B$8,(Controls!$B$8+Controls!$B$9)/2)+Controls!$B$10*(B307-IF(Controls!$B$7="Normal",Controls!$B$8,(Controls!$B$8+Controls!$B$9)/2))+SQRT(1-Controls!$B$10^2)*(Random!V308-IF(Controls!$B$7="Normal",Controls!$B$8,(Controls!$B$8+Controls!$B$9)/2)))</f>
        <v/>
      </c>
      <c r="C308" s="10" t="str">
        <f>IF(Random!W308="","",IF(Controls!$B$7="Normal",Controls!$B$8,(Controls!$B$8+Controls!$B$9)/2)+Controls!$B$10*(C307-IF(Controls!$B$7="Normal",Controls!$B$8,(Controls!$B$8+Controls!$B$9)/2))+SQRT(1-Controls!$B$10^2)*(Random!W308-IF(Controls!$B$7="Normal",Controls!$B$8,(Controls!$B$8+Controls!$B$9)/2)))</f>
        <v/>
      </c>
      <c r="D308" s="10" t="str">
        <f>IF(Random!X308="","",IF(Controls!$B$7="Normal",Controls!$B$8,(Controls!$B$8+Controls!$B$9)/2)+Controls!$B$10*(D307-IF(Controls!$B$7="Normal",Controls!$B$8,(Controls!$B$8+Controls!$B$9)/2))+SQRT(1-Controls!$B$10^2)*(Random!X308-IF(Controls!$B$7="Normal",Controls!$B$8,(Controls!$B$8+Controls!$B$9)/2)))</f>
        <v/>
      </c>
      <c r="E308" s="10" t="str">
        <f>IF(Random!Y308="","",IF(Controls!$B$7="Normal",Controls!$B$8,(Controls!$B$8+Controls!$B$9)/2)+Controls!$B$10*(E307-IF(Controls!$B$7="Normal",Controls!$B$8,(Controls!$B$8+Controls!$B$9)/2))+SQRT(1-Controls!$B$10^2)*(Random!Y308-IF(Controls!$B$7="Normal",Controls!$B$8,(Controls!$B$8+Controls!$B$9)/2)))</f>
        <v/>
      </c>
      <c r="F308" s="10" t="str">
        <f>IF(Random!Z308="","",IF(Controls!$B$7="Normal",Controls!$B$8,(Controls!$B$8+Controls!$B$9)/2)+Controls!$B$10*(F307-IF(Controls!$B$7="Normal",Controls!$B$8,(Controls!$B$8+Controls!$B$9)/2))+SQRT(1-Controls!$B$10^2)*(Random!Z308-IF(Controls!$B$7="Normal",Controls!$B$8,(Controls!$B$8+Controls!$B$9)/2)))</f>
        <v/>
      </c>
      <c r="G308" s="10" t="str">
        <f>IF(Random!AA308="","",IF(Controls!$B$7="Normal",Controls!$B$8,(Controls!$B$8+Controls!$B$9)/2)+Controls!$B$10*(G307-IF(Controls!$B$7="Normal",Controls!$B$8,(Controls!$B$8+Controls!$B$9)/2))+SQRT(1-Controls!$B$10^2)*(Random!AA308-IF(Controls!$B$7="Normal",Controls!$B$8,(Controls!$B$8+Controls!$B$9)/2)))</f>
        <v/>
      </c>
      <c r="H308" s="10" t="str">
        <f>IF(Random!AB308="","",IF(Controls!$B$7="Normal",Controls!$B$8,(Controls!$B$8+Controls!$B$9)/2)+Controls!$B$10*(H307-IF(Controls!$B$7="Normal",Controls!$B$8,(Controls!$B$8+Controls!$B$9)/2))+SQRT(1-Controls!$B$10^2)*(Random!AB308-IF(Controls!$B$7="Normal",Controls!$B$8,(Controls!$B$8+Controls!$B$9)/2)))</f>
        <v/>
      </c>
      <c r="I308" s="10" t="str">
        <f>IF(Random!AC308="","",IF(Controls!$B$7="Normal",Controls!$B$8,(Controls!$B$8+Controls!$B$9)/2)+Controls!$B$10*(I307-IF(Controls!$B$7="Normal",Controls!$B$8,(Controls!$B$8+Controls!$B$9)/2))+SQRT(1-Controls!$B$10^2)*(Random!AC308-IF(Controls!$B$7="Normal",Controls!$B$8,(Controls!$B$8+Controls!$B$9)/2)))</f>
        <v/>
      </c>
      <c r="J308" s="10" t="str">
        <f>IF(Random!AD308="","",IF(Controls!$B$7="Normal",Controls!$B$8,(Controls!$B$8+Controls!$B$9)/2)+Controls!$B$10*(J307-IF(Controls!$B$7="Normal",Controls!$B$8,(Controls!$B$8+Controls!$B$9)/2))+SQRT(1-Controls!$B$10^2)*(Random!AD308-IF(Controls!$B$7="Normal",Controls!$B$8,(Controls!$B$8+Controls!$B$9)/2)))</f>
        <v/>
      </c>
      <c r="K308" s="10" t="str">
        <f>IF(Random!AE308="","",IF(Controls!$B$7="Normal",Controls!$B$8,(Controls!$B$8+Controls!$B$9)/2)+Controls!$B$10*(K307-IF(Controls!$B$7="Normal",Controls!$B$8,(Controls!$B$8+Controls!$B$9)/2))+SQRT(1-Controls!$B$10^2)*(Random!AE308-IF(Controls!$B$7="Normal",Controls!$B$8,(Controls!$B$8+Controls!$B$9)/2)))</f>
        <v/>
      </c>
      <c r="L308" s="10" t="str">
        <f>IF($A308="","",IF(AND($A308&gt;=Controls!$B$25,$A308&lt;Controls!$B$25+Controls!$C$25),(Controls!$D$25-1)*EXP(-0.5*(($A308-Controls!$B$25-(Controls!$C$25-1)/2)/MAX(Controls!$C$25/4,0.5))^2),0))</f>
        <v/>
      </c>
      <c r="M308" s="10" t="str">
        <f>IF($A308="","",IF(AND($A308&gt;=Controls!$B$26,$A308&lt;Controls!$B$26+Controls!$C$26),(Controls!$D$26-1)*EXP(-0.5*(($A308-Controls!$B$26-(Controls!$C$26-1)/2)/MAX(Controls!$C$26/4,0.5))^2),0))</f>
        <v/>
      </c>
      <c r="N308" s="10" t="str">
        <f>IF($A308="","",IF(AND($A308&gt;=Controls!$B$27,$A308&lt;Controls!$B$27+Controls!$C$27),(Controls!$D$27-1)*EXP(-0.5*(($A308-Controls!$B$27-(Controls!$C$27-1)/2)/MAX(Controls!$C$27/4,0.5))^2),0))</f>
        <v/>
      </c>
      <c r="O308" s="10" t="str">
        <f>IF($A308="","",IF(AND($A308&gt;=Controls!$B$28,$A308&lt;Controls!$B$28+Controls!$C$28),(Controls!$D$28-1)*EXP(-0.5*(($A308-Controls!$B$28-(Controls!$C$28-1)/2)/MAX(Controls!$C$28/4,0.5))^2),0))</f>
        <v/>
      </c>
      <c r="P308" s="4" t="str">
        <f t="shared" si="1"/>
        <v/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21.0" customHeight="1">
      <c r="A309" s="7" t="str">
        <f>IF(308&lt;=Controls!$B$5,Controls!$B$4+307,"")</f>
        <v/>
      </c>
      <c r="B309" s="10" t="str">
        <f>IF(Random!V309="","",IF(Controls!$B$7="Normal",Controls!$B$8,(Controls!$B$8+Controls!$B$9)/2)+Controls!$B$10*(B308-IF(Controls!$B$7="Normal",Controls!$B$8,(Controls!$B$8+Controls!$B$9)/2))+SQRT(1-Controls!$B$10^2)*(Random!V309-IF(Controls!$B$7="Normal",Controls!$B$8,(Controls!$B$8+Controls!$B$9)/2)))</f>
        <v/>
      </c>
      <c r="C309" s="10" t="str">
        <f>IF(Random!W309="","",IF(Controls!$B$7="Normal",Controls!$B$8,(Controls!$B$8+Controls!$B$9)/2)+Controls!$B$10*(C308-IF(Controls!$B$7="Normal",Controls!$B$8,(Controls!$B$8+Controls!$B$9)/2))+SQRT(1-Controls!$B$10^2)*(Random!W309-IF(Controls!$B$7="Normal",Controls!$B$8,(Controls!$B$8+Controls!$B$9)/2)))</f>
        <v/>
      </c>
      <c r="D309" s="10" t="str">
        <f>IF(Random!X309="","",IF(Controls!$B$7="Normal",Controls!$B$8,(Controls!$B$8+Controls!$B$9)/2)+Controls!$B$10*(D308-IF(Controls!$B$7="Normal",Controls!$B$8,(Controls!$B$8+Controls!$B$9)/2))+SQRT(1-Controls!$B$10^2)*(Random!X309-IF(Controls!$B$7="Normal",Controls!$B$8,(Controls!$B$8+Controls!$B$9)/2)))</f>
        <v/>
      </c>
      <c r="E309" s="10" t="str">
        <f>IF(Random!Y309="","",IF(Controls!$B$7="Normal",Controls!$B$8,(Controls!$B$8+Controls!$B$9)/2)+Controls!$B$10*(E308-IF(Controls!$B$7="Normal",Controls!$B$8,(Controls!$B$8+Controls!$B$9)/2))+SQRT(1-Controls!$B$10^2)*(Random!Y309-IF(Controls!$B$7="Normal",Controls!$B$8,(Controls!$B$8+Controls!$B$9)/2)))</f>
        <v/>
      </c>
      <c r="F309" s="10" t="str">
        <f>IF(Random!Z309="","",IF(Controls!$B$7="Normal",Controls!$B$8,(Controls!$B$8+Controls!$B$9)/2)+Controls!$B$10*(F308-IF(Controls!$B$7="Normal",Controls!$B$8,(Controls!$B$8+Controls!$B$9)/2))+SQRT(1-Controls!$B$10^2)*(Random!Z309-IF(Controls!$B$7="Normal",Controls!$B$8,(Controls!$B$8+Controls!$B$9)/2)))</f>
        <v/>
      </c>
      <c r="G309" s="10" t="str">
        <f>IF(Random!AA309="","",IF(Controls!$B$7="Normal",Controls!$B$8,(Controls!$B$8+Controls!$B$9)/2)+Controls!$B$10*(G308-IF(Controls!$B$7="Normal",Controls!$B$8,(Controls!$B$8+Controls!$B$9)/2))+SQRT(1-Controls!$B$10^2)*(Random!AA309-IF(Controls!$B$7="Normal",Controls!$B$8,(Controls!$B$8+Controls!$B$9)/2)))</f>
        <v/>
      </c>
      <c r="H309" s="10" t="str">
        <f>IF(Random!AB309="","",IF(Controls!$B$7="Normal",Controls!$B$8,(Controls!$B$8+Controls!$B$9)/2)+Controls!$B$10*(H308-IF(Controls!$B$7="Normal",Controls!$B$8,(Controls!$B$8+Controls!$B$9)/2))+SQRT(1-Controls!$B$10^2)*(Random!AB309-IF(Controls!$B$7="Normal",Controls!$B$8,(Controls!$B$8+Controls!$B$9)/2)))</f>
        <v/>
      </c>
      <c r="I309" s="10" t="str">
        <f>IF(Random!AC309="","",IF(Controls!$B$7="Normal",Controls!$B$8,(Controls!$B$8+Controls!$B$9)/2)+Controls!$B$10*(I308-IF(Controls!$B$7="Normal",Controls!$B$8,(Controls!$B$8+Controls!$B$9)/2))+SQRT(1-Controls!$B$10^2)*(Random!AC309-IF(Controls!$B$7="Normal",Controls!$B$8,(Controls!$B$8+Controls!$B$9)/2)))</f>
        <v/>
      </c>
      <c r="J309" s="10" t="str">
        <f>IF(Random!AD309="","",IF(Controls!$B$7="Normal",Controls!$B$8,(Controls!$B$8+Controls!$B$9)/2)+Controls!$B$10*(J308-IF(Controls!$B$7="Normal",Controls!$B$8,(Controls!$B$8+Controls!$B$9)/2))+SQRT(1-Controls!$B$10^2)*(Random!AD309-IF(Controls!$B$7="Normal",Controls!$B$8,(Controls!$B$8+Controls!$B$9)/2)))</f>
        <v/>
      </c>
      <c r="K309" s="10" t="str">
        <f>IF(Random!AE309="","",IF(Controls!$B$7="Normal",Controls!$B$8,(Controls!$B$8+Controls!$B$9)/2)+Controls!$B$10*(K308-IF(Controls!$B$7="Normal",Controls!$B$8,(Controls!$B$8+Controls!$B$9)/2))+SQRT(1-Controls!$B$10^2)*(Random!AE309-IF(Controls!$B$7="Normal",Controls!$B$8,(Controls!$B$8+Controls!$B$9)/2)))</f>
        <v/>
      </c>
      <c r="L309" s="10" t="str">
        <f>IF($A309="","",IF(AND($A309&gt;=Controls!$B$25,$A309&lt;Controls!$B$25+Controls!$C$25),(Controls!$D$25-1)*EXP(-0.5*(($A309-Controls!$B$25-(Controls!$C$25-1)/2)/MAX(Controls!$C$25/4,0.5))^2),0))</f>
        <v/>
      </c>
      <c r="M309" s="10" t="str">
        <f>IF($A309="","",IF(AND($A309&gt;=Controls!$B$26,$A309&lt;Controls!$B$26+Controls!$C$26),(Controls!$D$26-1)*EXP(-0.5*(($A309-Controls!$B$26-(Controls!$C$26-1)/2)/MAX(Controls!$C$26/4,0.5))^2),0))</f>
        <v/>
      </c>
      <c r="N309" s="10" t="str">
        <f>IF($A309="","",IF(AND($A309&gt;=Controls!$B$27,$A309&lt;Controls!$B$27+Controls!$C$27),(Controls!$D$27-1)*EXP(-0.5*(($A309-Controls!$B$27-(Controls!$C$27-1)/2)/MAX(Controls!$C$27/4,0.5))^2),0))</f>
        <v/>
      </c>
      <c r="O309" s="10" t="str">
        <f>IF($A309="","",IF(AND($A309&gt;=Controls!$B$28,$A309&lt;Controls!$B$28+Controls!$C$28),(Controls!$D$28-1)*EXP(-0.5*(($A309-Controls!$B$28-(Controls!$C$28-1)/2)/MAX(Controls!$C$28/4,0.5))^2),0))</f>
        <v/>
      </c>
      <c r="P309" s="4" t="str">
        <f t="shared" si="1"/>
        <v/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21.0" customHeight="1">
      <c r="A310" s="7" t="str">
        <f>IF(309&lt;=Controls!$B$5,Controls!$B$4+308,"")</f>
        <v/>
      </c>
      <c r="B310" s="10" t="str">
        <f>IF(Random!V310="","",IF(Controls!$B$7="Normal",Controls!$B$8,(Controls!$B$8+Controls!$B$9)/2)+Controls!$B$10*(B309-IF(Controls!$B$7="Normal",Controls!$B$8,(Controls!$B$8+Controls!$B$9)/2))+SQRT(1-Controls!$B$10^2)*(Random!V310-IF(Controls!$B$7="Normal",Controls!$B$8,(Controls!$B$8+Controls!$B$9)/2)))</f>
        <v/>
      </c>
      <c r="C310" s="10" t="str">
        <f>IF(Random!W310="","",IF(Controls!$B$7="Normal",Controls!$B$8,(Controls!$B$8+Controls!$B$9)/2)+Controls!$B$10*(C309-IF(Controls!$B$7="Normal",Controls!$B$8,(Controls!$B$8+Controls!$B$9)/2))+SQRT(1-Controls!$B$10^2)*(Random!W310-IF(Controls!$B$7="Normal",Controls!$B$8,(Controls!$B$8+Controls!$B$9)/2)))</f>
        <v/>
      </c>
      <c r="D310" s="10" t="str">
        <f>IF(Random!X310="","",IF(Controls!$B$7="Normal",Controls!$B$8,(Controls!$B$8+Controls!$B$9)/2)+Controls!$B$10*(D309-IF(Controls!$B$7="Normal",Controls!$B$8,(Controls!$B$8+Controls!$B$9)/2))+SQRT(1-Controls!$B$10^2)*(Random!X310-IF(Controls!$B$7="Normal",Controls!$B$8,(Controls!$B$8+Controls!$B$9)/2)))</f>
        <v/>
      </c>
      <c r="E310" s="10" t="str">
        <f>IF(Random!Y310="","",IF(Controls!$B$7="Normal",Controls!$B$8,(Controls!$B$8+Controls!$B$9)/2)+Controls!$B$10*(E309-IF(Controls!$B$7="Normal",Controls!$B$8,(Controls!$B$8+Controls!$B$9)/2))+SQRT(1-Controls!$B$10^2)*(Random!Y310-IF(Controls!$B$7="Normal",Controls!$B$8,(Controls!$B$8+Controls!$B$9)/2)))</f>
        <v/>
      </c>
      <c r="F310" s="10" t="str">
        <f>IF(Random!Z310="","",IF(Controls!$B$7="Normal",Controls!$B$8,(Controls!$B$8+Controls!$B$9)/2)+Controls!$B$10*(F309-IF(Controls!$B$7="Normal",Controls!$B$8,(Controls!$B$8+Controls!$B$9)/2))+SQRT(1-Controls!$B$10^2)*(Random!Z310-IF(Controls!$B$7="Normal",Controls!$B$8,(Controls!$B$8+Controls!$B$9)/2)))</f>
        <v/>
      </c>
      <c r="G310" s="10" t="str">
        <f>IF(Random!AA310="","",IF(Controls!$B$7="Normal",Controls!$B$8,(Controls!$B$8+Controls!$B$9)/2)+Controls!$B$10*(G309-IF(Controls!$B$7="Normal",Controls!$B$8,(Controls!$B$8+Controls!$B$9)/2))+SQRT(1-Controls!$B$10^2)*(Random!AA310-IF(Controls!$B$7="Normal",Controls!$B$8,(Controls!$B$8+Controls!$B$9)/2)))</f>
        <v/>
      </c>
      <c r="H310" s="10" t="str">
        <f>IF(Random!AB310="","",IF(Controls!$B$7="Normal",Controls!$B$8,(Controls!$B$8+Controls!$B$9)/2)+Controls!$B$10*(H309-IF(Controls!$B$7="Normal",Controls!$B$8,(Controls!$B$8+Controls!$B$9)/2))+SQRT(1-Controls!$B$10^2)*(Random!AB310-IF(Controls!$B$7="Normal",Controls!$B$8,(Controls!$B$8+Controls!$B$9)/2)))</f>
        <v/>
      </c>
      <c r="I310" s="10" t="str">
        <f>IF(Random!AC310="","",IF(Controls!$B$7="Normal",Controls!$B$8,(Controls!$B$8+Controls!$B$9)/2)+Controls!$B$10*(I309-IF(Controls!$B$7="Normal",Controls!$B$8,(Controls!$B$8+Controls!$B$9)/2))+SQRT(1-Controls!$B$10^2)*(Random!AC310-IF(Controls!$B$7="Normal",Controls!$B$8,(Controls!$B$8+Controls!$B$9)/2)))</f>
        <v/>
      </c>
      <c r="J310" s="10" t="str">
        <f>IF(Random!AD310="","",IF(Controls!$B$7="Normal",Controls!$B$8,(Controls!$B$8+Controls!$B$9)/2)+Controls!$B$10*(J309-IF(Controls!$B$7="Normal",Controls!$B$8,(Controls!$B$8+Controls!$B$9)/2))+SQRT(1-Controls!$B$10^2)*(Random!AD310-IF(Controls!$B$7="Normal",Controls!$B$8,(Controls!$B$8+Controls!$B$9)/2)))</f>
        <v/>
      </c>
      <c r="K310" s="10" t="str">
        <f>IF(Random!AE310="","",IF(Controls!$B$7="Normal",Controls!$B$8,(Controls!$B$8+Controls!$B$9)/2)+Controls!$B$10*(K309-IF(Controls!$B$7="Normal",Controls!$B$8,(Controls!$B$8+Controls!$B$9)/2))+SQRT(1-Controls!$B$10^2)*(Random!AE310-IF(Controls!$B$7="Normal",Controls!$B$8,(Controls!$B$8+Controls!$B$9)/2)))</f>
        <v/>
      </c>
      <c r="L310" s="10" t="str">
        <f>IF($A310="","",IF(AND($A310&gt;=Controls!$B$25,$A310&lt;Controls!$B$25+Controls!$C$25),(Controls!$D$25-1)*EXP(-0.5*(($A310-Controls!$B$25-(Controls!$C$25-1)/2)/MAX(Controls!$C$25/4,0.5))^2),0))</f>
        <v/>
      </c>
      <c r="M310" s="10" t="str">
        <f>IF($A310="","",IF(AND($A310&gt;=Controls!$B$26,$A310&lt;Controls!$B$26+Controls!$C$26),(Controls!$D$26-1)*EXP(-0.5*(($A310-Controls!$B$26-(Controls!$C$26-1)/2)/MAX(Controls!$C$26/4,0.5))^2),0))</f>
        <v/>
      </c>
      <c r="N310" s="10" t="str">
        <f>IF($A310="","",IF(AND($A310&gt;=Controls!$B$27,$A310&lt;Controls!$B$27+Controls!$C$27),(Controls!$D$27-1)*EXP(-0.5*(($A310-Controls!$B$27-(Controls!$C$27-1)/2)/MAX(Controls!$C$27/4,0.5))^2),0))</f>
        <v/>
      </c>
      <c r="O310" s="10" t="str">
        <f>IF($A310="","",IF(AND($A310&gt;=Controls!$B$28,$A310&lt;Controls!$B$28+Controls!$C$28),(Controls!$D$28-1)*EXP(-0.5*(($A310-Controls!$B$28-(Controls!$C$28-1)/2)/MAX(Controls!$C$28/4,0.5))^2),0))</f>
        <v/>
      </c>
      <c r="P310" s="4" t="str">
        <f t="shared" si="1"/>
        <v/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21.0" customHeight="1">
      <c r="A311" s="7" t="str">
        <f>IF(310&lt;=Controls!$B$5,Controls!$B$4+309,"")</f>
        <v/>
      </c>
      <c r="B311" s="10" t="str">
        <f>IF(Random!V311="","",IF(Controls!$B$7="Normal",Controls!$B$8,(Controls!$B$8+Controls!$B$9)/2)+Controls!$B$10*(B310-IF(Controls!$B$7="Normal",Controls!$B$8,(Controls!$B$8+Controls!$B$9)/2))+SQRT(1-Controls!$B$10^2)*(Random!V311-IF(Controls!$B$7="Normal",Controls!$B$8,(Controls!$B$8+Controls!$B$9)/2)))</f>
        <v/>
      </c>
      <c r="C311" s="10" t="str">
        <f>IF(Random!W311="","",IF(Controls!$B$7="Normal",Controls!$B$8,(Controls!$B$8+Controls!$B$9)/2)+Controls!$B$10*(C310-IF(Controls!$B$7="Normal",Controls!$B$8,(Controls!$B$8+Controls!$B$9)/2))+SQRT(1-Controls!$B$10^2)*(Random!W311-IF(Controls!$B$7="Normal",Controls!$B$8,(Controls!$B$8+Controls!$B$9)/2)))</f>
        <v/>
      </c>
      <c r="D311" s="10" t="str">
        <f>IF(Random!X311="","",IF(Controls!$B$7="Normal",Controls!$B$8,(Controls!$B$8+Controls!$B$9)/2)+Controls!$B$10*(D310-IF(Controls!$B$7="Normal",Controls!$B$8,(Controls!$B$8+Controls!$B$9)/2))+SQRT(1-Controls!$B$10^2)*(Random!X311-IF(Controls!$B$7="Normal",Controls!$B$8,(Controls!$B$8+Controls!$B$9)/2)))</f>
        <v/>
      </c>
      <c r="E311" s="10" t="str">
        <f>IF(Random!Y311="","",IF(Controls!$B$7="Normal",Controls!$B$8,(Controls!$B$8+Controls!$B$9)/2)+Controls!$B$10*(E310-IF(Controls!$B$7="Normal",Controls!$B$8,(Controls!$B$8+Controls!$B$9)/2))+SQRT(1-Controls!$B$10^2)*(Random!Y311-IF(Controls!$B$7="Normal",Controls!$B$8,(Controls!$B$8+Controls!$B$9)/2)))</f>
        <v/>
      </c>
      <c r="F311" s="10" t="str">
        <f>IF(Random!Z311="","",IF(Controls!$B$7="Normal",Controls!$B$8,(Controls!$B$8+Controls!$B$9)/2)+Controls!$B$10*(F310-IF(Controls!$B$7="Normal",Controls!$B$8,(Controls!$B$8+Controls!$B$9)/2))+SQRT(1-Controls!$B$10^2)*(Random!Z311-IF(Controls!$B$7="Normal",Controls!$B$8,(Controls!$B$8+Controls!$B$9)/2)))</f>
        <v/>
      </c>
      <c r="G311" s="10" t="str">
        <f>IF(Random!AA311="","",IF(Controls!$B$7="Normal",Controls!$B$8,(Controls!$B$8+Controls!$B$9)/2)+Controls!$B$10*(G310-IF(Controls!$B$7="Normal",Controls!$B$8,(Controls!$B$8+Controls!$B$9)/2))+SQRT(1-Controls!$B$10^2)*(Random!AA311-IF(Controls!$B$7="Normal",Controls!$B$8,(Controls!$B$8+Controls!$B$9)/2)))</f>
        <v/>
      </c>
      <c r="H311" s="10" t="str">
        <f>IF(Random!AB311="","",IF(Controls!$B$7="Normal",Controls!$B$8,(Controls!$B$8+Controls!$B$9)/2)+Controls!$B$10*(H310-IF(Controls!$B$7="Normal",Controls!$B$8,(Controls!$B$8+Controls!$B$9)/2))+SQRT(1-Controls!$B$10^2)*(Random!AB311-IF(Controls!$B$7="Normal",Controls!$B$8,(Controls!$B$8+Controls!$B$9)/2)))</f>
        <v/>
      </c>
      <c r="I311" s="10" t="str">
        <f>IF(Random!AC311="","",IF(Controls!$B$7="Normal",Controls!$B$8,(Controls!$B$8+Controls!$B$9)/2)+Controls!$B$10*(I310-IF(Controls!$B$7="Normal",Controls!$B$8,(Controls!$B$8+Controls!$B$9)/2))+SQRT(1-Controls!$B$10^2)*(Random!AC311-IF(Controls!$B$7="Normal",Controls!$B$8,(Controls!$B$8+Controls!$B$9)/2)))</f>
        <v/>
      </c>
      <c r="J311" s="10" t="str">
        <f>IF(Random!AD311="","",IF(Controls!$B$7="Normal",Controls!$B$8,(Controls!$B$8+Controls!$B$9)/2)+Controls!$B$10*(J310-IF(Controls!$B$7="Normal",Controls!$B$8,(Controls!$B$8+Controls!$B$9)/2))+SQRT(1-Controls!$B$10^2)*(Random!AD311-IF(Controls!$B$7="Normal",Controls!$B$8,(Controls!$B$8+Controls!$B$9)/2)))</f>
        <v/>
      </c>
      <c r="K311" s="10" t="str">
        <f>IF(Random!AE311="","",IF(Controls!$B$7="Normal",Controls!$B$8,(Controls!$B$8+Controls!$B$9)/2)+Controls!$B$10*(K310-IF(Controls!$B$7="Normal",Controls!$B$8,(Controls!$B$8+Controls!$B$9)/2))+SQRT(1-Controls!$B$10^2)*(Random!AE311-IF(Controls!$B$7="Normal",Controls!$B$8,(Controls!$B$8+Controls!$B$9)/2)))</f>
        <v/>
      </c>
      <c r="L311" s="10" t="str">
        <f>IF($A311="","",IF(AND($A311&gt;=Controls!$B$25,$A311&lt;Controls!$B$25+Controls!$C$25),(Controls!$D$25-1)*EXP(-0.5*(($A311-Controls!$B$25-(Controls!$C$25-1)/2)/MAX(Controls!$C$25/4,0.5))^2),0))</f>
        <v/>
      </c>
      <c r="M311" s="10" t="str">
        <f>IF($A311="","",IF(AND($A311&gt;=Controls!$B$26,$A311&lt;Controls!$B$26+Controls!$C$26),(Controls!$D$26-1)*EXP(-0.5*(($A311-Controls!$B$26-(Controls!$C$26-1)/2)/MAX(Controls!$C$26/4,0.5))^2),0))</f>
        <v/>
      </c>
      <c r="N311" s="10" t="str">
        <f>IF($A311="","",IF(AND($A311&gt;=Controls!$B$27,$A311&lt;Controls!$B$27+Controls!$C$27),(Controls!$D$27-1)*EXP(-0.5*(($A311-Controls!$B$27-(Controls!$C$27-1)/2)/MAX(Controls!$C$27/4,0.5))^2),0))</f>
        <v/>
      </c>
      <c r="O311" s="10" t="str">
        <f>IF($A311="","",IF(AND($A311&gt;=Controls!$B$28,$A311&lt;Controls!$B$28+Controls!$C$28),(Controls!$D$28-1)*EXP(-0.5*(($A311-Controls!$B$28-(Controls!$C$28-1)/2)/MAX(Controls!$C$28/4,0.5))^2),0))</f>
        <v/>
      </c>
      <c r="P311" s="4" t="str">
        <f t="shared" si="1"/>
        <v/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21.0" customHeight="1">
      <c r="A312" s="7" t="str">
        <f>IF(311&lt;=Controls!$B$5,Controls!$B$4+310,"")</f>
        <v/>
      </c>
      <c r="B312" s="10" t="str">
        <f>IF(Random!V312="","",IF(Controls!$B$7="Normal",Controls!$B$8,(Controls!$B$8+Controls!$B$9)/2)+Controls!$B$10*(B311-IF(Controls!$B$7="Normal",Controls!$B$8,(Controls!$B$8+Controls!$B$9)/2))+SQRT(1-Controls!$B$10^2)*(Random!V312-IF(Controls!$B$7="Normal",Controls!$B$8,(Controls!$B$8+Controls!$B$9)/2)))</f>
        <v/>
      </c>
      <c r="C312" s="10" t="str">
        <f>IF(Random!W312="","",IF(Controls!$B$7="Normal",Controls!$B$8,(Controls!$B$8+Controls!$B$9)/2)+Controls!$B$10*(C311-IF(Controls!$B$7="Normal",Controls!$B$8,(Controls!$B$8+Controls!$B$9)/2))+SQRT(1-Controls!$B$10^2)*(Random!W312-IF(Controls!$B$7="Normal",Controls!$B$8,(Controls!$B$8+Controls!$B$9)/2)))</f>
        <v/>
      </c>
      <c r="D312" s="10" t="str">
        <f>IF(Random!X312="","",IF(Controls!$B$7="Normal",Controls!$B$8,(Controls!$B$8+Controls!$B$9)/2)+Controls!$B$10*(D311-IF(Controls!$B$7="Normal",Controls!$B$8,(Controls!$B$8+Controls!$B$9)/2))+SQRT(1-Controls!$B$10^2)*(Random!X312-IF(Controls!$B$7="Normal",Controls!$B$8,(Controls!$B$8+Controls!$B$9)/2)))</f>
        <v/>
      </c>
      <c r="E312" s="10" t="str">
        <f>IF(Random!Y312="","",IF(Controls!$B$7="Normal",Controls!$B$8,(Controls!$B$8+Controls!$B$9)/2)+Controls!$B$10*(E311-IF(Controls!$B$7="Normal",Controls!$B$8,(Controls!$B$8+Controls!$B$9)/2))+SQRT(1-Controls!$B$10^2)*(Random!Y312-IF(Controls!$B$7="Normal",Controls!$B$8,(Controls!$B$8+Controls!$B$9)/2)))</f>
        <v/>
      </c>
      <c r="F312" s="10" t="str">
        <f>IF(Random!Z312="","",IF(Controls!$B$7="Normal",Controls!$B$8,(Controls!$B$8+Controls!$B$9)/2)+Controls!$B$10*(F311-IF(Controls!$B$7="Normal",Controls!$B$8,(Controls!$B$8+Controls!$B$9)/2))+SQRT(1-Controls!$B$10^2)*(Random!Z312-IF(Controls!$B$7="Normal",Controls!$B$8,(Controls!$B$8+Controls!$B$9)/2)))</f>
        <v/>
      </c>
      <c r="G312" s="10" t="str">
        <f>IF(Random!AA312="","",IF(Controls!$B$7="Normal",Controls!$B$8,(Controls!$B$8+Controls!$B$9)/2)+Controls!$B$10*(G311-IF(Controls!$B$7="Normal",Controls!$B$8,(Controls!$B$8+Controls!$B$9)/2))+SQRT(1-Controls!$B$10^2)*(Random!AA312-IF(Controls!$B$7="Normal",Controls!$B$8,(Controls!$B$8+Controls!$B$9)/2)))</f>
        <v/>
      </c>
      <c r="H312" s="10" t="str">
        <f>IF(Random!AB312="","",IF(Controls!$B$7="Normal",Controls!$B$8,(Controls!$B$8+Controls!$B$9)/2)+Controls!$B$10*(H311-IF(Controls!$B$7="Normal",Controls!$B$8,(Controls!$B$8+Controls!$B$9)/2))+SQRT(1-Controls!$B$10^2)*(Random!AB312-IF(Controls!$B$7="Normal",Controls!$B$8,(Controls!$B$8+Controls!$B$9)/2)))</f>
        <v/>
      </c>
      <c r="I312" s="10" t="str">
        <f>IF(Random!AC312="","",IF(Controls!$B$7="Normal",Controls!$B$8,(Controls!$B$8+Controls!$B$9)/2)+Controls!$B$10*(I311-IF(Controls!$B$7="Normal",Controls!$B$8,(Controls!$B$8+Controls!$B$9)/2))+SQRT(1-Controls!$B$10^2)*(Random!AC312-IF(Controls!$B$7="Normal",Controls!$B$8,(Controls!$B$8+Controls!$B$9)/2)))</f>
        <v/>
      </c>
      <c r="J312" s="10" t="str">
        <f>IF(Random!AD312="","",IF(Controls!$B$7="Normal",Controls!$B$8,(Controls!$B$8+Controls!$B$9)/2)+Controls!$B$10*(J311-IF(Controls!$B$7="Normal",Controls!$B$8,(Controls!$B$8+Controls!$B$9)/2))+SQRT(1-Controls!$B$10^2)*(Random!AD312-IF(Controls!$B$7="Normal",Controls!$B$8,(Controls!$B$8+Controls!$B$9)/2)))</f>
        <v/>
      </c>
      <c r="K312" s="10" t="str">
        <f>IF(Random!AE312="","",IF(Controls!$B$7="Normal",Controls!$B$8,(Controls!$B$8+Controls!$B$9)/2)+Controls!$B$10*(K311-IF(Controls!$B$7="Normal",Controls!$B$8,(Controls!$B$8+Controls!$B$9)/2))+SQRT(1-Controls!$B$10^2)*(Random!AE312-IF(Controls!$B$7="Normal",Controls!$B$8,(Controls!$B$8+Controls!$B$9)/2)))</f>
        <v/>
      </c>
      <c r="L312" s="10" t="str">
        <f>IF($A312="","",IF(AND($A312&gt;=Controls!$B$25,$A312&lt;Controls!$B$25+Controls!$C$25),(Controls!$D$25-1)*EXP(-0.5*(($A312-Controls!$B$25-(Controls!$C$25-1)/2)/MAX(Controls!$C$25/4,0.5))^2),0))</f>
        <v/>
      </c>
      <c r="M312" s="10" t="str">
        <f>IF($A312="","",IF(AND($A312&gt;=Controls!$B$26,$A312&lt;Controls!$B$26+Controls!$C$26),(Controls!$D$26-1)*EXP(-0.5*(($A312-Controls!$B$26-(Controls!$C$26-1)/2)/MAX(Controls!$C$26/4,0.5))^2),0))</f>
        <v/>
      </c>
      <c r="N312" s="10" t="str">
        <f>IF($A312="","",IF(AND($A312&gt;=Controls!$B$27,$A312&lt;Controls!$B$27+Controls!$C$27),(Controls!$D$27-1)*EXP(-0.5*(($A312-Controls!$B$27-(Controls!$C$27-1)/2)/MAX(Controls!$C$27/4,0.5))^2),0))</f>
        <v/>
      </c>
      <c r="O312" s="10" t="str">
        <f>IF($A312="","",IF(AND($A312&gt;=Controls!$B$28,$A312&lt;Controls!$B$28+Controls!$C$28),(Controls!$D$28-1)*EXP(-0.5*(($A312-Controls!$B$28-(Controls!$C$28-1)/2)/MAX(Controls!$C$28/4,0.5))^2),0))</f>
        <v/>
      </c>
      <c r="P312" s="4" t="str">
        <f t="shared" si="1"/>
        <v/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21.0" customHeight="1">
      <c r="A313" s="7" t="str">
        <f>IF(312&lt;=Controls!$B$5,Controls!$B$4+311,"")</f>
        <v/>
      </c>
      <c r="B313" s="10" t="str">
        <f>IF(Random!V313="","",IF(Controls!$B$7="Normal",Controls!$B$8,(Controls!$B$8+Controls!$B$9)/2)+Controls!$B$10*(B312-IF(Controls!$B$7="Normal",Controls!$B$8,(Controls!$B$8+Controls!$B$9)/2))+SQRT(1-Controls!$B$10^2)*(Random!V313-IF(Controls!$B$7="Normal",Controls!$B$8,(Controls!$B$8+Controls!$B$9)/2)))</f>
        <v/>
      </c>
      <c r="C313" s="10" t="str">
        <f>IF(Random!W313="","",IF(Controls!$B$7="Normal",Controls!$B$8,(Controls!$B$8+Controls!$B$9)/2)+Controls!$B$10*(C312-IF(Controls!$B$7="Normal",Controls!$B$8,(Controls!$B$8+Controls!$B$9)/2))+SQRT(1-Controls!$B$10^2)*(Random!W313-IF(Controls!$B$7="Normal",Controls!$B$8,(Controls!$B$8+Controls!$B$9)/2)))</f>
        <v/>
      </c>
      <c r="D313" s="10" t="str">
        <f>IF(Random!X313="","",IF(Controls!$B$7="Normal",Controls!$B$8,(Controls!$B$8+Controls!$B$9)/2)+Controls!$B$10*(D312-IF(Controls!$B$7="Normal",Controls!$B$8,(Controls!$B$8+Controls!$B$9)/2))+SQRT(1-Controls!$B$10^2)*(Random!X313-IF(Controls!$B$7="Normal",Controls!$B$8,(Controls!$B$8+Controls!$B$9)/2)))</f>
        <v/>
      </c>
      <c r="E313" s="10" t="str">
        <f>IF(Random!Y313="","",IF(Controls!$B$7="Normal",Controls!$B$8,(Controls!$B$8+Controls!$B$9)/2)+Controls!$B$10*(E312-IF(Controls!$B$7="Normal",Controls!$B$8,(Controls!$B$8+Controls!$B$9)/2))+SQRT(1-Controls!$B$10^2)*(Random!Y313-IF(Controls!$B$7="Normal",Controls!$B$8,(Controls!$B$8+Controls!$B$9)/2)))</f>
        <v/>
      </c>
      <c r="F313" s="10" t="str">
        <f>IF(Random!Z313="","",IF(Controls!$B$7="Normal",Controls!$B$8,(Controls!$B$8+Controls!$B$9)/2)+Controls!$B$10*(F312-IF(Controls!$B$7="Normal",Controls!$B$8,(Controls!$B$8+Controls!$B$9)/2))+SQRT(1-Controls!$B$10^2)*(Random!Z313-IF(Controls!$B$7="Normal",Controls!$B$8,(Controls!$B$8+Controls!$B$9)/2)))</f>
        <v/>
      </c>
      <c r="G313" s="10" t="str">
        <f>IF(Random!AA313="","",IF(Controls!$B$7="Normal",Controls!$B$8,(Controls!$B$8+Controls!$B$9)/2)+Controls!$B$10*(G312-IF(Controls!$B$7="Normal",Controls!$B$8,(Controls!$B$8+Controls!$B$9)/2))+SQRT(1-Controls!$B$10^2)*(Random!AA313-IF(Controls!$B$7="Normal",Controls!$B$8,(Controls!$B$8+Controls!$B$9)/2)))</f>
        <v/>
      </c>
      <c r="H313" s="10" t="str">
        <f>IF(Random!AB313="","",IF(Controls!$B$7="Normal",Controls!$B$8,(Controls!$B$8+Controls!$B$9)/2)+Controls!$B$10*(H312-IF(Controls!$B$7="Normal",Controls!$B$8,(Controls!$B$8+Controls!$B$9)/2))+SQRT(1-Controls!$B$10^2)*(Random!AB313-IF(Controls!$B$7="Normal",Controls!$B$8,(Controls!$B$8+Controls!$B$9)/2)))</f>
        <v/>
      </c>
      <c r="I313" s="10" t="str">
        <f>IF(Random!AC313="","",IF(Controls!$B$7="Normal",Controls!$B$8,(Controls!$B$8+Controls!$B$9)/2)+Controls!$B$10*(I312-IF(Controls!$B$7="Normal",Controls!$B$8,(Controls!$B$8+Controls!$B$9)/2))+SQRT(1-Controls!$B$10^2)*(Random!AC313-IF(Controls!$B$7="Normal",Controls!$B$8,(Controls!$B$8+Controls!$B$9)/2)))</f>
        <v/>
      </c>
      <c r="J313" s="10" t="str">
        <f>IF(Random!AD313="","",IF(Controls!$B$7="Normal",Controls!$B$8,(Controls!$B$8+Controls!$B$9)/2)+Controls!$B$10*(J312-IF(Controls!$B$7="Normal",Controls!$B$8,(Controls!$B$8+Controls!$B$9)/2))+SQRT(1-Controls!$B$10^2)*(Random!AD313-IF(Controls!$B$7="Normal",Controls!$B$8,(Controls!$B$8+Controls!$B$9)/2)))</f>
        <v/>
      </c>
      <c r="K313" s="10" t="str">
        <f>IF(Random!AE313="","",IF(Controls!$B$7="Normal",Controls!$B$8,(Controls!$B$8+Controls!$B$9)/2)+Controls!$B$10*(K312-IF(Controls!$B$7="Normal",Controls!$B$8,(Controls!$B$8+Controls!$B$9)/2))+SQRT(1-Controls!$B$10^2)*(Random!AE313-IF(Controls!$B$7="Normal",Controls!$B$8,(Controls!$B$8+Controls!$B$9)/2)))</f>
        <v/>
      </c>
      <c r="L313" s="10" t="str">
        <f>IF($A313="","",IF(AND($A313&gt;=Controls!$B$25,$A313&lt;Controls!$B$25+Controls!$C$25),(Controls!$D$25-1)*EXP(-0.5*(($A313-Controls!$B$25-(Controls!$C$25-1)/2)/MAX(Controls!$C$25/4,0.5))^2),0))</f>
        <v/>
      </c>
      <c r="M313" s="10" t="str">
        <f>IF($A313="","",IF(AND($A313&gt;=Controls!$B$26,$A313&lt;Controls!$B$26+Controls!$C$26),(Controls!$D$26-1)*EXP(-0.5*(($A313-Controls!$B$26-(Controls!$C$26-1)/2)/MAX(Controls!$C$26/4,0.5))^2),0))</f>
        <v/>
      </c>
      <c r="N313" s="10" t="str">
        <f>IF($A313="","",IF(AND($A313&gt;=Controls!$B$27,$A313&lt;Controls!$B$27+Controls!$C$27),(Controls!$D$27-1)*EXP(-0.5*(($A313-Controls!$B$27-(Controls!$C$27-1)/2)/MAX(Controls!$C$27/4,0.5))^2),0))</f>
        <v/>
      </c>
      <c r="O313" s="10" t="str">
        <f>IF($A313="","",IF(AND($A313&gt;=Controls!$B$28,$A313&lt;Controls!$B$28+Controls!$C$28),(Controls!$D$28-1)*EXP(-0.5*(($A313-Controls!$B$28-(Controls!$C$28-1)/2)/MAX(Controls!$C$28/4,0.5))^2),0))</f>
        <v/>
      </c>
      <c r="P313" s="4" t="str">
        <f t="shared" si="1"/>
        <v/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21.0" customHeight="1">
      <c r="A314" s="7" t="str">
        <f>IF(313&lt;=Controls!$B$5,Controls!$B$4+312,"")</f>
        <v/>
      </c>
      <c r="B314" s="10" t="str">
        <f>IF(Random!V314="","",IF(Controls!$B$7="Normal",Controls!$B$8,(Controls!$B$8+Controls!$B$9)/2)+Controls!$B$10*(B313-IF(Controls!$B$7="Normal",Controls!$B$8,(Controls!$B$8+Controls!$B$9)/2))+SQRT(1-Controls!$B$10^2)*(Random!V314-IF(Controls!$B$7="Normal",Controls!$B$8,(Controls!$B$8+Controls!$B$9)/2)))</f>
        <v/>
      </c>
      <c r="C314" s="10" t="str">
        <f>IF(Random!W314="","",IF(Controls!$B$7="Normal",Controls!$B$8,(Controls!$B$8+Controls!$B$9)/2)+Controls!$B$10*(C313-IF(Controls!$B$7="Normal",Controls!$B$8,(Controls!$B$8+Controls!$B$9)/2))+SQRT(1-Controls!$B$10^2)*(Random!W314-IF(Controls!$B$7="Normal",Controls!$B$8,(Controls!$B$8+Controls!$B$9)/2)))</f>
        <v/>
      </c>
      <c r="D314" s="10" t="str">
        <f>IF(Random!X314="","",IF(Controls!$B$7="Normal",Controls!$B$8,(Controls!$B$8+Controls!$B$9)/2)+Controls!$B$10*(D313-IF(Controls!$B$7="Normal",Controls!$B$8,(Controls!$B$8+Controls!$B$9)/2))+SQRT(1-Controls!$B$10^2)*(Random!X314-IF(Controls!$B$7="Normal",Controls!$B$8,(Controls!$B$8+Controls!$B$9)/2)))</f>
        <v/>
      </c>
      <c r="E314" s="10" t="str">
        <f>IF(Random!Y314="","",IF(Controls!$B$7="Normal",Controls!$B$8,(Controls!$B$8+Controls!$B$9)/2)+Controls!$B$10*(E313-IF(Controls!$B$7="Normal",Controls!$B$8,(Controls!$B$8+Controls!$B$9)/2))+SQRT(1-Controls!$B$10^2)*(Random!Y314-IF(Controls!$B$7="Normal",Controls!$B$8,(Controls!$B$8+Controls!$B$9)/2)))</f>
        <v/>
      </c>
      <c r="F314" s="10" t="str">
        <f>IF(Random!Z314="","",IF(Controls!$B$7="Normal",Controls!$B$8,(Controls!$B$8+Controls!$B$9)/2)+Controls!$B$10*(F313-IF(Controls!$B$7="Normal",Controls!$B$8,(Controls!$B$8+Controls!$B$9)/2))+SQRT(1-Controls!$B$10^2)*(Random!Z314-IF(Controls!$B$7="Normal",Controls!$B$8,(Controls!$B$8+Controls!$B$9)/2)))</f>
        <v/>
      </c>
      <c r="G314" s="10" t="str">
        <f>IF(Random!AA314="","",IF(Controls!$B$7="Normal",Controls!$B$8,(Controls!$B$8+Controls!$B$9)/2)+Controls!$B$10*(G313-IF(Controls!$B$7="Normal",Controls!$B$8,(Controls!$B$8+Controls!$B$9)/2))+SQRT(1-Controls!$B$10^2)*(Random!AA314-IF(Controls!$B$7="Normal",Controls!$B$8,(Controls!$B$8+Controls!$B$9)/2)))</f>
        <v/>
      </c>
      <c r="H314" s="10" t="str">
        <f>IF(Random!AB314="","",IF(Controls!$B$7="Normal",Controls!$B$8,(Controls!$B$8+Controls!$B$9)/2)+Controls!$B$10*(H313-IF(Controls!$B$7="Normal",Controls!$B$8,(Controls!$B$8+Controls!$B$9)/2))+SQRT(1-Controls!$B$10^2)*(Random!AB314-IF(Controls!$B$7="Normal",Controls!$B$8,(Controls!$B$8+Controls!$B$9)/2)))</f>
        <v/>
      </c>
      <c r="I314" s="10" t="str">
        <f>IF(Random!AC314="","",IF(Controls!$B$7="Normal",Controls!$B$8,(Controls!$B$8+Controls!$B$9)/2)+Controls!$B$10*(I313-IF(Controls!$B$7="Normal",Controls!$B$8,(Controls!$B$8+Controls!$B$9)/2))+SQRT(1-Controls!$B$10^2)*(Random!AC314-IF(Controls!$B$7="Normal",Controls!$B$8,(Controls!$B$8+Controls!$B$9)/2)))</f>
        <v/>
      </c>
      <c r="J314" s="10" t="str">
        <f>IF(Random!AD314="","",IF(Controls!$B$7="Normal",Controls!$B$8,(Controls!$B$8+Controls!$B$9)/2)+Controls!$B$10*(J313-IF(Controls!$B$7="Normal",Controls!$B$8,(Controls!$B$8+Controls!$B$9)/2))+SQRT(1-Controls!$B$10^2)*(Random!AD314-IF(Controls!$B$7="Normal",Controls!$B$8,(Controls!$B$8+Controls!$B$9)/2)))</f>
        <v/>
      </c>
      <c r="K314" s="10" t="str">
        <f>IF(Random!AE314="","",IF(Controls!$B$7="Normal",Controls!$B$8,(Controls!$B$8+Controls!$B$9)/2)+Controls!$B$10*(K313-IF(Controls!$B$7="Normal",Controls!$B$8,(Controls!$B$8+Controls!$B$9)/2))+SQRT(1-Controls!$B$10^2)*(Random!AE314-IF(Controls!$B$7="Normal",Controls!$B$8,(Controls!$B$8+Controls!$B$9)/2)))</f>
        <v/>
      </c>
      <c r="L314" s="10" t="str">
        <f>IF($A314="","",IF(AND($A314&gt;=Controls!$B$25,$A314&lt;Controls!$B$25+Controls!$C$25),(Controls!$D$25-1)*EXP(-0.5*(($A314-Controls!$B$25-(Controls!$C$25-1)/2)/MAX(Controls!$C$25/4,0.5))^2),0))</f>
        <v/>
      </c>
      <c r="M314" s="10" t="str">
        <f>IF($A314="","",IF(AND($A314&gt;=Controls!$B$26,$A314&lt;Controls!$B$26+Controls!$C$26),(Controls!$D$26-1)*EXP(-0.5*(($A314-Controls!$B$26-(Controls!$C$26-1)/2)/MAX(Controls!$C$26/4,0.5))^2),0))</f>
        <v/>
      </c>
      <c r="N314" s="10" t="str">
        <f>IF($A314="","",IF(AND($A314&gt;=Controls!$B$27,$A314&lt;Controls!$B$27+Controls!$C$27),(Controls!$D$27-1)*EXP(-0.5*(($A314-Controls!$B$27-(Controls!$C$27-1)/2)/MAX(Controls!$C$27/4,0.5))^2),0))</f>
        <v/>
      </c>
      <c r="O314" s="10" t="str">
        <f>IF($A314="","",IF(AND($A314&gt;=Controls!$B$28,$A314&lt;Controls!$B$28+Controls!$C$28),(Controls!$D$28-1)*EXP(-0.5*(($A314-Controls!$B$28-(Controls!$C$28-1)/2)/MAX(Controls!$C$28/4,0.5))^2),0))</f>
        <v/>
      </c>
      <c r="P314" s="4" t="str">
        <f t="shared" si="1"/>
        <v/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21.0" customHeight="1">
      <c r="A315" s="7" t="str">
        <f>IF(314&lt;=Controls!$B$5,Controls!$B$4+313,"")</f>
        <v/>
      </c>
      <c r="B315" s="10" t="str">
        <f>IF(Random!V315="","",IF(Controls!$B$7="Normal",Controls!$B$8,(Controls!$B$8+Controls!$B$9)/2)+Controls!$B$10*(B314-IF(Controls!$B$7="Normal",Controls!$B$8,(Controls!$B$8+Controls!$B$9)/2))+SQRT(1-Controls!$B$10^2)*(Random!V315-IF(Controls!$B$7="Normal",Controls!$B$8,(Controls!$B$8+Controls!$B$9)/2)))</f>
        <v/>
      </c>
      <c r="C315" s="10" t="str">
        <f>IF(Random!W315="","",IF(Controls!$B$7="Normal",Controls!$B$8,(Controls!$B$8+Controls!$B$9)/2)+Controls!$B$10*(C314-IF(Controls!$B$7="Normal",Controls!$B$8,(Controls!$B$8+Controls!$B$9)/2))+SQRT(1-Controls!$B$10^2)*(Random!W315-IF(Controls!$B$7="Normal",Controls!$B$8,(Controls!$B$8+Controls!$B$9)/2)))</f>
        <v/>
      </c>
      <c r="D315" s="10" t="str">
        <f>IF(Random!X315="","",IF(Controls!$B$7="Normal",Controls!$B$8,(Controls!$B$8+Controls!$B$9)/2)+Controls!$B$10*(D314-IF(Controls!$B$7="Normal",Controls!$B$8,(Controls!$B$8+Controls!$B$9)/2))+SQRT(1-Controls!$B$10^2)*(Random!X315-IF(Controls!$B$7="Normal",Controls!$B$8,(Controls!$B$8+Controls!$B$9)/2)))</f>
        <v/>
      </c>
      <c r="E315" s="10" t="str">
        <f>IF(Random!Y315="","",IF(Controls!$B$7="Normal",Controls!$B$8,(Controls!$B$8+Controls!$B$9)/2)+Controls!$B$10*(E314-IF(Controls!$B$7="Normal",Controls!$B$8,(Controls!$B$8+Controls!$B$9)/2))+SQRT(1-Controls!$B$10^2)*(Random!Y315-IF(Controls!$B$7="Normal",Controls!$B$8,(Controls!$B$8+Controls!$B$9)/2)))</f>
        <v/>
      </c>
      <c r="F315" s="10" t="str">
        <f>IF(Random!Z315="","",IF(Controls!$B$7="Normal",Controls!$B$8,(Controls!$B$8+Controls!$B$9)/2)+Controls!$B$10*(F314-IF(Controls!$B$7="Normal",Controls!$B$8,(Controls!$B$8+Controls!$B$9)/2))+SQRT(1-Controls!$B$10^2)*(Random!Z315-IF(Controls!$B$7="Normal",Controls!$B$8,(Controls!$B$8+Controls!$B$9)/2)))</f>
        <v/>
      </c>
      <c r="G315" s="10" t="str">
        <f>IF(Random!AA315="","",IF(Controls!$B$7="Normal",Controls!$B$8,(Controls!$B$8+Controls!$B$9)/2)+Controls!$B$10*(G314-IF(Controls!$B$7="Normal",Controls!$B$8,(Controls!$B$8+Controls!$B$9)/2))+SQRT(1-Controls!$B$10^2)*(Random!AA315-IF(Controls!$B$7="Normal",Controls!$B$8,(Controls!$B$8+Controls!$B$9)/2)))</f>
        <v/>
      </c>
      <c r="H315" s="10" t="str">
        <f>IF(Random!AB315="","",IF(Controls!$B$7="Normal",Controls!$B$8,(Controls!$B$8+Controls!$B$9)/2)+Controls!$B$10*(H314-IF(Controls!$B$7="Normal",Controls!$B$8,(Controls!$B$8+Controls!$B$9)/2))+SQRT(1-Controls!$B$10^2)*(Random!AB315-IF(Controls!$B$7="Normal",Controls!$B$8,(Controls!$B$8+Controls!$B$9)/2)))</f>
        <v/>
      </c>
      <c r="I315" s="10" t="str">
        <f>IF(Random!AC315="","",IF(Controls!$B$7="Normal",Controls!$B$8,(Controls!$B$8+Controls!$B$9)/2)+Controls!$B$10*(I314-IF(Controls!$B$7="Normal",Controls!$B$8,(Controls!$B$8+Controls!$B$9)/2))+SQRT(1-Controls!$B$10^2)*(Random!AC315-IF(Controls!$B$7="Normal",Controls!$B$8,(Controls!$B$8+Controls!$B$9)/2)))</f>
        <v/>
      </c>
      <c r="J315" s="10" t="str">
        <f>IF(Random!AD315="","",IF(Controls!$B$7="Normal",Controls!$B$8,(Controls!$B$8+Controls!$B$9)/2)+Controls!$B$10*(J314-IF(Controls!$B$7="Normal",Controls!$B$8,(Controls!$B$8+Controls!$B$9)/2))+SQRT(1-Controls!$B$10^2)*(Random!AD315-IF(Controls!$B$7="Normal",Controls!$B$8,(Controls!$B$8+Controls!$B$9)/2)))</f>
        <v/>
      </c>
      <c r="K315" s="10" t="str">
        <f>IF(Random!AE315="","",IF(Controls!$B$7="Normal",Controls!$B$8,(Controls!$B$8+Controls!$B$9)/2)+Controls!$B$10*(K314-IF(Controls!$B$7="Normal",Controls!$B$8,(Controls!$B$8+Controls!$B$9)/2))+SQRT(1-Controls!$B$10^2)*(Random!AE315-IF(Controls!$B$7="Normal",Controls!$B$8,(Controls!$B$8+Controls!$B$9)/2)))</f>
        <v/>
      </c>
      <c r="L315" s="10" t="str">
        <f>IF($A315="","",IF(AND($A315&gt;=Controls!$B$25,$A315&lt;Controls!$B$25+Controls!$C$25),(Controls!$D$25-1)*EXP(-0.5*(($A315-Controls!$B$25-(Controls!$C$25-1)/2)/MAX(Controls!$C$25/4,0.5))^2),0))</f>
        <v/>
      </c>
      <c r="M315" s="10" t="str">
        <f>IF($A315="","",IF(AND($A315&gt;=Controls!$B$26,$A315&lt;Controls!$B$26+Controls!$C$26),(Controls!$D$26-1)*EXP(-0.5*(($A315-Controls!$B$26-(Controls!$C$26-1)/2)/MAX(Controls!$C$26/4,0.5))^2),0))</f>
        <v/>
      </c>
      <c r="N315" s="10" t="str">
        <f>IF($A315="","",IF(AND($A315&gt;=Controls!$B$27,$A315&lt;Controls!$B$27+Controls!$C$27),(Controls!$D$27-1)*EXP(-0.5*(($A315-Controls!$B$27-(Controls!$C$27-1)/2)/MAX(Controls!$C$27/4,0.5))^2),0))</f>
        <v/>
      </c>
      <c r="O315" s="10" t="str">
        <f>IF($A315="","",IF(AND($A315&gt;=Controls!$B$28,$A315&lt;Controls!$B$28+Controls!$C$28),(Controls!$D$28-1)*EXP(-0.5*(($A315-Controls!$B$28-(Controls!$C$28-1)/2)/MAX(Controls!$C$28/4,0.5))^2),0))</f>
        <v/>
      </c>
      <c r="P315" s="4" t="str">
        <f t="shared" si="1"/>
        <v/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21.0" customHeight="1">
      <c r="A316" s="7" t="str">
        <f>IF(315&lt;=Controls!$B$5,Controls!$B$4+314,"")</f>
        <v/>
      </c>
      <c r="B316" s="10" t="str">
        <f>IF(Random!V316="","",IF(Controls!$B$7="Normal",Controls!$B$8,(Controls!$B$8+Controls!$B$9)/2)+Controls!$B$10*(B315-IF(Controls!$B$7="Normal",Controls!$B$8,(Controls!$B$8+Controls!$B$9)/2))+SQRT(1-Controls!$B$10^2)*(Random!V316-IF(Controls!$B$7="Normal",Controls!$B$8,(Controls!$B$8+Controls!$B$9)/2)))</f>
        <v/>
      </c>
      <c r="C316" s="10" t="str">
        <f>IF(Random!W316="","",IF(Controls!$B$7="Normal",Controls!$B$8,(Controls!$B$8+Controls!$B$9)/2)+Controls!$B$10*(C315-IF(Controls!$B$7="Normal",Controls!$B$8,(Controls!$B$8+Controls!$B$9)/2))+SQRT(1-Controls!$B$10^2)*(Random!W316-IF(Controls!$B$7="Normal",Controls!$B$8,(Controls!$B$8+Controls!$B$9)/2)))</f>
        <v/>
      </c>
      <c r="D316" s="10" t="str">
        <f>IF(Random!X316="","",IF(Controls!$B$7="Normal",Controls!$B$8,(Controls!$B$8+Controls!$B$9)/2)+Controls!$B$10*(D315-IF(Controls!$B$7="Normal",Controls!$B$8,(Controls!$B$8+Controls!$B$9)/2))+SQRT(1-Controls!$B$10^2)*(Random!X316-IF(Controls!$B$7="Normal",Controls!$B$8,(Controls!$B$8+Controls!$B$9)/2)))</f>
        <v/>
      </c>
      <c r="E316" s="10" t="str">
        <f>IF(Random!Y316="","",IF(Controls!$B$7="Normal",Controls!$B$8,(Controls!$B$8+Controls!$B$9)/2)+Controls!$B$10*(E315-IF(Controls!$B$7="Normal",Controls!$B$8,(Controls!$B$8+Controls!$B$9)/2))+SQRT(1-Controls!$B$10^2)*(Random!Y316-IF(Controls!$B$7="Normal",Controls!$B$8,(Controls!$B$8+Controls!$B$9)/2)))</f>
        <v/>
      </c>
      <c r="F316" s="10" t="str">
        <f>IF(Random!Z316="","",IF(Controls!$B$7="Normal",Controls!$B$8,(Controls!$B$8+Controls!$B$9)/2)+Controls!$B$10*(F315-IF(Controls!$B$7="Normal",Controls!$B$8,(Controls!$B$8+Controls!$B$9)/2))+SQRT(1-Controls!$B$10^2)*(Random!Z316-IF(Controls!$B$7="Normal",Controls!$B$8,(Controls!$B$8+Controls!$B$9)/2)))</f>
        <v/>
      </c>
      <c r="G316" s="10" t="str">
        <f>IF(Random!AA316="","",IF(Controls!$B$7="Normal",Controls!$B$8,(Controls!$B$8+Controls!$B$9)/2)+Controls!$B$10*(G315-IF(Controls!$B$7="Normal",Controls!$B$8,(Controls!$B$8+Controls!$B$9)/2))+SQRT(1-Controls!$B$10^2)*(Random!AA316-IF(Controls!$B$7="Normal",Controls!$B$8,(Controls!$B$8+Controls!$B$9)/2)))</f>
        <v/>
      </c>
      <c r="H316" s="10" t="str">
        <f>IF(Random!AB316="","",IF(Controls!$B$7="Normal",Controls!$B$8,(Controls!$B$8+Controls!$B$9)/2)+Controls!$B$10*(H315-IF(Controls!$B$7="Normal",Controls!$B$8,(Controls!$B$8+Controls!$B$9)/2))+SQRT(1-Controls!$B$10^2)*(Random!AB316-IF(Controls!$B$7="Normal",Controls!$B$8,(Controls!$B$8+Controls!$B$9)/2)))</f>
        <v/>
      </c>
      <c r="I316" s="10" t="str">
        <f>IF(Random!AC316="","",IF(Controls!$B$7="Normal",Controls!$B$8,(Controls!$B$8+Controls!$B$9)/2)+Controls!$B$10*(I315-IF(Controls!$B$7="Normal",Controls!$B$8,(Controls!$B$8+Controls!$B$9)/2))+SQRT(1-Controls!$B$10^2)*(Random!AC316-IF(Controls!$B$7="Normal",Controls!$B$8,(Controls!$B$8+Controls!$B$9)/2)))</f>
        <v/>
      </c>
      <c r="J316" s="10" t="str">
        <f>IF(Random!AD316="","",IF(Controls!$B$7="Normal",Controls!$B$8,(Controls!$B$8+Controls!$B$9)/2)+Controls!$B$10*(J315-IF(Controls!$B$7="Normal",Controls!$B$8,(Controls!$B$8+Controls!$B$9)/2))+SQRT(1-Controls!$B$10^2)*(Random!AD316-IF(Controls!$B$7="Normal",Controls!$B$8,(Controls!$B$8+Controls!$B$9)/2)))</f>
        <v/>
      </c>
      <c r="K316" s="10" t="str">
        <f>IF(Random!AE316="","",IF(Controls!$B$7="Normal",Controls!$B$8,(Controls!$B$8+Controls!$B$9)/2)+Controls!$B$10*(K315-IF(Controls!$B$7="Normal",Controls!$B$8,(Controls!$B$8+Controls!$B$9)/2))+SQRT(1-Controls!$B$10^2)*(Random!AE316-IF(Controls!$B$7="Normal",Controls!$B$8,(Controls!$B$8+Controls!$B$9)/2)))</f>
        <v/>
      </c>
      <c r="L316" s="10" t="str">
        <f>IF($A316="","",IF(AND($A316&gt;=Controls!$B$25,$A316&lt;Controls!$B$25+Controls!$C$25),(Controls!$D$25-1)*EXP(-0.5*(($A316-Controls!$B$25-(Controls!$C$25-1)/2)/MAX(Controls!$C$25/4,0.5))^2),0))</f>
        <v/>
      </c>
      <c r="M316" s="10" t="str">
        <f>IF($A316="","",IF(AND($A316&gt;=Controls!$B$26,$A316&lt;Controls!$B$26+Controls!$C$26),(Controls!$D$26-1)*EXP(-0.5*(($A316-Controls!$B$26-(Controls!$C$26-1)/2)/MAX(Controls!$C$26/4,0.5))^2),0))</f>
        <v/>
      </c>
      <c r="N316" s="10" t="str">
        <f>IF($A316="","",IF(AND($A316&gt;=Controls!$B$27,$A316&lt;Controls!$B$27+Controls!$C$27),(Controls!$D$27-1)*EXP(-0.5*(($A316-Controls!$B$27-(Controls!$C$27-1)/2)/MAX(Controls!$C$27/4,0.5))^2),0))</f>
        <v/>
      </c>
      <c r="O316" s="10" t="str">
        <f>IF($A316="","",IF(AND($A316&gt;=Controls!$B$28,$A316&lt;Controls!$B$28+Controls!$C$28),(Controls!$D$28-1)*EXP(-0.5*(($A316-Controls!$B$28-(Controls!$C$28-1)/2)/MAX(Controls!$C$28/4,0.5))^2),0))</f>
        <v/>
      </c>
      <c r="P316" s="4" t="str">
        <f t="shared" si="1"/>
        <v/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21.0" customHeight="1">
      <c r="A317" s="7" t="str">
        <f>IF(316&lt;=Controls!$B$5,Controls!$B$4+315,"")</f>
        <v/>
      </c>
      <c r="B317" s="10" t="str">
        <f>IF(Random!V317="","",IF(Controls!$B$7="Normal",Controls!$B$8,(Controls!$B$8+Controls!$B$9)/2)+Controls!$B$10*(B316-IF(Controls!$B$7="Normal",Controls!$B$8,(Controls!$B$8+Controls!$B$9)/2))+SQRT(1-Controls!$B$10^2)*(Random!V317-IF(Controls!$B$7="Normal",Controls!$B$8,(Controls!$B$8+Controls!$B$9)/2)))</f>
        <v/>
      </c>
      <c r="C317" s="10" t="str">
        <f>IF(Random!W317="","",IF(Controls!$B$7="Normal",Controls!$B$8,(Controls!$B$8+Controls!$B$9)/2)+Controls!$B$10*(C316-IF(Controls!$B$7="Normal",Controls!$B$8,(Controls!$B$8+Controls!$B$9)/2))+SQRT(1-Controls!$B$10^2)*(Random!W317-IF(Controls!$B$7="Normal",Controls!$B$8,(Controls!$B$8+Controls!$B$9)/2)))</f>
        <v/>
      </c>
      <c r="D317" s="10" t="str">
        <f>IF(Random!X317="","",IF(Controls!$B$7="Normal",Controls!$B$8,(Controls!$B$8+Controls!$B$9)/2)+Controls!$B$10*(D316-IF(Controls!$B$7="Normal",Controls!$B$8,(Controls!$B$8+Controls!$B$9)/2))+SQRT(1-Controls!$B$10^2)*(Random!X317-IF(Controls!$B$7="Normal",Controls!$B$8,(Controls!$B$8+Controls!$B$9)/2)))</f>
        <v/>
      </c>
      <c r="E317" s="10" t="str">
        <f>IF(Random!Y317="","",IF(Controls!$B$7="Normal",Controls!$B$8,(Controls!$B$8+Controls!$B$9)/2)+Controls!$B$10*(E316-IF(Controls!$B$7="Normal",Controls!$B$8,(Controls!$B$8+Controls!$B$9)/2))+SQRT(1-Controls!$B$10^2)*(Random!Y317-IF(Controls!$B$7="Normal",Controls!$B$8,(Controls!$B$8+Controls!$B$9)/2)))</f>
        <v/>
      </c>
      <c r="F317" s="10" t="str">
        <f>IF(Random!Z317="","",IF(Controls!$B$7="Normal",Controls!$B$8,(Controls!$B$8+Controls!$B$9)/2)+Controls!$B$10*(F316-IF(Controls!$B$7="Normal",Controls!$B$8,(Controls!$B$8+Controls!$B$9)/2))+SQRT(1-Controls!$B$10^2)*(Random!Z317-IF(Controls!$B$7="Normal",Controls!$B$8,(Controls!$B$8+Controls!$B$9)/2)))</f>
        <v/>
      </c>
      <c r="G317" s="10" t="str">
        <f>IF(Random!AA317="","",IF(Controls!$B$7="Normal",Controls!$B$8,(Controls!$B$8+Controls!$B$9)/2)+Controls!$B$10*(G316-IF(Controls!$B$7="Normal",Controls!$B$8,(Controls!$B$8+Controls!$B$9)/2))+SQRT(1-Controls!$B$10^2)*(Random!AA317-IF(Controls!$B$7="Normal",Controls!$B$8,(Controls!$B$8+Controls!$B$9)/2)))</f>
        <v/>
      </c>
      <c r="H317" s="10" t="str">
        <f>IF(Random!AB317="","",IF(Controls!$B$7="Normal",Controls!$B$8,(Controls!$B$8+Controls!$B$9)/2)+Controls!$B$10*(H316-IF(Controls!$B$7="Normal",Controls!$B$8,(Controls!$B$8+Controls!$B$9)/2))+SQRT(1-Controls!$B$10^2)*(Random!AB317-IF(Controls!$B$7="Normal",Controls!$B$8,(Controls!$B$8+Controls!$B$9)/2)))</f>
        <v/>
      </c>
      <c r="I317" s="10" t="str">
        <f>IF(Random!AC317="","",IF(Controls!$B$7="Normal",Controls!$B$8,(Controls!$B$8+Controls!$B$9)/2)+Controls!$B$10*(I316-IF(Controls!$B$7="Normal",Controls!$B$8,(Controls!$B$8+Controls!$B$9)/2))+SQRT(1-Controls!$B$10^2)*(Random!AC317-IF(Controls!$B$7="Normal",Controls!$B$8,(Controls!$B$8+Controls!$B$9)/2)))</f>
        <v/>
      </c>
      <c r="J317" s="10" t="str">
        <f>IF(Random!AD317="","",IF(Controls!$B$7="Normal",Controls!$B$8,(Controls!$B$8+Controls!$B$9)/2)+Controls!$B$10*(J316-IF(Controls!$B$7="Normal",Controls!$B$8,(Controls!$B$8+Controls!$B$9)/2))+SQRT(1-Controls!$B$10^2)*(Random!AD317-IF(Controls!$B$7="Normal",Controls!$B$8,(Controls!$B$8+Controls!$B$9)/2)))</f>
        <v/>
      </c>
      <c r="K317" s="10" t="str">
        <f>IF(Random!AE317="","",IF(Controls!$B$7="Normal",Controls!$B$8,(Controls!$B$8+Controls!$B$9)/2)+Controls!$B$10*(K316-IF(Controls!$B$7="Normal",Controls!$B$8,(Controls!$B$8+Controls!$B$9)/2))+SQRT(1-Controls!$B$10^2)*(Random!AE317-IF(Controls!$B$7="Normal",Controls!$B$8,(Controls!$B$8+Controls!$B$9)/2)))</f>
        <v/>
      </c>
      <c r="L317" s="10" t="str">
        <f>IF($A317="","",IF(AND($A317&gt;=Controls!$B$25,$A317&lt;Controls!$B$25+Controls!$C$25),(Controls!$D$25-1)*EXP(-0.5*(($A317-Controls!$B$25-(Controls!$C$25-1)/2)/MAX(Controls!$C$25/4,0.5))^2),0))</f>
        <v/>
      </c>
      <c r="M317" s="10" t="str">
        <f>IF($A317="","",IF(AND($A317&gt;=Controls!$B$26,$A317&lt;Controls!$B$26+Controls!$C$26),(Controls!$D$26-1)*EXP(-0.5*(($A317-Controls!$B$26-(Controls!$C$26-1)/2)/MAX(Controls!$C$26/4,0.5))^2),0))</f>
        <v/>
      </c>
      <c r="N317" s="10" t="str">
        <f>IF($A317="","",IF(AND($A317&gt;=Controls!$B$27,$A317&lt;Controls!$B$27+Controls!$C$27),(Controls!$D$27-1)*EXP(-0.5*(($A317-Controls!$B$27-(Controls!$C$27-1)/2)/MAX(Controls!$C$27/4,0.5))^2),0))</f>
        <v/>
      </c>
      <c r="O317" s="10" t="str">
        <f>IF($A317="","",IF(AND($A317&gt;=Controls!$B$28,$A317&lt;Controls!$B$28+Controls!$C$28),(Controls!$D$28-1)*EXP(-0.5*(($A317-Controls!$B$28-(Controls!$C$28-1)/2)/MAX(Controls!$C$28/4,0.5))^2),0))</f>
        <v/>
      </c>
      <c r="P317" s="4" t="str">
        <f t="shared" si="1"/>
        <v/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21.0" customHeight="1">
      <c r="A318" s="7" t="str">
        <f>IF(317&lt;=Controls!$B$5,Controls!$B$4+316,"")</f>
        <v/>
      </c>
      <c r="B318" s="10" t="str">
        <f>IF(Random!V318="","",IF(Controls!$B$7="Normal",Controls!$B$8,(Controls!$B$8+Controls!$B$9)/2)+Controls!$B$10*(B317-IF(Controls!$B$7="Normal",Controls!$B$8,(Controls!$B$8+Controls!$B$9)/2))+SQRT(1-Controls!$B$10^2)*(Random!V318-IF(Controls!$B$7="Normal",Controls!$B$8,(Controls!$B$8+Controls!$B$9)/2)))</f>
        <v/>
      </c>
      <c r="C318" s="10" t="str">
        <f>IF(Random!W318="","",IF(Controls!$B$7="Normal",Controls!$B$8,(Controls!$B$8+Controls!$B$9)/2)+Controls!$B$10*(C317-IF(Controls!$B$7="Normal",Controls!$B$8,(Controls!$B$8+Controls!$B$9)/2))+SQRT(1-Controls!$B$10^2)*(Random!W318-IF(Controls!$B$7="Normal",Controls!$B$8,(Controls!$B$8+Controls!$B$9)/2)))</f>
        <v/>
      </c>
      <c r="D318" s="10" t="str">
        <f>IF(Random!X318="","",IF(Controls!$B$7="Normal",Controls!$B$8,(Controls!$B$8+Controls!$B$9)/2)+Controls!$B$10*(D317-IF(Controls!$B$7="Normal",Controls!$B$8,(Controls!$B$8+Controls!$B$9)/2))+SQRT(1-Controls!$B$10^2)*(Random!X318-IF(Controls!$B$7="Normal",Controls!$B$8,(Controls!$B$8+Controls!$B$9)/2)))</f>
        <v/>
      </c>
      <c r="E318" s="10" t="str">
        <f>IF(Random!Y318="","",IF(Controls!$B$7="Normal",Controls!$B$8,(Controls!$B$8+Controls!$B$9)/2)+Controls!$B$10*(E317-IF(Controls!$B$7="Normal",Controls!$B$8,(Controls!$B$8+Controls!$B$9)/2))+SQRT(1-Controls!$B$10^2)*(Random!Y318-IF(Controls!$B$7="Normal",Controls!$B$8,(Controls!$B$8+Controls!$B$9)/2)))</f>
        <v/>
      </c>
      <c r="F318" s="10" t="str">
        <f>IF(Random!Z318="","",IF(Controls!$B$7="Normal",Controls!$B$8,(Controls!$B$8+Controls!$B$9)/2)+Controls!$B$10*(F317-IF(Controls!$B$7="Normal",Controls!$B$8,(Controls!$B$8+Controls!$B$9)/2))+SQRT(1-Controls!$B$10^2)*(Random!Z318-IF(Controls!$B$7="Normal",Controls!$B$8,(Controls!$B$8+Controls!$B$9)/2)))</f>
        <v/>
      </c>
      <c r="G318" s="10" t="str">
        <f>IF(Random!AA318="","",IF(Controls!$B$7="Normal",Controls!$B$8,(Controls!$B$8+Controls!$B$9)/2)+Controls!$B$10*(G317-IF(Controls!$B$7="Normal",Controls!$B$8,(Controls!$B$8+Controls!$B$9)/2))+SQRT(1-Controls!$B$10^2)*(Random!AA318-IF(Controls!$B$7="Normal",Controls!$B$8,(Controls!$B$8+Controls!$B$9)/2)))</f>
        <v/>
      </c>
      <c r="H318" s="10" t="str">
        <f>IF(Random!AB318="","",IF(Controls!$B$7="Normal",Controls!$B$8,(Controls!$B$8+Controls!$B$9)/2)+Controls!$B$10*(H317-IF(Controls!$B$7="Normal",Controls!$B$8,(Controls!$B$8+Controls!$B$9)/2))+SQRT(1-Controls!$B$10^2)*(Random!AB318-IF(Controls!$B$7="Normal",Controls!$B$8,(Controls!$B$8+Controls!$B$9)/2)))</f>
        <v/>
      </c>
      <c r="I318" s="10" t="str">
        <f>IF(Random!AC318="","",IF(Controls!$B$7="Normal",Controls!$B$8,(Controls!$B$8+Controls!$B$9)/2)+Controls!$B$10*(I317-IF(Controls!$B$7="Normal",Controls!$B$8,(Controls!$B$8+Controls!$B$9)/2))+SQRT(1-Controls!$B$10^2)*(Random!AC318-IF(Controls!$B$7="Normal",Controls!$B$8,(Controls!$B$8+Controls!$B$9)/2)))</f>
        <v/>
      </c>
      <c r="J318" s="10" t="str">
        <f>IF(Random!AD318="","",IF(Controls!$B$7="Normal",Controls!$B$8,(Controls!$B$8+Controls!$B$9)/2)+Controls!$B$10*(J317-IF(Controls!$B$7="Normal",Controls!$B$8,(Controls!$B$8+Controls!$B$9)/2))+SQRT(1-Controls!$B$10^2)*(Random!AD318-IF(Controls!$B$7="Normal",Controls!$B$8,(Controls!$B$8+Controls!$B$9)/2)))</f>
        <v/>
      </c>
      <c r="K318" s="10" t="str">
        <f>IF(Random!AE318="","",IF(Controls!$B$7="Normal",Controls!$B$8,(Controls!$B$8+Controls!$B$9)/2)+Controls!$B$10*(K317-IF(Controls!$B$7="Normal",Controls!$B$8,(Controls!$B$8+Controls!$B$9)/2))+SQRT(1-Controls!$B$10^2)*(Random!AE318-IF(Controls!$B$7="Normal",Controls!$B$8,(Controls!$B$8+Controls!$B$9)/2)))</f>
        <v/>
      </c>
      <c r="L318" s="10" t="str">
        <f>IF($A318="","",IF(AND($A318&gt;=Controls!$B$25,$A318&lt;Controls!$B$25+Controls!$C$25),(Controls!$D$25-1)*EXP(-0.5*(($A318-Controls!$B$25-(Controls!$C$25-1)/2)/MAX(Controls!$C$25/4,0.5))^2),0))</f>
        <v/>
      </c>
      <c r="M318" s="10" t="str">
        <f>IF($A318="","",IF(AND($A318&gt;=Controls!$B$26,$A318&lt;Controls!$B$26+Controls!$C$26),(Controls!$D$26-1)*EXP(-0.5*(($A318-Controls!$B$26-(Controls!$C$26-1)/2)/MAX(Controls!$C$26/4,0.5))^2),0))</f>
        <v/>
      </c>
      <c r="N318" s="10" t="str">
        <f>IF($A318="","",IF(AND($A318&gt;=Controls!$B$27,$A318&lt;Controls!$B$27+Controls!$C$27),(Controls!$D$27-1)*EXP(-0.5*(($A318-Controls!$B$27-(Controls!$C$27-1)/2)/MAX(Controls!$C$27/4,0.5))^2),0))</f>
        <v/>
      </c>
      <c r="O318" s="10" t="str">
        <f>IF($A318="","",IF(AND($A318&gt;=Controls!$B$28,$A318&lt;Controls!$B$28+Controls!$C$28),(Controls!$D$28-1)*EXP(-0.5*(($A318-Controls!$B$28-(Controls!$C$28-1)/2)/MAX(Controls!$C$28/4,0.5))^2),0))</f>
        <v/>
      </c>
      <c r="P318" s="4" t="str">
        <f t="shared" si="1"/>
        <v/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21.0" customHeight="1">
      <c r="A319" s="7" t="str">
        <f>IF(318&lt;=Controls!$B$5,Controls!$B$4+317,"")</f>
        <v/>
      </c>
      <c r="B319" s="10" t="str">
        <f>IF(Random!V319="","",IF(Controls!$B$7="Normal",Controls!$B$8,(Controls!$B$8+Controls!$B$9)/2)+Controls!$B$10*(B318-IF(Controls!$B$7="Normal",Controls!$B$8,(Controls!$B$8+Controls!$B$9)/2))+SQRT(1-Controls!$B$10^2)*(Random!V319-IF(Controls!$B$7="Normal",Controls!$B$8,(Controls!$B$8+Controls!$B$9)/2)))</f>
        <v/>
      </c>
      <c r="C319" s="10" t="str">
        <f>IF(Random!W319="","",IF(Controls!$B$7="Normal",Controls!$B$8,(Controls!$B$8+Controls!$B$9)/2)+Controls!$B$10*(C318-IF(Controls!$B$7="Normal",Controls!$B$8,(Controls!$B$8+Controls!$B$9)/2))+SQRT(1-Controls!$B$10^2)*(Random!W319-IF(Controls!$B$7="Normal",Controls!$B$8,(Controls!$B$8+Controls!$B$9)/2)))</f>
        <v/>
      </c>
      <c r="D319" s="10" t="str">
        <f>IF(Random!X319="","",IF(Controls!$B$7="Normal",Controls!$B$8,(Controls!$B$8+Controls!$B$9)/2)+Controls!$B$10*(D318-IF(Controls!$B$7="Normal",Controls!$B$8,(Controls!$B$8+Controls!$B$9)/2))+SQRT(1-Controls!$B$10^2)*(Random!X319-IF(Controls!$B$7="Normal",Controls!$B$8,(Controls!$B$8+Controls!$B$9)/2)))</f>
        <v/>
      </c>
      <c r="E319" s="10" t="str">
        <f>IF(Random!Y319="","",IF(Controls!$B$7="Normal",Controls!$B$8,(Controls!$B$8+Controls!$B$9)/2)+Controls!$B$10*(E318-IF(Controls!$B$7="Normal",Controls!$B$8,(Controls!$B$8+Controls!$B$9)/2))+SQRT(1-Controls!$B$10^2)*(Random!Y319-IF(Controls!$B$7="Normal",Controls!$B$8,(Controls!$B$8+Controls!$B$9)/2)))</f>
        <v/>
      </c>
      <c r="F319" s="10" t="str">
        <f>IF(Random!Z319="","",IF(Controls!$B$7="Normal",Controls!$B$8,(Controls!$B$8+Controls!$B$9)/2)+Controls!$B$10*(F318-IF(Controls!$B$7="Normal",Controls!$B$8,(Controls!$B$8+Controls!$B$9)/2))+SQRT(1-Controls!$B$10^2)*(Random!Z319-IF(Controls!$B$7="Normal",Controls!$B$8,(Controls!$B$8+Controls!$B$9)/2)))</f>
        <v/>
      </c>
      <c r="G319" s="10" t="str">
        <f>IF(Random!AA319="","",IF(Controls!$B$7="Normal",Controls!$B$8,(Controls!$B$8+Controls!$B$9)/2)+Controls!$B$10*(G318-IF(Controls!$B$7="Normal",Controls!$B$8,(Controls!$B$8+Controls!$B$9)/2))+SQRT(1-Controls!$B$10^2)*(Random!AA319-IF(Controls!$B$7="Normal",Controls!$B$8,(Controls!$B$8+Controls!$B$9)/2)))</f>
        <v/>
      </c>
      <c r="H319" s="10" t="str">
        <f>IF(Random!AB319="","",IF(Controls!$B$7="Normal",Controls!$B$8,(Controls!$B$8+Controls!$B$9)/2)+Controls!$B$10*(H318-IF(Controls!$B$7="Normal",Controls!$B$8,(Controls!$B$8+Controls!$B$9)/2))+SQRT(1-Controls!$B$10^2)*(Random!AB319-IF(Controls!$B$7="Normal",Controls!$B$8,(Controls!$B$8+Controls!$B$9)/2)))</f>
        <v/>
      </c>
      <c r="I319" s="10" t="str">
        <f>IF(Random!AC319="","",IF(Controls!$B$7="Normal",Controls!$B$8,(Controls!$B$8+Controls!$B$9)/2)+Controls!$B$10*(I318-IF(Controls!$B$7="Normal",Controls!$B$8,(Controls!$B$8+Controls!$B$9)/2))+SQRT(1-Controls!$B$10^2)*(Random!AC319-IF(Controls!$B$7="Normal",Controls!$B$8,(Controls!$B$8+Controls!$B$9)/2)))</f>
        <v/>
      </c>
      <c r="J319" s="10" t="str">
        <f>IF(Random!AD319="","",IF(Controls!$B$7="Normal",Controls!$B$8,(Controls!$B$8+Controls!$B$9)/2)+Controls!$B$10*(J318-IF(Controls!$B$7="Normal",Controls!$B$8,(Controls!$B$8+Controls!$B$9)/2))+SQRT(1-Controls!$B$10^2)*(Random!AD319-IF(Controls!$B$7="Normal",Controls!$B$8,(Controls!$B$8+Controls!$B$9)/2)))</f>
        <v/>
      </c>
      <c r="K319" s="10" t="str">
        <f>IF(Random!AE319="","",IF(Controls!$B$7="Normal",Controls!$B$8,(Controls!$B$8+Controls!$B$9)/2)+Controls!$B$10*(K318-IF(Controls!$B$7="Normal",Controls!$B$8,(Controls!$B$8+Controls!$B$9)/2))+SQRT(1-Controls!$B$10^2)*(Random!AE319-IF(Controls!$B$7="Normal",Controls!$B$8,(Controls!$B$8+Controls!$B$9)/2)))</f>
        <v/>
      </c>
      <c r="L319" s="10" t="str">
        <f>IF($A319="","",IF(AND($A319&gt;=Controls!$B$25,$A319&lt;Controls!$B$25+Controls!$C$25),(Controls!$D$25-1)*EXP(-0.5*(($A319-Controls!$B$25-(Controls!$C$25-1)/2)/MAX(Controls!$C$25/4,0.5))^2),0))</f>
        <v/>
      </c>
      <c r="M319" s="10" t="str">
        <f>IF($A319="","",IF(AND($A319&gt;=Controls!$B$26,$A319&lt;Controls!$B$26+Controls!$C$26),(Controls!$D$26-1)*EXP(-0.5*(($A319-Controls!$B$26-(Controls!$C$26-1)/2)/MAX(Controls!$C$26/4,0.5))^2),0))</f>
        <v/>
      </c>
      <c r="N319" s="10" t="str">
        <f>IF($A319="","",IF(AND($A319&gt;=Controls!$B$27,$A319&lt;Controls!$B$27+Controls!$C$27),(Controls!$D$27-1)*EXP(-0.5*(($A319-Controls!$B$27-(Controls!$C$27-1)/2)/MAX(Controls!$C$27/4,0.5))^2),0))</f>
        <v/>
      </c>
      <c r="O319" s="10" t="str">
        <f>IF($A319="","",IF(AND($A319&gt;=Controls!$B$28,$A319&lt;Controls!$B$28+Controls!$C$28),(Controls!$D$28-1)*EXP(-0.5*(($A319-Controls!$B$28-(Controls!$C$28-1)/2)/MAX(Controls!$C$28/4,0.5))^2),0))</f>
        <v/>
      </c>
      <c r="P319" s="4" t="str">
        <f t="shared" si="1"/>
        <v/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21.0" customHeight="1">
      <c r="A320" s="7" t="str">
        <f>IF(319&lt;=Controls!$B$5,Controls!$B$4+318,"")</f>
        <v/>
      </c>
      <c r="B320" s="10" t="str">
        <f>IF(Random!V320="","",IF(Controls!$B$7="Normal",Controls!$B$8,(Controls!$B$8+Controls!$B$9)/2)+Controls!$B$10*(B319-IF(Controls!$B$7="Normal",Controls!$B$8,(Controls!$B$8+Controls!$B$9)/2))+SQRT(1-Controls!$B$10^2)*(Random!V320-IF(Controls!$B$7="Normal",Controls!$B$8,(Controls!$B$8+Controls!$B$9)/2)))</f>
        <v/>
      </c>
      <c r="C320" s="10" t="str">
        <f>IF(Random!W320="","",IF(Controls!$B$7="Normal",Controls!$B$8,(Controls!$B$8+Controls!$B$9)/2)+Controls!$B$10*(C319-IF(Controls!$B$7="Normal",Controls!$B$8,(Controls!$B$8+Controls!$B$9)/2))+SQRT(1-Controls!$B$10^2)*(Random!W320-IF(Controls!$B$7="Normal",Controls!$B$8,(Controls!$B$8+Controls!$B$9)/2)))</f>
        <v/>
      </c>
      <c r="D320" s="10" t="str">
        <f>IF(Random!X320="","",IF(Controls!$B$7="Normal",Controls!$B$8,(Controls!$B$8+Controls!$B$9)/2)+Controls!$B$10*(D319-IF(Controls!$B$7="Normal",Controls!$B$8,(Controls!$B$8+Controls!$B$9)/2))+SQRT(1-Controls!$B$10^2)*(Random!X320-IF(Controls!$B$7="Normal",Controls!$B$8,(Controls!$B$8+Controls!$B$9)/2)))</f>
        <v/>
      </c>
      <c r="E320" s="10" t="str">
        <f>IF(Random!Y320="","",IF(Controls!$B$7="Normal",Controls!$B$8,(Controls!$B$8+Controls!$B$9)/2)+Controls!$B$10*(E319-IF(Controls!$B$7="Normal",Controls!$B$8,(Controls!$B$8+Controls!$B$9)/2))+SQRT(1-Controls!$B$10^2)*(Random!Y320-IF(Controls!$B$7="Normal",Controls!$B$8,(Controls!$B$8+Controls!$B$9)/2)))</f>
        <v/>
      </c>
      <c r="F320" s="10" t="str">
        <f>IF(Random!Z320="","",IF(Controls!$B$7="Normal",Controls!$B$8,(Controls!$B$8+Controls!$B$9)/2)+Controls!$B$10*(F319-IF(Controls!$B$7="Normal",Controls!$B$8,(Controls!$B$8+Controls!$B$9)/2))+SQRT(1-Controls!$B$10^2)*(Random!Z320-IF(Controls!$B$7="Normal",Controls!$B$8,(Controls!$B$8+Controls!$B$9)/2)))</f>
        <v/>
      </c>
      <c r="G320" s="10" t="str">
        <f>IF(Random!AA320="","",IF(Controls!$B$7="Normal",Controls!$B$8,(Controls!$B$8+Controls!$B$9)/2)+Controls!$B$10*(G319-IF(Controls!$B$7="Normal",Controls!$B$8,(Controls!$B$8+Controls!$B$9)/2))+SQRT(1-Controls!$B$10^2)*(Random!AA320-IF(Controls!$B$7="Normal",Controls!$B$8,(Controls!$B$8+Controls!$B$9)/2)))</f>
        <v/>
      </c>
      <c r="H320" s="10" t="str">
        <f>IF(Random!AB320="","",IF(Controls!$B$7="Normal",Controls!$B$8,(Controls!$B$8+Controls!$B$9)/2)+Controls!$B$10*(H319-IF(Controls!$B$7="Normal",Controls!$B$8,(Controls!$B$8+Controls!$B$9)/2))+SQRT(1-Controls!$B$10^2)*(Random!AB320-IF(Controls!$B$7="Normal",Controls!$B$8,(Controls!$B$8+Controls!$B$9)/2)))</f>
        <v/>
      </c>
      <c r="I320" s="10" t="str">
        <f>IF(Random!AC320="","",IF(Controls!$B$7="Normal",Controls!$B$8,(Controls!$B$8+Controls!$B$9)/2)+Controls!$B$10*(I319-IF(Controls!$B$7="Normal",Controls!$B$8,(Controls!$B$8+Controls!$B$9)/2))+SQRT(1-Controls!$B$10^2)*(Random!AC320-IF(Controls!$B$7="Normal",Controls!$B$8,(Controls!$B$8+Controls!$B$9)/2)))</f>
        <v/>
      </c>
      <c r="J320" s="10" t="str">
        <f>IF(Random!AD320="","",IF(Controls!$B$7="Normal",Controls!$B$8,(Controls!$B$8+Controls!$B$9)/2)+Controls!$B$10*(J319-IF(Controls!$B$7="Normal",Controls!$B$8,(Controls!$B$8+Controls!$B$9)/2))+SQRT(1-Controls!$B$10^2)*(Random!AD320-IF(Controls!$B$7="Normal",Controls!$B$8,(Controls!$B$8+Controls!$B$9)/2)))</f>
        <v/>
      </c>
      <c r="K320" s="10" t="str">
        <f>IF(Random!AE320="","",IF(Controls!$B$7="Normal",Controls!$B$8,(Controls!$B$8+Controls!$B$9)/2)+Controls!$B$10*(K319-IF(Controls!$B$7="Normal",Controls!$B$8,(Controls!$B$8+Controls!$B$9)/2))+SQRT(1-Controls!$B$10^2)*(Random!AE320-IF(Controls!$B$7="Normal",Controls!$B$8,(Controls!$B$8+Controls!$B$9)/2)))</f>
        <v/>
      </c>
      <c r="L320" s="10" t="str">
        <f>IF($A320="","",IF(AND($A320&gt;=Controls!$B$25,$A320&lt;Controls!$B$25+Controls!$C$25),(Controls!$D$25-1)*EXP(-0.5*(($A320-Controls!$B$25-(Controls!$C$25-1)/2)/MAX(Controls!$C$25/4,0.5))^2),0))</f>
        <v/>
      </c>
      <c r="M320" s="10" t="str">
        <f>IF($A320="","",IF(AND($A320&gt;=Controls!$B$26,$A320&lt;Controls!$B$26+Controls!$C$26),(Controls!$D$26-1)*EXP(-0.5*(($A320-Controls!$B$26-(Controls!$C$26-1)/2)/MAX(Controls!$C$26/4,0.5))^2),0))</f>
        <v/>
      </c>
      <c r="N320" s="10" t="str">
        <f>IF($A320="","",IF(AND($A320&gt;=Controls!$B$27,$A320&lt;Controls!$B$27+Controls!$C$27),(Controls!$D$27-1)*EXP(-0.5*(($A320-Controls!$B$27-(Controls!$C$27-1)/2)/MAX(Controls!$C$27/4,0.5))^2),0))</f>
        <v/>
      </c>
      <c r="O320" s="10" t="str">
        <f>IF($A320="","",IF(AND($A320&gt;=Controls!$B$28,$A320&lt;Controls!$B$28+Controls!$C$28),(Controls!$D$28-1)*EXP(-0.5*(($A320-Controls!$B$28-(Controls!$C$28-1)/2)/MAX(Controls!$C$28/4,0.5))^2),0))</f>
        <v/>
      </c>
      <c r="P320" s="4" t="str">
        <f t="shared" si="1"/>
        <v/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21.0" customHeight="1">
      <c r="A321" s="7" t="str">
        <f>IF(320&lt;=Controls!$B$5,Controls!$B$4+319,"")</f>
        <v/>
      </c>
      <c r="B321" s="10" t="str">
        <f>IF(Random!V321="","",IF(Controls!$B$7="Normal",Controls!$B$8,(Controls!$B$8+Controls!$B$9)/2)+Controls!$B$10*(B320-IF(Controls!$B$7="Normal",Controls!$B$8,(Controls!$B$8+Controls!$B$9)/2))+SQRT(1-Controls!$B$10^2)*(Random!V321-IF(Controls!$B$7="Normal",Controls!$B$8,(Controls!$B$8+Controls!$B$9)/2)))</f>
        <v/>
      </c>
      <c r="C321" s="10" t="str">
        <f>IF(Random!W321="","",IF(Controls!$B$7="Normal",Controls!$B$8,(Controls!$B$8+Controls!$B$9)/2)+Controls!$B$10*(C320-IF(Controls!$B$7="Normal",Controls!$B$8,(Controls!$B$8+Controls!$B$9)/2))+SQRT(1-Controls!$B$10^2)*(Random!W321-IF(Controls!$B$7="Normal",Controls!$B$8,(Controls!$B$8+Controls!$B$9)/2)))</f>
        <v/>
      </c>
      <c r="D321" s="10" t="str">
        <f>IF(Random!X321="","",IF(Controls!$B$7="Normal",Controls!$B$8,(Controls!$B$8+Controls!$B$9)/2)+Controls!$B$10*(D320-IF(Controls!$B$7="Normal",Controls!$B$8,(Controls!$B$8+Controls!$B$9)/2))+SQRT(1-Controls!$B$10^2)*(Random!X321-IF(Controls!$B$7="Normal",Controls!$B$8,(Controls!$B$8+Controls!$B$9)/2)))</f>
        <v/>
      </c>
      <c r="E321" s="10" t="str">
        <f>IF(Random!Y321="","",IF(Controls!$B$7="Normal",Controls!$B$8,(Controls!$B$8+Controls!$B$9)/2)+Controls!$B$10*(E320-IF(Controls!$B$7="Normal",Controls!$B$8,(Controls!$B$8+Controls!$B$9)/2))+SQRT(1-Controls!$B$10^2)*(Random!Y321-IF(Controls!$B$7="Normal",Controls!$B$8,(Controls!$B$8+Controls!$B$9)/2)))</f>
        <v/>
      </c>
      <c r="F321" s="10" t="str">
        <f>IF(Random!Z321="","",IF(Controls!$B$7="Normal",Controls!$B$8,(Controls!$B$8+Controls!$B$9)/2)+Controls!$B$10*(F320-IF(Controls!$B$7="Normal",Controls!$B$8,(Controls!$B$8+Controls!$B$9)/2))+SQRT(1-Controls!$B$10^2)*(Random!Z321-IF(Controls!$B$7="Normal",Controls!$B$8,(Controls!$B$8+Controls!$B$9)/2)))</f>
        <v/>
      </c>
      <c r="G321" s="10" t="str">
        <f>IF(Random!AA321="","",IF(Controls!$B$7="Normal",Controls!$B$8,(Controls!$B$8+Controls!$B$9)/2)+Controls!$B$10*(G320-IF(Controls!$B$7="Normal",Controls!$B$8,(Controls!$B$8+Controls!$B$9)/2))+SQRT(1-Controls!$B$10^2)*(Random!AA321-IF(Controls!$B$7="Normal",Controls!$B$8,(Controls!$B$8+Controls!$B$9)/2)))</f>
        <v/>
      </c>
      <c r="H321" s="10" t="str">
        <f>IF(Random!AB321="","",IF(Controls!$B$7="Normal",Controls!$B$8,(Controls!$B$8+Controls!$B$9)/2)+Controls!$B$10*(H320-IF(Controls!$B$7="Normal",Controls!$B$8,(Controls!$B$8+Controls!$B$9)/2))+SQRT(1-Controls!$B$10^2)*(Random!AB321-IF(Controls!$B$7="Normal",Controls!$B$8,(Controls!$B$8+Controls!$B$9)/2)))</f>
        <v/>
      </c>
      <c r="I321" s="10" t="str">
        <f>IF(Random!AC321="","",IF(Controls!$B$7="Normal",Controls!$B$8,(Controls!$B$8+Controls!$B$9)/2)+Controls!$B$10*(I320-IF(Controls!$B$7="Normal",Controls!$B$8,(Controls!$B$8+Controls!$B$9)/2))+SQRT(1-Controls!$B$10^2)*(Random!AC321-IF(Controls!$B$7="Normal",Controls!$B$8,(Controls!$B$8+Controls!$B$9)/2)))</f>
        <v/>
      </c>
      <c r="J321" s="10" t="str">
        <f>IF(Random!AD321="","",IF(Controls!$B$7="Normal",Controls!$B$8,(Controls!$B$8+Controls!$B$9)/2)+Controls!$B$10*(J320-IF(Controls!$B$7="Normal",Controls!$B$8,(Controls!$B$8+Controls!$B$9)/2))+SQRT(1-Controls!$B$10^2)*(Random!AD321-IF(Controls!$B$7="Normal",Controls!$B$8,(Controls!$B$8+Controls!$B$9)/2)))</f>
        <v/>
      </c>
      <c r="K321" s="10" t="str">
        <f>IF(Random!AE321="","",IF(Controls!$B$7="Normal",Controls!$B$8,(Controls!$B$8+Controls!$B$9)/2)+Controls!$B$10*(K320-IF(Controls!$B$7="Normal",Controls!$B$8,(Controls!$B$8+Controls!$B$9)/2))+SQRT(1-Controls!$B$10^2)*(Random!AE321-IF(Controls!$B$7="Normal",Controls!$B$8,(Controls!$B$8+Controls!$B$9)/2)))</f>
        <v/>
      </c>
      <c r="L321" s="10" t="str">
        <f>IF($A321="","",IF(AND($A321&gt;=Controls!$B$25,$A321&lt;Controls!$B$25+Controls!$C$25),(Controls!$D$25-1)*EXP(-0.5*(($A321-Controls!$B$25-(Controls!$C$25-1)/2)/MAX(Controls!$C$25/4,0.5))^2),0))</f>
        <v/>
      </c>
      <c r="M321" s="10" t="str">
        <f>IF($A321="","",IF(AND($A321&gt;=Controls!$B$26,$A321&lt;Controls!$B$26+Controls!$C$26),(Controls!$D$26-1)*EXP(-0.5*(($A321-Controls!$B$26-(Controls!$C$26-1)/2)/MAX(Controls!$C$26/4,0.5))^2),0))</f>
        <v/>
      </c>
      <c r="N321" s="10" t="str">
        <f>IF($A321="","",IF(AND($A321&gt;=Controls!$B$27,$A321&lt;Controls!$B$27+Controls!$C$27),(Controls!$D$27-1)*EXP(-0.5*(($A321-Controls!$B$27-(Controls!$C$27-1)/2)/MAX(Controls!$C$27/4,0.5))^2),0))</f>
        <v/>
      </c>
      <c r="O321" s="10" t="str">
        <f>IF($A321="","",IF(AND($A321&gt;=Controls!$B$28,$A321&lt;Controls!$B$28+Controls!$C$28),(Controls!$D$28-1)*EXP(-0.5*(($A321-Controls!$B$28-(Controls!$C$28-1)/2)/MAX(Controls!$C$28/4,0.5))^2),0))</f>
        <v/>
      </c>
      <c r="P321" s="4" t="str">
        <f t="shared" si="1"/>
        <v/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21.0" customHeight="1">
      <c r="A322" s="7" t="str">
        <f>IF(321&lt;=Controls!$B$5,Controls!$B$4+320,"")</f>
        <v/>
      </c>
      <c r="B322" s="10" t="str">
        <f>IF(Random!V322="","",IF(Controls!$B$7="Normal",Controls!$B$8,(Controls!$B$8+Controls!$B$9)/2)+Controls!$B$10*(B321-IF(Controls!$B$7="Normal",Controls!$B$8,(Controls!$B$8+Controls!$B$9)/2))+SQRT(1-Controls!$B$10^2)*(Random!V322-IF(Controls!$B$7="Normal",Controls!$B$8,(Controls!$B$8+Controls!$B$9)/2)))</f>
        <v/>
      </c>
      <c r="C322" s="10" t="str">
        <f>IF(Random!W322="","",IF(Controls!$B$7="Normal",Controls!$B$8,(Controls!$B$8+Controls!$B$9)/2)+Controls!$B$10*(C321-IF(Controls!$B$7="Normal",Controls!$B$8,(Controls!$B$8+Controls!$B$9)/2))+SQRT(1-Controls!$B$10^2)*(Random!W322-IF(Controls!$B$7="Normal",Controls!$B$8,(Controls!$B$8+Controls!$B$9)/2)))</f>
        <v/>
      </c>
      <c r="D322" s="10" t="str">
        <f>IF(Random!X322="","",IF(Controls!$B$7="Normal",Controls!$B$8,(Controls!$B$8+Controls!$B$9)/2)+Controls!$B$10*(D321-IF(Controls!$B$7="Normal",Controls!$B$8,(Controls!$B$8+Controls!$B$9)/2))+SQRT(1-Controls!$B$10^2)*(Random!X322-IF(Controls!$B$7="Normal",Controls!$B$8,(Controls!$B$8+Controls!$B$9)/2)))</f>
        <v/>
      </c>
      <c r="E322" s="10" t="str">
        <f>IF(Random!Y322="","",IF(Controls!$B$7="Normal",Controls!$B$8,(Controls!$B$8+Controls!$B$9)/2)+Controls!$B$10*(E321-IF(Controls!$B$7="Normal",Controls!$B$8,(Controls!$B$8+Controls!$B$9)/2))+SQRT(1-Controls!$B$10^2)*(Random!Y322-IF(Controls!$B$7="Normal",Controls!$B$8,(Controls!$B$8+Controls!$B$9)/2)))</f>
        <v/>
      </c>
      <c r="F322" s="10" t="str">
        <f>IF(Random!Z322="","",IF(Controls!$B$7="Normal",Controls!$B$8,(Controls!$B$8+Controls!$B$9)/2)+Controls!$B$10*(F321-IF(Controls!$B$7="Normal",Controls!$B$8,(Controls!$B$8+Controls!$B$9)/2))+SQRT(1-Controls!$B$10^2)*(Random!Z322-IF(Controls!$B$7="Normal",Controls!$B$8,(Controls!$B$8+Controls!$B$9)/2)))</f>
        <v/>
      </c>
      <c r="G322" s="10" t="str">
        <f>IF(Random!AA322="","",IF(Controls!$B$7="Normal",Controls!$B$8,(Controls!$B$8+Controls!$B$9)/2)+Controls!$B$10*(G321-IF(Controls!$B$7="Normal",Controls!$B$8,(Controls!$B$8+Controls!$B$9)/2))+SQRT(1-Controls!$B$10^2)*(Random!AA322-IF(Controls!$B$7="Normal",Controls!$B$8,(Controls!$B$8+Controls!$B$9)/2)))</f>
        <v/>
      </c>
      <c r="H322" s="10" t="str">
        <f>IF(Random!AB322="","",IF(Controls!$B$7="Normal",Controls!$B$8,(Controls!$B$8+Controls!$B$9)/2)+Controls!$B$10*(H321-IF(Controls!$B$7="Normal",Controls!$B$8,(Controls!$B$8+Controls!$B$9)/2))+SQRT(1-Controls!$B$10^2)*(Random!AB322-IF(Controls!$B$7="Normal",Controls!$B$8,(Controls!$B$8+Controls!$B$9)/2)))</f>
        <v/>
      </c>
      <c r="I322" s="10" t="str">
        <f>IF(Random!AC322="","",IF(Controls!$B$7="Normal",Controls!$B$8,(Controls!$B$8+Controls!$B$9)/2)+Controls!$B$10*(I321-IF(Controls!$B$7="Normal",Controls!$B$8,(Controls!$B$8+Controls!$B$9)/2))+SQRT(1-Controls!$B$10^2)*(Random!AC322-IF(Controls!$B$7="Normal",Controls!$B$8,(Controls!$B$8+Controls!$B$9)/2)))</f>
        <v/>
      </c>
      <c r="J322" s="10" t="str">
        <f>IF(Random!AD322="","",IF(Controls!$B$7="Normal",Controls!$B$8,(Controls!$B$8+Controls!$B$9)/2)+Controls!$B$10*(J321-IF(Controls!$B$7="Normal",Controls!$B$8,(Controls!$B$8+Controls!$B$9)/2))+SQRT(1-Controls!$B$10^2)*(Random!AD322-IF(Controls!$B$7="Normal",Controls!$B$8,(Controls!$B$8+Controls!$B$9)/2)))</f>
        <v/>
      </c>
      <c r="K322" s="10" t="str">
        <f>IF(Random!AE322="","",IF(Controls!$B$7="Normal",Controls!$B$8,(Controls!$B$8+Controls!$B$9)/2)+Controls!$B$10*(K321-IF(Controls!$B$7="Normal",Controls!$B$8,(Controls!$B$8+Controls!$B$9)/2))+SQRT(1-Controls!$B$10^2)*(Random!AE322-IF(Controls!$B$7="Normal",Controls!$B$8,(Controls!$B$8+Controls!$B$9)/2)))</f>
        <v/>
      </c>
      <c r="L322" s="10" t="str">
        <f>IF($A322="","",IF(AND($A322&gt;=Controls!$B$25,$A322&lt;Controls!$B$25+Controls!$C$25),(Controls!$D$25-1)*EXP(-0.5*(($A322-Controls!$B$25-(Controls!$C$25-1)/2)/MAX(Controls!$C$25/4,0.5))^2),0))</f>
        <v/>
      </c>
      <c r="M322" s="10" t="str">
        <f>IF($A322="","",IF(AND($A322&gt;=Controls!$B$26,$A322&lt;Controls!$B$26+Controls!$C$26),(Controls!$D$26-1)*EXP(-0.5*(($A322-Controls!$B$26-(Controls!$C$26-1)/2)/MAX(Controls!$C$26/4,0.5))^2),0))</f>
        <v/>
      </c>
      <c r="N322" s="10" t="str">
        <f>IF($A322="","",IF(AND($A322&gt;=Controls!$B$27,$A322&lt;Controls!$B$27+Controls!$C$27),(Controls!$D$27-1)*EXP(-0.5*(($A322-Controls!$B$27-(Controls!$C$27-1)/2)/MAX(Controls!$C$27/4,0.5))^2),0))</f>
        <v/>
      </c>
      <c r="O322" s="10" t="str">
        <f>IF($A322="","",IF(AND($A322&gt;=Controls!$B$28,$A322&lt;Controls!$B$28+Controls!$C$28),(Controls!$D$28-1)*EXP(-0.5*(($A322-Controls!$B$28-(Controls!$C$28-1)/2)/MAX(Controls!$C$28/4,0.5))^2),0))</f>
        <v/>
      </c>
      <c r="P322" s="4" t="str">
        <f t="shared" si="1"/>
        <v/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21.0" customHeight="1">
      <c r="A323" s="7" t="str">
        <f>IF(322&lt;=Controls!$B$5,Controls!$B$4+321,"")</f>
        <v/>
      </c>
      <c r="B323" s="10" t="str">
        <f>IF(Random!V323="","",IF(Controls!$B$7="Normal",Controls!$B$8,(Controls!$B$8+Controls!$B$9)/2)+Controls!$B$10*(B322-IF(Controls!$B$7="Normal",Controls!$B$8,(Controls!$B$8+Controls!$B$9)/2))+SQRT(1-Controls!$B$10^2)*(Random!V323-IF(Controls!$B$7="Normal",Controls!$B$8,(Controls!$B$8+Controls!$B$9)/2)))</f>
        <v/>
      </c>
      <c r="C323" s="10" t="str">
        <f>IF(Random!W323="","",IF(Controls!$B$7="Normal",Controls!$B$8,(Controls!$B$8+Controls!$B$9)/2)+Controls!$B$10*(C322-IF(Controls!$B$7="Normal",Controls!$B$8,(Controls!$B$8+Controls!$B$9)/2))+SQRT(1-Controls!$B$10^2)*(Random!W323-IF(Controls!$B$7="Normal",Controls!$B$8,(Controls!$B$8+Controls!$B$9)/2)))</f>
        <v/>
      </c>
      <c r="D323" s="10" t="str">
        <f>IF(Random!X323="","",IF(Controls!$B$7="Normal",Controls!$B$8,(Controls!$B$8+Controls!$B$9)/2)+Controls!$B$10*(D322-IF(Controls!$B$7="Normal",Controls!$B$8,(Controls!$B$8+Controls!$B$9)/2))+SQRT(1-Controls!$B$10^2)*(Random!X323-IF(Controls!$B$7="Normal",Controls!$B$8,(Controls!$B$8+Controls!$B$9)/2)))</f>
        <v/>
      </c>
      <c r="E323" s="10" t="str">
        <f>IF(Random!Y323="","",IF(Controls!$B$7="Normal",Controls!$B$8,(Controls!$B$8+Controls!$B$9)/2)+Controls!$B$10*(E322-IF(Controls!$B$7="Normal",Controls!$B$8,(Controls!$B$8+Controls!$B$9)/2))+SQRT(1-Controls!$B$10^2)*(Random!Y323-IF(Controls!$B$7="Normal",Controls!$B$8,(Controls!$B$8+Controls!$B$9)/2)))</f>
        <v/>
      </c>
      <c r="F323" s="10" t="str">
        <f>IF(Random!Z323="","",IF(Controls!$B$7="Normal",Controls!$B$8,(Controls!$B$8+Controls!$B$9)/2)+Controls!$B$10*(F322-IF(Controls!$B$7="Normal",Controls!$B$8,(Controls!$B$8+Controls!$B$9)/2))+SQRT(1-Controls!$B$10^2)*(Random!Z323-IF(Controls!$B$7="Normal",Controls!$B$8,(Controls!$B$8+Controls!$B$9)/2)))</f>
        <v/>
      </c>
      <c r="G323" s="10" t="str">
        <f>IF(Random!AA323="","",IF(Controls!$B$7="Normal",Controls!$B$8,(Controls!$B$8+Controls!$B$9)/2)+Controls!$B$10*(G322-IF(Controls!$B$7="Normal",Controls!$B$8,(Controls!$B$8+Controls!$B$9)/2))+SQRT(1-Controls!$B$10^2)*(Random!AA323-IF(Controls!$B$7="Normal",Controls!$B$8,(Controls!$B$8+Controls!$B$9)/2)))</f>
        <v/>
      </c>
      <c r="H323" s="10" t="str">
        <f>IF(Random!AB323="","",IF(Controls!$B$7="Normal",Controls!$B$8,(Controls!$B$8+Controls!$B$9)/2)+Controls!$B$10*(H322-IF(Controls!$B$7="Normal",Controls!$B$8,(Controls!$B$8+Controls!$B$9)/2))+SQRT(1-Controls!$B$10^2)*(Random!AB323-IF(Controls!$B$7="Normal",Controls!$B$8,(Controls!$B$8+Controls!$B$9)/2)))</f>
        <v/>
      </c>
      <c r="I323" s="10" t="str">
        <f>IF(Random!AC323="","",IF(Controls!$B$7="Normal",Controls!$B$8,(Controls!$B$8+Controls!$B$9)/2)+Controls!$B$10*(I322-IF(Controls!$B$7="Normal",Controls!$B$8,(Controls!$B$8+Controls!$B$9)/2))+SQRT(1-Controls!$B$10^2)*(Random!AC323-IF(Controls!$B$7="Normal",Controls!$B$8,(Controls!$B$8+Controls!$B$9)/2)))</f>
        <v/>
      </c>
      <c r="J323" s="10" t="str">
        <f>IF(Random!AD323="","",IF(Controls!$B$7="Normal",Controls!$B$8,(Controls!$B$8+Controls!$B$9)/2)+Controls!$B$10*(J322-IF(Controls!$B$7="Normal",Controls!$B$8,(Controls!$B$8+Controls!$B$9)/2))+SQRT(1-Controls!$B$10^2)*(Random!AD323-IF(Controls!$B$7="Normal",Controls!$B$8,(Controls!$B$8+Controls!$B$9)/2)))</f>
        <v/>
      </c>
      <c r="K323" s="10" t="str">
        <f>IF(Random!AE323="","",IF(Controls!$B$7="Normal",Controls!$B$8,(Controls!$B$8+Controls!$B$9)/2)+Controls!$B$10*(K322-IF(Controls!$B$7="Normal",Controls!$B$8,(Controls!$B$8+Controls!$B$9)/2))+SQRT(1-Controls!$B$10^2)*(Random!AE323-IF(Controls!$B$7="Normal",Controls!$B$8,(Controls!$B$8+Controls!$B$9)/2)))</f>
        <v/>
      </c>
      <c r="L323" s="10" t="str">
        <f>IF($A323="","",IF(AND($A323&gt;=Controls!$B$25,$A323&lt;Controls!$B$25+Controls!$C$25),(Controls!$D$25-1)*EXP(-0.5*(($A323-Controls!$B$25-(Controls!$C$25-1)/2)/MAX(Controls!$C$25/4,0.5))^2),0))</f>
        <v/>
      </c>
      <c r="M323" s="10" t="str">
        <f>IF($A323="","",IF(AND($A323&gt;=Controls!$B$26,$A323&lt;Controls!$B$26+Controls!$C$26),(Controls!$D$26-1)*EXP(-0.5*(($A323-Controls!$B$26-(Controls!$C$26-1)/2)/MAX(Controls!$C$26/4,0.5))^2),0))</f>
        <v/>
      </c>
      <c r="N323" s="10" t="str">
        <f>IF($A323="","",IF(AND($A323&gt;=Controls!$B$27,$A323&lt;Controls!$B$27+Controls!$C$27),(Controls!$D$27-1)*EXP(-0.5*(($A323-Controls!$B$27-(Controls!$C$27-1)/2)/MAX(Controls!$C$27/4,0.5))^2),0))</f>
        <v/>
      </c>
      <c r="O323" s="10" t="str">
        <f>IF($A323="","",IF(AND($A323&gt;=Controls!$B$28,$A323&lt;Controls!$B$28+Controls!$C$28),(Controls!$D$28-1)*EXP(-0.5*(($A323-Controls!$B$28-(Controls!$C$28-1)/2)/MAX(Controls!$C$28/4,0.5))^2),0))</f>
        <v/>
      </c>
      <c r="P323" s="4" t="str">
        <f t="shared" si="1"/>
        <v/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21.0" customHeight="1">
      <c r="A324" s="7" t="str">
        <f>IF(323&lt;=Controls!$B$5,Controls!$B$4+322,"")</f>
        <v/>
      </c>
      <c r="B324" s="10" t="str">
        <f>IF(Random!V324="","",IF(Controls!$B$7="Normal",Controls!$B$8,(Controls!$B$8+Controls!$B$9)/2)+Controls!$B$10*(B323-IF(Controls!$B$7="Normal",Controls!$B$8,(Controls!$B$8+Controls!$B$9)/2))+SQRT(1-Controls!$B$10^2)*(Random!V324-IF(Controls!$B$7="Normal",Controls!$B$8,(Controls!$B$8+Controls!$B$9)/2)))</f>
        <v/>
      </c>
      <c r="C324" s="10" t="str">
        <f>IF(Random!W324="","",IF(Controls!$B$7="Normal",Controls!$B$8,(Controls!$B$8+Controls!$B$9)/2)+Controls!$B$10*(C323-IF(Controls!$B$7="Normal",Controls!$B$8,(Controls!$B$8+Controls!$B$9)/2))+SQRT(1-Controls!$B$10^2)*(Random!W324-IF(Controls!$B$7="Normal",Controls!$B$8,(Controls!$B$8+Controls!$B$9)/2)))</f>
        <v/>
      </c>
      <c r="D324" s="10" t="str">
        <f>IF(Random!X324="","",IF(Controls!$B$7="Normal",Controls!$B$8,(Controls!$B$8+Controls!$B$9)/2)+Controls!$B$10*(D323-IF(Controls!$B$7="Normal",Controls!$B$8,(Controls!$B$8+Controls!$B$9)/2))+SQRT(1-Controls!$B$10^2)*(Random!X324-IF(Controls!$B$7="Normal",Controls!$B$8,(Controls!$B$8+Controls!$B$9)/2)))</f>
        <v/>
      </c>
      <c r="E324" s="10" t="str">
        <f>IF(Random!Y324="","",IF(Controls!$B$7="Normal",Controls!$B$8,(Controls!$B$8+Controls!$B$9)/2)+Controls!$B$10*(E323-IF(Controls!$B$7="Normal",Controls!$B$8,(Controls!$B$8+Controls!$B$9)/2))+SQRT(1-Controls!$B$10^2)*(Random!Y324-IF(Controls!$B$7="Normal",Controls!$B$8,(Controls!$B$8+Controls!$B$9)/2)))</f>
        <v/>
      </c>
      <c r="F324" s="10" t="str">
        <f>IF(Random!Z324="","",IF(Controls!$B$7="Normal",Controls!$B$8,(Controls!$B$8+Controls!$B$9)/2)+Controls!$B$10*(F323-IF(Controls!$B$7="Normal",Controls!$B$8,(Controls!$B$8+Controls!$B$9)/2))+SQRT(1-Controls!$B$10^2)*(Random!Z324-IF(Controls!$B$7="Normal",Controls!$B$8,(Controls!$B$8+Controls!$B$9)/2)))</f>
        <v/>
      </c>
      <c r="G324" s="10" t="str">
        <f>IF(Random!AA324="","",IF(Controls!$B$7="Normal",Controls!$B$8,(Controls!$B$8+Controls!$B$9)/2)+Controls!$B$10*(G323-IF(Controls!$B$7="Normal",Controls!$B$8,(Controls!$B$8+Controls!$B$9)/2))+SQRT(1-Controls!$B$10^2)*(Random!AA324-IF(Controls!$B$7="Normal",Controls!$B$8,(Controls!$B$8+Controls!$B$9)/2)))</f>
        <v/>
      </c>
      <c r="H324" s="10" t="str">
        <f>IF(Random!AB324="","",IF(Controls!$B$7="Normal",Controls!$B$8,(Controls!$B$8+Controls!$B$9)/2)+Controls!$B$10*(H323-IF(Controls!$B$7="Normal",Controls!$B$8,(Controls!$B$8+Controls!$B$9)/2))+SQRT(1-Controls!$B$10^2)*(Random!AB324-IF(Controls!$B$7="Normal",Controls!$B$8,(Controls!$B$8+Controls!$B$9)/2)))</f>
        <v/>
      </c>
      <c r="I324" s="10" t="str">
        <f>IF(Random!AC324="","",IF(Controls!$B$7="Normal",Controls!$B$8,(Controls!$B$8+Controls!$B$9)/2)+Controls!$B$10*(I323-IF(Controls!$B$7="Normal",Controls!$B$8,(Controls!$B$8+Controls!$B$9)/2))+SQRT(1-Controls!$B$10^2)*(Random!AC324-IF(Controls!$B$7="Normal",Controls!$B$8,(Controls!$B$8+Controls!$B$9)/2)))</f>
        <v/>
      </c>
      <c r="J324" s="10" t="str">
        <f>IF(Random!AD324="","",IF(Controls!$B$7="Normal",Controls!$B$8,(Controls!$B$8+Controls!$B$9)/2)+Controls!$B$10*(J323-IF(Controls!$B$7="Normal",Controls!$B$8,(Controls!$B$8+Controls!$B$9)/2))+SQRT(1-Controls!$B$10^2)*(Random!AD324-IF(Controls!$B$7="Normal",Controls!$B$8,(Controls!$B$8+Controls!$B$9)/2)))</f>
        <v/>
      </c>
      <c r="K324" s="10" t="str">
        <f>IF(Random!AE324="","",IF(Controls!$B$7="Normal",Controls!$B$8,(Controls!$B$8+Controls!$B$9)/2)+Controls!$B$10*(K323-IF(Controls!$B$7="Normal",Controls!$B$8,(Controls!$B$8+Controls!$B$9)/2))+SQRT(1-Controls!$B$10^2)*(Random!AE324-IF(Controls!$B$7="Normal",Controls!$B$8,(Controls!$B$8+Controls!$B$9)/2)))</f>
        <v/>
      </c>
      <c r="L324" s="10" t="str">
        <f>IF($A324="","",IF(AND($A324&gt;=Controls!$B$25,$A324&lt;Controls!$B$25+Controls!$C$25),(Controls!$D$25-1)*EXP(-0.5*(($A324-Controls!$B$25-(Controls!$C$25-1)/2)/MAX(Controls!$C$25/4,0.5))^2),0))</f>
        <v/>
      </c>
      <c r="M324" s="10" t="str">
        <f>IF($A324="","",IF(AND($A324&gt;=Controls!$B$26,$A324&lt;Controls!$B$26+Controls!$C$26),(Controls!$D$26-1)*EXP(-0.5*(($A324-Controls!$B$26-(Controls!$C$26-1)/2)/MAX(Controls!$C$26/4,0.5))^2),0))</f>
        <v/>
      </c>
      <c r="N324" s="10" t="str">
        <f>IF($A324="","",IF(AND($A324&gt;=Controls!$B$27,$A324&lt;Controls!$B$27+Controls!$C$27),(Controls!$D$27-1)*EXP(-0.5*(($A324-Controls!$B$27-(Controls!$C$27-1)/2)/MAX(Controls!$C$27/4,0.5))^2),0))</f>
        <v/>
      </c>
      <c r="O324" s="10" t="str">
        <f>IF($A324="","",IF(AND($A324&gt;=Controls!$B$28,$A324&lt;Controls!$B$28+Controls!$C$28),(Controls!$D$28-1)*EXP(-0.5*(($A324-Controls!$B$28-(Controls!$C$28-1)/2)/MAX(Controls!$C$28/4,0.5))^2),0))</f>
        <v/>
      </c>
      <c r="P324" s="4" t="str">
        <f t="shared" si="1"/>
        <v/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21.0" customHeight="1">
      <c r="A325" s="7" t="str">
        <f>IF(324&lt;=Controls!$B$5,Controls!$B$4+323,"")</f>
        <v/>
      </c>
      <c r="B325" s="10" t="str">
        <f>IF(Random!V325="","",IF(Controls!$B$7="Normal",Controls!$B$8,(Controls!$B$8+Controls!$B$9)/2)+Controls!$B$10*(B324-IF(Controls!$B$7="Normal",Controls!$B$8,(Controls!$B$8+Controls!$B$9)/2))+SQRT(1-Controls!$B$10^2)*(Random!V325-IF(Controls!$B$7="Normal",Controls!$B$8,(Controls!$B$8+Controls!$B$9)/2)))</f>
        <v/>
      </c>
      <c r="C325" s="10" t="str">
        <f>IF(Random!W325="","",IF(Controls!$B$7="Normal",Controls!$B$8,(Controls!$B$8+Controls!$B$9)/2)+Controls!$B$10*(C324-IF(Controls!$B$7="Normal",Controls!$B$8,(Controls!$B$8+Controls!$B$9)/2))+SQRT(1-Controls!$B$10^2)*(Random!W325-IF(Controls!$B$7="Normal",Controls!$B$8,(Controls!$B$8+Controls!$B$9)/2)))</f>
        <v/>
      </c>
      <c r="D325" s="10" t="str">
        <f>IF(Random!X325="","",IF(Controls!$B$7="Normal",Controls!$B$8,(Controls!$B$8+Controls!$B$9)/2)+Controls!$B$10*(D324-IF(Controls!$B$7="Normal",Controls!$B$8,(Controls!$B$8+Controls!$B$9)/2))+SQRT(1-Controls!$B$10^2)*(Random!X325-IF(Controls!$B$7="Normal",Controls!$B$8,(Controls!$B$8+Controls!$B$9)/2)))</f>
        <v/>
      </c>
      <c r="E325" s="10" t="str">
        <f>IF(Random!Y325="","",IF(Controls!$B$7="Normal",Controls!$B$8,(Controls!$B$8+Controls!$B$9)/2)+Controls!$B$10*(E324-IF(Controls!$B$7="Normal",Controls!$B$8,(Controls!$B$8+Controls!$B$9)/2))+SQRT(1-Controls!$B$10^2)*(Random!Y325-IF(Controls!$B$7="Normal",Controls!$B$8,(Controls!$B$8+Controls!$B$9)/2)))</f>
        <v/>
      </c>
      <c r="F325" s="10" t="str">
        <f>IF(Random!Z325="","",IF(Controls!$B$7="Normal",Controls!$B$8,(Controls!$B$8+Controls!$B$9)/2)+Controls!$B$10*(F324-IF(Controls!$B$7="Normal",Controls!$B$8,(Controls!$B$8+Controls!$B$9)/2))+SQRT(1-Controls!$B$10^2)*(Random!Z325-IF(Controls!$B$7="Normal",Controls!$B$8,(Controls!$B$8+Controls!$B$9)/2)))</f>
        <v/>
      </c>
      <c r="G325" s="10" t="str">
        <f>IF(Random!AA325="","",IF(Controls!$B$7="Normal",Controls!$B$8,(Controls!$B$8+Controls!$B$9)/2)+Controls!$B$10*(G324-IF(Controls!$B$7="Normal",Controls!$B$8,(Controls!$B$8+Controls!$B$9)/2))+SQRT(1-Controls!$B$10^2)*(Random!AA325-IF(Controls!$B$7="Normal",Controls!$B$8,(Controls!$B$8+Controls!$B$9)/2)))</f>
        <v/>
      </c>
      <c r="H325" s="10" t="str">
        <f>IF(Random!AB325="","",IF(Controls!$B$7="Normal",Controls!$B$8,(Controls!$B$8+Controls!$B$9)/2)+Controls!$B$10*(H324-IF(Controls!$B$7="Normal",Controls!$B$8,(Controls!$B$8+Controls!$B$9)/2))+SQRT(1-Controls!$B$10^2)*(Random!AB325-IF(Controls!$B$7="Normal",Controls!$B$8,(Controls!$B$8+Controls!$B$9)/2)))</f>
        <v/>
      </c>
      <c r="I325" s="10" t="str">
        <f>IF(Random!AC325="","",IF(Controls!$B$7="Normal",Controls!$B$8,(Controls!$B$8+Controls!$B$9)/2)+Controls!$B$10*(I324-IF(Controls!$B$7="Normal",Controls!$B$8,(Controls!$B$8+Controls!$B$9)/2))+SQRT(1-Controls!$B$10^2)*(Random!AC325-IF(Controls!$B$7="Normal",Controls!$B$8,(Controls!$B$8+Controls!$B$9)/2)))</f>
        <v/>
      </c>
      <c r="J325" s="10" t="str">
        <f>IF(Random!AD325="","",IF(Controls!$B$7="Normal",Controls!$B$8,(Controls!$B$8+Controls!$B$9)/2)+Controls!$B$10*(J324-IF(Controls!$B$7="Normal",Controls!$B$8,(Controls!$B$8+Controls!$B$9)/2))+SQRT(1-Controls!$B$10^2)*(Random!AD325-IF(Controls!$B$7="Normal",Controls!$B$8,(Controls!$B$8+Controls!$B$9)/2)))</f>
        <v/>
      </c>
      <c r="K325" s="10" t="str">
        <f>IF(Random!AE325="","",IF(Controls!$B$7="Normal",Controls!$B$8,(Controls!$B$8+Controls!$B$9)/2)+Controls!$B$10*(K324-IF(Controls!$B$7="Normal",Controls!$B$8,(Controls!$B$8+Controls!$B$9)/2))+SQRT(1-Controls!$B$10^2)*(Random!AE325-IF(Controls!$B$7="Normal",Controls!$B$8,(Controls!$B$8+Controls!$B$9)/2)))</f>
        <v/>
      </c>
      <c r="L325" s="10" t="str">
        <f>IF($A325="","",IF(AND($A325&gt;=Controls!$B$25,$A325&lt;Controls!$B$25+Controls!$C$25),(Controls!$D$25-1)*EXP(-0.5*(($A325-Controls!$B$25-(Controls!$C$25-1)/2)/MAX(Controls!$C$25/4,0.5))^2),0))</f>
        <v/>
      </c>
      <c r="M325" s="10" t="str">
        <f>IF($A325="","",IF(AND($A325&gt;=Controls!$B$26,$A325&lt;Controls!$B$26+Controls!$C$26),(Controls!$D$26-1)*EXP(-0.5*(($A325-Controls!$B$26-(Controls!$C$26-1)/2)/MAX(Controls!$C$26/4,0.5))^2),0))</f>
        <v/>
      </c>
      <c r="N325" s="10" t="str">
        <f>IF($A325="","",IF(AND($A325&gt;=Controls!$B$27,$A325&lt;Controls!$B$27+Controls!$C$27),(Controls!$D$27-1)*EXP(-0.5*(($A325-Controls!$B$27-(Controls!$C$27-1)/2)/MAX(Controls!$C$27/4,0.5))^2),0))</f>
        <v/>
      </c>
      <c r="O325" s="10" t="str">
        <f>IF($A325="","",IF(AND($A325&gt;=Controls!$B$28,$A325&lt;Controls!$B$28+Controls!$C$28),(Controls!$D$28-1)*EXP(-0.5*(($A325-Controls!$B$28-(Controls!$C$28-1)/2)/MAX(Controls!$C$28/4,0.5))^2),0))</f>
        <v/>
      </c>
      <c r="P325" s="4" t="str">
        <f t="shared" si="1"/>
        <v/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21.0" customHeight="1">
      <c r="A326" s="7" t="str">
        <f>IF(325&lt;=Controls!$B$5,Controls!$B$4+324,"")</f>
        <v/>
      </c>
      <c r="B326" s="10" t="str">
        <f>IF(Random!V326="","",IF(Controls!$B$7="Normal",Controls!$B$8,(Controls!$B$8+Controls!$B$9)/2)+Controls!$B$10*(B325-IF(Controls!$B$7="Normal",Controls!$B$8,(Controls!$B$8+Controls!$B$9)/2))+SQRT(1-Controls!$B$10^2)*(Random!V326-IF(Controls!$B$7="Normal",Controls!$B$8,(Controls!$B$8+Controls!$B$9)/2)))</f>
        <v/>
      </c>
      <c r="C326" s="10" t="str">
        <f>IF(Random!W326="","",IF(Controls!$B$7="Normal",Controls!$B$8,(Controls!$B$8+Controls!$B$9)/2)+Controls!$B$10*(C325-IF(Controls!$B$7="Normal",Controls!$B$8,(Controls!$B$8+Controls!$B$9)/2))+SQRT(1-Controls!$B$10^2)*(Random!W326-IF(Controls!$B$7="Normal",Controls!$B$8,(Controls!$B$8+Controls!$B$9)/2)))</f>
        <v/>
      </c>
      <c r="D326" s="10" t="str">
        <f>IF(Random!X326="","",IF(Controls!$B$7="Normal",Controls!$B$8,(Controls!$B$8+Controls!$B$9)/2)+Controls!$B$10*(D325-IF(Controls!$B$7="Normal",Controls!$B$8,(Controls!$B$8+Controls!$B$9)/2))+SQRT(1-Controls!$B$10^2)*(Random!X326-IF(Controls!$B$7="Normal",Controls!$B$8,(Controls!$B$8+Controls!$B$9)/2)))</f>
        <v/>
      </c>
      <c r="E326" s="10" t="str">
        <f>IF(Random!Y326="","",IF(Controls!$B$7="Normal",Controls!$B$8,(Controls!$B$8+Controls!$B$9)/2)+Controls!$B$10*(E325-IF(Controls!$B$7="Normal",Controls!$B$8,(Controls!$B$8+Controls!$B$9)/2))+SQRT(1-Controls!$B$10^2)*(Random!Y326-IF(Controls!$B$7="Normal",Controls!$B$8,(Controls!$B$8+Controls!$B$9)/2)))</f>
        <v/>
      </c>
      <c r="F326" s="10" t="str">
        <f>IF(Random!Z326="","",IF(Controls!$B$7="Normal",Controls!$B$8,(Controls!$B$8+Controls!$B$9)/2)+Controls!$B$10*(F325-IF(Controls!$B$7="Normal",Controls!$B$8,(Controls!$B$8+Controls!$B$9)/2))+SQRT(1-Controls!$B$10^2)*(Random!Z326-IF(Controls!$B$7="Normal",Controls!$B$8,(Controls!$B$8+Controls!$B$9)/2)))</f>
        <v/>
      </c>
      <c r="G326" s="10" t="str">
        <f>IF(Random!AA326="","",IF(Controls!$B$7="Normal",Controls!$B$8,(Controls!$B$8+Controls!$B$9)/2)+Controls!$B$10*(G325-IF(Controls!$B$7="Normal",Controls!$B$8,(Controls!$B$8+Controls!$B$9)/2))+SQRT(1-Controls!$B$10^2)*(Random!AA326-IF(Controls!$B$7="Normal",Controls!$B$8,(Controls!$B$8+Controls!$B$9)/2)))</f>
        <v/>
      </c>
      <c r="H326" s="10" t="str">
        <f>IF(Random!AB326="","",IF(Controls!$B$7="Normal",Controls!$B$8,(Controls!$B$8+Controls!$B$9)/2)+Controls!$B$10*(H325-IF(Controls!$B$7="Normal",Controls!$B$8,(Controls!$B$8+Controls!$B$9)/2))+SQRT(1-Controls!$B$10^2)*(Random!AB326-IF(Controls!$B$7="Normal",Controls!$B$8,(Controls!$B$8+Controls!$B$9)/2)))</f>
        <v/>
      </c>
      <c r="I326" s="10" t="str">
        <f>IF(Random!AC326="","",IF(Controls!$B$7="Normal",Controls!$B$8,(Controls!$B$8+Controls!$B$9)/2)+Controls!$B$10*(I325-IF(Controls!$B$7="Normal",Controls!$B$8,(Controls!$B$8+Controls!$B$9)/2))+SQRT(1-Controls!$B$10^2)*(Random!AC326-IF(Controls!$B$7="Normal",Controls!$B$8,(Controls!$B$8+Controls!$B$9)/2)))</f>
        <v/>
      </c>
      <c r="J326" s="10" t="str">
        <f>IF(Random!AD326="","",IF(Controls!$B$7="Normal",Controls!$B$8,(Controls!$B$8+Controls!$B$9)/2)+Controls!$B$10*(J325-IF(Controls!$B$7="Normal",Controls!$B$8,(Controls!$B$8+Controls!$B$9)/2))+SQRT(1-Controls!$B$10^2)*(Random!AD326-IF(Controls!$B$7="Normal",Controls!$B$8,(Controls!$B$8+Controls!$B$9)/2)))</f>
        <v/>
      </c>
      <c r="K326" s="10" t="str">
        <f>IF(Random!AE326="","",IF(Controls!$B$7="Normal",Controls!$B$8,(Controls!$B$8+Controls!$B$9)/2)+Controls!$B$10*(K325-IF(Controls!$B$7="Normal",Controls!$B$8,(Controls!$B$8+Controls!$B$9)/2))+SQRT(1-Controls!$B$10^2)*(Random!AE326-IF(Controls!$B$7="Normal",Controls!$B$8,(Controls!$B$8+Controls!$B$9)/2)))</f>
        <v/>
      </c>
      <c r="L326" s="10" t="str">
        <f>IF($A326="","",IF(AND($A326&gt;=Controls!$B$25,$A326&lt;Controls!$B$25+Controls!$C$25),(Controls!$D$25-1)*EXP(-0.5*(($A326-Controls!$B$25-(Controls!$C$25-1)/2)/MAX(Controls!$C$25/4,0.5))^2),0))</f>
        <v/>
      </c>
      <c r="M326" s="10" t="str">
        <f>IF($A326="","",IF(AND($A326&gt;=Controls!$B$26,$A326&lt;Controls!$B$26+Controls!$C$26),(Controls!$D$26-1)*EXP(-0.5*(($A326-Controls!$B$26-(Controls!$C$26-1)/2)/MAX(Controls!$C$26/4,0.5))^2),0))</f>
        <v/>
      </c>
      <c r="N326" s="10" t="str">
        <f>IF($A326="","",IF(AND($A326&gt;=Controls!$B$27,$A326&lt;Controls!$B$27+Controls!$C$27),(Controls!$D$27-1)*EXP(-0.5*(($A326-Controls!$B$27-(Controls!$C$27-1)/2)/MAX(Controls!$C$27/4,0.5))^2),0))</f>
        <v/>
      </c>
      <c r="O326" s="10" t="str">
        <f>IF($A326="","",IF(AND($A326&gt;=Controls!$B$28,$A326&lt;Controls!$B$28+Controls!$C$28),(Controls!$D$28-1)*EXP(-0.5*(($A326-Controls!$B$28-(Controls!$C$28-1)/2)/MAX(Controls!$C$28/4,0.5))^2),0))</f>
        <v/>
      </c>
      <c r="P326" s="4" t="str">
        <f t="shared" si="1"/>
        <v/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21.0" customHeight="1">
      <c r="A327" s="7" t="str">
        <f>IF(326&lt;=Controls!$B$5,Controls!$B$4+325,"")</f>
        <v/>
      </c>
      <c r="B327" s="10" t="str">
        <f>IF(Random!V327="","",IF(Controls!$B$7="Normal",Controls!$B$8,(Controls!$B$8+Controls!$B$9)/2)+Controls!$B$10*(B326-IF(Controls!$B$7="Normal",Controls!$B$8,(Controls!$B$8+Controls!$B$9)/2))+SQRT(1-Controls!$B$10^2)*(Random!V327-IF(Controls!$B$7="Normal",Controls!$B$8,(Controls!$B$8+Controls!$B$9)/2)))</f>
        <v/>
      </c>
      <c r="C327" s="10" t="str">
        <f>IF(Random!W327="","",IF(Controls!$B$7="Normal",Controls!$B$8,(Controls!$B$8+Controls!$B$9)/2)+Controls!$B$10*(C326-IF(Controls!$B$7="Normal",Controls!$B$8,(Controls!$B$8+Controls!$B$9)/2))+SQRT(1-Controls!$B$10^2)*(Random!W327-IF(Controls!$B$7="Normal",Controls!$B$8,(Controls!$B$8+Controls!$B$9)/2)))</f>
        <v/>
      </c>
      <c r="D327" s="10" t="str">
        <f>IF(Random!X327="","",IF(Controls!$B$7="Normal",Controls!$B$8,(Controls!$B$8+Controls!$B$9)/2)+Controls!$B$10*(D326-IF(Controls!$B$7="Normal",Controls!$B$8,(Controls!$B$8+Controls!$B$9)/2))+SQRT(1-Controls!$B$10^2)*(Random!X327-IF(Controls!$B$7="Normal",Controls!$B$8,(Controls!$B$8+Controls!$B$9)/2)))</f>
        <v/>
      </c>
      <c r="E327" s="10" t="str">
        <f>IF(Random!Y327="","",IF(Controls!$B$7="Normal",Controls!$B$8,(Controls!$B$8+Controls!$B$9)/2)+Controls!$B$10*(E326-IF(Controls!$B$7="Normal",Controls!$B$8,(Controls!$B$8+Controls!$B$9)/2))+SQRT(1-Controls!$B$10^2)*(Random!Y327-IF(Controls!$B$7="Normal",Controls!$B$8,(Controls!$B$8+Controls!$B$9)/2)))</f>
        <v/>
      </c>
      <c r="F327" s="10" t="str">
        <f>IF(Random!Z327="","",IF(Controls!$B$7="Normal",Controls!$B$8,(Controls!$B$8+Controls!$B$9)/2)+Controls!$B$10*(F326-IF(Controls!$B$7="Normal",Controls!$B$8,(Controls!$B$8+Controls!$B$9)/2))+SQRT(1-Controls!$B$10^2)*(Random!Z327-IF(Controls!$B$7="Normal",Controls!$B$8,(Controls!$B$8+Controls!$B$9)/2)))</f>
        <v/>
      </c>
      <c r="G327" s="10" t="str">
        <f>IF(Random!AA327="","",IF(Controls!$B$7="Normal",Controls!$B$8,(Controls!$B$8+Controls!$B$9)/2)+Controls!$B$10*(G326-IF(Controls!$B$7="Normal",Controls!$B$8,(Controls!$B$8+Controls!$B$9)/2))+SQRT(1-Controls!$B$10^2)*(Random!AA327-IF(Controls!$B$7="Normal",Controls!$B$8,(Controls!$B$8+Controls!$B$9)/2)))</f>
        <v/>
      </c>
      <c r="H327" s="10" t="str">
        <f>IF(Random!AB327="","",IF(Controls!$B$7="Normal",Controls!$B$8,(Controls!$B$8+Controls!$B$9)/2)+Controls!$B$10*(H326-IF(Controls!$B$7="Normal",Controls!$B$8,(Controls!$B$8+Controls!$B$9)/2))+SQRT(1-Controls!$B$10^2)*(Random!AB327-IF(Controls!$B$7="Normal",Controls!$B$8,(Controls!$B$8+Controls!$B$9)/2)))</f>
        <v/>
      </c>
      <c r="I327" s="10" t="str">
        <f>IF(Random!AC327="","",IF(Controls!$B$7="Normal",Controls!$B$8,(Controls!$B$8+Controls!$B$9)/2)+Controls!$B$10*(I326-IF(Controls!$B$7="Normal",Controls!$B$8,(Controls!$B$8+Controls!$B$9)/2))+SQRT(1-Controls!$B$10^2)*(Random!AC327-IF(Controls!$B$7="Normal",Controls!$B$8,(Controls!$B$8+Controls!$B$9)/2)))</f>
        <v/>
      </c>
      <c r="J327" s="10" t="str">
        <f>IF(Random!AD327="","",IF(Controls!$B$7="Normal",Controls!$B$8,(Controls!$B$8+Controls!$B$9)/2)+Controls!$B$10*(J326-IF(Controls!$B$7="Normal",Controls!$B$8,(Controls!$B$8+Controls!$B$9)/2))+SQRT(1-Controls!$B$10^2)*(Random!AD327-IF(Controls!$B$7="Normal",Controls!$B$8,(Controls!$B$8+Controls!$B$9)/2)))</f>
        <v/>
      </c>
      <c r="K327" s="10" t="str">
        <f>IF(Random!AE327="","",IF(Controls!$B$7="Normal",Controls!$B$8,(Controls!$B$8+Controls!$B$9)/2)+Controls!$B$10*(K326-IF(Controls!$B$7="Normal",Controls!$B$8,(Controls!$B$8+Controls!$B$9)/2))+SQRT(1-Controls!$B$10^2)*(Random!AE327-IF(Controls!$B$7="Normal",Controls!$B$8,(Controls!$B$8+Controls!$B$9)/2)))</f>
        <v/>
      </c>
      <c r="L327" s="10" t="str">
        <f>IF($A327="","",IF(AND($A327&gt;=Controls!$B$25,$A327&lt;Controls!$B$25+Controls!$C$25),(Controls!$D$25-1)*EXP(-0.5*(($A327-Controls!$B$25-(Controls!$C$25-1)/2)/MAX(Controls!$C$25/4,0.5))^2),0))</f>
        <v/>
      </c>
      <c r="M327" s="10" t="str">
        <f>IF($A327="","",IF(AND($A327&gt;=Controls!$B$26,$A327&lt;Controls!$B$26+Controls!$C$26),(Controls!$D$26-1)*EXP(-0.5*(($A327-Controls!$B$26-(Controls!$C$26-1)/2)/MAX(Controls!$C$26/4,0.5))^2),0))</f>
        <v/>
      </c>
      <c r="N327" s="10" t="str">
        <f>IF($A327="","",IF(AND($A327&gt;=Controls!$B$27,$A327&lt;Controls!$B$27+Controls!$C$27),(Controls!$D$27-1)*EXP(-0.5*(($A327-Controls!$B$27-(Controls!$C$27-1)/2)/MAX(Controls!$C$27/4,0.5))^2),0))</f>
        <v/>
      </c>
      <c r="O327" s="10" t="str">
        <f>IF($A327="","",IF(AND($A327&gt;=Controls!$B$28,$A327&lt;Controls!$B$28+Controls!$C$28),(Controls!$D$28-1)*EXP(-0.5*(($A327-Controls!$B$28-(Controls!$C$28-1)/2)/MAX(Controls!$C$28/4,0.5))^2),0))</f>
        <v/>
      </c>
      <c r="P327" s="4" t="str">
        <f t="shared" si="1"/>
        <v/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21.0" customHeight="1">
      <c r="A328" s="7" t="str">
        <f>IF(327&lt;=Controls!$B$5,Controls!$B$4+326,"")</f>
        <v/>
      </c>
      <c r="B328" s="10" t="str">
        <f>IF(Random!V328="","",IF(Controls!$B$7="Normal",Controls!$B$8,(Controls!$B$8+Controls!$B$9)/2)+Controls!$B$10*(B327-IF(Controls!$B$7="Normal",Controls!$B$8,(Controls!$B$8+Controls!$B$9)/2))+SQRT(1-Controls!$B$10^2)*(Random!V328-IF(Controls!$B$7="Normal",Controls!$B$8,(Controls!$B$8+Controls!$B$9)/2)))</f>
        <v/>
      </c>
      <c r="C328" s="10" t="str">
        <f>IF(Random!W328="","",IF(Controls!$B$7="Normal",Controls!$B$8,(Controls!$B$8+Controls!$B$9)/2)+Controls!$B$10*(C327-IF(Controls!$B$7="Normal",Controls!$B$8,(Controls!$B$8+Controls!$B$9)/2))+SQRT(1-Controls!$B$10^2)*(Random!W328-IF(Controls!$B$7="Normal",Controls!$B$8,(Controls!$B$8+Controls!$B$9)/2)))</f>
        <v/>
      </c>
      <c r="D328" s="10" t="str">
        <f>IF(Random!X328="","",IF(Controls!$B$7="Normal",Controls!$B$8,(Controls!$B$8+Controls!$B$9)/2)+Controls!$B$10*(D327-IF(Controls!$B$7="Normal",Controls!$B$8,(Controls!$B$8+Controls!$B$9)/2))+SQRT(1-Controls!$B$10^2)*(Random!X328-IF(Controls!$B$7="Normal",Controls!$B$8,(Controls!$B$8+Controls!$B$9)/2)))</f>
        <v/>
      </c>
      <c r="E328" s="10" t="str">
        <f>IF(Random!Y328="","",IF(Controls!$B$7="Normal",Controls!$B$8,(Controls!$B$8+Controls!$B$9)/2)+Controls!$B$10*(E327-IF(Controls!$B$7="Normal",Controls!$B$8,(Controls!$B$8+Controls!$B$9)/2))+SQRT(1-Controls!$B$10^2)*(Random!Y328-IF(Controls!$B$7="Normal",Controls!$B$8,(Controls!$B$8+Controls!$B$9)/2)))</f>
        <v/>
      </c>
      <c r="F328" s="10" t="str">
        <f>IF(Random!Z328="","",IF(Controls!$B$7="Normal",Controls!$B$8,(Controls!$B$8+Controls!$B$9)/2)+Controls!$B$10*(F327-IF(Controls!$B$7="Normal",Controls!$B$8,(Controls!$B$8+Controls!$B$9)/2))+SQRT(1-Controls!$B$10^2)*(Random!Z328-IF(Controls!$B$7="Normal",Controls!$B$8,(Controls!$B$8+Controls!$B$9)/2)))</f>
        <v/>
      </c>
      <c r="G328" s="10" t="str">
        <f>IF(Random!AA328="","",IF(Controls!$B$7="Normal",Controls!$B$8,(Controls!$B$8+Controls!$B$9)/2)+Controls!$B$10*(G327-IF(Controls!$B$7="Normal",Controls!$B$8,(Controls!$B$8+Controls!$B$9)/2))+SQRT(1-Controls!$B$10^2)*(Random!AA328-IF(Controls!$B$7="Normal",Controls!$B$8,(Controls!$B$8+Controls!$B$9)/2)))</f>
        <v/>
      </c>
      <c r="H328" s="10" t="str">
        <f>IF(Random!AB328="","",IF(Controls!$B$7="Normal",Controls!$B$8,(Controls!$B$8+Controls!$B$9)/2)+Controls!$B$10*(H327-IF(Controls!$B$7="Normal",Controls!$B$8,(Controls!$B$8+Controls!$B$9)/2))+SQRT(1-Controls!$B$10^2)*(Random!AB328-IF(Controls!$B$7="Normal",Controls!$B$8,(Controls!$B$8+Controls!$B$9)/2)))</f>
        <v/>
      </c>
      <c r="I328" s="10" t="str">
        <f>IF(Random!AC328="","",IF(Controls!$B$7="Normal",Controls!$B$8,(Controls!$B$8+Controls!$B$9)/2)+Controls!$B$10*(I327-IF(Controls!$B$7="Normal",Controls!$B$8,(Controls!$B$8+Controls!$B$9)/2))+SQRT(1-Controls!$B$10^2)*(Random!AC328-IF(Controls!$B$7="Normal",Controls!$B$8,(Controls!$B$8+Controls!$B$9)/2)))</f>
        <v/>
      </c>
      <c r="J328" s="10" t="str">
        <f>IF(Random!AD328="","",IF(Controls!$B$7="Normal",Controls!$B$8,(Controls!$B$8+Controls!$B$9)/2)+Controls!$B$10*(J327-IF(Controls!$B$7="Normal",Controls!$B$8,(Controls!$B$8+Controls!$B$9)/2))+SQRT(1-Controls!$B$10^2)*(Random!AD328-IF(Controls!$B$7="Normal",Controls!$B$8,(Controls!$B$8+Controls!$B$9)/2)))</f>
        <v/>
      </c>
      <c r="K328" s="10" t="str">
        <f>IF(Random!AE328="","",IF(Controls!$B$7="Normal",Controls!$B$8,(Controls!$B$8+Controls!$B$9)/2)+Controls!$B$10*(K327-IF(Controls!$B$7="Normal",Controls!$B$8,(Controls!$B$8+Controls!$B$9)/2))+SQRT(1-Controls!$B$10^2)*(Random!AE328-IF(Controls!$B$7="Normal",Controls!$B$8,(Controls!$B$8+Controls!$B$9)/2)))</f>
        <v/>
      </c>
      <c r="L328" s="10" t="str">
        <f>IF($A328="","",IF(AND($A328&gt;=Controls!$B$25,$A328&lt;Controls!$B$25+Controls!$C$25),(Controls!$D$25-1)*EXP(-0.5*(($A328-Controls!$B$25-(Controls!$C$25-1)/2)/MAX(Controls!$C$25/4,0.5))^2),0))</f>
        <v/>
      </c>
      <c r="M328" s="10" t="str">
        <f>IF($A328="","",IF(AND($A328&gt;=Controls!$B$26,$A328&lt;Controls!$B$26+Controls!$C$26),(Controls!$D$26-1)*EXP(-0.5*(($A328-Controls!$B$26-(Controls!$C$26-1)/2)/MAX(Controls!$C$26/4,0.5))^2),0))</f>
        <v/>
      </c>
      <c r="N328" s="10" t="str">
        <f>IF($A328="","",IF(AND($A328&gt;=Controls!$B$27,$A328&lt;Controls!$B$27+Controls!$C$27),(Controls!$D$27-1)*EXP(-0.5*(($A328-Controls!$B$27-(Controls!$C$27-1)/2)/MAX(Controls!$C$27/4,0.5))^2),0))</f>
        <v/>
      </c>
      <c r="O328" s="10" t="str">
        <f>IF($A328="","",IF(AND($A328&gt;=Controls!$B$28,$A328&lt;Controls!$B$28+Controls!$C$28),(Controls!$D$28-1)*EXP(-0.5*(($A328-Controls!$B$28-(Controls!$C$28-1)/2)/MAX(Controls!$C$28/4,0.5))^2),0))</f>
        <v/>
      </c>
      <c r="P328" s="4" t="str">
        <f t="shared" si="1"/>
        <v/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21.0" customHeight="1">
      <c r="A329" s="7" t="str">
        <f>IF(328&lt;=Controls!$B$5,Controls!$B$4+327,"")</f>
        <v/>
      </c>
      <c r="B329" s="10" t="str">
        <f>IF(Random!V329="","",IF(Controls!$B$7="Normal",Controls!$B$8,(Controls!$B$8+Controls!$B$9)/2)+Controls!$B$10*(B328-IF(Controls!$B$7="Normal",Controls!$B$8,(Controls!$B$8+Controls!$B$9)/2))+SQRT(1-Controls!$B$10^2)*(Random!V329-IF(Controls!$B$7="Normal",Controls!$B$8,(Controls!$B$8+Controls!$B$9)/2)))</f>
        <v/>
      </c>
      <c r="C329" s="10" t="str">
        <f>IF(Random!W329="","",IF(Controls!$B$7="Normal",Controls!$B$8,(Controls!$B$8+Controls!$B$9)/2)+Controls!$B$10*(C328-IF(Controls!$B$7="Normal",Controls!$B$8,(Controls!$B$8+Controls!$B$9)/2))+SQRT(1-Controls!$B$10^2)*(Random!W329-IF(Controls!$B$7="Normal",Controls!$B$8,(Controls!$B$8+Controls!$B$9)/2)))</f>
        <v/>
      </c>
      <c r="D329" s="10" t="str">
        <f>IF(Random!X329="","",IF(Controls!$B$7="Normal",Controls!$B$8,(Controls!$B$8+Controls!$B$9)/2)+Controls!$B$10*(D328-IF(Controls!$B$7="Normal",Controls!$B$8,(Controls!$B$8+Controls!$B$9)/2))+SQRT(1-Controls!$B$10^2)*(Random!X329-IF(Controls!$B$7="Normal",Controls!$B$8,(Controls!$B$8+Controls!$B$9)/2)))</f>
        <v/>
      </c>
      <c r="E329" s="10" t="str">
        <f>IF(Random!Y329="","",IF(Controls!$B$7="Normal",Controls!$B$8,(Controls!$B$8+Controls!$B$9)/2)+Controls!$B$10*(E328-IF(Controls!$B$7="Normal",Controls!$B$8,(Controls!$B$8+Controls!$B$9)/2))+SQRT(1-Controls!$B$10^2)*(Random!Y329-IF(Controls!$B$7="Normal",Controls!$B$8,(Controls!$B$8+Controls!$B$9)/2)))</f>
        <v/>
      </c>
      <c r="F329" s="10" t="str">
        <f>IF(Random!Z329="","",IF(Controls!$B$7="Normal",Controls!$B$8,(Controls!$B$8+Controls!$B$9)/2)+Controls!$B$10*(F328-IF(Controls!$B$7="Normal",Controls!$B$8,(Controls!$B$8+Controls!$B$9)/2))+SQRT(1-Controls!$B$10^2)*(Random!Z329-IF(Controls!$B$7="Normal",Controls!$B$8,(Controls!$B$8+Controls!$B$9)/2)))</f>
        <v/>
      </c>
      <c r="G329" s="10" t="str">
        <f>IF(Random!AA329="","",IF(Controls!$B$7="Normal",Controls!$B$8,(Controls!$B$8+Controls!$B$9)/2)+Controls!$B$10*(G328-IF(Controls!$B$7="Normal",Controls!$B$8,(Controls!$B$8+Controls!$B$9)/2))+SQRT(1-Controls!$B$10^2)*(Random!AA329-IF(Controls!$B$7="Normal",Controls!$B$8,(Controls!$B$8+Controls!$B$9)/2)))</f>
        <v/>
      </c>
      <c r="H329" s="10" t="str">
        <f>IF(Random!AB329="","",IF(Controls!$B$7="Normal",Controls!$B$8,(Controls!$B$8+Controls!$B$9)/2)+Controls!$B$10*(H328-IF(Controls!$B$7="Normal",Controls!$B$8,(Controls!$B$8+Controls!$B$9)/2))+SQRT(1-Controls!$B$10^2)*(Random!AB329-IF(Controls!$B$7="Normal",Controls!$B$8,(Controls!$B$8+Controls!$B$9)/2)))</f>
        <v/>
      </c>
      <c r="I329" s="10" t="str">
        <f>IF(Random!AC329="","",IF(Controls!$B$7="Normal",Controls!$B$8,(Controls!$B$8+Controls!$B$9)/2)+Controls!$B$10*(I328-IF(Controls!$B$7="Normal",Controls!$B$8,(Controls!$B$8+Controls!$B$9)/2))+SQRT(1-Controls!$B$10^2)*(Random!AC329-IF(Controls!$B$7="Normal",Controls!$B$8,(Controls!$B$8+Controls!$B$9)/2)))</f>
        <v/>
      </c>
      <c r="J329" s="10" t="str">
        <f>IF(Random!AD329="","",IF(Controls!$B$7="Normal",Controls!$B$8,(Controls!$B$8+Controls!$B$9)/2)+Controls!$B$10*(J328-IF(Controls!$B$7="Normal",Controls!$B$8,(Controls!$B$8+Controls!$B$9)/2))+SQRT(1-Controls!$B$10^2)*(Random!AD329-IF(Controls!$B$7="Normal",Controls!$B$8,(Controls!$B$8+Controls!$B$9)/2)))</f>
        <v/>
      </c>
      <c r="K329" s="10" t="str">
        <f>IF(Random!AE329="","",IF(Controls!$B$7="Normal",Controls!$B$8,(Controls!$B$8+Controls!$B$9)/2)+Controls!$B$10*(K328-IF(Controls!$B$7="Normal",Controls!$B$8,(Controls!$B$8+Controls!$B$9)/2))+SQRT(1-Controls!$B$10^2)*(Random!AE329-IF(Controls!$B$7="Normal",Controls!$B$8,(Controls!$B$8+Controls!$B$9)/2)))</f>
        <v/>
      </c>
      <c r="L329" s="10" t="str">
        <f>IF($A329="","",IF(AND($A329&gt;=Controls!$B$25,$A329&lt;Controls!$B$25+Controls!$C$25),(Controls!$D$25-1)*EXP(-0.5*(($A329-Controls!$B$25-(Controls!$C$25-1)/2)/MAX(Controls!$C$25/4,0.5))^2),0))</f>
        <v/>
      </c>
      <c r="M329" s="10" t="str">
        <f>IF($A329="","",IF(AND($A329&gt;=Controls!$B$26,$A329&lt;Controls!$B$26+Controls!$C$26),(Controls!$D$26-1)*EXP(-0.5*(($A329-Controls!$B$26-(Controls!$C$26-1)/2)/MAX(Controls!$C$26/4,0.5))^2),0))</f>
        <v/>
      </c>
      <c r="N329" s="10" t="str">
        <f>IF($A329="","",IF(AND($A329&gt;=Controls!$B$27,$A329&lt;Controls!$B$27+Controls!$C$27),(Controls!$D$27-1)*EXP(-0.5*(($A329-Controls!$B$27-(Controls!$C$27-1)/2)/MAX(Controls!$C$27/4,0.5))^2),0))</f>
        <v/>
      </c>
      <c r="O329" s="10" t="str">
        <f>IF($A329="","",IF(AND($A329&gt;=Controls!$B$28,$A329&lt;Controls!$B$28+Controls!$C$28),(Controls!$D$28-1)*EXP(-0.5*(($A329-Controls!$B$28-(Controls!$C$28-1)/2)/MAX(Controls!$C$28/4,0.5))^2),0))</f>
        <v/>
      </c>
      <c r="P329" s="4" t="str">
        <f t="shared" si="1"/>
        <v/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21.0" customHeight="1">
      <c r="A330" s="7" t="str">
        <f>IF(329&lt;=Controls!$B$5,Controls!$B$4+328,"")</f>
        <v/>
      </c>
      <c r="B330" s="10" t="str">
        <f>IF(Random!V330="","",IF(Controls!$B$7="Normal",Controls!$B$8,(Controls!$B$8+Controls!$B$9)/2)+Controls!$B$10*(B329-IF(Controls!$B$7="Normal",Controls!$B$8,(Controls!$B$8+Controls!$B$9)/2))+SQRT(1-Controls!$B$10^2)*(Random!V330-IF(Controls!$B$7="Normal",Controls!$B$8,(Controls!$B$8+Controls!$B$9)/2)))</f>
        <v/>
      </c>
      <c r="C330" s="10" t="str">
        <f>IF(Random!W330="","",IF(Controls!$B$7="Normal",Controls!$B$8,(Controls!$B$8+Controls!$B$9)/2)+Controls!$B$10*(C329-IF(Controls!$B$7="Normal",Controls!$B$8,(Controls!$B$8+Controls!$B$9)/2))+SQRT(1-Controls!$B$10^2)*(Random!W330-IF(Controls!$B$7="Normal",Controls!$B$8,(Controls!$B$8+Controls!$B$9)/2)))</f>
        <v/>
      </c>
      <c r="D330" s="10" t="str">
        <f>IF(Random!X330="","",IF(Controls!$B$7="Normal",Controls!$B$8,(Controls!$B$8+Controls!$B$9)/2)+Controls!$B$10*(D329-IF(Controls!$B$7="Normal",Controls!$B$8,(Controls!$B$8+Controls!$B$9)/2))+SQRT(1-Controls!$B$10^2)*(Random!X330-IF(Controls!$B$7="Normal",Controls!$B$8,(Controls!$B$8+Controls!$B$9)/2)))</f>
        <v/>
      </c>
      <c r="E330" s="10" t="str">
        <f>IF(Random!Y330="","",IF(Controls!$B$7="Normal",Controls!$B$8,(Controls!$B$8+Controls!$B$9)/2)+Controls!$B$10*(E329-IF(Controls!$B$7="Normal",Controls!$B$8,(Controls!$B$8+Controls!$B$9)/2))+SQRT(1-Controls!$B$10^2)*(Random!Y330-IF(Controls!$B$7="Normal",Controls!$B$8,(Controls!$B$8+Controls!$B$9)/2)))</f>
        <v/>
      </c>
      <c r="F330" s="10" t="str">
        <f>IF(Random!Z330="","",IF(Controls!$B$7="Normal",Controls!$B$8,(Controls!$B$8+Controls!$B$9)/2)+Controls!$B$10*(F329-IF(Controls!$B$7="Normal",Controls!$B$8,(Controls!$B$8+Controls!$B$9)/2))+SQRT(1-Controls!$B$10^2)*(Random!Z330-IF(Controls!$B$7="Normal",Controls!$B$8,(Controls!$B$8+Controls!$B$9)/2)))</f>
        <v/>
      </c>
      <c r="G330" s="10" t="str">
        <f>IF(Random!AA330="","",IF(Controls!$B$7="Normal",Controls!$B$8,(Controls!$B$8+Controls!$B$9)/2)+Controls!$B$10*(G329-IF(Controls!$B$7="Normal",Controls!$B$8,(Controls!$B$8+Controls!$B$9)/2))+SQRT(1-Controls!$B$10^2)*(Random!AA330-IF(Controls!$B$7="Normal",Controls!$B$8,(Controls!$B$8+Controls!$B$9)/2)))</f>
        <v/>
      </c>
      <c r="H330" s="10" t="str">
        <f>IF(Random!AB330="","",IF(Controls!$B$7="Normal",Controls!$B$8,(Controls!$B$8+Controls!$B$9)/2)+Controls!$B$10*(H329-IF(Controls!$B$7="Normal",Controls!$B$8,(Controls!$B$8+Controls!$B$9)/2))+SQRT(1-Controls!$B$10^2)*(Random!AB330-IF(Controls!$B$7="Normal",Controls!$B$8,(Controls!$B$8+Controls!$B$9)/2)))</f>
        <v/>
      </c>
      <c r="I330" s="10" t="str">
        <f>IF(Random!AC330="","",IF(Controls!$B$7="Normal",Controls!$B$8,(Controls!$B$8+Controls!$B$9)/2)+Controls!$B$10*(I329-IF(Controls!$B$7="Normal",Controls!$B$8,(Controls!$B$8+Controls!$B$9)/2))+SQRT(1-Controls!$B$10^2)*(Random!AC330-IF(Controls!$B$7="Normal",Controls!$B$8,(Controls!$B$8+Controls!$B$9)/2)))</f>
        <v/>
      </c>
      <c r="J330" s="10" t="str">
        <f>IF(Random!AD330="","",IF(Controls!$B$7="Normal",Controls!$B$8,(Controls!$B$8+Controls!$B$9)/2)+Controls!$B$10*(J329-IF(Controls!$B$7="Normal",Controls!$B$8,(Controls!$B$8+Controls!$B$9)/2))+SQRT(1-Controls!$B$10^2)*(Random!AD330-IF(Controls!$B$7="Normal",Controls!$B$8,(Controls!$B$8+Controls!$B$9)/2)))</f>
        <v/>
      </c>
      <c r="K330" s="10" t="str">
        <f>IF(Random!AE330="","",IF(Controls!$B$7="Normal",Controls!$B$8,(Controls!$B$8+Controls!$B$9)/2)+Controls!$B$10*(K329-IF(Controls!$B$7="Normal",Controls!$B$8,(Controls!$B$8+Controls!$B$9)/2))+SQRT(1-Controls!$B$10^2)*(Random!AE330-IF(Controls!$B$7="Normal",Controls!$B$8,(Controls!$B$8+Controls!$B$9)/2)))</f>
        <v/>
      </c>
      <c r="L330" s="10" t="str">
        <f>IF($A330="","",IF(AND($A330&gt;=Controls!$B$25,$A330&lt;Controls!$B$25+Controls!$C$25),(Controls!$D$25-1)*EXP(-0.5*(($A330-Controls!$B$25-(Controls!$C$25-1)/2)/MAX(Controls!$C$25/4,0.5))^2),0))</f>
        <v/>
      </c>
      <c r="M330" s="10" t="str">
        <f>IF($A330="","",IF(AND($A330&gt;=Controls!$B$26,$A330&lt;Controls!$B$26+Controls!$C$26),(Controls!$D$26-1)*EXP(-0.5*(($A330-Controls!$B$26-(Controls!$C$26-1)/2)/MAX(Controls!$C$26/4,0.5))^2),0))</f>
        <v/>
      </c>
      <c r="N330" s="10" t="str">
        <f>IF($A330="","",IF(AND($A330&gt;=Controls!$B$27,$A330&lt;Controls!$B$27+Controls!$C$27),(Controls!$D$27-1)*EXP(-0.5*(($A330-Controls!$B$27-(Controls!$C$27-1)/2)/MAX(Controls!$C$27/4,0.5))^2),0))</f>
        <v/>
      </c>
      <c r="O330" s="10" t="str">
        <f>IF($A330="","",IF(AND($A330&gt;=Controls!$B$28,$A330&lt;Controls!$B$28+Controls!$C$28),(Controls!$D$28-1)*EXP(-0.5*(($A330-Controls!$B$28-(Controls!$C$28-1)/2)/MAX(Controls!$C$28/4,0.5))^2),0))</f>
        <v/>
      </c>
      <c r="P330" s="4" t="str">
        <f t="shared" si="1"/>
        <v/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21.0" customHeight="1">
      <c r="A331" s="7" t="str">
        <f>IF(330&lt;=Controls!$B$5,Controls!$B$4+329,"")</f>
        <v/>
      </c>
      <c r="B331" s="10" t="str">
        <f>IF(Random!V331="","",IF(Controls!$B$7="Normal",Controls!$B$8,(Controls!$B$8+Controls!$B$9)/2)+Controls!$B$10*(B330-IF(Controls!$B$7="Normal",Controls!$B$8,(Controls!$B$8+Controls!$B$9)/2))+SQRT(1-Controls!$B$10^2)*(Random!V331-IF(Controls!$B$7="Normal",Controls!$B$8,(Controls!$B$8+Controls!$B$9)/2)))</f>
        <v/>
      </c>
      <c r="C331" s="10" t="str">
        <f>IF(Random!W331="","",IF(Controls!$B$7="Normal",Controls!$B$8,(Controls!$B$8+Controls!$B$9)/2)+Controls!$B$10*(C330-IF(Controls!$B$7="Normal",Controls!$B$8,(Controls!$B$8+Controls!$B$9)/2))+SQRT(1-Controls!$B$10^2)*(Random!W331-IF(Controls!$B$7="Normal",Controls!$B$8,(Controls!$B$8+Controls!$B$9)/2)))</f>
        <v/>
      </c>
      <c r="D331" s="10" t="str">
        <f>IF(Random!X331="","",IF(Controls!$B$7="Normal",Controls!$B$8,(Controls!$B$8+Controls!$B$9)/2)+Controls!$B$10*(D330-IF(Controls!$B$7="Normal",Controls!$B$8,(Controls!$B$8+Controls!$B$9)/2))+SQRT(1-Controls!$B$10^2)*(Random!X331-IF(Controls!$B$7="Normal",Controls!$B$8,(Controls!$B$8+Controls!$B$9)/2)))</f>
        <v/>
      </c>
      <c r="E331" s="10" t="str">
        <f>IF(Random!Y331="","",IF(Controls!$B$7="Normal",Controls!$B$8,(Controls!$B$8+Controls!$B$9)/2)+Controls!$B$10*(E330-IF(Controls!$B$7="Normal",Controls!$B$8,(Controls!$B$8+Controls!$B$9)/2))+SQRT(1-Controls!$B$10^2)*(Random!Y331-IF(Controls!$B$7="Normal",Controls!$B$8,(Controls!$B$8+Controls!$B$9)/2)))</f>
        <v/>
      </c>
      <c r="F331" s="10" t="str">
        <f>IF(Random!Z331="","",IF(Controls!$B$7="Normal",Controls!$B$8,(Controls!$B$8+Controls!$B$9)/2)+Controls!$B$10*(F330-IF(Controls!$B$7="Normal",Controls!$B$8,(Controls!$B$8+Controls!$B$9)/2))+SQRT(1-Controls!$B$10^2)*(Random!Z331-IF(Controls!$B$7="Normal",Controls!$B$8,(Controls!$B$8+Controls!$B$9)/2)))</f>
        <v/>
      </c>
      <c r="G331" s="10" t="str">
        <f>IF(Random!AA331="","",IF(Controls!$B$7="Normal",Controls!$B$8,(Controls!$B$8+Controls!$B$9)/2)+Controls!$B$10*(G330-IF(Controls!$B$7="Normal",Controls!$B$8,(Controls!$B$8+Controls!$B$9)/2))+SQRT(1-Controls!$B$10^2)*(Random!AA331-IF(Controls!$B$7="Normal",Controls!$B$8,(Controls!$B$8+Controls!$B$9)/2)))</f>
        <v/>
      </c>
      <c r="H331" s="10" t="str">
        <f>IF(Random!AB331="","",IF(Controls!$B$7="Normal",Controls!$B$8,(Controls!$B$8+Controls!$B$9)/2)+Controls!$B$10*(H330-IF(Controls!$B$7="Normal",Controls!$B$8,(Controls!$B$8+Controls!$B$9)/2))+SQRT(1-Controls!$B$10^2)*(Random!AB331-IF(Controls!$B$7="Normal",Controls!$B$8,(Controls!$B$8+Controls!$B$9)/2)))</f>
        <v/>
      </c>
      <c r="I331" s="10" t="str">
        <f>IF(Random!AC331="","",IF(Controls!$B$7="Normal",Controls!$B$8,(Controls!$B$8+Controls!$B$9)/2)+Controls!$B$10*(I330-IF(Controls!$B$7="Normal",Controls!$B$8,(Controls!$B$8+Controls!$B$9)/2))+SQRT(1-Controls!$B$10^2)*(Random!AC331-IF(Controls!$B$7="Normal",Controls!$B$8,(Controls!$B$8+Controls!$B$9)/2)))</f>
        <v/>
      </c>
      <c r="J331" s="10" t="str">
        <f>IF(Random!AD331="","",IF(Controls!$B$7="Normal",Controls!$B$8,(Controls!$B$8+Controls!$B$9)/2)+Controls!$B$10*(J330-IF(Controls!$B$7="Normal",Controls!$B$8,(Controls!$B$8+Controls!$B$9)/2))+SQRT(1-Controls!$B$10^2)*(Random!AD331-IF(Controls!$B$7="Normal",Controls!$B$8,(Controls!$B$8+Controls!$B$9)/2)))</f>
        <v/>
      </c>
      <c r="K331" s="10" t="str">
        <f>IF(Random!AE331="","",IF(Controls!$B$7="Normal",Controls!$B$8,(Controls!$B$8+Controls!$B$9)/2)+Controls!$B$10*(K330-IF(Controls!$B$7="Normal",Controls!$B$8,(Controls!$B$8+Controls!$B$9)/2))+SQRT(1-Controls!$B$10^2)*(Random!AE331-IF(Controls!$B$7="Normal",Controls!$B$8,(Controls!$B$8+Controls!$B$9)/2)))</f>
        <v/>
      </c>
      <c r="L331" s="10" t="str">
        <f>IF($A331="","",IF(AND($A331&gt;=Controls!$B$25,$A331&lt;Controls!$B$25+Controls!$C$25),(Controls!$D$25-1)*EXP(-0.5*(($A331-Controls!$B$25-(Controls!$C$25-1)/2)/MAX(Controls!$C$25/4,0.5))^2),0))</f>
        <v/>
      </c>
      <c r="M331" s="10" t="str">
        <f>IF($A331="","",IF(AND($A331&gt;=Controls!$B$26,$A331&lt;Controls!$B$26+Controls!$C$26),(Controls!$D$26-1)*EXP(-0.5*(($A331-Controls!$B$26-(Controls!$C$26-1)/2)/MAX(Controls!$C$26/4,0.5))^2),0))</f>
        <v/>
      </c>
      <c r="N331" s="10" t="str">
        <f>IF($A331="","",IF(AND($A331&gt;=Controls!$B$27,$A331&lt;Controls!$B$27+Controls!$C$27),(Controls!$D$27-1)*EXP(-0.5*(($A331-Controls!$B$27-(Controls!$C$27-1)/2)/MAX(Controls!$C$27/4,0.5))^2),0))</f>
        <v/>
      </c>
      <c r="O331" s="10" t="str">
        <f>IF($A331="","",IF(AND($A331&gt;=Controls!$B$28,$A331&lt;Controls!$B$28+Controls!$C$28),(Controls!$D$28-1)*EXP(-0.5*(($A331-Controls!$B$28-(Controls!$C$28-1)/2)/MAX(Controls!$C$28/4,0.5))^2),0))</f>
        <v/>
      </c>
      <c r="P331" s="4" t="str">
        <f t="shared" si="1"/>
        <v/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21.0" customHeight="1">
      <c r="A332" s="7" t="str">
        <f>IF(331&lt;=Controls!$B$5,Controls!$B$4+330,"")</f>
        <v/>
      </c>
      <c r="B332" s="10" t="str">
        <f>IF(Random!V332="","",IF(Controls!$B$7="Normal",Controls!$B$8,(Controls!$B$8+Controls!$B$9)/2)+Controls!$B$10*(B331-IF(Controls!$B$7="Normal",Controls!$B$8,(Controls!$B$8+Controls!$B$9)/2))+SQRT(1-Controls!$B$10^2)*(Random!V332-IF(Controls!$B$7="Normal",Controls!$B$8,(Controls!$B$8+Controls!$B$9)/2)))</f>
        <v/>
      </c>
      <c r="C332" s="10" t="str">
        <f>IF(Random!W332="","",IF(Controls!$B$7="Normal",Controls!$B$8,(Controls!$B$8+Controls!$B$9)/2)+Controls!$B$10*(C331-IF(Controls!$B$7="Normal",Controls!$B$8,(Controls!$B$8+Controls!$B$9)/2))+SQRT(1-Controls!$B$10^2)*(Random!W332-IF(Controls!$B$7="Normal",Controls!$B$8,(Controls!$B$8+Controls!$B$9)/2)))</f>
        <v/>
      </c>
      <c r="D332" s="10" t="str">
        <f>IF(Random!X332="","",IF(Controls!$B$7="Normal",Controls!$B$8,(Controls!$B$8+Controls!$B$9)/2)+Controls!$B$10*(D331-IF(Controls!$B$7="Normal",Controls!$B$8,(Controls!$B$8+Controls!$B$9)/2))+SQRT(1-Controls!$B$10^2)*(Random!X332-IF(Controls!$B$7="Normal",Controls!$B$8,(Controls!$B$8+Controls!$B$9)/2)))</f>
        <v/>
      </c>
      <c r="E332" s="10" t="str">
        <f>IF(Random!Y332="","",IF(Controls!$B$7="Normal",Controls!$B$8,(Controls!$B$8+Controls!$B$9)/2)+Controls!$B$10*(E331-IF(Controls!$B$7="Normal",Controls!$B$8,(Controls!$B$8+Controls!$B$9)/2))+SQRT(1-Controls!$B$10^2)*(Random!Y332-IF(Controls!$B$7="Normal",Controls!$B$8,(Controls!$B$8+Controls!$B$9)/2)))</f>
        <v/>
      </c>
      <c r="F332" s="10" t="str">
        <f>IF(Random!Z332="","",IF(Controls!$B$7="Normal",Controls!$B$8,(Controls!$B$8+Controls!$B$9)/2)+Controls!$B$10*(F331-IF(Controls!$B$7="Normal",Controls!$B$8,(Controls!$B$8+Controls!$B$9)/2))+SQRT(1-Controls!$B$10^2)*(Random!Z332-IF(Controls!$B$7="Normal",Controls!$B$8,(Controls!$B$8+Controls!$B$9)/2)))</f>
        <v/>
      </c>
      <c r="G332" s="10" t="str">
        <f>IF(Random!AA332="","",IF(Controls!$B$7="Normal",Controls!$B$8,(Controls!$B$8+Controls!$B$9)/2)+Controls!$B$10*(G331-IF(Controls!$B$7="Normal",Controls!$B$8,(Controls!$B$8+Controls!$B$9)/2))+SQRT(1-Controls!$B$10^2)*(Random!AA332-IF(Controls!$B$7="Normal",Controls!$B$8,(Controls!$B$8+Controls!$B$9)/2)))</f>
        <v/>
      </c>
      <c r="H332" s="10" t="str">
        <f>IF(Random!AB332="","",IF(Controls!$B$7="Normal",Controls!$B$8,(Controls!$B$8+Controls!$B$9)/2)+Controls!$B$10*(H331-IF(Controls!$B$7="Normal",Controls!$B$8,(Controls!$B$8+Controls!$B$9)/2))+SQRT(1-Controls!$B$10^2)*(Random!AB332-IF(Controls!$B$7="Normal",Controls!$B$8,(Controls!$B$8+Controls!$B$9)/2)))</f>
        <v/>
      </c>
      <c r="I332" s="10" t="str">
        <f>IF(Random!AC332="","",IF(Controls!$B$7="Normal",Controls!$B$8,(Controls!$B$8+Controls!$B$9)/2)+Controls!$B$10*(I331-IF(Controls!$B$7="Normal",Controls!$B$8,(Controls!$B$8+Controls!$B$9)/2))+SQRT(1-Controls!$B$10^2)*(Random!AC332-IF(Controls!$B$7="Normal",Controls!$B$8,(Controls!$B$8+Controls!$B$9)/2)))</f>
        <v/>
      </c>
      <c r="J332" s="10" t="str">
        <f>IF(Random!AD332="","",IF(Controls!$B$7="Normal",Controls!$B$8,(Controls!$B$8+Controls!$B$9)/2)+Controls!$B$10*(J331-IF(Controls!$B$7="Normal",Controls!$B$8,(Controls!$B$8+Controls!$B$9)/2))+SQRT(1-Controls!$B$10^2)*(Random!AD332-IF(Controls!$B$7="Normal",Controls!$B$8,(Controls!$B$8+Controls!$B$9)/2)))</f>
        <v/>
      </c>
      <c r="K332" s="10" t="str">
        <f>IF(Random!AE332="","",IF(Controls!$B$7="Normal",Controls!$B$8,(Controls!$B$8+Controls!$B$9)/2)+Controls!$B$10*(K331-IF(Controls!$B$7="Normal",Controls!$B$8,(Controls!$B$8+Controls!$B$9)/2))+SQRT(1-Controls!$B$10^2)*(Random!AE332-IF(Controls!$B$7="Normal",Controls!$B$8,(Controls!$B$8+Controls!$B$9)/2)))</f>
        <v/>
      </c>
      <c r="L332" s="10" t="str">
        <f>IF($A332="","",IF(AND($A332&gt;=Controls!$B$25,$A332&lt;Controls!$B$25+Controls!$C$25),(Controls!$D$25-1)*EXP(-0.5*(($A332-Controls!$B$25-(Controls!$C$25-1)/2)/MAX(Controls!$C$25/4,0.5))^2),0))</f>
        <v/>
      </c>
      <c r="M332" s="10" t="str">
        <f>IF($A332="","",IF(AND($A332&gt;=Controls!$B$26,$A332&lt;Controls!$B$26+Controls!$C$26),(Controls!$D$26-1)*EXP(-0.5*(($A332-Controls!$B$26-(Controls!$C$26-1)/2)/MAX(Controls!$C$26/4,0.5))^2),0))</f>
        <v/>
      </c>
      <c r="N332" s="10" t="str">
        <f>IF($A332="","",IF(AND($A332&gt;=Controls!$B$27,$A332&lt;Controls!$B$27+Controls!$C$27),(Controls!$D$27-1)*EXP(-0.5*(($A332-Controls!$B$27-(Controls!$C$27-1)/2)/MAX(Controls!$C$27/4,0.5))^2),0))</f>
        <v/>
      </c>
      <c r="O332" s="10" t="str">
        <f>IF($A332="","",IF(AND($A332&gt;=Controls!$B$28,$A332&lt;Controls!$B$28+Controls!$C$28),(Controls!$D$28-1)*EXP(-0.5*(($A332-Controls!$B$28-(Controls!$C$28-1)/2)/MAX(Controls!$C$28/4,0.5))^2),0))</f>
        <v/>
      </c>
      <c r="P332" s="4" t="str">
        <f t="shared" si="1"/>
        <v/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21.0" customHeight="1">
      <c r="A333" s="7" t="str">
        <f>IF(332&lt;=Controls!$B$5,Controls!$B$4+331,"")</f>
        <v/>
      </c>
      <c r="B333" s="10" t="str">
        <f>IF(Random!V333="","",IF(Controls!$B$7="Normal",Controls!$B$8,(Controls!$B$8+Controls!$B$9)/2)+Controls!$B$10*(B332-IF(Controls!$B$7="Normal",Controls!$B$8,(Controls!$B$8+Controls!$B$9)/2))+SQRT(1-Controls!$B$10^2)*(Random!V333-IF(Controls!$B$7="Normal",Controls!$B$8,(Controls!$B$8+Controls!$B$9)/2)))</f>
        <v/>
      </c>
      <c r="C333" s="10" t="str">
        <f>IF(Random!W333="","",IF(Controls!$B$7="Normal",Controls!$B$8,(Controls!$B$8+Controls!$B$9)/2)+Controls!$B$10*(C332-IF(Controls!$B$7="Normal",Controls!$B$8,(Controls!$B$8+Controls!$B$9)/2))+SQRT(1-Controls!$B$10^2)*(Random!W333-IF(Controls!$B$7="Normal",Controls!$B$8,(Controls!$B$8+Controls!$B$9)/2)))</f>
        <v/>
      </c>
      <c r="D333" s="10" t="str">
        <f>IF(Random!X333="","",IF(Controls!$B$7="Normal",Controls!$B$8,(Controls!$B$8+Controls!$B$9)/2)+Controls!$B$10*(D332-IF(Controls!$B$7="Normal",Controls!$B$8,(Controls!$B$8+Controls!$B$9)/2))+SQRT(1-Controls!$B$10^2)*(Random!X333-IF(Controls!$B$7="Normal",Controls!$B$8,(Controls!$B$8+Controls!$B$9)/2)))</f>
        <v/>
      </c>
      <c r="E333" s="10" t="str">
        <f>IF(Random!Y333="","",IF(Controls!$B$7="Normal",Controls!$B$8,(Controls!$B$8+Controls!$B$9)/2)+Controls!$B$10*(E332-IF(Controls!$B$7="Normal",Controls!$B$8,(Controls!$B$8+Controls!$B$9)/2))+SQRT(1-Controls!$B$10^2)*(Random!Y333-IF(Controls!$B$7="Normal",Controls!$B$8,(Controls!$B$8+Controls!$B$9)/2)))</f>
        <v/>
      </c>
      <c r="F333" s="10" t="str">
        <f>IF(Random!Z333="","",IF(Controls!$B$7="Normal",Controls!$B$8,(Controls!$B$8+Controls!$B$9)/2)+Controls!$B$10*(F332-IF(Controls!$B$7="Normal",Controls!$B$8,(Controls!$B$8+Controls!$B$9)/2))+SQRT(1-Controls!$B$10^2)*(Random!Z333-IF(Controls!$B$7="Normal",Controls!$B$8,(Controls!$B$8+Controls!$B$9)/2)))</f>
        <v/>
      </c>
      <c r="G333" s="10" t="str">
        <f>IF(Random!AA333="","",IF(Controls!$B$7="Normal",Controls!$B$8,(Controls!$B$8+Controls!$B$9)/2)+Controls!$B$10*(G332-IF(Controls!$B$7="Normal",Controls!$B$8,(Controls!$B$8+Controls!$B$9)/2))+SQRT(1-Controls!$B$10^2)*(Random!AA333-IF(Controls!$B$7="Normal",Controls!$B$8,(Controls!$B$8+Controls!$B$9)/2)))</f>
        <v/>
      </c>
      <c r="H333" s="10" t="str">
        <f>IF(Random!AB333="","",IF(Controls!$B$7="Normal",Controls!$B$8,(Controls!$B$8+Controls!$B$9)/2)+Controls!$B$10*(H332-IF(Controls!$B$7="Normal",Controls!$B$8,(Controls!$B$8+Controls!$B$9)/2))+SQRT(1-Controls!$B$10^2)*(Random!AB333-IF(Controls!$B$7="Normal",Controls!$B$8,(Controls!$B$8+Controls!$B$9)/2)))</f>
        <v/>
      </c>
      <c r="I333" s="10" t="str">
        <f>IF(Random!AC333="","",IF(Controls!$B$7="Normal",Controls!$B$8,(Controls!$B$8+Controls!$B$9)/2)+Controls!$B$10*(I332-IF(Controls!$B$7="Normal",Controls!$B$8,(Controls!$B$8+Controls!$B$9)/2))+SQRT(1-Controls!$B$10^2)*(Random!AC333-IF(Controls!$B$7="Normal",Controls!$B$8,(Controls!$B$8+Controls!$B$9)/2)))</f>
        <v/>
      </c>
      <c r="J333" s="10" t="str">
        <f>IF(Random!AD333="","",IF(Controls!$B$7="Normal",Controls!$B$8,(Controls!$B$8+Controls!$B$9)/2)+Controls!$B$10*(J332-IF(Controls!$B$7="Normal",Controls!$B$8,(Controls!$B$8+Controls!$B$9)/2))+SQRT(1-Controls!$B$10^2)*(Random!AD333-IF(Controls!$B$7="Normal",Controls!$B$8,(Controls!$B$8+Controls!$B$9)/2)))</f>
        <v/>
      </c>
      <c r="K333" s="10" t="str">
        <f>IF(Random!AE333="","",IF(Controls!$B$7="Normal",Controls!$B$8,(Controls!$B$8+Controls!$B$9)/2)+Controls!$B$10*(K332-IF(Controls!$B$7="Normal",Controls!$B$8,(Controls!$B$8+Controls!$B$9)/2))+SQRT(1-Controls!$B$10^2)*(Random!AE333-IF(Controls!$B$7="Normal",Controls!$B$8,(Controls!$B$8+Controls!$B$9)/2)))</f>
        <v/>
      </c>
      <c r="L333" s="10" t="str">
        <f>IF($A333="","",IF(AND($A333&gt;=Controls!$B$25,$A333&lt;Controls!$B$25+Controls!$C$25),(Controls!$D$25-1)*EXP(-0.5*(($A333-Controls!$B$25-(Controls!$C$25-1)/2)/MAX(Controls!$C$25/4,0.5))^2),0))</f>
        <v/>
      </c>
      <c r="M333" s="10" t="str">
        <f>IF($A333="","",IF(AND($A333&gt;=Controls!$B$26,$A333&lt;Controls!$B$26+Controls!$C$26),(Controls!$D$26-1)*EXP(-0.5*(($A333-Controls!$B$26-(Controls!$C$26-1)/2)/MAX(Controls!$C$26/4,0.5))^2),0))</f>
        <v/>
      </c>
      <c r="N333" s="10" t="str">
        <f>IF($A333="","",IF(AND($A333&gt;=Controls!$B$27,$A333&lt;Controls!$B$27+Controls!$C$27),(Controls!$D$27-1)*EXP(-0.5*(($A333-Controls!$B$27-(Controls!$C$27-1)/2)/MAX(Controls!$C$27/4,0.5))^2),0))</f>
        <v/>
      </c>
      <c r="O333" s="10" t="str">
        <f>IF($A333="","",IF(AND($A333&gt;=Controls!$B$28,$A333&lt;Controls!$B$28+Controls!$C$28),(Controls!$D$28-1)*EXP(-0.5*(($A333-Controls!$B$28-(Controls!$C$28-1)/2)/MAX(Controls!$C$28/4,0.5))^2),0))</f>
        <v/>
      </c>
      <c r="P333" s="4" t="str">
        <f t="shared" si="1"/>
        <v/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21.0" customHeight="1">
      <c r="A334" s="7" t="str">
        <f>IF(333&lt;=Controls!$B$5,Controls!$B$4+332,"")</f>
        <v/>
      </c>
      <c r="B334" s="10" t="str">
        <f>IF(Random!V334="","",IF(Controls!$B$7="Normal",Controls!$B$8,(Controls!$B$8+Controls!$B$9)/2)+Controls!$B$10*(B333-IF(Controls!$B$7="Normal",Controls!$B$8,(Controls!$B$8+Controls!$B$9)/2))+SQRT(1-Controls!$B$10^2)*(Random!V334-IF(Controls!$B$7="Normal",Controls!$B$8,(Controls!$B$8+Controls!$B$9)/2)))</f>
        <v/>
      </c>
      <c r="C334" s="10" t="str">
        <f>IF(Random!W334="","",IF(Controls!$B$7="Normal",Controls!$B$8,(Controls!$B$8+Controls!$B$9)/2)+Controls!$B$10*(C333-IF(Controls!$B$7="Normal",Controls!$B$8,(Controls!$B$8+Controls!$B$9)/2))+SQRT(1-Controls!$B$10^2)*(Random!W334-IF(Controls!$B$7="Normal",Controls!$B$8,(Controls!$B$8+Controls!$B$9)/2)))</f>
        <v/>
      </c>
      <c r="D334" s="10" t="str">
        <f>IF(Random!X334="","",IF(Controls!$B$7="Normal",Controls!$B$8,(Controls!$B$8+Controls!$B$9)/2)+Controls!$B$10*(D333-IF(Controls!$B$7="Normal",Controls!$B$8,(Controls!$B$8+Controls!$B$9)/2))+SQRT(1-Controls!$B$10^2)*(Random!X334-IF(Controls!$B$7="Normal",Controls!$B$8,(Controls!$B$8+Controls!$B$9)/2)))</f>
        <v/>
      </c>
      <c r="E334" s="10" t="str">
        <f>IF(Random!Y334="","",IF(Controls!$B$7="Normal",Controls!$B$8,(Controls!$B$8+Controls!$B$9)/2)+Controls!$B$10*(E333-IF(Controls!$B$7="Normal",Controls!$B$8,(Controls!$B$8+Controls!$B$9)/2))+SQRT(1-Controls!$B$10^2)*(Random!Y334-IF(Controls!$B$7="Normal",Controls!$B$8,(Controls!$B$8+Controls!$B$9)/2)))</f>
        <v/>
      </c>
      <c r="F334" s="10" t="str">
        <f>IF(Random!Z334="","",IF(Controls!$B$7="Normal",Controls!$B$8,(Controls!$B$8+Controls!$B$9)/2)+Controls!$B$10*(F333-IF(Controls!$B$7="Normal",Controls!$B$8,(Controls!$B$8+Controls!$B$9)/2))+SQRT(1-Controls!$B$10^2)*(Random!Z334-IF(Controls!$B$7="Normal",Controls!$B$8,(Controls!$B$8+Controls!$B$9)/2)))</f>
        <v/>
      </c>
      <c r="G334" s="10" t="str">
        <f>IF(Random!AA334="","",IF(Controls!$B$7="Normal",Controls!$B$8,(Controls!$B$8+Controls!$B$9)/2)+Controls!$B$10*(G333-IF(Controls!$B$7="Normal",Controls!$B$8,(Controls!$B$8+Controls!$B$9)/2))+SQRT(1-Controls!$B$10^2)*(Random!AA334-IF(Controls!$B$7="Normal",Controls!$B$8,(Controls!$B$8+Controls!$B$9)/2)))</f>
        <v/>
      </c>
      <c r="H334" s="10" t="str">
        <f>IF(Random!AB334="","",IF(Controls!$B$7="Normal",Controls!$B$8,(Controls!$B$8+Controls!$B$9)/2)+Controls!$B$10*(H333-IF(Controls!$B$7="Normal",Controls!$B$8,(Controls!$B$8+Controls!$B$9)/2))+SQRT(1-Controls!$B$10^2)*(Random!AB334-IF(Controls!$B$7="Normal",Controls!$B$8,(Controls!$B$8+Controls!$B$9)/2)))</f>
        <v/>
      </c>
      <c r="I334" s="10" t="str">
        <f>IF(Random!AC334="","",IF(Controls!$B$7="Normal",Controls!$B$8,(Controls!$B$8+Controls!$B$9)/2)+Controls!$B$10*(I333-IF(Controls!$B$7="Normal",Controls!$B$8,(Controls!$B$8+Controls!$B$9)/2))+SQRT(1-Controls!$B$10^2)*(Random!AC334-IF(Controls!$B$7="Normal",Controls!$B$8,(Controls!$B$8+Controls!$B$9)/2)))</f>
        <v/>
      </c>
      <c r="J334" s="10" t="str">
        <f>IF(Random!AD334="","",IF(Controls!$B$7="Normal",Controls!$B$8,(Controls!$B$8+Controls!$B$9)/2)+Controls!$B$10*(J333-IF(Controls!$B$7="Normal",Controls!$B$8,(Controls!$B$8+Controls!$B$9)/2))+SQRT(1-Controls!$B$10^2)*(Random!AD334-IF(Controls!$B$7="Normal",Controls!$B$8,(Controls!$B$8+Controls!$B$9)/2)))</f>
        <v/>
      </c>
      <c r="K334" s="10" t="str">
        <f>IF(Random!AE334="","",IF(Controls!$B$7="Normal",Controls!$B$8,(Controls!$B$8+Controls!$B$9)/2)+Controls!$B$10*(K333-IF(Controls!$B$7="Normal",Controls!$B$8,(Controls!$B$8+Controls!$B$9)/2))+SQRT(1-Controls!$B$10^2)*(Random!AE334-IF(Controls!$B$7="Normal",Controls!$B$8,(Controls!$B$8+Controls!$B$9)/2)))</f>
        <v/>
      </c>
      <c r="L334" s="10" t="str">
        <f>IF($A334="","",IF(AND($A334&gt;=Controls!$B$25,$A334&lt;Controls!$B$25+Controls!$C$25),(Controls!$D$25-1)*EXP(-0.5*(($A334-Controls!$B$25-(Controls!$C$25-1)/2)/MAX(Controls!$C$25/4,0.5))^2),0))</f>
        <v/>
      </c>
      <c r="M334" s="10" t="str">
        <f>IF($A334="","",IF(AND($A334&gt;=Controls!$B$26,$A334&lt;Controls!$B$26+Controls!$C$26),(Controls!$D$26-1)*EXP(-0.5*(($A334-Controls!$B$26-(Controls!$C$26-1)/2)/MAX(Controls!$C$26/4,0.5))^2),0))</f>
        <v/>
      </c>
      <c r="N334" s="10" t="str">
        <f>IF($A334="","",IF(AND($A334&gt;=Controls!$B$27,$A334&lt;Controls!$B$27+Controls!$C$27),(Controls!$D$27-1)*EXP(-0.5*(($A334-Controls!$B$27-(Controls!$C$27-1)/2)/MAX(Controls!$C$27/4,0.5))^2),0))</f>
        <v/>
      </c>
      <c r="O334" s="10" t="str">
        <f>IF($A334="","",IF(AND($A334&gt;=Controls!$B$28,$A334&lt;Controls!$B$28+Controls!$C$28),(Controls!$D$28-1)*EXP(-0.5*(($A334-Controls!$B$28-(Controls!$C$28-1)/2)/MAX(Controls!$C$28/4,0.5))^2),0))</f>
        <v/>
      </c>
      <c r="P334" s="4" t="str">
        <f t="shared" si="1"/>
        <v/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21.0" customHeight="1">
      <c r="A335" s="7" t="str">
        <f>IF(334&lt;=Controls!$B$5,Controls!$B$4+333,"")</f>
        <v/>
      </c>
      <c r="B335" s="10" t="str">
        <f>IF(Random!V335="","",IF(Controls!$B$7="Normal",Controls!$B$8,(Controls!$B$8+Controls!$B$9)/2)+Controls!$B$10*(B334-IF(Controls!$B$7="Normal",Controls!$B$8,(Controls!$B$8+Controls!$B$9)/2))+SQRT(1-Controls!$B$10^2)*(Random!V335-IF(Controls!$B$7="Normal",Controls!$B$8,(Controls!$B$8+Controls!$B$9)/2)))</f>
        <v/>
      </c>
      <c r="C335" s="10" t="str">
        <f>IF(Random!W335="","",IF(Controls!$B$7="Normal",Controls!$B$8,(Controls!$B$8+Controls!$B$9)/2)+Controls!$B$10*(C334-IF(Controls!$B$7="Normal",Controls!$B$8,(Controls!$B$8+Controls!$B$9)/2))+SQRT(1-Controls!$B$10^2)*(Random!W335-IF(Controls!$B$7="Normal",Controls!$B$8,(Controls!$B$8+Controls!$B$9)/2)))</f>
        <v/>
      </c>
      <c r="D335" s="10" t="str">
        <f>IF(Random!X335="","",IF(Controls!$B$7="Normal",Controls!$B$8,(Controls!$B$8+Controls!$B$9)/2)+Controls!$B$10*(D334-IF(Controls!$B$7="Normal",Controls!$B$8,(Controls!$B$8+Controls!$B$9)/2))+SQRT(1-Controls!$B$10^2)*(Random!X335-IF(Controls!$B$7="Normal",Controls!$B$8,(Controls!$B$8+Controls!$B$9)/2)))</f>
        <v/>
      </c>
      <c r="E335" s="10" t="str">
        <f>IF(Random!Y335="","",IF(Controls!$B$7="Normal",Controls!$B$8,(Controls!$B$8+Controls!$B$9)/2)+Controls!$B$10*(E334-IF(Controls!$B$7="Normal",Controls!$B$8,(Controls!$B$8+Controls!$B$9)/2))+SQRT(1-Controls!$B$10^2)*(Random!Y335-IF(Controls!$B$7="Normal",Controls!$B$8,(Controls!$B$8+Controls!$B$9)/2)))</f>
        <v/>
      </c>
      <c r="F335" s="10" t="str">
        <f>IF(Random!Z335="","",IF(Controls!$B$7="Normal",Controls!$B$8,(Controls!$B$8+Controls!$B$9)/2)+Controls!$B$10*(F334-IF(Controls!$B$7="Normal",Controls!$B$8,(Controls!$B$8+Controls!$B$9)/2))+SQRT(1-Controls!$B$10^2)*(Random!Z335-IF(Controls!$B$7="Normal",Controls!$B$8,(Controls!$B$8+Controls!$B$9)/2)))</f>
        <v/>
      </c>
      <c r="G335" s="10" t="str">
        <f>IF(Random!AA335="","",IF(Controls!$B$7="Normal",Controls!$B$8,(Controls!$B$8+Controls!$B$9)/2)+Controls!$B$10*(G334-IF(Controls!$B$7="Normal",Controls!$B$8,(Controls!$B$8+Controls!$B$9)/2))+SQRT(1-Controls!$B$10^2)*(Random!AA335-IF(Controls!$B$7="Normal",Controls!$B$8,(Controls!$B$8+Controls!$B$9)/2)))</f>
        <v/>
      </c>
      <c r="H335" s="10" t="str">
        <f>IF(Random!AB335="","",IF(Controls!$B$7="Normal",Controls!$B$8,(Controls!$B$8+Controls!$B$9)/2)+Controls!$B$10*(H334-IF(Controls!$B$7="Normal",Controls!$B$8,(Controls!$B$8+Controls!$B$9)/2))+SQRT(1-Controls!$B$10^2)*(Random!AB335-IF(Controls!$B$7="Normal",Controls!$B$8,(Controls!$B$8+Controls!$B$9)/2)))</f>
        <v/>
      </c>
      <c r="I335" s="10" t="str">
        <f>IF(Random!AC335="","",IF(Controls!$B$7="Normal",Controls!$B$8,(Controls!$B$8+Controls!$B$9)/2)+Controls!$B$10*(I334-IF(Controls!$B$7="Normal",Controls!$B$8,(Controls!$B$8+Controls!$B$9)/2))+SQRT(1-Controls!$B$10^2)*(Random!AC335-IF(Controls!$B$7="Normal",Controls!$B$8,(Controls!$B$8+Controls!$B$9)/2)))</f>
        <v/>
      </c>
      <c r="J335" s="10" t="str">
        <f>IF(Random!AD335="","",IF(Controls!$B$7="Normal",Controls!$B$8,(Controls!$B$8+Controls!$B$9)/2)+Controls!$B$10*(J334-IF(Controls!$B$7="Normal",Controls!$B$8,(Controls!$B$8+Controls!$B$9)/2))+SQRT(1-Controls!$B$10^2)*(Random!AD335-IF(Controls!$B$7="Normal",Controls!$B$8,(Controls!$B$8+Controls!$B$9)/2)))</f>
        <v/>
      </c>
      <c r="K335" s="10" t="str">
        <f>IF(Random!AE335="","",IF(Controls!$B$7="Normal",Controls!$B$8,(Controls!$B$8+Controls!$B$9)/2)+Controls!$B$10*(K334-IF(Controls!$B$7="Normal",Controls!$B$8,(Controls!$B$8+Controls!$B$9)/2))+SQRT(1-Controls!$B$10^2)*(Random!AE335-IF(Controls!$B$7="Normal",Controls!$B$8,(Controls!$B$8+Controls!$B$9)/2)))</f>
        <v/>
      </c>
      <c r="L335" s="10" t="str">
        <f>IF($A335="","",IF(AND($A335&gt;=Controls!$B$25,$A335&lt;Controls!$B$25+Controls!$C$25),(Controls!$D$25-1)*EXP(-0.5*(($A335-Controls!$B$25-(Controls!$C$25-1)/2)/MAX(Controls!$C$25/4,0.5))^2),0))</f>
        <v/>
      </c>
      <c r="M335" s="10" t="str">
        <f>IF($A335="","",IF(AND($A335&gt;=Controls!$B$26,$A335&lt;Controls!$B$26+Controls!$C$26),(Controls!$D$26-1)*EXP(-0.5*(($A335-Controls!$B$26-(Controls!$C$26-1)/2)/MAX(Controls!$C$26/4,0.5))^2),0))</f>
        <v/>
      </c>
      <c r="N335" s="10" t="str">
        <f>IF($A335="","",IF(AND($A335&gt;=Controls!$B$27,$A335&lt;Controls!$B$27+Controls!$C$27),(Controls!$D$27-1)*EXP(-0.5*(($A335-Controls!$B$27-(Controls!$C$27-1)/2)/MAX(Controls!$C$27/4,0.5))^2),0))</f>
        <v/>
      </c>
      <c r="O335" s="10" t="str">
        <f>IF($A335="","",IF(AND($A335&gt;=Controls!$B$28,$A335&lt;Controls!$B$28+Controls!$C$28),(Controls!$D$28-1)*EXP(-0.5*(($A335-Controls!$B$28-(Controls!$C$28-1)/2)/MAX(Controls!$C$28/4,0.5))^2),0))</f>
        <v/>
      </c>
      <c r="P335" s="4" t="str">
        <f t="shared" si="1"/>
        <v/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21.0" customHeight="1">
      <c r="A336" s="7" t="str">
        <f>IF(335&lt;=Controls!$B$5,Controls!$B$4+334,"")</f>
        <v/>
      </c>
      <c r="B336" s="10" t="str">
        <f>IF(Random!V336="","",IF(Controls!$B$7="Normal",Controls!$B$8,(Controls!$B$8+Controls!$B$9)/2)+Controls!$B$10*(B335-IF(Controls!$B$7="Normal",Controls!$B$8,(Controls!$B$8+Controls!$B$9)/2))+SQRT(1-Controls!$B$10^2)*(Random!V336-IF(Controls!$B$7="Normal",Controls!$B$8,(Controls!$B$8+Controls!$B$9)/2)))</f>
        <v/>
      </c>
      <c r="C336" s="10" t="str">
        <f>IF(Random!W336="","",IF(Controls!$B$7="Normal",Controls!$B$8,(Controls!$B$8+Controls!$B$9)/2)+Controls!$B$10*(C335-IF(Controls!$B$7="Normal",Controls!$B$8,(Controls!$B$8+Controls!$B$9)/2))+SQRT(1-Controls!$B$10^2)*(Random!W336-IF(Controls!$B$7="Normal",Controls!$B$8,(Controls!$B$8+Controls!$B$9)/2)))</f>
        <v/>
      </c>
      <c r="D336" s="10" t="str">
        <f>IF(Random!X336="","",IF(Controls!$B$7="Normal",Controls!$B$8,(Controls!$B$8+Controls!$B$9)/2)+Controls!$B$10*(D335-IF(Controls!$B$7="Normal",Controls!$B$8,(Controls!$B$8+Controls!$B$9)/2))+SQRT(1-Controls!$B$10^2)*(Random!X336-IF(Controls!$B$7="Normal",Controls!$B$8,(Controls!$B$8+Controls!$B$9)/2)))</f>
        <v/>
      </c>
      <c r="E336" s="10" t="str">
        <f>IF(Random!Y336="","",IF(Controls!$B$7="Normal",Controls!$B$8,(Controls!$B$8+Controls!$B$9)/2)+Controls!$B$10*(E335-IF(Controls!$B$7="Normal",Controls!$B$8,(Controls!$B$8+Controls!$B$9)/2))+SQRT(1-Controls!$B$10^2)*(Random!Y336-IF(Controls!$B$7="Normal",Controls!$B$8,(Controls!$B$8+Controls!$B$9)/2)))</f>
        <v/>
      </c>
      <c r="F336" s="10" t="str">
        <f>IF(Random!Z336="","",IF(Controls!$B$7="Normal",Controls!$B$8,(Controls!$B$8+Controls!$B$9)/2)+Controls!$B$10*(F335-IF(Controls!$B$7="Normal",Controls!$B$8,(Controls!$B$8+Controls!$B$9)/2))+SQRT(1-Controls!$B$10^2)*(Random!Z336-IF(Controls!$B$7="Normal",Controls!$B$8,(Controls!$B$8+Controls!$B$9)/2)))</f>
        <v/>
      </c>
      <c r="G336" s="10" t="str">
        <f>IF(Random!AA336="","",IF(Controls!$B$7="Normal",Controls!$B$8,(Controls!$B$8+Controls!$B$9)/2)+Controls!$B$10*(G335-IF(Controls!$B$7="Normal",Controls!$B$8,(Controls!$B$8+Controls!$B$9)/2))+SQRT(1-Controls!$B$10^2)*(Random!AA336-IF(Controls!$B$7="Normal",Controls!$B$8,(Controls!$B$8+Controls!$B$9)/2)))</f>
        <v/>
      </c>
      <c r="H336" s="10" t="str">
        <f>IF(Random!AB336="","",IF(Controls!$B$7="Normal",Controls!$B$8,(Controls!$B$8+Controls!$B$9)/2)+Controls!$B$10*(H335-IF(Controls!$B$7="Normal",Controls!$B$8,(Controls!$B$8+Controls!$B$9)/2))+SQRT(1-Controls!$B$10^2)*(Random!AB336-IF(Controls!$B$7="Normal",Controls!$B$8,(Controls!$B$8+Controls!$B$9)/2)))</f>
        <v/>
      </c>
      <c r="I336" s="10" t="str">
        <f>IF(Random!AC336="","",IF(Controls!$B$7="Normal",Controls!$B$8,(Controls!$B$8+Controls!$B$9)/2)+Controls!$B$10*(I335-IF(Controls!$B$7="Normal",Controls!$B$8,(Controls!$B$8+Controls!$B$9)/2))+SQRT(1-Controls!$B$10^2)*(Random!AC336-IF(Controls!$B$7="Normal",Controls!$B$8,(Controls!$B$8+Controls!$B$9)/2)))</f>
        <v/>
      </c>
      <c r="J336" s="10" t="str">
        <f>IF(Random!AD336="","",IF(Controls!$B$7="Normal",Controls!$B$8,(Controls!$B$8+Controls!$B$9)/2)+Controls!$B$10*(J335-IF(Controls!$B$7="Normal",Controls!$B$8,(Controls!$B$8+Controls!$B$9)/2))+SQRT(1-Controls!$B$10^2)*(Random!AD336-IF(Controls!$B$7="Normal",Controls!$B$8,(Controls!$B$8+Controls!$B$9)/2)))</f>
        <v/>
      </c>
      <c r="K336" s="10" t="str">
        <f>IF(Random!AE336="","",IF(Controls!$B$7="Normal",Controls!$B$8,(Controls!$B$8+Controls!$B$9)/2)+Controls!$B$10*(K335-IF(Controls!$B$7="Normal",Controls!$B$8,(Controls!$B$8+Controls!$B$9)/2))+SQRT(1-Controls!$B$10^2)*(Random!AE336-IF(Controls!$B$7="Normal",Controls!$B$8,(Controls!$B$8+Controls!$B$9)/2)))</f>
        <v/>
      </c>
      <c r="L336" s="10" t="str">
        <f>IF($A336="","",IF(AND($A336&gt;=Controls!$B$25,$A336&lt;Controls!$B$25+Controls!$C$25),(Controls!$D$25-1)*EXP(-0.5*(($A336-Controls!$B$25-(Controls!$C$25-1)/2)/MAX(Controls!$C$25/4,0.5))^2),0))</f>
        <v/>
      </c>
      <c r="M336" s="10" t="str">
        <f>IF($A336="","",IF(AND($A336&gt;=Controls!$B$26,$A336&lt;Controls!$B$26+Controls!$C$26),(Controls!$D$26-1)*EXP(-0.5*(($A336-Controls!$B$26-(Controls!$C$26-1)/2)/MAX(Controls!$C$26/4,0.5))^2),0))</f>
        <v/>
      </c>
      <c r="N336" s="10" t="str">
        <f>IF($A336="","",IF(AND($A336&gt;=Controls!$B$27,$A336&lt;Controls!$B$27+Controls!$C$27),(Controls!$D$27-1)*EXP(-0.5*(($A336-Controls!$B$27-(Controls!$C$27-1)/2)/MAX(Controls!$C$27/4,0.5))^2),0))</f>
        <v/>
      </c>
      <c r="O336" s="10" t="str">
        <f>IF($A336="","",IF(AND($A336&gt;=Controls!$B$28,$A336&lt;Controls!$B$28+Controls!$C$28),(Controls!$D$28-1)*EXP(-0.5*(($A336-Controls!$B$28-(Controls!$C$28-1)/2)/MAX(Controls!$C$28/4,0.5))^2),0))</f>
        <v/>
      </c>
      <c r="P336" s="4" t="str">
        <f t="shared" si="1"/>
        <v/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21.0" customHeight="1">
      <c r="A337" s="7" t="str">
        <f>IF(336&lt;=Controls!$B$5,Controls!$B$4+335,"")</f>
        <v/>
      </c>
      <c r="B337" s="10" t="str">
        <f>IF(Random!V337="","",IF(Controls!$B$7="Normal",Controls!$B$8,(Controls!$B$8+Controls!$B$9)/2)+Controls!$B$10*(B336-IF(Controls!$B$7="Normal",Controls!$B$8,(Controls!$B$8+Controls!$B$9)/2))+SQRT(1-Controls!$B$10^2)*(Random!V337-IF(Controls!$B$7="Normal",Controls!$B$8,(Controls!$B$8+Controls!$B$9)/2)))</f>
        <v/>
      </c>
      <c r="C337" s="10" t="str">
        <f>IF(Random!W337="","",IF(Controls!$B$7="Normal",Controls!$B$8,(Controls!$B$8+Controls!$B$9)/2)+Controls!$B$10*(C336-IF(Controls!$B$7="Normal",Controls!$B$8,(Controls!$B$8+Controls!$B$9)/2))+SQRT(1-Controls!$B$10^2)*(Random!W337-IF(Controls!$B$7="Normal",Controls!$B$8,(Controls!$B$8+Controls!$B$9)/2)))</f>
        <v/>
      </c>
      <c r="D337" s="10" t="str">
        <f>IF(Random!X337="","",IF(Controls!$B$7="Normal",Controls!$B$8,(Controls!$B$8+Controls!$B$9)/2)+Controls!$B$10*(D336-IF(Controls!$B$7="Normal",Controls!$B$8,(Controls!$B$8+Controls!$B$9)/2))+SQRT(1-Controls!$B$10^2)*(Random!X337-IF(Controls!$B$7="Normal",Controls!$B$8,(Controls!$B$8+Controls!$B$9)/2)))</f>
        <v/>
      </c>
      <c r="E337" s="10" t="str">
        <f>IF(Random!Y337="","",IF(Controls!$B$7="Normal",Controls!$B$8,(Controls!$B$8+Controls!$B$9)/2)+Controls!$B$10*(E336-IF(Controls!$B$7="Normal",Controls!$B$8,(Controls!$B$8+Controls!$B$9)/2))+SQRT(1-Controls!$B$10^2)*(Random!Y337-IF(Controls!$B$7="Normal",Controls!$B$8,(Controls!$B$8+Controls!$B$9)/2)))</f>
        <v/>
      </c>
      <c r="F337" s="10" t="str">
        <f>IF(Random!Z337="","",IF(Controls!$B$7="Normal",Controls!$B$8,(Controls!$B$8+Controls!$B$9)/2)+Controls!$B$10*(F336-IF(Controls!$B$7="Normal",Controls!$B$8,(Controls!$B$8+Controls!$B$9)/2))+SQRT(1-Controls!$B$10^2)*(Random!Z337-IF(Controls!$B$7="Normal",Controls!$B$8,(Controls!$B$8+Controls!$B$9)/2)))</f>
        <v/>
      </c>
      <c r="G337" s="10" t="str">
        <f>IF(Random!AA337="","",IF(Controls!$B$7="Normal",Controls!$B$8,(Controls!$B$8+Controls!$B$9)/2)+Controls!$B$10*(G336-IF(Controls!$B$7="Normal",Controls!$B$8,(Controls!$B$8+Controls!$B$9)/2))+SQRT(1-Controls!$B$10^2)*(Random!AA337-IF(Controls!$B$7="Normal",Controls!$B$8,(Controls!$B$8+Controls!$B$9)/2)))</f>
        <v/>
      </c>
      <c r="H337" s="10" t="str">
        <f>IF(Random!AB337="","",IF(Controls!$B$7="Normal",Controls!$B$8,(Controls!$B$8+Controls!$B$9)/2)+Controls!$B$10*(H336-IF(Controls!$B$7="Normal",Controls!$B$8,(Controls!$B$8+Controls!$B$9)/2))+SQRT(1-Controls!$B$10^2)*(Random!AB337-IF(Controls!$B$7="Normal",Controls!$B$8,(Controls!$B$8+Controls!$B$9)/2)))</f>
        <v/>
      </c>
      <c r="I337" s="10" t="str">
        <f>IF(Random!AC337="","",IF(Controls!$B$7="Normal",Controls!$B$8,(Controls!$B$8+Controls!$B$9)/2)+Controls!$B$10*(I336-IF(Controls!$B$7="Normal",Controls!$B$8,(Controls!$B$8+Controls!$B$9)/2))+SQRT(1-Controls!$B$10^2)*(Random!AC337-IF(Controls!$B$7="Normal",Controls!$B$8,(Controls!$B$8+Controls!$B$9)/2)))</f>
        <v/>
      </c>
      <c r="J337" s="10" t="str">
        <f>IF(Random!AD337="","",IF(Controls!$B$7="Normal",Controls!$B$8,(Controls!$B$8+Controls!$B$9)/2)+Controls!$B$10*(J336-IF(Controls!$B$7="Normal",Controls!$B$8,(Controls!$B$8+Controls!$B$9)/2))+SQRT(1-Controls!$B$10^2)*(Random!AD337-IF(Controls!$B$7="Normal",Controls!$B$8,(Controls!$B$8+Controls!$B$9)/2)))</f>
        <v/>
      </c>
      <c r="K337" s="10" t="str">
        <f>IF(Random!AE337="","",IF(Controls!$B$7="Normal",Controls!$B$8,(Controls!$B$8+Controls!$B$9)/2)+Controls!$B$10*(K336-IF(Controls!$B$7="Normal",Controls!$B$8,(Controls!$B$8+Controls!$B$9)/2))+SQRT(1-Controls!$B$10^2)*(Random!AE337-IF(Controls!$B$7="Normal",Controls!$B$8,(Controls!$B$8+Controls!$B$9)/2)))</f>
        <v/>
      </c>
      <c r="L337" s="10" t="str">
        <f>IF($A337="","",IF(AND($A337&gt;=Controls!$B$25,$A337&lt;Controls!$B$25+Controls!$C$25),(Controls!$D$25-1)*EXP(-0.5*(($A337-Controls!$B$25-(Controls!$C$25-1)/2)/MAX(Controls!$C$25/4,0.5))^2),0))</f>
        <v/>
      </c>
      <c r="M337" s="10" t="str">
        <f>IF($A337="","",IF(AND($A337&gt;=Controls!$B$26,$A337&lt;Controls!$B$26+Controls!$C$26),(Controls!$D$26-1)*EXP(-0.5*(($A337-Controls!$B$26-(Controls!$C$26-1)/2)/MAX(Controls!$C$26/4,0.5))^2),0))</f>
        <v/>
      </c>
      <c r="N337" s="10" t="str">
        <f>IF($A337="","",IF(AND($A337&gt;=Controls!$B$27,$A337&lt;Controls!$B$27+Controls!$C$27),(Controls!$D$27-1)*EXP(-0.5*(($A337-Controls!$B$27-(Controls!$C$27-1)/2)/MAX(Controls!$C$27/4,0.5))^2),0))</f>
        <v/>
      </c>
      <c r="O337" s="10" t="str">
        <f>IF($A337="","",IF(AND($A337&gt;=Controls!$B$28,$A337&lt;Controls!$B$28+Controls!$C$28),(Controls!$D$28-1)*EXP(-0.5*(($A337-Controls!$B$28-(Controls!$C$28-1)/2)/MAX(Controls!$C$28/4,0.5))^2),0))</f>
        <v/>
      </c>
      <c r="P337" s="4" t="str">
        <f t="shared" si="1"/>
        <v/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21.0" customHeight="1">
      <c r="A338" s="7" t="str">
        <f>IF(337&lt;=Controls!$B$5,Controls!$B$4+336,"")</f>
        <v/>
      </c>
      <c r="B338" s="10" t="str">
        <f>IF(Random!V338="","",IF(Controls!$B$7="Normal",Controls!$B$8,(Controls!$B$8+Controls!$B$9)/2)+Controls!$B$10*(B337-IF(Controls!$B$7="Normal",Controls!$B$8,(Controls!$B$8+Controls!$B$9)/2))+SQRT(1-Controls!$B$10^2)*(Random!V338-IF(Controls!$B$7="Normal",Controls!$B$8,(Controls!$B$8+Controls!$B$9)/2)))</f>
        <v/>
      </c>
      <c r="C338" s="10" t="str">
        <f>IF(Random!W338="","",IF(Controls!$B$7="Normal",Controls!$B$8,(Controls!$B$8+Controls!$B$9)/2)+Controls!$B$10*(C337-IF(Controls!$B$7="Normal",Controls!$B$8,(Controls!$B$8+Controls!$B$9)/2))+SQRT(1-Controls!$B$10^2)*(Random!W338-IF(Controls!$B$7="Normal",Controls!$B$8,(Controls!$B$8+Controls!$B$9)/2)))</f>
        <v/>
      </c>
      <c r="D338" s="10" t="str">
        <f>IF(Random!X338="","",IF(Controls!$B$7="Normal",Controls!$B$8,(Controls!$B$8+Controls!$B$9)/2)+Controls!$B$10*(D337-IF(Controls!$B$7="Normal",Controls!$B$8,(Controls!$B$8+Controls!$B$9)/2))+SQRT(1-Controls!$B$10^2)*(Random!X338-IF(Controls!$B$7="Normal",Controls!$B$8,(Controls!$B$8+Controls!$B$9)/2)))</f>
        <v/>
      </c>
      <c r="E338" s="10" t="str">
        <f>IF(Random!Y338="","",IF(Controls!$B$7="Normal",Controls!$B$8,(Controls!$B$8+Controls!$B$9)/2)+Controls!$B$10*(E337-IF(Controls!$B$7="Normal",Controls!$B$8,(Controls!$B$8+Controls!$B$9)/2))+SQRT(1-Controls!$B$10^2)*(Random!Y338-IF(Controls!$B$7="Normal",Controls!$B$8,(Controls!$B$8+Controls!$B$9)/2)))</f>
        <v/>
      </c>
      <c r="F338" s="10" t="str">
        <f>IF(Random!Z338="","",IF(Controls!$B$7="Normal",Controls!$B$8,(Controls!$B$8+Controls!$B$9)/2)+Controls!$B$10*(F337-IF(Controls!$B$7="Normal",Controls!$B$8,(Controls!$B$8+Controls!$B$9)/2))+SQRT(1-Controls!$B$10^2)*(Random!Z338-IF(Controls!$B$7="Normal",Controls!$B$8,(Controls!$B$8+Controls!$B$9)/2)))</f>
        <v/>
      </c>
      <c r="G338" s="10" t="str">
        <f>IF(Random!AA338="","",IF(Controls!$B$7="Normal",Controls!$B$8,(Controls!$B$8+Controls!$B$9)/2)+Controls!$B$10*(G337-IF(Controls!$B$7="Normal",Controls!$B$8,(Controls!$B$8+Controls!$B$9)/2))+SQRT(1-Controls!$B$10^2)*(Random!AA338-IF(Controls!$B$7="Normal",Controls!$B$8,(Controls!$B$8+Controls!$B$9)/2)))</f>
        <v/>
      </c>
      <c r="H338" s="10" t="str">
        <f>IF(Random!AB338="","",IF(Controls!$B$7="Normal",Controls!$B$8,(Controls!$B$8+Controls!$B$9)/2)+Controls!$B$10*(H337-IF(Controls!$B$7="Normal",Controls!$B$8,(Controls!$B$8+Controls!$B$9)/2))+SQRT(1-Controls!$B$10^2)*(Random!AB338-IF(Controls!$B$7="Normal",Controls!$B$8,(Controls!$B$8+Controls!$B$9)/2)))</f>
        <v/>
      </c>
      <c r="I338" s="10" t="str">
        <f>IF(Random!AC338="","",IF(Controls!$B$7="Normal",Controls!$B$8,(Controls!$B$8+Controls!$B$9)/2)+Controls!$B$10*(I337-IF(Controls!$B$7="Normal",Controls!$B$8,(Controls!$B$8+Controls!$B$9)/2))+SQRT(1-Controls!$B$10^2)*(Random!AC338-IF(Controls!$B$7="Normal",Controls!$B$8,(Controls!$B$8+Controls!$B$9)/2)))</f>
        <v/>
      </c>
      <c r="J338" s="10" t="str">
        <f>IF(Random!AD338="","",IF(Controls!$B$7="Normal",Controls!$B$8,(Controls!$B$8+Controls!$B$9)/2)+Controls!$B$10*(J337-IF(Controls!$B$7="Normal",Controls!$B$8,(Controls!$B$8+Controls!$B$9)/2))+SQRT(1-Controls!$B$10^2)*(Random!AD338-IF(Controls!$B$7="Normal",Controls!$B$8,(Controls!$B$8+Controls!$B$9)/2)))</f>
        <v/>
      </c>
      <c r="K338" s="10" t="str">
        <f>IF(Random!AE338="","",IF(Controls!$B$7="Normal",Controls!$B$8,(Controls!$B$8+Controls!$B$9)/2)+Controls!$B$10*(K337-IF(Controls!$B$7="Normal",Controls!$B$8,(Controls!$B$8+Controls!$B$9)/2))+SQRT(1-Controls!$B$10^2)*(Random!AE338-IF(Controls!$B$7="Normal",Controls!$B$8,(Controls!$B$8+Controls!$B$9)/2)))</f>
        <v/>
      </c>
      <c r="L338" s="10" t="str">
        <f>IF($A338="","",IF(AND($A338&gt;=Controls!$B$25,$A338&lt;Controls!$B$25+Controls!$C$25),(Controls!$D$25-1)*EXP(-0.5*(($A338-Controls!$B$25-(Controls!$C$25-1)/2)/MAX(Controls!$C$25/4,0.5))^2),0))</f>
        <v/>
      </c>
      <c r="M338" s="10" t="str">
        <f>IF($A338="","",IF(AND($A338&gt;=Controls!$B$26,$A338&lt;Controls!$B$26+Controls!$C$26),(Controls!$D$26-1)*EXP(-0.5*(($A338-Controls!$B$26-(Controls!$C$26-1)/2)/MAX(Controls!$C$26/4,0.5))^2),0))</f>
        <v/>
      </c>
      <c r="N338" s="10" t="str">
        <f>IF($A338="","",IF(AND($A338&gt;=Controls!$B$27,$A338&lt;Controls!$B$27+Controls!$C$27),(Controls!$D$27-1)*EXP(-0.5*(($A338-Controls!$B$27-(Controls!$C$27-1)/2)/MAX(Controls!$C$27/4,0.5))^2),0))</f>
        <v/>
      </c>
      <c r="O338" s="10" t="str">
        <f>IF($A338="","",IF(AND($A338&gt;=Controls!$B$28,$A338&lt;Controls!$B$28+Controls!$C$28),(Controls!$D$28-1)*EXP(-0.5*(($A338-Controls!$B$28-(Controls!$C$28-1)/2)/MAX(Controls!$C$28/4,0.5))^2),0))</f>
        <v/>
      </c>
      <c r="P338" s="4" t="str">
        <f t="shared" si="1"/>
        <v/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21.0" customHeight="1">
      <c r="A339" s="7" t="str">
        <f>IF(338&lt;=Controls!$B$5,Controls!$B$4+337,"")</f>
        <v/>
      </c>
      <c r="B339" s="10" t="str">
        <f>IF(Random!V339="","",IF(Controls!$B$7="Normal",Controls!$B$8,(Controls!$B$8+Controls!$B$9)/2)+Controls!$B$10*(B338-IF(Controls!$B$7="Normal",Controls!$B$8,(Controls!$B$8+Controls!$B$9)/2))+SQRT(1-Controls!$B$10^2)*(Random!V339-IF(Controls!$B$7="Normal",Controls!$B$8,(Controls!$B$8+Controls!$B$9)/2)))</f>
        <v/>
      </c>
      <c r="C339" s="10" t="str">
        <f>IF(Random!W339="","",IF(Controls!$B$7="Normal",Controls!$B$8,(Controls!$B$8+Controls!$B$9)/2)+Controls!$B$10*(C338-IF(Controls!$B$7="Normal",Controls!$B$8,(Controls!$B$8+Controls!$B$9)/2))+SQRT(1-Controls!$B$10^2)*(Random!W339-IF(Controls!$B$7="Normal",Controls!$B$8,(Controls!$B$8+Controls!$B$9)/2)))</f>
        <v/>
      </c>
      <c r="D339" s="10" t="str">
        <f>IF(Random!X339="","",IF(Controls!$B$7="Normal",Controls!$B$8,(Controls!$B$8+Controls!$B$9)/2)+Controls!$B$10*(D338-IF(Controls!$B$7="Normal",Controls!$B$8,(Controls!$B$8+Controls!$B$9)/2))+SQRT(1-Controls!$B$10^2)*(Random!X339-IF(Controls!$B$7="Normal",Controls!$B$8,(Controls!$B$8+Controls!$B$9)/2)))</f>
        <v/>
      </c>
      <c r="E339" s="10" t="str">
        <f>IF(Random!Y339="","",IF(Controls!$B$7="Normal",Controls!$B$8,(Controls!$B$8+Controls!$B$9)/2)+Controls!$B$10*(E338-IF(Controls!$B$7="Normal",Controls!$B$8,(Controls!$B$8+Controls!$B$9)/2))+SQRT(1-Controls!$B$10^2)*(Random!Y339-IF(Controls!$B$7="Normal",Controls!$B$8,(Controls!$B$8+Controls!$B$9)/2)))</f>
        <v/>
      </c>
      <c r="F339" s="10" t="str">
        <f>IF(Random!Z339="","",IF(Controls!$B$7="Normal",Controls!$B$8,(Controls!$B$8+Controls!$B$9)/2)+Controls!$B$10*(F338-IF(Controls!$B$7="Normal",Controls!$B$8,(Controls!$B$8+Controls!$B$9)/2))+SQRT(1-Controls!$B$10^2)*(Random!Z339-IF(Controls!$B$7="Normal",Controls!$B$8,(Controls!$B$8+Controls!$B$9)/2)))</f>
        <v/>
      </c>
      <c r="G339" s="10" t="str">
        <f>IF(Random!AA339="","",IF(Controls!$B$7="Normal",Controls!$B$8,(Controls!$B$8+Controls!$B$9)/2)+Controls!$B$10*(G338-IF(Controls!$B$7="Normal",Controls!$B$8,(Controls!$B$8+Controls!$B$9)/2))+SQRT(1-Controls!$B$10^2)*(Random!AA339-IF(Controls!$B$7="Normal",Controls!$B$8,(Controls!$B$8+Controls!$B$9)/2)))</f>
        <v/>
      </c>
      <c r="H339" s="10" t="str">
        <f>IF(Random!AB339="","",IF(Controls!$B$7="Normal",Controls!$B$8,(Controls!$B$8+Controls!$B$9)/2)+Controls!$B$10*(H338-IF(Controls!$B$7="Normal",Controls!$B$8,(Controls!$B$8+Controls!$B$9)/2))+SQRT(1-Controls!$B$10^2)*(Random!AB339-IF(Controls!$B$7="Normal",Controls!$B$8,(Controls!$B$8+Controls!$B$9)/2)))</f>
        <v/>
      </c>
      <c r="I339" s="10" t="str">
        <f>IF(Random!AC339="","",IF(Controls!$B$7="Normal",Controls!$B$8,(Controls!$B$8+Controls!$B$9)/2)+Controls!$B$10*(I338-IF(Controls!$B$7="Normal",Controls!$B$8,(Controls!$B$8+Controls!$B$9)/2))+SQRT(1-Controls!$B$10^2)*(Random!AC339-IF(Controls!$B$7="Normal",Controls!$B$8,(Controls!$B$8+Controls!$B$9)/2)))</f>
        <v/>
      </c>
      <c r="J339" s="10" t="str">
        <f>IF(Random!AD339="","",IF(Controls!$B$7="Normal",Controls!$B$8,(Controls!$B$8+Controls!$B$9)/2)+Controls!$B$10*(J338-IF(Controls!$B$7="Normal",Controls!$B$8,(Controls!$B$8+Controls!$B$9)/2))+SQRT(1-Controls!$B$10^2)*(Random!AD339-IF(Controls!$B$7="Normal",Controls!$B$8,(Controls!$B$8+Controls!$B$9)/2)))</f>
        <v/>
      </c>
      <c r="K339" s="10" t="str">
        <f>IF(Random!AE339="","",IF(Controls!$B$7="Normal",Controls!$B$8,(Controls!$B$8+Controls!$B$9)/2)+Controls!$B$10*(K338-IF(Controls!$B$7="Normal",Controls!$B$8,(Controls!$B$8+Controls!$B$9)/2))+SQRT(1-Controls!$B$10^2)*(Random!AE339-IF(Controls!$B$7="Normal",Controls!$B$8,(Controls!$B$8+Controls!$B$9)/2)))</f>
        <v/>
      </c>
      <c r="L339" s="10" t="str">
        <f>IF($A339="","",IF(AND($A339&gt;=Controls!$B$25,$A339&lt;Controls!$B$25+Controls!$C$25),(Controls!$D$25-1)*EXP(-0.5*(($A339-Controls!$B$25-(Controls!$C$25-1)/2)/MAX(Controls!$C$25/4,0.5))^2),0))</f>
        <v/>
      </c>
      <c r="M339" s="10" t="str">
        <f>IF($A339="","",IF(AND($A339&gt;=Controls!$B$26,$A339&lt;Controls!$B$26+Controls!$C$26),(Controls!$D$26-1)*EXP(-0.5*(($A339-Controls!$B$26-(Controls!$C$26-1)/2)/MAX(Controls!$C$26/4,0.5))^2),0))</f>
        <v/>
      </c>
      <c r="N339" s="10" t="str">
        <f>IF($A339="","",IF(AND($A339&gt;=Controls!$B$27,$A339&lt;Controls!$B$27+Controls!$C$27),(Controls!$D$27-1)*EXP(-0.5*(($A339-Controls!$B$27-(Controls!$C$27-1)/2)/MAX(Controls!$C$27/4,0.5))^2),0))</f>
        <v/>
      </c>
      <c r="O339" s="10" t="str">
        <f>IF($A339="","",IF(AND($A339&gt;=Controls!$B$28,$A339&lt;Controls!$B$28+Controls!$C$28),(Controls!$D$28-1)*EXP(-0.5*(($A339-Controls!$B$28-(Controls!$C$28-1)/2)/MAX(Controls!$C$28/4,0.5))^2),0))</f>
        <v/>
      </c>
      <c r="P339" s="4" t="str">
        <f t="shared" si="1"/>
        <v/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21.0" customHeight="1">
      <c r="A340" s="7" t="str">
        <f>IF(339&lt;=Controls!$B$5,Controls!$B$4+338,"")</f>
        <v/>
      </c>
      <c r="B340" s="10" t="str">
        <f>IF(Random!V340="","",IF(Controls!$B$7="Normal",Controls!$B$8,(Controls!$B$8+Controls!$B$9)/2)+Controls!$B$10*(B339-IF(Controls!$B$7="Normal",Controls!$B$8,(Controls!$B$8+Controls!$B$9)/2))+SQRT(1-Controls!$B$10^2)*(Random!V340-IF(Controls!$B$7="Normal",Controls!$B$8,(Controls!$B$8+Controls!$B$9)/2)))</f>
        <v/>
      </c>
      <c r="C340" s="10" t="str">
        <f>IF(Random!W340="","",IF(Controls!$B$7="Normal",Controls!$B$8,(Controls!$B$8+Controls!$B$9)/2)+Controls!$B$10*(C339-IF(Controls!$B$7="Normal",Controls!$B$8,(Controls!$B$8+Controls!$B$9)/2))+SQRT(1-Controls!$B$10^2)*(Random!W340-IF(Controls!$B$7="Normal",Controls!$B$8,(Controls!$B$8+Controls!$B$9)/2)))</f>
        <v/>
      </c>
      <c r="D340" s="10" t="str">
        <f>IF(Random!X340="","",IF(Controls!$B$7="Normal",Controls!$B$8,(Controls!$B$8+Controls!$B$9)/2)+Controls!$B$10*(D339-IF(Controls!$B$7="Normal",Controls!$B$8,(Controls!$B$8+Controls!$B$9)/2))+SQRT(1-Controls!$B$10^2)*(Random!X340-IF(Controls!$B$7="Normal",Controls!$B$8,(Controls!$B$8+Controls!$B$9)/2)))</f>
        <v/>
      </c>
      <c r="E340" s="10" t="str">
        <f>IF(Random!Y340="","",IF(Controls!$B$7="Normal",Controls!$B$8,(Controls!$B$8+Controls!$B$9)/2)+Controls!$B$10*(E339-IF(Controls!$B$7="Normal",Controls!$B$8,(Controls!$B$8+Controls!$B$9)/2))+SQRT(1-Controls!$B$10^2)*(Random!Y340-IF(Controls!$B$7="Normal",Controls!$B$8,(Controls!$B$8+Controls!$B$9)/2)))</f>
        <v/>
      </c>
      <c r="F340" s="10" t="str">
        <f>IF(Random!Z340="","",IF(Controls!$B$7="Normal",Controls!$B$8,(Controls!$B$8+Controls!$B$9)/2)+Controls!$B$10*(F339-IF(Controls!$B$7="Normal",Controls!$B$8,(Controls!$B$8+Controls!$B$9)/2))+SQRT(1-Controls!$B$10^2)*(Random!Z340-IF(Controls!$B$7="Normal",Controls!$B$8,(Controls!$B$8+Controls!$B$9)/2)))</f>
        <v/>
      </c>
      <c r="G340" s="10" t="str">
        <f>IF(Random!AA340="","",IF(Controls!$B$7="Normal",Controls!$B$8,(Controls!$B$8+Controls!$B$9)/2)+Controls!$B$10*(G339-IF(Controls!$B$7="Normal",Controls!$B$8,(Controls!$B$8+Controls!$B$9)/2))+SQRT(1-Controls!$B$10^2)*(Random!AA340-IF(Controls!$B$7="Normal",Controls!$B$8,(Controls!$B$8+Controls!$B$9)/2)))</f>
        <v/>
      </c>
      <c r="H340" s="10" t="str">
        <f>IF(Random!AB340="","",IF(Controls!$B$7="Normal",Controls!$B$8,(Controls!$B$8+Controls!$B$9)/2)+Controls!$B$10*(H339-IF(Controls!$B$7="Normal",Controls!$B$8,(Controls!$B$8+Controls!$B$9)/2))+SQRT(1-Controls!$B$10^2)*(Random!AB340-IF(Controls!$B$7="Normal",Controls!$B$8,(Controls!$B$8+Controls!$B$9)/2)))</f>
        <v/>
      </c>
      <c r="I340" s="10" t="str">
        <f>IF(Random!AC340="","",IF(Controls!$B$7="Normal",Controls!$B$8,(Controls!$B$8+Controls!$B$9)/2)+Controls!$B$10*(I339-IF(Controls!$B$7="Normal",Controls!$B$8,(Controls!$B$8+Controls!$B$9)/2))+SQRT(1-Controls!$B$10^2)*(Random!AC340-IF(Controls!$B$7="Normal",Controls!$B$8,(Controls!$B$8+Controls!$B$9)/2)))</f>
        <v/>
      </c>
      <c r="J340" s="10" t="str">
        <f>IF(Random!AD340="","",IF(Controls!$B$7="Normal",Controls!$B$8,(Controls!$B$8+Controls!$B$9)/2)+Controls!$B$10*(J339-IF(Controls!$B$7="Normal",Controls!$B$8,(Controls!$B$8+Controls!$B$9)/2))+SQRT(1-Controls!$B$10^2)*(Random!AD340-IF(Controls!$B$7="Normal",Controls!$B$8,(Controls!$B$8+Controls!$B$9)/2)))</f>
        <v/>
      </c>
      <c r="K340" s="10" t="str">
        <f>IF(Random!AE340="","",IF(Controls!$B$7="Normal",Controls!$B$8,(Controls!$B$8+Controls!$B$9)/2)+Controls!$B$10*(K339-IF(Controls!$B$7="Normal",Controls!$B$8,(Controls!$B$8+Controls!$B$9)/2))+SQRT(1-Controls!$B$10^2)*(Random!AE340-IF(Controls!$B$7="Normal",Controls!$B$8,(Controls!$B$8+Controls!$B$9)/2)))</f>
        <v/>
      </c>
      <c r="L340" s="10" t="str">
        <f>IF($A340="","",IF(AND($A340&gt;=Controls!$B$25,$A340&lt;Controls!$B$25+Controls!$C$25),(Controls!$D$25-1)*EXP(-0.5*(($A340-Controls!$B$25-(Controls!$C$25-1)/2)/MAX(Controls!$C$25/4,0.5))^2),0))</f>
        <v/>
      </c>
      <c r="M340" s="10" t="str">
        <f>IF($A340="","",IF(AND($A340&gt;=Controls!$B$26,$A340&lt;Controls!$B$26+Controls!$C$26),(Controls!$D$26-1)*EXP(-0.5*(($A340-Controls!$B$26-(Controls!$C$26-1)/2)/MAX(Controls!$C$26/4,0.5))^2),0))</f>
        <v/>
      </c>
      <c r="N340" s="10" t="str">
        <f>IF($A340="","",IF(AND($A340&gt;=Controls!$B$27,$A340&lt;Controls!$B$27+Controls!$C$27),(Controls!$D$27-1)*EXP(-0.5*(($A340-Controls!$B$27-(Controls!$C$27-1)/2)/MAX(Controls!$C$27/4,0.5))^2),0))</f>
        <v/>
      </c>
      <c r="O340" s="10" t="str">
        <f>IF($A340="","",IF(AND($A340&gt;=Controls!$B$28,$A340&lt;Controls!$B$28+Controls!$C$28),(Controls!$D$28-1)*EXP(-0.5*(($A340-Controls!$B$28-(Controls!$C$28-1)/2)/MAX(Controls!$C$28/4,0.5))^2),0))</f>
        <v/>
      </c>
      <c r="P340" s="4" t="str">
        <f t="shared" si="1"/>
        <v/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21.0" customHeight="1">
      <c r="A341" s="7" t="str">
        <f>IF(340&lt;=Controls!$B$5,Controls!$B$4+339,"")</f>
        <v/>
      </c>
      <c r="B341" s="10" t="str">
        <f>IF(Random!V341="","",IF(Controls!$B$7="Normal",Controls!$B$8,(Controls!$B$8+Controls!$B$9)/2)+Controls!$B$10*(B340-IF(Controls!$B$7="Normal",Controls!$B$8,(Controls!$B$8+Controls!$B$9)/2))+SQRT(1-Controls!$B$10^2)*(Random!V341-IF(Controls!$B$7="Normal",Controls!$B$8,(Controls!$B$8+Controls!$B$9)/2)))</f>
        <v/>
      </c>
      <c r="C341" s="10" t="str">
        <f>IF(Random!W341="","",IF(Controls!$B$7="Normal",Controls!$B$8,(Controls!$B$8+Controls!$B$9)/2)+Controls!$B$10*(C340-IF(Controls!$B$7="Normal",Controls!$B$8,(Controls!$B$8+Controls!$B$9)/2))+SQRT(1-Controls!$B$10^2)*(Random!W341-IF(Controls!$B$7="Normal",Controls!$B$8,(Controls!$B$8+Controls!$B$9)/2)))</f>
        <v/>
      </c>
      <c r="D341" s="10" t="str">
        <f>IF(Random!X341="","",IF(Controls!$B$7="Normal",Controls!$B$8,(Controls!$B$8+Controls!$B$9)/2)+Controls!$B$10*(D340-IF(Controls!$B$7="Normal",Controls!$B$8,(Controls!$B$8+Controls!$B$9)/2))+SQRT(1-Controls!$B$10^2)*(Random!X341-IF(Controls!$B$7="Normal",Controls!$B$8,(Controls!$B$8+Controls!$B$9)/2)))</f>
        <v/>
      </c>
      <c r="E341" s="10" t="str">
        <f>IF(Random!Y341="","",IF(Controls!$B$7="Normal",Controls!$B$8,(Controls!$B$8+Controls!$B$9)/2)+Controls!$B$10*(E340-IF(Controls!$B$7="Normal",Controls!$B$8,(Controls!$B$8+Controls!$B$9)/2))+SQRT(1-Controls!$B$10^2)*(Random!Y341-IF(Controls!$B$7="Normal",Controls!$B$8,(Controls!$B$8+Controls!$B$9)/2)))</f>
        <v/>
      </c>
      <c r="F341" s="10" t="str">
        <f>IF(Random!Z341="","",IF(Controls!$B$7="Normal",Controls!$B$8,(Controls!$B$8+Controls!$B$9)/2)+Controls!$B$10*(F340-IF(Controls!$B$7="Normal",Controls!$B$8,(Controls!$B$8+Controls!$B$9)/2))+SQRT(1-Controls!$B$10^2)*(Random!Z341-IF(Controls!$B$7="Normal",Controls!$B$8,(Controls!$B$8+Controls!$B$9)/2)))</f>
        <v/>
      </c>
      <c r="G341" s="10" t="str">
        <f>IF(Random!AA341="","",IF(Controls!$B$7="Normal",Controls!$B$8,(Controls!$B$8+Controls!$B$9)/2)+Controls!$B$10*(G340-IF(Controls!$B$7="Normal",Controls!$B$8,(Controls!$B$8+Controls!$B$9)/2))+SQRT(1-Controls!$B$10^2)*(Random!AA341-IF(Controls!$B$7="Normal",Controls!$B$8,(Controls!$B$8+Controls!$B$9)/2)))</f>
        <v/>
      </c>
      <c r="H341" s="10" t="str">
        <f>IF(Random!AB341="","",IF(Controls!$B$7="Normal",Controls!$B$8,(Controls!$B$8+Controls!$B$9)/2)+Controls!$B$10*(H340-IF(Controls!$B$7="Normal",Controls!$B$8,(Controls!$B$8+Controls!$B$9)/2))+SQRT(1-Controls!$B$10^2)*(Random!AB341-IF(Controls!$B$7="Normal",Controls!$B$8,(Controls!$B$8+Controls!$B$9)/2)))</f>
        <v/>
      </c>
      <c r="I341" s="10" t="str">
        <f>IF(Random!AC341="","",IF(Controls!$B$7="Normal",Controls!$B$8,(Controls!$B$8+Controls!$B$9)/2)+Controls!$B$10*(I340-IF(Controls!$B$7="Normal",Controls!$B$8,(Controls!$B$8+Controls!$B$9)/2))+SQRT(1-Controls!$B$10^2)*(Random!AC341-IF(Controls!$B$7="Normal",Controls!$B$8,(Controls!$B$8+Controls!$B$9)/2)))</f>
        <v/>
      </c>
      <c r="J341" s="10" t="str">
        <f>IF(Random!AD341="","",IF(Controls!$B$7="Normal",Controls!$B$8,(Controls!$B$8+Controls!$B$9)/2)+Controls!$B$10*(J340-IF(Controls!$B$7="Normal",Controls!$B$8,(Controls!$B$8+Controls!$B$9)/2))+SQRT(1-Controls!$B$10^2)*(Random!AD341-IF(Controls!$B$7="Normal",Controls!$B$8,(Controls!$B$8+Controls!$B$9)/2)))</f>
        <v/>
      </c>
      <c r="K341" s="10" t="str">
        <f>IF(Random!AE341="","",IF(Controls!$B$7="Normal",Controls!$B$8,(Controls!$B$8+Controls!$B$9)/2)+Controls!$B$10*(K340-IF(Controls!$B$7="Normal",Controls!$B$8,(Controls!$B$8+Controls!$B$9)/2))+SQRT(1-Controls!$B$10^2)*(Random!AE341-IF(Controls!$B$7="Normal",Controls!$B$8,(Controls!$B$8+Controls!$B$9)/2)))</f>
        <v/>
      </c>
      <c r="L341" s="10" t="str">
        <f>IF($A341="","",IF(AND($A341&gt;=Controls!$B$25,$A341&lt;Controls!$B$25+Controls!$C$25),(Controls!$D$25-1)*EXP(-0.5*(($A341-Controls!$B$25-(Controls!$C$25-1)/2)/MAX(Controls!$C$25/4,0.5))^2),0))</f>
        <v/>
      </c>
      <c r="M341" s="10" t="str">
        <f>IF($A341="","",IF(AND($A341&gt;=Controls!$B$26,$A341&lt;Controls!$B$26+Controls!$C$26),(Controls!$D$26-1)*EXP(-0.5*(($A341-Controls!$B$26-(Controls!$C$26-1)/2)/MAX(Controls!$C$26/4,0.5))^2),0))</f>
        <v/>
      </c>
      <c r="N341" s="10" t="str">
        <f>IF($A341="","",IF(AND($A341&gt;=Controls!$B$27,$A341&lt;Controls!$B$27+Controls!$C$27),(Controls!$D$27-1)*EXP(-0.5*(($A341-Controls!$B$27-(Controls!$C$27-1)/2)/MAX(Controls!$C$27/4,0.5))^2),0))</f>
        <v/>
      </c>
      <c r="O341" s="10" t="str">
        <f>IF($A341="","",IF(AND($A341&gt;=Controls!$B$28,$A341&lt;Controls!$B$28+Controls!$C$28),(Controls!$D$28-1)*EXP(-0.5*(($A341-Controls!$B$28-(Controls!$C$28-1)/2)/MAX(Controls!$C$28/4,0.5))^2),0))</f>
        <v/>
      </c>
      <c r="P341" s="4" t="str">
        <f t="shared" si="1"/>
        <v/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21.0" customHeight="1">
      <c r="A342" s="7" t="str">
        <f>IF(341&lt;=Controls!$B$5,Controls!$B$4+340,"")</f>
        <v/>
      </c>
      <c r="B342" s="10" t="str">
        <f>IF(Random!V342="","",IF(Controls!$B$7="Normal",Controls!$B$8,(Controls!$B$8+Controls!$B$9)/2)+Controls!$B$10*(B341-IF(Controls!$B$7="Normal",Controls!$B$8,(Controls!$B$8+Controls!$B$9)/2))+SQRT(1-Controls!$B$10^2)*(Random!V342-IF(Controls!$B$7="Normal",Controls!$B$8,(Controls!$B$8+Controls!$B$9)/2)))</f>
        <v/>
      </c>
      <c r="C342" s="10" t="str">
        <f>IF(Random!W342="","",IF(Controls!$B$7="Normal",Controls!$B$8,(Controls!$B$8+Controls!$B$9)/2)+Controls!$B$10*(C341-IF(Controls!$B$7="Normal",Controls!$B$8,(Controls!$B$8+Controls!$B$9)/2))+SQRT(1-Controls!$B$10^2)*(Random!W342-IF(Controls!$B$7="Normal",Controls!$B$8,(Controls!$B$8+Controls!$B$9)/2)))</f>
        <v/>
      </c>
      <c r="D342" s="10" t="str">
        <f>IF(Random!X342="","",IF(Controls!$B$7="Normal",Controls!$B$8,(Controls!$B$8+Controls!$B$9)/2)+Controls!$B$10*(D341-IF(Controls!$B$7="Normal",Controls!$B$8,(Controls!$B$8+Controls!$B$9)/2))+SQRT(1-Controls!$B$10^2)*(Random!X342-IF(Controls!$B$7="Normal",Controls!$B$8,(Controls!$B$8+Controls!$B$9)/2)))</f>
        <v/>
      </c>
      <c r="E342" s="10" t="str">
        <f>IF(Random!Y342="","",IF(Controls!$B$7="Normal",Controls!$B$8,(Controls!$B$8+Controls!$B$9)/2)+Controls!$B$10*(E341-IF(Controls!$B$7="Normal",Controls!$B$8,(Controls!$B$8+Controls!$B$9)/2))+SQRT(1-Controls!$B$10^2)*(Random!Y342-IF(Controls!$B$7="Normal",Controls!$B$8,(Controls!$B$8+Controls!$B$9)/2)))</f>
        <v/>
      </c>
      <c r="F342" s="10" t="str">
        <f>IF(Random!Z342="","",IF(Controls!$B$7="Normal",Controls!$B$8,(Controls!$B$8+Controls!$B$9)/2)+Controls!$B$10*(F341-IF(Controls!$B$7="Normal",Controls!$B$8,(Controls!$B$8+Controls!$B$9)/2))+SQRT(1-Controls!$B$10^2)*(Random!Z342-IF(Controls!$B$7="Normal",Controls!$B$8,(Controls!$B$8+Controls!$B$9)/2)))</f>
        <v/>
      </c>
      <c r="G342" s="10" t="str">
        <f>IF(Random!AA342="","",IF(Controls!$B$7="Normal",Controls!$B$8,(Controls!$B$8+Controls!$B$9)/2)+Controls!$B$10*(G341-IF(Controls!$B$7="Normal",Controls!$B$8,(Controls!$B$8+Controls!$B$9)/2))+SQRT(1-Controls!$B$10^2)*(Random!AA342-IF(Controls!$B$7="Normal",Controls!$B$8,(Controls!$B$8+Controls!$B$9)/2)))</f>
        <v/>
      </c>
      <c r="H342" s="10" t="str">
        <f>IF(Random!AB342="","",IF(Controls!$B$7="Normal",Controls!$B$8,(Controls!$B$8+Controls!$B$9)/2)+Controls!$B$10*(H341-IF(Controls!$B$7="Normal",Controls!$B$8,(Controls!$B$8+Controls!$B$9)/2))+SQRT(1-Controls!$B$10^2)*(Random!AB342-IF(Controls!$B$7="Normal",Controls!$B$8,(Controls!$B$8+Controls!$B$9)/2)))</f>
        <v/>
      </c>
      <c r="I342" s="10" t="str">
        <f>IF(Random!AC342="","",IF(Controls!$B$7="Normal",Controls!$B$8,(Controls!$B$8+Controls!$B$9)/2)+Controls!$B$10*(I341-IF(Controls!$B$7="Normal",Controls!$B$8,(Controls!$B$8+Controls!$B$9)/2))+SQRT(1-Controls!$B$10^2)*(Random!AC342-IF(Controls!$B$7="Normal",Controls!$B$8,(Controls!$B$8+Controls!$B$9)/2)))</f>
        <v/>
      </c>
      <c r="J342" s="10" t="str">
        <f>IF(Random!AD342="","",IF(Controls!$B$7="Normal",Controls!$B$8,(Controls!$B$8+Controls!$B$9)/2)+Controls!$B$10*(J341-IF(Controls!$B$7="Normal",Controls!$B$8,(Controls!$B$8+Controls!$B$9)/2))+SQRT(1-Controls!$B$10^2)*(Random!AD342-IF(Controls!$B$7="Normal",Controls!$B$8,(Controls!$B$8+Controls!$B$9)/2)))</f>
        <v/>
      </c>
      <c r="K342" s="10" t="str">
        <f>IF(Random!AE342="","",IF(Controls!$B$7="Normal",Controls!$B$8,(Controls!$B$8+Controls!$B$9)/2)+Controls!$B$10*(K341-IF(Controls!$B$7="Normal",Controls!$B$8,(Controls!$B$8+Controls!$B$9)/2))+SQRT(1-Controls!$B$10^2)*(Random!AE342-IF(Controls!$B$7="Normal",Controls!$B$8,(Controls!$B$8+Controls!$B$9)/2)))</f>
        <v/>
      </c>
      <c r="L342" s="10" t="str">
        <f>IF($A342="","",IF(AND($A342&gt;=Controls!$B$25,$A342&lt;Controls!$B$25+Controls!$C$25),(Controls!$D$25-1)*EXP(-0.5*(($A342-Controls!$B$25-(Controls!$C$25-1)/2)/MAX(Controls!$C$25/4,0.5))^2),0))</f>
        <v/>
      </c>
      <c r="M342" s="10" t="str">
        <f>IF($A342="","",IF(AND($A342&gt;=Controls!$B$26,$A342&lt;Controls!$B$26+Controls!$C$26),(Controls!$D$26-1)*EXP(-0.5*(($A342-Controls!$B$26-(Controls!$C$26-1)/2)/MAX(Controls!$C$26/4,0.5))^2),0))</f>
        <v/>
      </c>
      <c r="N342" s="10" t="str">
        <f>IF($A342="","",IF(AND($A342&gt;=Controls!$B$27,$A342&lt;Controls!$B$27+Controls!$C$27),(Controls!$D$27-1)*EXP(-0.5*(($A342-Controls!$B$27-(Controls!$C$27-1)/2)/MAX(Controls!$C$27/4,0.5))^2),0))</f>
        <v/>
      </c>
      <c r="O342" s="10" t="str">
        <f>IF($A342="","",IF(AND($A342&gt;=Controls!$B$28,$A342&lt;Controls!$B$28+Controls!$C$28),(Controls!$D$28-1)*EXP(-0.5*(($A342-Controls!$B$28-(Controls!$C$28-1)/2)/MAX(Controls!$C$28/4,0.5))^2),0))</f>
        <v/>
      </c>
      <c r="P342" s="4" t="str">
        <f t="shared" si="1"/>
        <v/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21.0" customHeight="1">
      <c r="A343" s="7" t="str">
        <f>IF(342&lt;=Controls!$B$5,Controls!$B$4+341,"")</f>
        <v/>
      </c>
      <c r="B343" s="10" t="str">
        <f>IF(Random!V343="","",IF(Controls!$B$7="Normal",Controls!$B$8,(Controls!$B$8+Controls!$B$9)/2)+Controls!$B$10*(B342-IF(Controls!$B$7="Normal",Controls!$B$8,(Controls!$B$8+Controls!$B$9)/2))+SQRT(1-Controls!$B$10^2)*(Random!V343-IF(Controls!$B$7="Normal",Controls!$B$8,(Controls!$B$8+Controls!$B$9)/2)))</f>
        <v/>
      </c>
      <c r="C343" s="10" t="str">
        <f>IF(Random!W343="","",IF(Controls!$B$7="Normal",Controls!$B$8,(Controls!$B$8+Controls!$B$9)/2)+Controls!$B$10*(C342-IF(Controls!$B$7="Normal",Controls!$B$8,(Controls!$B$8+Controls!$B$9)/2))+SQRT(1-Controls!$B$10^2)*(Random!W343-IF(Controls!$B$7="Normal",Controls!$B$8,(Controls!$B$8+Controls!$B$9)/2)))</f>
        <v/>
      </c>
      <c r="D343" s="10" t="str">
        <f>IF(Random!X343="","",IF(Controls!$B$7="Normal",Controls!$B$8,(Controls!$B$8+Controls!$B$9)/2)+Controls!$B$10*(D342-IF(Controls!$B$7="Normal",Controls!$B$8,(Controls!$B$8+Controls!$B$9)/2))+SQRT(1-Controls!$B$10^2)*(Random!X343-IF(Controls!$B$7="Normal",Controls!$B$8,(Controls!$B$8+Controls!$B$9)/2)))</f>
        <v/>
      </c>
      <c r="E343" s="10" t="str">
        <f>IF(Random!Y343="","",IF(Controls!$B$7="Normal",Controls!$B$8,(Controls!$B$8+Controls!$B$9)/2)+Controls!$B$10*(E342-IF(Controls!$B$7="Normal",Controls!$B$8,(Controls!$B$8+Controls!$B$9)/2))+SQRT(1-Controls!$B$10^2)*(Random!Y343-IF(Controls!$B$7="Normal",Controls!$B$8,(Controls!$B$8+Controls!$B$9)/2)))</f>
        <v/>
      </c>
      <c r="F343" s="10" t="str">
        <f>IF(Random!Z343="","",IF(Controls!$B$7="Normal",Controls!$B$8,(Controls!$B$8+Controls!$B$9)/2)+Controls!$B$10*(F342-IF(Controls!$B$7="Normal",Controls!$B$8,(Controls!$B$8+Controls!$B$9)/2))+SQRT(1-Controls!$B$10^2)*(Random!Z343-IF(Controls!$B$7="Normal",Controls!$B$8,(Controls!$B$8+Controls!$B$9)/2)))</f>
        <v/>
      </c>
      <c r="G343" s="10" t="str">
        <f>IF(Random!AA343="","",IF(Controls!$B$7="Normal",Controls!$B$8,(Controls!$B$8+Controls!$B$9)/2)+Controls!$B$10*(G342-IF(Controls!$B$7="Normal",Controls!$B$8,(Controls!$B$8+Controls!$B$9)/2))+SQRT(1-Controls!$B$10^2)*(Random!AA343-IF(Controls!$B$7="Normal",Controls!$B$8,(Controls!$B$8+Controls!$B$9)/2)))</f>
        <v/>
      </c>
      <c r="H343" s="10" t="str">
        <f>IF(Random!AB343="","",IF(Controls!$B$7="Normal",Controls!$B$8,(Controls!$B$8+Controls!$B$9)/2)+Controls!$B$10*(H342-IF(Controls!$B$7="Normal",Controls!$B$8,(Controls!$B$8+Controls!$B$9)/2))+SQRT(1-Controls!$B$10^2)*(Random!AB343-IF(Controls!$B$7="Normal",Controls!$B$8,(Controls!$B$8+Controls!$B$9)/2)))</f>
        <v/>
      </c>
      <c r="I343" s="10" t="str">
        <f>IF(Random!AC343="","",IF(Controls!$B$7="Normal",Controls!$B$8,(Controls!$B$8+Controls!$B$9)/2)+Controls!$B$10*(I342-IF(Controls!$B$7="Normal",Controls!$B$8,(Controls!$B$8+Controls!$B$9)/2))+SQRT(1-Controls!$B$10^2)*(Random!AC343-IF(Controls!$B$7="Normal",Controls!$B$8,(Controls!$B$8+Controls!$B$9)/2)))</f>
        <v/>
      </c>
      <c r="J343" s="10" t="str">
        <f>IF(Random!AD343="","",IF(Controls!$B$7="Normal",Controls!$B$8,(Controls!$B$8+Controls!$B$9)/2)+Controls!$B$10*(J342-IF(Controls!$B$7="Normal",Controls!$B$8,(Controls!$B$8+Controls!$B$9)/2))+SQRT(1-Controls!$B$10^2)*(Random!AD343-IF(Controls!$B$7="Normal",Controls!$B$8,(Controls!$B$8+Controls!$B$9)/2)))</f>
        <v/>
      </c>
      <c r="K343" s="10" t="str">
        <f>IF(Random!AE343="","",IF(Controls!$B$7="Normal",Controls!$B$8,(Controls!$B$8+Controls!$B$9)/2)+Controls!$B$10*(K342-IF(Controls!$B$7="Normal",Controls!$B$8,(Controls!$B$8+Controls!$B$9)/2))+SQRT(1-Controls!$B$10^2)*(Random!AE343-IF(Controls!$B$7="Normal",Controls!$B$8,(Controls!$B$8+Controls!$B$9)/2)))</f>
        <v/>
      </c>
      <c r="L343" s="10" t="str">
        <f>IF($A343="","",IF(AND($A343&gt;=Controls!$B$25,$A343&lt;Controls!$B$25+Controls!$C$25),(Controls!$D$25-1)*EXP(-0.5*(($A343-Controls!$B$25-(Controls!$C$25-1)/2)/MAX(Controls!$C$25/4,0.5))^2),0))</f>
        <v/>
      </c>
      <c r="M343" s="10" t="str">
        <f>IF($A343="","",IF(AND($A343&gt;=Controls!$B$26,$A343&lt;Controls!$B$26+Controls!$C$26),(Controls!$D$26-1)*EXP(-0.5*(($A343-Controls!$B$26-(Controls!$C$26-1)/2)/MAX(Controls!$C$26/4,0.5))^2),0))</f>
        <v/>
      </c>
      <c r="N343" s="10" t="str">
        <f>IF($A343="","",IF(AND($A343&gt;=Controls!$B$27,$A343&lt;Controls!$B$27+Controls!$C$27),(Controls!$D$27-1)*EXP(-0.5*(($A343-Controls!$B$27-(Controls!$C$27-1)/2)/MAX(Controls!$C$27/4,0.5))^2),0))</f>
        <v/>
      </c>
      <c r="O343" s="10" t="str">
        <f>IF($A343="","",IF(AND($A343&gt;=Controls!$B$28,$A343&lt;Controls!$B$28+Controls!$C$28),(Controls!$D$28-1)*EXP(-0.5*(($A343-Controls!$B$28-(Controls!$C$28-1)/2)/MAX(Controls!$C$28/4,0.5))^2),0))</f>
        <v/>
      </c>
      <c r="P343" s="4" t="str">
        <f t="shared" si="1"/>
        <v/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21.0" customHeight="1">
      <c r="A344" s="7" t="str">
        <f>IF(343&lt;=Controls!$B$5,Controls!$B$4+342,"")</f>
        <v/>
      </c>
      <c r="B344" s="10" t="str">
        <f>IF(Random!V344="","",IF(Controls!$B$7="Normal",Controls!$B$8,(Controls!$B$8+Controls!$B$9)/2)+Controls!$B$10*(B343-IF(Controls!$B$7="Normal",Controls!$B$8,(Controls!$B$8+Controls!$B$9)/2))+SQRT(1-Controls!$B$10^2)*(Random!V344-IF(Controls!$B$7="Normal",Controls!$B$8,(Controls!$B$8+Controls!$B$9)/2)))</f>
        <v/>
      </c>
      <c r="C344" s="10" t="str">
        <f>IF(Random!W344="","",IF(Controls!$B$7="Normal",Controls!$B$8,(Controls!$B$8+Controls!$B$9)/2)+Controls!$B$10*(C343-IF(Controls!$B$7="Normal",Controls!$B$8,(Controls!$B$8+Controls!$B$9)/2))+SQRT(1-Controls!$B$10^2)*(Random!W344-IF(Controls!$B$7="Normal",Controls!$B$8,(Controls!$B$8+Controls!$B$9)/2)))</f>
        <v/>
      </c>
      <c r="D344" s="10" t="str">
        <f>IF(Random!X344="","",IF(Controls!$B$7="Normal",Controls!$B$8,(Controls!$B$8+Controls!$B$9)/2)+Controls!$B$10*(D343-IF(Controls!$B$7="Normal",Controls!$B$8,(Controls!$B$8+Controls!$B$9)/2))+SQRT(1-Controls!$B$10^2)*(Random!X344-IF(Controls!$B$7="Normal",Controls!$B$8,(Controls!$B$8+Controls!$B$9)/2)))</f>
        <v/>
      </c>
      <c r="E344" s="10" t="str">
        <f>IF(Random!Y344="","",IF(Controls!$B$7="Normal",Controls!$B$8,(Controls!$B$8+Controls!$B$9)/2)+Controls!$B$10*(E343-IF(Controls!$B$7="Normal",Controls!$B$8,(Controls!$B$8+Controls!$B$9)/2))+SQRT(1-Controls!$B$10^2)*(Random!Y344-IF(Controls!$B$7="Normal",Controls!$B$8,(Controls!$B$8+Controls!$B$9)/2)))</f>
        <v/>
      </c>
      <c r="F344" s="10" t="str">
        <f>IF(Random!Z344="","",IF(Controls!$B$7="Normal",Controls!$B$8,(Controls!$B$8+Controls!$B$9)/2)+Controls!$B$10*(F343-IF(Controls!$B$7="Normal",Controls!$B$8,(Controls!$B$8+Controls!$B$9)/2))+SQRT(1-Controls!$B$10^2)*(Random!Z344-IF(Controls!$B$7="Normal",Controls!$B$8,(Controls!$B$8+Controls!$B$9)/2)))</f>
        <v/>
      </c>
      <c r="G344" s="10" t="str">
        <f>IF(Random!AA344="","",IF(Controls!$B$7="Normal",Controls!$B$8,(Controls!$B$8+Controls!$B$9)/2)+Controls!$B$10*(G343-IF(Controls!$B$7="Normal",Controls!$B$8,(Controls!$B$8+Controls!$B$9)/2))+SQRT(1-Controls!$B$10^2)*(Random!AA344-IF(Controls!$B$7="Normal",Controls!$B$8,(Controls!$B$8+Controls!$B$9)/2)))</f>
        <v/>
      </c>
      <c r="H344" s="10" t="str">
        <f>IF(Random!AB344="","",IF(Controls!$B$7="Normal",Controls!$B$8,(Controls!$B$8+Controls!$B$9)/2)+Controls!$B$10*(H343-IF(Controls!$B$7="Normal",Controls!$B$8,(Controls!$B$8+Controls!$B$9)/2))+SQRT(1-Controls!$B$10^2)*(Random!AB344-IF(Controls!$B$7="Normal",Controls!$B$8,(Controls!$B$8+Controls!$B$9)/2)))</f>
        <v/>
      </c>
      <c r="I344" s="10" t="str">
        <f>IF(Random!AC344="","",IF(Controls!$B$7="Normal",Controls!$B$8,(Controls!$B$8+Controls!$B$9)/2)+Controls!$B$10*(I343-IF(Controls!$B$7="Normal",Controls!$B$8,(Controls!$B$8+Controls!$B$9)/2))+SQRT(1-Controls!$B$10^2)*(Random!AC344-IF(Controls!$B$7="Normal",Controls!$B$8,(Controls!$B$8+Controls!$B$9)/2)))</f>
        <v/>
      </c>
      <c r="J344" s="10" t="str">
        <f>IF(Random!AD344="","",IF(Controls!$B$7="Normal",Controls!$B$8,(Controls!$B$8+Controls!$B$9)/2)+Controls!$B$10*(J343-IF(Controls!$B$7="Normal",Controls!$B$8,(Controls!$B$8+Controls!$B$9)/2))+SQRT(1-Controls!$B$10^2)*(Random!AD344-IF(Controls!$B$7="Normal",Controls!$B$8,(Controls!$B$8+Controls!$B$9)/2)))</f>
        <v/>
      </c>
      <c r="K344" s="10" t="str">
        <f>IF(Random!AE344="","",IF(Controls!$B$7="Normal",Controls!$B$8,(Controls!$B$8+Controls!$B$9)/2)+Controls!$B$10*(K343-IF(Controls!$B$7="Normal",Controls!$B$8,(Controls!$B$8+Controls!$B$9)/2))+SQRT(1-Controls!$B$10^2)*(Random!AE344-IF(Controls!$B$7="Normal",Controls!$B$8,(Controls!$B$8+Controls!$B$9)/2)))</f>
        <v/>
      </c>
      <c r="L344" s="10" t="str">
        <f>IF($A344="","",IF(AND($A344&gt;=Controls!$B$25,$A344&lt;Controls!$B$25+Controls!$C$25),(Controls!$D$25-1)*EXP(-0.5*(($A344-Controls!$B$25-(Controls!$C$25-1)/2)/MAX(Controls!$C$25/4,0.5))^2),0))</f>
        <v/>
      </c>
      <c r="M344" s="10" t="str">
        <f>IF($A344="","",IF(AND($A344&gt;=Controls!$B$26,$A344&lt;Controls!$B$26+Controls!$C$26),(Controls!$D$26-1)*EXP(-0.5*(($A344-Controls!$B$26-(Controls!$C$26-1)/2)/MAX(Controls!$C$26/4,0.5))^2),0))</f>
        <v/>
      </c>
      <c r="N344" s="10" t="str">
        <f>IF($A344="","",IF(AND($A344&gt;=Controls!$B$27,$A344&lt;Controls!$B$27+Controls!$C$27),(Controls!$D$27-1)*EXP(-0.5*(($A344-Controls!$B$27-(Controls!$C$27-1)/2)/MAX(Controls!$C$27/4,0.5))^2),0))</f>
        <v/>
      </c>
      <c r="O344" s="10" t="str">
        <f>IF($A344="","",IF(AND($A344&gt;=Controls!$B$28,$A344&lt;Controls!$B$28+Controls!$C$28),(Controls!$D$28-1)*EXP(-0.5*(($A344-Controls!$B$28-(Controls!$C$28-1)/2)/MAX(Controls!$C$28/4,0.5))^2),0))</f>
        <v/>
      </c>
      <c r="P344" s="4" t="str">
        <f t="shared" si="1"/>
        <v/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21.0" customHeight="1">
      <c r="A345" s="7" t="str">
        <f>IF(344&lt;=Controls!$B$5,Controls!$B$4+343,"")</f>
        <v/>
      </c>
      <c r="B345" s="10" t="str">
        <f>IF(Random!V345="","",IF(Controls!$B$7="Normal",Controls!$B$8,(Controls!$B$8+Controls!$B$9)/2)+Controls!$B$10*(B344-IF(Controls!$B$7="Normal",Controls!$B$8,(Controls!$B$8+Controls!$B$9)/2))+SQRT(1-Controls!$B$10^2)*(Random!V345-IF(Controls!$B$7="Normal",Controls!$B$8,(Controls!$B$8+Controls!$B$9)/2)))</f>
        <v/>
      </c>
      <c r="C345" s="10" t="str">
        <f>IF(Random!W345="","",IF(Controls!$B$7="Normal",Controls!$B$8,(Controls!$B$8+Controls!$B$9)/2)+Controls!$B$10*(C344-IF(Controls!$B$7="Normal",Controls!$B$8,(Controls!$B$8+Controls!$B$9)/2))+SQRT(1-Controls!$B$10^2)*(Random!W345-IF(Controls!$B$7="Normal",Controls!$B$8,(Controls!$B$8+Controls!$B$9)/2)))</f>
        <v/>
      </c>
      <c r="D345" s="10" t="str">
        <f>IF(Random!X345="","",IF(Controls!$B$7="Normal",Controls!$B$8,(Controls!$B$8+Controls!$B$9)/2)+Controls!$B$10*(D344-IF(Controls!$B$7="Normal",Controls!$B$8,(Controls!$B$8+Controls!$B$9)/2))+SQRT(1-Controls!$B$10^2)*(Random!X345-IF(Controls!$B$7="Normal",Controls!$B$8,(Controls!$B$8+Controls!$B$9)/2)))</f>
        <v/>
      </c>
      <c r="E345" s="10" t="str">
        <f>IF(Random!Y345="","",IF(Controls!$B$7="Normal",Controls!$B$8,(Controls!$B$8+Controls!$B$9)/2)+Controls!$B$10*(E344-IF(Controls!$B$7="Normal",Controls!$B$8,(Controls!$B$8+Controls!$B$9)/2))+SQRT(1-Controls!$B$10^2)*(Random!Y345-IF(Controls!$B$7="Normal",Controls!$B$8,(Controls!$B$8+Controls!$B$9)/2)))</f>
        <v/>
      </c>
      <c r="F345" s="10" t="str">
        <f>IF(Random!Z345="","",IF(Controls!$B$7="Normal",Controls!$B$8,(Controls!$B$8+Controls!$B$9)/2)+Controls!$B$10*(F344-IF(Controls!$B$7="Normal",Controls!$B$8,(Controls!$B$8+Controls!$B$9)/2))+SQRT(1-Controls!$B$10^2)*(Random!Z345-IF(Controls!$B$7="Normal",Controls!$B$8,(Controls!$B$8+Controls!$B$9)/2)))</f>
        <v/>
      </c>
      <c r="G345" s="10" t="str">
        <f>IF(Random!AA345="","",IF(Controls!$B$7="Normal",Controls!$B$8,(Controls!$B$8+Controls!$B$9)/2)+Controls!$B$10*(G344-IF(Controls!$B$7="Normal",Controls!$B$8,(Controls!$B$8+Controls!$B$9)/2))+SQRT(1-Controls!$B$10^2)*(Random!AA345-IF(Controls!$B$7="Normal",Controls!$B$8,(Controls!$B$8+Controls!$B$9)/2)))</f>
        <v/>
      </c>
      <c r="H345" s="10" t="str">
        <f>IF(Random!AB345="","",IF(Controls!$B$7="Normal",Controls!$B$8,(Controls!$B$8+Controls!$B$9)/2)+Controls!$B$10*(H344-IF(Controls!$B$7="Normal",Controls!$B$8,(Controls!$B$8+Controls!$B$9)/2))+SQRT(1-Controls!$B$10^2)*(Random!AB345-IF(Controls!$B$7="Normal",Controls!$B$8,(Controls!$B$8+Controls!$B$9)/2)))</f>
        <v/>
      </c>
      <c r="I345" s="10" t="str">
        <f>IF(Random!AC345="","",IF(Controls!$B$7="Normal",Controls!$B$8,(Controls!$B$8+Controls!$B$9)/2)+Controls!$B$10*(I344-IF(Controls!$B$7="Normal",Controls!$B$8,(Controls!$B$8+Controls!$B$9)/2))+SQRT(1-Controls!$B$10^2)*(Random!AC345-IF(Controls!$B$7="Normal",Controls!$B$8,(Controls!$B$8+Controls!$B$9)/2)))</f>
        <v/>
      </c>
      <c r="J345" s="10" t="str">
        <f>IF(Random!AD345="","",IF(Controls!$B$7="Normal",Controls!$B$8,(Controls!$B$8+Controls!$B$9)/2)+Controls!$B$10*(J344-IF(Controls!$B$7="Normal",Controls!$B$8,(Controls!$B$8+Controls!$B$9)/2))+SQRT(1-Controls!$B$10^2)*(Random!AD345-IF(Controls!$B$7="Normal",Controls!$B$8,(Controls!$B$8+Controls!$B$9)/2)))</f>
        <v/>
      </c>
      <c r="K345" s="10" t="str">
        <f>IF(Random!AE345="","",IF(Controls!$B$7="Normal",Controls!$B$8,(Controls!$B$8+Controls!$B$9)/2)+Controls!$B$10*(K344-IF(Controls!$B$7="Normal",Controls!$B$8,(Controls!$B$8+Controls!$B$9)/2))+SQRT(1-Controls!$B$10^2)*(Random!AE345-IF(Controls!$B$7="Normal",Controls!$B$8,(Controls!$B$8+Controls!$B$9)/2)))</f>
        <v/>
      </c>
      <c r="L345" s="10" t="str">
        <f>IF($A345="","",IF(AND($A345&gt;=Controls!$B$25,$A345&lt;Controls!$B$25+Controls!$C$25),(Controls!$D$25-1)*EXP(-0.5*(($A345-Controls!$B$25-(Controls!$C$25-1)/2)/MAX(Controls!$C$25/4,0.5))^2),0))</f>
        <v/>
      </c>
      <c r="M345" s="10" t="str">
        <f>IF($A345="","",IF(AND($A345&gt;=Controls!$B$26,$A345&lt;Controls!$B$26+Controls!$C$26),(Controls!$D$26-1)*EXP(-0.5*(($A345-Controls!$B$26-(Controls!$C$26-1)/2)/MAX(Controls!$C$26/4,0.5))^2),0))</f>
        <v/>
      </c>
      <c r="N345" s="10" t="str">
        <f>IF($A345="","",IF(AND($A345&gt;=Controls!$B$27,$A345&lt;Controls!$B$27+Controls!$C$27),(Controls!$D$27-1)*EXP(-0.5*(($A345-Controls!$B$27-(Controls!$C$27-1)/2)/MAX(Controls!$C$27/4,0.5))^2),0))</f>
        <v/>
      </c>
      <c r="O345" s="10" t="str">
        <f>IF($A345="","",IF(AND($A345&gt;=Controls!$B$28,$A345&lt;Controls!$B$28+Controls!$C$28),(Controls!$D$28-1)*EXP(-0.5*(($A345-Controls!$B$28-(Controls!$C$28-1)/2)/MAX(Controls!$C$28/4,0.5))^2),0))</f>
        <v/>
      </c>
      <c r="P345" s="4" t="str">
        <f t="shared" si="1"/>
        <v/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21.0" customHeight="1">
      <c r="A346" s="7" t="str">
        <f>IF(345&lt;=Controls!$B$5,Controls!$B$4+344,"")</f>
        <v/>
      </c>
      <c r="B346" s="10" t="str">
        <f>IF(Random!V346="","",IF(Controls!$B$7="Normal",Controls!$B$8,(Controls!$B$8+Controls!$B$9)/2)+Controls!$B$10*(B345-IF(Controls!$B$7="Normal",Controls!$B$8,(Controls!$B$8+Controls!$B$9)/2))+SQRT(1-Controls!$B$10^2)*(Random!V346-IF(Controls!$B$7="Normal",Controls!$B$8,(Controls!$B$8+Controls!$B$9)/2)))</f>
        <v/>
      </c>
      <c r="C346" s="10" t="str">
        <f>IF(Random!W346="","",IF(Controls!$B$7="Normal",Controls!$B$8,(Controls!$B$8+Controls!$B$9)/2)+Controls!$B$10*(C345-IF(Controls!$B$7="Normal",Controls!$B$8,(Controls!$B$8+Controls!$B$9)/2))+SQRT(1-Controls!$B$10^2)*(Random!W346-IF(Controls!$B$7="Normal",Controls!$B$8,(Controls!$B$8+Controls!$B$9)/2)))</f>
        <v/>
      </c>
      <c r="D346" s="10" t="str">
        <f>IF(Random!X346="","",IF(Controls!$B$7="Normal",Controls!$B$8,(Controls!$B$8+Controls!$B$9)/2)+Controls!$B$10*(D345-IF(Controls!$B$7="Normal",Controls!$B$8,(Controls!$B$8+Controls!$B$9)/2))+SQRT(1-Controls!$B$10^2)*(Random!X346-IF(Controls!$B$7="Normal",Controls!$B$8,(Controls!$B$8+Controls!$B$9)/2)))</f>
        <v/>
      </c>
      <c r="E346" s="10" t="str">
        <f>IF(Random!Y346="","",IF(Controls!$B$7="Normal",Controls!$B$8,(Controls!$B$8+Controls!$B$9)/2)+Controls!$B$10*(E345-IF(Controls!$B$7="Normal",Controls!$B$8,(Controls!$B$8+Controls!$B$9)/2))+SQRT(1-Controls!$B$10^2)*(Random!Y346-IF(Controls!$B$7="Normal",Controls!$B$8,(Controls!$B$8+Controls!$B$9)/2)))</f>
        <v/>
      </c>
      <c r="F346" s="10" t="str">
        <f>IF(Random!Z346="","",IF(Controls!$B$7="Normal",Controls!$B$8,(Controls!$B$8+Controls!$B$9)/2)+Controls!$B$10*(F345-IF(Controls!$B$7="Normal",Controls!$B$8,(Controls!$B$8+Controls!$B$9)/2))+SQRT(1-Controls!$B$10^2)*(Random!Z346-IF(Controls!$B$7="Normal",Controls!$B$8,(Controls!$B$8+Controls!$B$9)/2)))</f>
        <v/>
      </c>
      <c r="G346" s="10" t="str">
        <f>IF(Random!AA346="","",IF(Controls!$B$7="Normal",Controls!$B$8,(Controls!$B$8+Controls!$B$9)/2)+Controls!$B$10*(G345-IF(Controls!$B$7="Normal",Controls!$B$8,(Controls!$B$8+Controls!$B$9)/2))+SQRT(1-Controls!$B$10^2)*(Random!AA346-IF(Controls!$B$7="Normal",Controls!$B$8,(Controls!$B$8+Controls!$B$9)/2)))</f>
        <v/>
      </c>
      <c r="H346" s="10" t="str">
        <f>IF(Random!AB346="","",IF(Controls!$B$7="Normal",Controls!$B$8,(Controls!$B$8+Controls!$B$9)/2)+Controls!$B$10*(H345-IF(Controls!$B$7="Normal",Controls!$B$8,(Controls!$B$8+Controls!$B$9)/2))+SQRT(1-Controls!$B$10^2)*(Random!AB346-IF(Controls!$B$7="Normal",Controls!$B$8,(Controls!$B$8+Controls!$B$9)/2)))</f>
        <v/>
      </c>
      <c r="I346" s="10" t="str">
        <f>IF(Random!AC346="","",IF(Controls!$B$7="Normal",Controls!$B$8,(Controls!$B$8+Controls!$B$9)/2)+Controls!$B$10*(I345-IF(Controls!$B$7="Normal",Controls!$B$8,(Controls!$B$8+Controls!$B$9)/2))+SQRT(1-Controls!$B$10^2)*(Random!AC346-IF(Controls!$B$7="Normal",Controls!$B$8,(Controls!$B$8+Controls!$B$9)/2)))</f>
        <v/>
      </c>
      <c r="J346" s="10" t="str">
        <f>IF(Random!AD346="","",IF(Controls!$B$7="Normal",Controls!$B$8,(Controls!$B$8+Controls!$B$9)/2)+Controls!$B$10*(J345-IF(Controls!$B$7="Normal",Controls!$B$8,(Controls!$B$8+Controls!$B$9)/2))+SQRT(1-Controls!$B$10^2)*(Random!AD346-IF(Controls!$B$7="Normal",Controls!$B$8,(Controls!$B$8+Controls!$B$9)/2)))</f>
        <v/>
      </c>
      <c r="K346" s="10" t="str">
        <f>IF(Random!AE346="","",IF(Controls!$B$7="Normal",Controls!$B$8,(Controls!$B$8+Controls!$B$9)/2)+Controls!$B$10*(K345-IF(Controls!$B$7="Normal",Controls!$B$8,(Controls!$B$8+Controls!$B$9)/2))+SQRT(1-Controls!$B$10^2)*(Random!AE346-IF(Controls!$B$7="Normal",Controls!$B$8,(Controls!$B$8+Controls!$B$9)/2)))</f>
        <v/>
      </c>
      <c r="L346" s="10" t="str">
        <f>IF($A346="","",IF(AND($A346&gt;=Controls!$B$25,$A346&lt;Controls!$B$25+Controls!$C$25),(Controls!$D$25-1)*EXP(-0.5*(($A346-Controls!$B$25-(Controls!$C$25-1)/2)/MAX(Controls!$C$25/4,0.5))^2),0))</f>
        <v/>
      </c>
      <c r="M346" s="10" t="str">
        <f>IF($A346="","",IF(AND($A346&gt;=Controls!$B$26,$A346&lt;Controls!$B$26+Controls!$C$26),(Controls!$D$26-1)*EXP(-0.5*(($A346-Controls!$B$26-(Controls!$C$26-1)/2)/MAX(Controls!$C$26/4,0.5))^2),0))</f>
        <v/>
      </c>
      <c r="N346" s="10" t="str">
        <f>IF($A346="","",IF(AND($A346&gt;=Controls!$B$27,$A346&lt;Controls!$B$27+Controls!$C$27),(Controls!$D$27-1)*EXP(-0.5*(($A346-Controls!$B$27-(Controls!$C$27-1)/2)/MAX(Controls!$C$27/4,0.5))^2),0))</f>
        <v/>
      </c>
      <c r="O346" s="10" t="str">
        <f>IF($A346="","",IF(AND($A346&gt;=Controls!$B$28,$A346&lt;Controls!$B$28+Controls!$C$28),(Controls!$D$28-1)*EXP(-0.5*(($A346-Controls!$B$28-(Controls!$C$28-1)/2)/MAX(Controls!$C$28/4,0.5))^2),0))</f>
        <v/>
      </c>
      <c r="P346" s="4" t="str">
        <f t="shared" si="1"/>
        <v/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21.0" customHeight="1">
      <c r="A347" s="7" t="str">
        <f>IF(346&lt;=Controls!$B$5,Controls!$B$4+345,"")</f>
        <v/>
      </c>
      <c r="B347" s="10" t="str">
        <f>IF(Random!V347="","",IF(Controls!$B$7="Normal",Controls!$B$8,(Controls!$B$8+Controls!$B$9)/2)+Controls!$B$10*(B346-IF(Controls!$B$7="Normal",Controls!$B$8,(Controls!$B$8+Controls!$B$9)/2))+SQRT(1-Controls!$B$10^2)*(Random!V347-IF(Controls!$B$7="Normal",Controls!$B$8,(Controls!$B$8+Controls!$B$9)/2)))</f>
        <v/>
      </c>
      <c r="C347" s="10" t="str">
        <f>IF(Random!W347="","",IF(Controls!$B$7="Normal",Controls!$B$8,(Controls!$B$8+Controls!$B$9)/2)+Controls!$B$10*(C346-IF(Controls!$B$7="Normal",Controls!$B$8,(Controls!$B$8+Controls!$B$9)/2))+SQRT(1-Controls!$B$10^2)*(Random!W347-IF(Controls!$B$7="Normal",Controls!$B$8,(Controls!$B$8+Controls!$B$9)/2)))</f>
        <v/>
      </c>
      <c r="D347" s="10" t="str">
        <f>IF(Random!X347="","",IF(Controls!$B$7="Normal",Controls!$B$8,(Controls!$B$8+Controls!$B$9)/2)+Controls!$B$10*(D346-IF(Controls!$B$7="Normal",Controls!$B$8,(Controls!$B$8+Controls!$B$9)/2))+SQRT(1-Controls!$B$10^2)*(Random!X347-IF(Controls!$B$7="Normal",Controls!$B$8,(Controls!$B$8+Controls!$B$9)/2)))</f>
        <v/>
      </c>
      <c r="E347" s="10" t="str">
        <f>IF(Random!Y347="","",IF(Controls!$B$7="Normal",Controls!$B$8,(Controls!$B$8+Controls!$B$9)/2)+Controls!$B$10*(E346-IF(Controls!$B$7="Normal",Controls!$B$8,(Controls!$B$8+Controls!$B$9)/2))+SQRT(1-Controls!$B$10^2)*(Random!Y347-IF(Controls!$B$7="Normal",Controls!$B$8,(Controls!$B$8+Controls!$B$9)/2)))</f>
        <v/>
      </c>
      <c r="F347" s="10" t="str">
        <f>IF(Random!Z347="","",IF(Controls!$B$7="Normal",Controls!$B$8,(Controls!$B$8+Controls!$B$9)/2)+Controls!$B$10*(F346-IF(Controls!$B$7="Normal",Controls!$B$8,(Controls!$B$8+Controls!$B$9)/2))+SQRT(1-Controls!$B$10^2)*(Random!Z347-IF(Controls!$B$7="Normal",Controls!$B$8,(Controls!$B$8+Controls!$B$9)/2)))</f>
        <v/>
      </c>
      <c r="G347" s="10" t="str">
        <f>IF(Random!AA347="","",IF(Controls!$B$7="Normal",Controls!$B$8,(Controls!$B$8+Controls!$B$9)/2)+Controls!$B$10*(G346-IF(Controls!$B$7="Normal",Controls!$B$8,(Controls!$B$8+Controls!$B$9)/2))+SQRT(1-Controls!$B$10^2)*(Random!AA347-IF(Controls!$B$7="Normal",Controls!$B$8,(Controls!$B$8+Controls!$B$9)/2)))</f>
        <v/>
      </c>
      <c r="H347" s="10" t="str">
        <f>IF(Random!AB347="","",IF(Controls!$B$7="Normal",Controls!$B$8,(Controls!$B$8+Controls!$B$9)/2)+Controls!$B$10*(H346-IF(Controls!$B$7="Normal",Controls!$B$8,(Controls!$B$8+Controls!$B$9)/2))+SQRT(1-Controls!$B$10^2)*(Random!AB347-IF(Controls!$B$7="Normal",Controls!$B$8,(Controls!$B$8+Controls!$B$9)/2)))</f>
        <v/>
      </c>
      <c r="I347" s="10" t="str">
        <f>IF(Random!AC347="","",IF(Controls!$B$7="Normal",Controls!$B$8,(Controls!$B$8+Controls!$B$9)/2)+Controls!$B$10*(I346-IF(Controls!$B$7="Normal",Controls!$B$8,(Controls!$B$8+Controls!$B$9)/2))+SQRT(1-Controls!$B$10^2)*(Random!AC347-IF(Controls!$B$7="Normal",Controls!$B$8,(Controls!$B$8+Controls!$B$9)/2)))</f>
        <v/>
      </c>
      <c r="J347" s="10" t="str">
        <f>IF(Random!AD347="","",IF(Controls!$B$7="Normal",Controls!$B$8,(Controls!$B$8+Controls!$B$9)/2)+Controls!$B$10*(J346-IF(Controls!$B$7="Normal",Controls!$B$8,(Controls!$B$8+Controls!$B$9)/2))+SQRT(1-Controls!$B$10^2)*(Random!AD347-IF(Controls!$B$7="Normal",Controls!$B$8,(Controls!$B$8+Controls!$B$9)/2)))</f>
        <v/>
      </c>
      <c r="K347" s="10" t="str">
        <f>IF(Random!AE347="","",IF(Controls!$B$7="Normal",Controls!$B$8,(Controls!$B$8+Controls!$B$9)/2)+Controls!$B$10*(K346-IF(Controls!$B$7="Normal",Controls!$B$8,(Controls!$B$8+Controls!$B$9)/2))+SQRT(1-Controls!$B$10^2)*(Random!AE347-IF(Controls!$B$7="Normal",Controls!$B$8,(Controls!$B$8+Controls!$B$9)/2)))</f>
        <v/>
      </c>
      <c r="L347" s="10" t="str">
        <f>IF($A347="","",IF(AND($A347&gt;=Controls!$B$25,$A347&lt;Controls!$B$25+Controls!$C$25),(Controls!$D$25-1)*EXP(-0.5*(($A347-Controls!$B$25-(Controls!$C$25-1)/2)/MAX(Controls!$C$25/4,0.5))^2),0))</f>
        <v/>
      </c>
      <c r="M347" s="10" t="str">
        <f>IF($A347="","",IF(AND($A347&gt;=Controls!$B$26,$A347&lt;Controls!$B$26+Controls!$C$26),(Controls!$D$26-1)*EXP(-0.5*(($A347-Controls!$B$26-(Controls!$C$26-1)/2)/MAX(Controls!$C$26/4,0.5))^2),0))</f>
        <v/>
      </c>
      <c r="N347" s="10" t="str">
        <f>IF($A347="","",IF(AND($A347&gt;=Controls!$B$27,$A347&lt;Controls!$B$27+Controls!$C$27),(Controls!$D$27-1)*EXP(-0.5*(($A347-Controls!$B$27-(Controls!$C$27-1)/2)/MAX(Controls!$C$27/4,0.5))^2),0))</f>
        <v/>
      </c>
      <c r="O347" s="10" t="str">
        <f>IF($A347="","",IF(AND($A347&gt;=Controls!$B$28,$A347&lt;Controls!$B$28+Controls!$C$28),(Controls!$D$28-1)*EXP(-0.5*(($A347-Controls!$B$28-(Controls!$C$28-1)/2)/MAX(Controls!$C$28/4,0.5))^2),0))</f>
        <v/>
      </c>
      <c r="P347" s="4" t="str">
        <f t="shared" si="1"/>
        <v/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21.0" customHeight="1">
      <c r="A348" s="7" t="str">
        <f>IF(347&lt;=Controls!$B$5,Controls!$B$4+346,"")</f>
        <v/>
      </c>
      <c r="B348" s="10" t="str">
        <f>IF(Random!V348="","",IF(Controls!$B$7="Normal",Controls!$B$8,(Controls!$B$8+Controls!$B$9)/2)+Controls!$B$10*(B347-IF(Controls!$B$7="Normal",Controls!$B$8,(Controls!$B$8+Controls!$B$9)/2))+SQRT(1-Controls!$B$10^2)*(Random!V348-IF(Controls!$B$7="Normal",Controls!$B$8,(Controls!$B$8+Controls!$B$9)/2)))</f>
        <v/>
      </c>
      <c r="C348" s="10" t="str">
        <f>IF(Random!W348="","",IF(Controls!$B$7="Normal",Controls!$B$8,(Controls!$B$8+Controls!$B$9)/2)+Controls!$B$10*(C347-IF(Controls!$B$7="Normal",Controls!$B$8,(Controls!$B$8+Controls!$B$9)/2))+SQRT(1-Controls!$B$10^2)*(Random!W348-IF(Controls!$B$7="Normal",Controls!$B$8,(Controls!$B$8+Controls!$B$9)/2)))</f>
        <v/>
      </c>
      <c r="D348" s="10" t="str">
        <f>IF(Random!X348="","",IF(Controls!$B$7="Normal",Controls!$B$8,(Controls!$B$8+Controls!$B$9)/2)+Controls!$B$10*(D347-IF(Controls!$B$7="Normal",Controls!$B$8,(Controls!$B$8+Controls!$B$9)/2))+SQRT(1-Controls!$B$10^2)*(Random!X348-IF(Controls!$B$7="Normal",Controls!$B$8,(Controls!$B$8+Controls!$B$9)/2)))</f>
        <v/>
      </c>
      <c r="E348" s="10" t="str">
        <f>IF(Random!Y348="","",IF(Controls!$B$7="Normal",Controls!$B$8,(Controls!$B$8+Controls!$B$9)/2)+Controls!$B$10*(E347-IF(Controls!$B$7="Normal",Controls!$B$8,(Controls!$B$8+Controls!$B$9)/2))+SQRT(1-Controls!$B$10^2)*(Random!Y348-IF(Controls!$B$7="Normal",Controls!$B$8,(Controls!$B$8+Controls!$B$9)/2)))</f>
        <v/>
      </c>
      <c r="F348" s="10" t="str">
        <f>IF(Random!Z348="","",IF(Controls!$B$7="Normal",Controls!$B$8,(Controls!$B$8+Controls!$B$9)/2)+Controls!$B$10*(F347-IF(Controls!$B$7="Normal",Controls!$B$8,(Controls!$B$8+Controls!$B$9)/2))+SQRT(1-Controls!$B$10^2)*(Random!Z348-IF(Controls!$B$7="Normal",Controls!$B$8,(Controls!$B$8+Controls!$B$9)/2)))</f>
        <v/>
      </c>
      <c r="G348" s="10" t="str">
        <f>IF(Random!AA348="","",IF(Controls!$B$7="Normal",Controls!$B$8,(Controls!$B$8+Controls!$B$9)/2)+Controls!$B$10*(G347-IF(Controls!$B$7="Normal",Controls!$B$8,(Controls!$B$8+Controls!$B$9)/2))+SQRT(1-Controls!$B$10^2)*(Random!AA348-IF(Controls!$B$7="Normal",Controls!$B$8,(Controls!$B$8+Controls!$B$9)/2)))</f>
        <v/>
      </c>
      <c r="H348" s="10" t="str">
        <f>IF(Random!AB348="","",IF(Controls!$B$7="Normal",Controls!$B$8,(Controls!$B$8+Controls!$B$9)/2)+Controls!$B$10*(H347-IF(Controls!$B$7="Normal",Controls!$B$8,(Controls!$B$8+Controls!$B$9)/2))+SQRT(1-Controls!$B$10^2)*(Random!AB348-IF(Controls!$B$7="Normal",Controls!$B$8,(Controls!$B$8+Controls!$B$9)/2)))</f>
        <v/>
      </c>
      <c r="I348" s="10" t="str">
        <f>IF(Random!AC348="","",IF(Controls!$B$7="Normal",Controls!$B$8,(Controls!$B$8+Controls!$B$9)/2)+Controls!$B$10*(I347-IF(Controls!$B$7="Normal",Controls!$B$8,(Controls!$B$8+Controls!$B$9)/2))+SQRT(1-Controls!$B$10^2)*(Random!AC348-IF(Controls!$B$7="Normal",Controls!$B$8,(Controls!$B$8+Controls!$B$9)/2)))</f>
        <v/>
      </c>
      <c r="J348" s="10" t="str">
        <f>IF(Random!AD348="","",IF(Controls!$B$7="Normal",Controls!$B$8,(Controls!$B$8+Controls!$B$9)/2)+Controls!$B$10*(J347-IF(Controls!$B$7="Normal",Controls!$B$8,(Controls!$B$8+Controls!$B$9)/2))+SQRT(1-Controls!$B$10^2)*(Random!AD348-IF(Controls!$B$7="Normal",Controls!$B$8,(Controls!$B$8+Controls!$B$9)/2)))</f>
        <v/>
      </c>
      <c r="K348" s="10" t="str">
        <f>IF(Random!AE348="","",IF(Controls!$B$7="Normal",Controls!$B$8,(Controls!$B$8+Controls!$B$9)/2)+Controls!$B$10*(K347-IF(Controls!$B$7="Normal",Controls!$B$8,(Controls!$B$8+Controls!$B$9)/2))+SQRT(1-Controls!$B$10^2)*(Random!AE348-IF(Controls!$B$7="Normal",Controls!$B$8,(Controls!$B$8+Controls!$B$9)/2)))</f>
        <v/>
      </c>
      <c r="L348" s="10" t="str">
        <f>IF($A348="","",IF(AND($A348&gt;=Controls!$B$25,$A348&lt;Controls!$B$25+Controls!$C$25),(Controls!$D$25-1)*EXP(-0.5*(($A348-Controls!$B$25-(Controls!$C$25-1)/2)/MAX(Controls!$C$25/4,0.5))^2),0))</f>
        <v/>
      </c>
      <c r="M348" s="10" t="str">
        <f>IF($A348="","",IF(AND($A348&gt;=Controls!$B$26,$A348&lt;Controls!$B$26+Controls!$C$26),(Controls!$D$26-1)*EXP(-0.5*(($A348-Controls!$B$26-(Controls!$C$26-1)/2)/MAX(Controls!$C$26/4,0.5))^2),0))</f>
        <v/>
      </c>
      <c r="N348" s="10" t="str">
        <f>IF($A348="","",IF(AND($A348&gt;=Controls!$B$27,$A348&lt;Controls!$B$27+Controls!$C$27),(Controls!$D$27-1)*EXP(-0.5*(($A348-Controls!$B$27-(Controls!$C$27-1)/2)/MAX(Controls!$C$27/4,0.5))^2),0))</f>
        <v/>
      </c>
      <c r="O348" s="10" t="str">
        <f>IF($A348="","",IF(AND($A348&gt;=Controls!$B$28,$A348&lt;Controls!$B$28+Controls!$C$28),(Controls!$D$28-1)*EXP(-0.5*(($A348-Controls!$B$28-(Controls!$C$28-1)/2)/MAX(Controls!$C$28/4,0.5))^2),0))</f>
        <v/>
      </c>
      <c r="P348" s="4" t="str">
        <f t="shared" si="1"/>
        <v/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21.0" customHeight="1">
      <c r="A349" s="7" t="str">
        <f>IF(348&lt;=Controls!$B$5,Controls!$B$4+347,"")</f>
        <v/>
      </c>
      <c r="B349" s="10" t="str">
        <f>IF(Random!V349="","",IF(Controls!$B$7="Normal",Controls!$B$8,(Controls!$B$8+Controls!$B$9)/2)+Controls!$B$10*(B348-IF(Controls!$B$7="Normal",Controls!$B$8,(Controls!$B$8+Controls!$B$9)/2))+SQRT(1-Controls!$B$10^2)*(Random!V349-IF(Controls!$B$7="Normal",Controls!$B$8,(Controls!$B$8+Controls!$B$9)/2)))</f>
        <v/>
      </c>
      <c r="C349" s="10" t="str">
        <f>IF(Random!W349="","",IF(Controls!$B$7="Normal",Controls!$B$8,(Controls!$B$8+Controls!$B$9)/2)+Controls!$B$10*(C348-IF(Controls!$B$7="Normal",Controls!$B$8,(Controls!$B$8+Controls!$B$9)/2))+SQRT(1-Controls!$B$10^2)*(Random!W349-IF(Controls!$B$7="Normal",Controls!$B$8,(Controls!$B$8+Controls!$B$9)/2)))</f>
        <v/>
      </c>
      <c r="D349" s="10" t="str">
        <f>IF(Random!X349="","",IF(Controls!$B$7="Normal",Controls!$B$8,(Controls!$B$8+Controls!$B$9)/2)+Controls!$B$10*(D348-IF(Controls!$B$7="Normal",Controls!$B$8,(Controls!$B$8+Controls!$B$9)/2))+SQRT(1-Controls!$B$10^2)*(Random!X349-IF(Controls!$B$7="Normal",Controls!$B$8,(Controls!$B$8+Controls!$B$9)/2)))</f>
        <v/>
      </c>
      <c r="E349" s="10" t="str">
        <f>IF(Random!Y349="","",IF(Controls!$B$7="Normal",Controls!$B$8,(Controls!$B$8+Controls!$B$9)/2)+Controls!$B$10*(E348-IF(Controls!$B$7="Normal",Controls!$B$8,(Controls!$B$8+Controls!$B$9)/2))+SQRT(1-Controls!$B$10^2)*(Random!Y349-IF(Controls!$B$7="Normal",Controls!$B$8,(Controls!$B$8+Controls!$B$9)/2)))</f>
        <v/>
      </c>
      <c r="F349" s="10" t="str">
        <f>IF(Random!Z349="","",IF(Controls!$B$7="Normal",Controls!$B$8,(Controls!$B$8+Controls!$B$9)/2)+Controls!$B$10*(F348-IF(Controls!$B$7="Normal",Controls!$B$8,(Controls!$B$8+Controls!$B$9)/2))+SQRT(1-Controls!$B$10^2)*(Random!Z349-IF(Controls!$B$7="Normal",Controls!$B$8,(Controls!$B$8+Controls!$B$9)/2)))</f>
        <v/>
      </c>
      <c r="G349" s="10" t="str">
        <f>IF(Random!AA349="","",IF(Controls!$B$7="Normal",Controls!$B$8,(Controls!$B$8+Controls!$B$9)/2)+Controls!$B$10*(G348-IF(Controls!$B$7="Normal",Controls!$B$8,(Controls!$B$8+Controls!$B$9)/2))+SQRT(1-Controls!$B$10^2)*(Random!AA349-IF(Controls!$B$7="Normal",Controls!$B$8,(Controls!$B$8+Controls!$B$9)/2)))</f>
        <v/>
      </c>
      <c r="H349" s="10" t="str">
        <f>IF(Random!AB349="","",IF(Controls!$B$7="Normal",Controls!$B$8,(Controls!$B$8+Controls!$B$9)/2)+Controls!$B$10*(H348-IF(Controls!$B$7="Normal",Controls!$B$8,(Controls!$B$8+Controls!$B$9)/2))+SQRT(1-Controls!$B$10^2)*(Random!AB349-IF(Controls!$B$7="Normal",Controls!$B$8,(Controls!$B$8+Controls!$B$9)/2)))</f>
        <v/>
      </c>
      <c r="I349" s="10" t="str">
        <f>IF(Random!AC349="","",IF(Controls!$B$7="Normal",Controls!$B$8,(Controls!$B$8+Controls!$B$9)/2)+Controls!$B$10*(I348-IF(Controls!$B$7="Normal",Controls!$B$8,(Controls!$B$8+Controls!$B$9)/2))+SQRT(1-Controls!$B$10^2)*(Random!AC349-IF(Controls!$B$7="Normal",Controls!$B$8,(Controls!$B$8+Controls!$B$9)/2)))</f>
        <v/>
      </c>
      <c r="J349" s="10" t="str">
        <f>IF(Random!AD349="","",IF(Controls!$B$7="Normal",Controls!$B$8,(Controls!$B$8+Controls!$B$9)/2)+Controls!$B$10*(J348-IF(Controls!$B$7="Normal",Controls!$B$8,(Controls!$B$8+Controls!$B$9)/2))+SQRT(1-Controls!$B$10^2)*(Random!AD349-IF(Controls!$B$7="Normal",Controls!$B$8,(Controls!$B$8+Controls!$B$9)/2)))</f>
        <v/>
      </c>
      <c r="K349" s="10" t="str">
        <f>IF(Random!AE349="","",IF(Controls!$B$7="Normal",Controls!$B$8,(Controls!$B$8+Controls!$B$9)/2)+Controls!$B$10*(K348-IF(Controls!$B$7="Normal",Controls!$B$8,(Controls!$B$8+Controls!$B$9)/2))+SQRT(1-Controls!$B$10^2)*(Random!AE349-IF(Controls!$B$7="Normal",Controls!$B$8,(Controls!$B$8+Controls!$B$9)/2)))</f>
        <v/>
      </c>
      <c r="L349" s="10" t="str">
        <f>IF($A349="","",IF(AND($A349&gt;=Controls!$B$25,$A349&lt;Controls!$B$25+Controls!$C$25),(Controls!$D$25-1)*EXP(-0.5*(($A349-Controls!$B$25-(Controls!$C$25-1)/2)/MAX(Controls!$C$25/4,0.5))^2),0))</f>
        <v/>
      </c>
      <c r="M349" s="10" t="str">
        <f>IF($A349="","",IF(AND($A349&gt;=Controls!$B$26,$A349&lt;Controls!$B$26+Controls!$C$26),(Controls!$D$26-1)*EXP(-0.5*(($A349-Controls!$B$26-(Controls!$C$26-1)/2)/MAX(Controls!$C$26/4,0.5))^2),0))</f>
        <v/>
      </c>
      <c r="N349" s="10" t="str">
        <f>IF($A349="","",IF(AND($A349&gt;=Controls!$B$27,$A349&lt;Controls!$B$27+Controls!$C$27),(Controls!$D$27-1)*EXP(-0.5*(($A349-Controls!$B$27-(Controls!$C$27-1)/2)/MAX(Controls!$C$27/4,0.5))^2),0))</f>
        <v/>
      </c>
      <c r="O349" s="10" t="str">
        <f>IF($A349="","",IF(AND($A349&gt;=Controls!$B$28,$A349&lt;Controls!$B$28+Controls!$C$28),(Controls!$D$28-1)*EXP(-0.5*(($A349-Controls!$B$28-(Controls!$C$28-1)/2)/MAX(Controls!$C$28/4,0.5))^2),0))</f>
        <v/>
      </c>
      <c r="P349" s="4" t="str">
        <f t="shared" si="1"/>
        <v/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21.0" customHeight="1">
      <c r="A350" s="7" t="str">
        <f>IF(349&lt;=Controls!$B$5,Controls!$B$4+348,"")</f>
        <v/>
      </c>
      <c r="B350" s="10" t="str">
        <f>IF(Random!V350="","",IF(Controls!$B$7="Normal",Controls!$B$8,(Controls!$B$8+Controls!$B$9)/2)+Controls!$B$10*(B349-IF(Controls!$B$7="Normal",Controls!$B$8,(Controls!$B$8+Controls!$B$9)/2))+SQRT(1-Controls!$B$10^2)*(Random!V350-IF(Controls!$B$7="Normal",Controls!$B$8,(Controls!$B$8+Controls!$B$9)/2)))</f>
        <v/>
      </c>
      <c r="C350" s="10" t="str">
        <f>IF(Random!W350="","",IF(Controls!$B$7="Normal",Controls!$B$8,(Controls!$B$8+Controls!$B$9)/2)+Controls!$B$10*(C349-IF(Controls!$B$7="Normal",Controls!$B$8,(Controls!$B$8+Controls!$B$9)/2))+SQRT(1-Controls!$B$10^2)*(Random!W350-IF(Controls!$B$7="Normal",Controls!$B$8,(Controls!$B$8+Controls!$B$9)/2)))</f>
        <v/>
      </c>
      <c r="D350" s="10" t="str">
        <f>IF(Random!X350="","",IF(Controls!$B$7="Normal",Controls!$B$8,(Controls!$B$8+Controls!$B$9)/2)+Controls!$B$10*(D349-IF(Controls!$B$7="Normal",Controls!$B$8,(Controls!$B$8+Controls!$B$9)/2))+SQRT(1-Controls!$B$10^2)*(Random!X350-IF(Controls!$B$7="Normal",Controls!$B$8,(Controls!$B$8+Controls!$B$9)/2)))</f>
        <v/>
      </c>
      <c r="E350" s="10" t="str">
        <f>IF(Random!Y350="","",IF(Controls!$B$7="Normal",Controls!$B$8,(Controls!$B$8+Controls!$B$9)/2)+Controls!$B$10*(E349-IF(Controls!$B$7="Normal",Controls!$B$8,(Controls!$B$8+Controls!$B$9)/2))+SQRT(1-Controls!$B$10^2)*(Random!Y350-IF(Controls!$B$7="Normal",Controls!$B$8,(Controls!$B$8+Controls!$B$9)/2)))</f>
        <v/>
      </c>
      <c r="F350" s="10" t="str">
        <f>IF(Random!Z350="","",IF(Controls!$B$7="Normal",Controls!$B$8,(Controls!$B$8+Controls!$B$9)/2)+Controls!$B$10*(F349-IF(Controls!$B$7="Normal",Controls!$B$8,(Controls!$B$8+Controls!$B$9)/2))+SQRT(1-Controls!$B$10^2)*(Random!Z350-IF(Controls!$B$7="Normal",Controls!$B$8,(Controls!$B$8+Controls!$B$9)/2)))</f>
        <v/>
      </c>
      <c r="G350" s="10" t="str">
        <f>IF(Random!AA350="","",IF(Controls!$B$7="Normal",Controls!$B$8,(Controls!$B$8+Controls!$B$9)/2)+Controls!$B$10*(G349-IF(Controls!$B$7="Normal",Controls!$B$8,(Controls!$B$8+Controls!$B$9)/2))+SQRT(1-Controls!$B$10^2)*(Random!AA350-IF(Controls!$B$7="Normal",Controls!$B$8,(Controls!$B$8+Controls!$B$9)/2)))</f>
        <v/>
      </c>
      <c r="H350" s="10" t="str">
        <f>IF(Random!AB350="","",IF(Controls!$B$7="Normal",Controls!$B$8,(Controls!$B$8+Controls!$B$9)/2)+Controls!$B$10*(H349-IF(Controls!$B$7="Normal",Controls!$B$8,(Controls!$B$8+Controls!$B$9)/2))+SQRT(1-Controls!$B$10^2)*(Random!AB350-IF(Controls!$B$7="Normal",Controls!$B$8,(Controls!$B$8+Controls!$B$9)/2)))</f>
        <v/>
      </c>
      <c r="I350" s="10" t="str">
        <f>IF(Random!AC350="","",IF(Controls!$B$7="Normal",Controls!$B$8,(Controls!$B$8+Controls!$B$9)/2)+Controls!$B$10*(I349-IF(Controls!$B$7="Normal",Controls!$B$8,(Controls!$B$8+Controls!$B$9)/2))+SQRT(1-Controls!$B$10^2)*(Random!AC350-IF(Controls!$B$7="Normal",Controls!$B$8,(Controls!$B$8+Controls!$B$9)/2)))</f>
        <v/>
      </c>
      <c r="J350" s="10" t="str">
        <f>IF(Random!AD350="","",IF(Controls!$B$7="Normal",Controls!$B$8,(Controls!$B$8+Controls!$B$9)/2)+Controls!$B$10*(J349-IF(Controls!$B$7="Normal",Controls!$B$8,(Controls!$B$8+Controls!$B$9)/2))+SQRT(1-Controls!$B$10^2)*(Random!AD350-IF(Controls!$B$7="Normal",Controls!$B$8,(Controls!$B$8+Controls!$B$9)/2)))</f>
        <v/>
      </c>
      <c r="K350" s="10" t="str">
        <f>IF(Random!AE350="","",IF(Controls!$B$7="Normal",Controls!$B$8,(Controls!$B$8+Controls!$B$9)/2)+Controls!$B$10*(K349-IF(Controls!$B$7="Normal",Controls!$B$8,(Controls!$B$8+Controls!$B$9)/2))+SQRT(1-Controls!$B$10^2)*(Random!AE350-IF(Controls!$B$7="Normal",Controls!$B$8,(Controls!$B$8+Controls!$B$9)/2)))</f>
        <v/>
      </c>
      <c r="L350" s="10" t="str">
        <f>IF($A350="","",IF(AND($A350&gt;=Controls!$B$25,$A350&lt;Controls!$B$25+Controls!$C$25),(Controls!$D$25-1)*EXP(-0.5*(($A350-Controls!$B$25-(Controls!$C$25-1)/2)/MAX(Controls!$C$25/4,0.5))^2),0))</f>
        <v/>
      </c>
      <c r="M350" s="10" t="str">
        <f>IF($A350="","",IF(AND($A350&gt;=Controls!$B$26,$A350&lt;Controls!$B$26+Controls!$C$26),(Controls!$D$26-1)*EXP(-0.5*(($A350-Controls!$B$26-(Controls!$C$26-1)/2)/MAX(Controls!$C$26/4,0.5))^2),0))</f>
        <v/>
      </c>
      <c r="N350" s="10" t="str">
        <f>IF($A350="","",IF(AND($A350&gt;=Controls!$B$27,$A350&lt;Controls!$B$27+Controls!$C$27),(Controls!$D$27-1)*EXP(-0.5*(($A350-Controls!$B$27-(Controls!$C$27-1)/2)/MAX(Controls!$C$27/4,0.5))^2),0))</f>
        <v/>
      </c>
      <c r="O350" s="10" t="str">
        <f>IF($A350="","",IF(AND($A350&gt;=Controls!$B$28,$A350&lt;Controls!$B$28+Controls!$C$28),(Controls!$D$28-1)*EXP(-0.5*(($A350-Controls!$B$28-(Controls!$C$28-1)/2)/MAX(Controls!$C$28/4,0.5))^2),0))</f>
        <v/>
      </c>
      <c r="P350" s="4" t="str">
        <f t="shared" si="1"/>
        <v/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21.0" customHeight="1">
      <c r="A351" s="7" t="str">
        <f>IF(350&lt;=Controls!$B$5,Controls!$B$4+349,"")</f>
        <v/>
      </c>
      <c r="B351" s="10" t="str">
        <f>IF(Random!V351="","",IF(Controls!$B$7="Normal",Controls!$B$8,(Controls!$B$8+Controls!$B$9)/2)+Controls!$B$10*(B350-IF(Controls!$B$7="Normal",Controls!$B$8,(Controls!$B$8+Controls!$B$9)/2))+SQRT(1-Controls!$B$10^2)*(Random!V351-IF(Controls!$B$7="Normal",Controls!$B$8,(Controls!$B$8+Controls!$B$9)/2)))</f>
        <v/>
      </c>
      <c r="C351" s="10" t="str">
        <f>IF(Random!W351="","",IF(Controls!$B$7="Normal",Controls!$B$8,(Controls!$B$8+Controls!$B$9)/2)+Controls!$B$10*(C350-IF(Controls!$B$7="Normal",Controls!$B$8,(Controls!$B$8+Controls!$B$9)/2))+SQRT(1-Controls!$B$10^2)*(Random!W351-IF(Controls!$B$7="Normal",Controls!$B$8,(Controls!$B$8+Controls!$B$9)/2)))</f>
        <v/>
      </c>
      <c r="D351" s="10" t="str">
        <f>IF(Random!X351="","",IF(Controls!$B$7="Normal",Controls!$B$8,(Controls!$B$8+Controls!$B$9)/2)+Controls!$B$10*(D350-IF(Controls!$B$7="Normal",Controls!$B$8,(Controls!$B$8+Controls!$B$9)/2))+SQRT(1-Controls!$B$10^2)*(Random!X351-IF(Controls!$B$7="Normal",Controls!$B$8,(Controls!$B$8+Controls!$B$9)/2)))</f>
        <v/>
      </c>
      <c r="E351" s="10" t="str">
        <f>IF(Random!Y351="","",IF(Controls!$B$7="Normal",Controls!$B$8,(Controls!$B$8+Controls!$B$9)/2)+Controls!$B$10*(E350-IF(Controls!$B$7="Normal",Controls!$B$8,(Controls!$B$8+Controls!$B$9)/2))+SQRT(1-Controls!$B$10^2)*(Random!Y351-IF(Controls!$B$7="Normal",Controls!$B$8,(Controls!$B$8+Controls!$B$9)/2)))</f>
        <v/>
      </c>
      <c r="F351" s="10" t="str">
        <f>IF(Random!Z351="","",IF(Controls!$B$7="Normal",Controls!$B$8,(Controls!$B$8+Controls!$B$9)/2)+Controls!$B$10*(F350-IF(Controls!$B$7="Normal",Controls!$B$8,(Controls!$B$8+Controls!$B$9)/2))+SQRT(1-Controls!$B$10^2)*(Random!Z351-IF(Controls!$B$7="Normal",Controls!$B$8,(Controls!$B$8+Controls!$B$9)/2)))</f>
        <v/>
      </c>
      <c r="G351" s="10" t="str">
        <f>IF(Random!AA351="","",IF(Controls!$B$7="Normal",Controls!$B$8,(Controls!$B$8+Controls!$B$9)/2)+Controls!$B$10*(G350-IF(Controls!$B$7="Normal",Controls!$B$8,(Controls!$B$8+Controls!$B$9)/2))+SQRT(1-Controls!$B$10^2)*(Random!AA351-IF(Controls!$B$7="Normal",Controls!$B$8,(Controls!$B$8+Controls!$B$9)/2)))</f>
        <v/>
      </c>
      <c r="H351" s="10" t="str">
        <f>IF(Random!AB351="","",IF(Controls!$B$7="Normal",Controls!$B$8,(Controls!$B$8+Controls!$B$9)/2)+Controls!$B$10*(H350-IF(Controls!$B$7="Normal",Controls!$B$8,(Controls!$B$8+Controls!$B$9)/2))+SQRT(1-Controls!$B$10^2)*(Random!AB351-IF(Controls!$B$7="Normal",Controls!$B$8,(Controls!$B$8+Controls!$B$9)/2)))</f>
        <v/>
      </c>
      <c r="I351" s="10" t="str">
        <f>IF(Random!AC351="","",IF(Controls!$B$7="Normal",Controls!$B$8,(Controls!$B$8+Controls!$B$9)/2)+Controls!$B$10*(I350-IF(Controls!$B$7="Normal",Controls!$B$8,(Controls!$B$8+Controls!$B$9)/2))+SQRT(1-Controls!$B$10^2)*(Random!AC351-IF(Controls!$B$7="Normal",Controls!$B$8,(Controls!$B$8+Controls!$B$9)/2)))</f>
        <v/>
      </c>
      <c r="J351" s="10" t="str">
        <f>IF(Random!AD351="","",IF(Controls!$B$7="Normal",Controls!$B$8,(Controls!$B$8+Controls!$B$9)/2)+Controls!$B$10*(J350-IF(Controls!$B$7="Normal",Controls!$B$8,(Controls!$B$8+Controls!$B$9)/2))+SQRT(1-Controls!$B$10^2)*(Random!AD351-IF(Controls!$B$7="Normal",Controls!$B$8,(Controls!$B$8+Controls!$B$9)/2)))</f>
        <v/>
      </c>
      <c r="K351" s="10" t="str">
        <f>IF(Random!AE351="","",IF(Controls!$B$7="Normal",Controls!$B$8,(Controls!$B$8+Controls!$B$9)/2)+Controls!$B$10*(K350-IF(Controls!$B$7="Normal",Controls!$B$8,(Controls!$B$8+Controls!$B$9)/2))+SQRT(1-Controls!$B$10^2)*(Random!AE351-IF(Controls!$B$7="Normal",Controls!$B$8,(Controls!$B$8+Controls!$B$9)/2)))</f>
        <v/>
      </c>
      <c r="L351" s="10" t="str">
        <f>IF($A351="","",IF(AND($A351&gt;=Controls!$B$25,$A351&lt;Controls!$B$25+Controls!$C$25),(Controls!$D$25-1)*EXP(-0.5*(($A351-Controls!$B$25-(Controls!$C$25-1)/2)/MAX(Controls!$C$25/4,0.5))^2),0))</f>
        <v/>
      </c>
      <c r="M351" s="10" t="str">
        <f>IF($A351="","",IF(AND($A351&gt;=Controls!$B$26,$A351&lt;Controls!$B$26+Controls!$C$26),(Controls!$D$26-1)*EXP(-0.5*(($A351-Controls!$B$26-(Controls!$C$26-1)/2)/MAX(Controls!$C$26/4,0.5))^2),0))</f>
        <v/>
      </c>
      <c r="N351" s="10" t="str">
        <f>IF($A351="","",IF(AND($A351&gt;=Controls!$B$27,$A351&lt;Controls!$B$27+Controls!$C$27),(Controls!$D$27-1)*EXP(-0.5*(($A351-Controls!$B$27-(Controls!$C$27-1)/2)/MAX(Controls!$C$27/4,0.5))^2),0))</f>
        <v/>
      </c>
      <c r="O351" s="10" t="str">
        <f>IF($A351="","",IF(AND($A351&gt;=Controls!$B$28,$A351&lt;Controls!$B$28+Controls!$C$28),(Controls!$D$28-1)*EXP(-0.5*(($A351-Controls!$B$28-(Controls!$C$28-1)/2)/MAX(Controls!$C$28/4,0.5))^2),0))</f>
        <v/>
      </c>
      <c r="P351" s="4" t="str">
        <f t="shared" si="1"/>
        <v/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21.0" customHeight="1">
      <c r="A352" s="7" t="str">
        <f>IF(351&lt;=Controls!$B$5,Controls!$B$4+350,"")</f>
        <v/>
      </c>
      <c r="B352" s="10" t="str">
        <f>IF(Random!V352="","",IF(Controls!$B$7="Normal",Controls!$B$8,(Controls!$B$8+Controls!$B$9)/2)+Controls!$B$10*(B351-IF(Controls!$B$7="Normal",Controls!$B$8,(Controls!$B$8+Controls!$B$9)/2))+SQRT(1-Controls!$B$10^2)*(Random!V352-IF(Controls!$B$7="Normal",Controls!$B$8,(Controls!$B$8+Controls!$B$9)/2)))</f>
        <v/>
      </c>
      <c r="C352" s="10" t="str">
        <f>IF(Random!W352="","",IF(Controls!$B$7="Normal",Controls!$B$8,(Controls!$B$8+Controls!$B$9)/2)+Controls!$B$10*(C351-IF(Controls!$B$7="Normal",Controls!$B$8,(Controls!$B$8+Controls!$B$9)/2))+SQRT(1-Controls!$B$10^2)*(Random!W352-IF(Controls!$B$7="Normal",Controls!$B$8,(Controls!$B$8+Controls!$B$9)/2)))</f>
        <v/>
      </c>
      <c r="D352" s="10" t="str">
        <f>IF(Random!X352="","",IF(Controls!$B$7="Normal",Controls!$B$8,(Controls!$B$8+Controls!$B$9)/2)+Controls!$B$10*(D351-IF(Controls!$B$7="Normal",Controls!$B$8,(Controls!$B$8+Controls!$B$9)/2))+SQRT(1-Controls!$B$10^2)*(Random!X352-IF(Controls!$B$7="Normal",Controls!$B$8,(Controls!$B$8+Controls!$B$9)/2)))</f>
        <v/>
      </c>
      <c r="E352" s="10" t="str">
        <f>IF(Random!Y352="","",IF(Controls!$B$7="Normal",Controls!$B$8,(Controls!$B$8+Controls!$B$9)/2)+Controls!$B$10*(E351-IF(Controls!$B$7="Normal",Controls!$B$8,(Controls!$B$8+Controls!$B$9)/2))+SQRT(1-Controls!$B$10^2)*(Random!Y352-IF(Controls!$B$7="Normal",Controls!$B$8,(Controls!$B$8+Controls!$B$9)/2)))</f>
        <v/>
      </c>
      <c r="F352" s="10" t="str">
        <f>IF(Random!Z352="","",IF(Controls!$B$7="Normal",Controls!$B$8,(Controls!$B$8+Controls!$B$9)/2)+Controls!$B$10*(F351-IF(Controls!$B$7="Normal",Controls!$B$8,(Controls!$B$8+Controls!$B$9)/2))+SQRT(1-Controls!$B$10^2)*(Random!Z352-IF(Controls!$B$7="Normal",Controls!$B$8,(Controls!$B$8+Controls!$B$9)/2)))</f>
        <v/>
      </c>
      <c r="G352" s="10" t="str">
        <f>IF(Random!AA352="","",IF(Controls!$B$7="Normal",Controls!$B$8,(Controls!$B$8+Controls!$B$9)/2)+Controls!$B$10*(G351-IF(Controls!$B$7="Normal",Controls!$B$8,(Controls!$B$8+Controls!$B$9)/2))+SQRT(1-Controls!$B$10^2)*(Random!AA352-IF(Controls!$B$7="Normal",Controls!$B$8,(Controls!$B$8+Controls!$B$9)/2)))</f>
        <v/>
      </c>
      <c r="H352" s="10" t="str">
        <f>IF(Random!AB352="","",IF(Controls!$B$7="Normal",Controls!$B$8,(Controls!$B$8+Controls!$B$9)/2)+Controls!$B$10*(H351-IF(Controls!$B$7="Normal",Controls!$B$8,(Controls!$B$8+Controls!$B$9)/2))+SQRT(1-Controls!$B$10^2)*(Random!AB352-IF(Controls!$B$7="Normal",Controls!$B$8,(Controls!$B$8+Controls!$B$9)/2)))</f>
        <v/>
      </c>
      <c r="I352" s="10" t="str">
        <f>IF(Random!AC352="","",IF(Controls!$B$7="Normal",Controls!$B$8,(Controls!$B$8+Controls!$B$9)/2)+Controls!$B$10*(I351-IF(Controls!$B$7="Normal",Controls!$B$8,(Controls!$B$8+Controls!$B$9)/2))+SQRT(1-Controls!$B$10^2)*(Random!AC352-IF(Controls!$B$7="Normal",Controls!$B$8,(Controls!$B$8+Controls!$B$9)/2)))</f>
        <v/>
      </c>
      <c r="J352" s="10" t="str">
        <f>IF(Random!AD352="","",IF(Controls!$B$7="Normal",Controls!$B$8,(Controls!$B$8+Controls!$B$9)/2)+Controls!$B$10*(J351-IF(Controls!$B$7="Normal",Controls!$B$8,(Controls!$B$8+Controls!$B$9)/2))+SQRT(1-Controls!$B$10^2)*(Random!AD352-IF(Controls!$B$7="Normal",Controls!$B$8,(Controls!$B$8+Controls!$B$9)/2)))</f>
        <v/>
      </c>
      <c r="K352" s="10" t="str">
        <f>IF(Random!AE352="","",IF(Controls!$B$7="Normal",Controls!$B$8,(Controls!$B$8+Controls!$B$9)/2)+Controls!$B$10*(K351-IF(Controls!$B$7="Normal",Controls!$B$8,(Controls!$B$8+Controls!$B$9)/2))+SQRT(1-Controls!$B$10^2)*(Random!AE352-IF(Controls!$B$7="Normal",Controls!$B$8,(Controls!$B$8+Controls!$B$9)/2)))</f>
        <v/>
      </c>
      <c r="L352" s="10" t="str">
        <f>IF($A352="","",IF(AND($A352&gt;=Controls!$B$25,$A352&lt;Controls!$B$25+Controls!$C$25),(Controls!$D$25-1)*EXP(-0.5*(($A352-Controls!$B$25-(Controls!$C$25-1)/2)/MAX(Controls!$C$25/4,0.5))^2),0))</f>
        <v/>
      </c>
      <c r="M352" s="10" t="str">
        <f>IF($A352="","",IF(AND($A352&gt;=Controls!$B$26,$A352&lt;Controls!$B$26+Controls!$C$26),(Controls!$D$26-1)*EXP(-0.5*(($A352-Controls!$B$26-(Controls!$C$26-1)/2)/MAX(Controls!$C$26/4,0.5))^2),0))</f>
        <v/>
      </c>
      <c r="N352" s="10" t="str">
        <f>IF($A352="","",IF(AND($A352&gt;=Controls!$B$27,$A352&lt;Controls!$B$27+Controls!$C$27),(Controls!$D$27-1)*EXP(-0.5*(($A352-Controls!$B$27-(Controls!$C$27-1)/2)/MAX(Controls!$C$27/4,0.5))^2),0))</f>
        <v/>
      </c>
      <c r="O352" s="10" t="str">
        <f>IF($A352="","",IF(AND($A352&gt;=Controls!$B$28,$A352&lt;Controls!$B$28+Controls!$C$28),(Controls!$D$28-1)*EXP(-0.5*(($A352-Controls!$B$28-(Controls!$C$28-1)/2)/MAX(Controls!$C$28/4,0.5))^2),0))</f>
        <v/>
      </c>
      <c r="P352" s="4" t="str">
        <f t="shared" si="1"/>
        <v/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21.0" customHeight="1">
      <c r="A353" s="7" t="str">
        <f>IF(352&lt;=Controls!$B$5,Controls!$B$4+351,"")</f>
        <v/>
      </c>
      <c r="B353" s="10" t="str">
        <f>IF(Random!V353="","",IF(Controls!$B$7="Normal",Controls!$B$8,(Controls!$B$8+Controls!$B$9)/2)+Controls!$B$10*(B352-IF(Controls!$B$7="Normal",Controls!$B$8,(Controls!$B$8+Controls!$B$9)/2))+SQRT(1-Controls!$B$10^2)*(Random!V353-IF(Controls!$B$7="Normal",Controls!$B$8,(Controls!$B$8+Controls!$B$9)/2)))</f>
        <v/>
      </c>
      <c r="C353" s="10" t="str">
        <f>IF(Random!W353="","",IF(Controls!$B$7="Normal",Controls!$B$8,(Controls!$B$8+Controls!$B$9)/2)+Controls!$B$10*(C352-IF(Controls!$B$7="Normal",Controls!$B$8,(Controls!$B$8+Controls!$B$9)/2))+SQRT(1-Controls!$B$10^2)*(Random!W353-IF(Controls!$B$7="Normal",Controls!$B$8,(Controls!$B$8+Controls!$B$9)/2)))</f>
        <v/>
      </c>
      <c r="D353" s="10" t="str">
        <f>IF(Random!X353="","",IF(Controls!$B$7="Normal",Controls!$B$8,(Controls!$B$8+Controls!$B$9)/2)+Controls!$B$10*(D352-IF(Controls!$B$7="Normal",Controls!$B$8,(Controls!$B$8+Controls!$B$9)/2))+SQRT(1-Controls!$B$10^2)*(Random!X353-IF(Controls!$B$7="Normal",Controls!$B$8,(Controls!$B$8+Controls!$B$9)/2)))</f>
        <v/>
      </c>
      <c r="E353" s="10" t="str">
        <f>IF(Random!Y353="","",IF(Controls!$B$7="Normal",Controls!$B$8,(Controls!$B$8+Controls!$B$9)/2)+Controls!$B$10*(E352-IF(Controls!$B$7="Normal",Controls!$B$8,(Controls!$B$8+Controls!$B$9)/2))+SQRT(1-Controls!$B$10^2)*(Random!Y353-IF(Controls!$B$7="Normal",Controls!$B$8,(Controls!$B$8+Controls!$B$9)/2)))</f>
        <v/>
      </c>
      <c r="F353" s="10" t="str">
        <f>IF(Random!Z353="","",IF(Controls!$B$7="Normal",Controls!$B$8,(Controls!$B$8+Controls!$B$9)/2)+Controls!$B$10*(F352-IF(Controls!$B$7="Normal",Controls!$B$8,(Controls!$B$8+Controls!$B$9)/2))+SQRT(1-Controls!$B$10^2)*(Random!Z353-IF(Controls!$B$7="Normal",Controls!$B$8,(Controls!$B$8+Controls!$B$9)/2)))</f>
        <v/>
      </c>
      <c r="G353" s="10" t="str">
        <f>IF(Random!AA353="","",IF(Controls!$B$7="Normal",Controls!$B$8,(Controls!$B$8+Controls!$B$9)/2)+Controls!$B$10*(G352-IF(Controls!$B$7="Normal",Controls!$B$8,(Controls!$B$8+Controls!$B$9)/2))+SQRT(1-Controls!$B$10^2)*(Random!AA353-IF(Controls!$B$7="Normal",Controls!$B$8,(Controls!$B$8+Controls!$B$9)/2)))</f>
        <v/>
      </c>
      <c r="H353" s="10" t="str">
        <f>IF(Random!AB353="","",IF(Controls!$B$7="Normal",Controls!$B$8,(Controls!$B$8+Controls!$B$9)/2)+Controls!$B$10*(H352-IF(Controls!$B$7="Normal",Controls!$B$8,(Controls!$B$8+Controls!$B$9)/2))+SQRT(1-Controls!$B$10^2)*(Random!AB353-IF(Controls!$B$7="Normal",Controls!$B$8,(Controls!$B$8+Controls!$B$9)/2)))</f>
        <v/>
      </c>
      <c r="I353" s="10" t="str">
        <f>IF(Random!AC353="","",IF(Controls!$B$7="Normal",Controls!$B$8,(Controls!$B$8+Controls!$B$9)/2)+Controls!$B$10*(I352-IF(Controls!$B$7="Normal",Controls!$B$8,(Controls!$B$8+Controls!$B$9)/2))+SQRT(1-Controls!$B$10^2)*(Random!AC353-IF(Controls!$B$7="Normal",Controls!$B$8,(Controls!$B$8+Controls!$B$9)/2)))</f>
        <v/>
      </c>
      <c r="J353" s="10" t="str">
        <f>IF(Random!AD353="","",IF(Controls!$B$7="Normal",Controls!$B$8,(Controls!$B$8+Controls!$B$9)/2)+Controls!$B$10*(J352-IF(Controls!$B$7="Normal",Controls!$B$8,(Controls!$B$8+Controls!$B$9)/2))+SQRT(1-Controls!$B$10^2)*(Random!AD353-IF(Controls!$B$7="Normal",Controls!$B$8,(Controls!$B$8+Controls!$B$9)/2)))</f>
        <v/>
      </c>
      <c r="K353" s="10" t="str">
        <f>IF(Random!AE353="","",IF(Controls!$B$7="Normal",Controls!$B$8,(Controls!$B$8+Controls!$B$9)/2)+Controls!$B$10*(K352-IF(Controls!$B$7="Normal",Controls!$B$8,(Controls!$B$8+Controls!$B$9)/2))+SQRT(1-Controls!$B$10^2)*(Random!AE353-IF(Controls!$B$7="Normal",Controls!$B$8,(Controls!$B$8+Controls!$B$9)/2)))</f>
        <v/>
      </c>
      <c r="L353" s="10" t="str">
        <f>IF($A353="","",IF(AND($A353&gt;=Controls!$B$25,$A353&lt;Controls!$B$25+Controls!$C$25),(Controls!$D$25-1)*EXP(-0.5*(($A353-Controls!$B$25-(Controls!$C$25-1)/2)/MAX(Controls!$C$25/4,0.5))^2),0))</f>
        <v/>
      </c>
      <c r="M353" s="10" t="str">
        <f>IF($A353="","",IF(AND($A353&gt;=Controls!$B$26,$A353&lt;Controls!$B$26+Controls!$C$26),(Controls!$D$26-1)*EXP(-0.5*(($A353-Controls!$B$26-(Controls!$C$26-1)/2)/MAX(Controls!$C$26/4,0.5))^2),0))</f>
        <v/>
      </c>
      <c r="N353" s="10" t="str">
        <f>IF($A353="","",IF(AND($A353&gt;=Controls!$B$27,$A353&lt;Controls!$B$27+Controls!$C$27),(Controls!$D$27-1)*EXP(-0.5*(($A353-Controls!$B$27-(Controls!$C$27-1)/2)/MAX(Controls!$C$27/4,0.5))^2),0))</f>
        <v/>
      </c>
      <c r="O353" s="10" t="str">
        <f>IF($A353="","",IF(AND($A353&gt;=Controls!$B$28,$A353&lt;Controls!$B$28+Controls!$C$28),(Controls!$D$28-1)*EXP(-0.5*(($A353-Controls!$B$28-(Controls!$C$28-1)/2)/MAX(Controls!$C$28/4,0.5))^2),0))</f>
        <v/>
      </c>
      <c r="P353" s="4" t="str">
        <f t="shared" si="1"/>
        <v/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21.0" customHeight="1">
      <c r="A354" s="7" t="str">
        <f>IF(353&lt;=Controls!$B$5,Controls!$B$4+352,"")</f>
        <v/>
      </c>
      <c r="B354" s="10" t="str">
        <f>IF(Random!V354="","",IF(Controls!$B$7="Normal",Controls!$B$8,(Controls!$B$8+Controls!$B$9)/2)+Controls!$B$10*(B353-IF(Controls!$B$7="Normal",Controls!$B$8,(Controls!$B$8+Controls!$B$9)/2))+SQRT(1-Controls!$B$10^2)*(Random!V354-IF(Controls!$B$7="Normal",Controls!$B$8,(Controls!$B$8+Controls!$B$9)/2)))</f>
        <v/>
      </c>
      <c r="C354" s="10" t="str">
        <f>IF(Random!W354="","",IF(Controls!$B$7="Normal",Controls!$B$8,(Controls!$B$8+Controls!$B$9)/2)+Controls!$B$10*(C353-IF(Controls!$B$7="Normal",Controls!$B$8,(Controls!$B$8+Controls!$B$9)/2))+SQRT(1-Controls!$B$10^2)*(Random!W354-IF(Controls!$B$7="Normal",Controls!$B$8,(Controls!$B$8+Controls!$B$9)/2)))</f>
        <v/>
      </c>
      <c r="D354" s="10" t="str">
        <f>IF(Random!X354="","",IF(Controls!$B$7="Normal",Controls!$B$8,(Controls!$B$8+Controls!$B$9)/2)+Controls!$B$10*(D353-IF(Controls!$B$7="Normal",Controls!$B$8,(Controls!$B$8+Controls!$B$9)/2))+SQRT(1-Controls!$B$10^2)*(Random!X354-IF(Controls!$B$7="Normal",Controls!$B$8,(Controls!$B$8+Controls!$B$9)/2)))</f>
        <v/>
      </c>
      <c r="E354" s="10" t="str">
        <f>IF(Random!Y354="","",IF(Controls!$B$7="Normal",Controls!$B$8,(Controls!$B$8+Controls!$B$9)/2)+Controls!$B$10*(E353-IF(Controls!$B$7="Normal",Controls!$B$8,(Controls!$B$8+Controls!$B$9)/2))+SQRT(1-Controls!$B$10^2)*(Random!Y354-IF(Controls!$B$7="Normal",Controls!$B$8,(Controls!$B$8+Controls!$B$9)/2)))</f>
        <v/>
      </c>
      <c r="F354" s="10" t="str">
        <f>IF(Random!Z354="","",IF(Controls!$B$7="Normal",Controls!$B$8,(Controls!$B$8+Controls!$B$9)/2)+Controls!$B$10*(F353-IF(Controls!$B$7="Normal",Controls!$B$8,(Controls!$B$8+Controls!$B$9)/2))+SQRT(1-Controls!$B$10^2)*(Random!Z354-IF(Controls!$B$7="Normal",Controls!$B$8,(Controls!$B$8+Controls!$B$9)/2)))</f>
        <v/>
      </c>
      <c r="G354" s="10" t="str">
        <f>IF(Random!AA354="","",IF(Controls!$B$7="Normal",Controls!$B$8,(Controls!$B$8+Controls!$B$9)/2)+Controls!$B$10*(G353-IF(Controls!$B$7="Normal",Controls!$B$8,(Controls!$B$8+Controls!$B$9)/2))+SQRT(1-Controls!$B$10^2)*(Random!AA354-IF(Controls!$B$7="Normal",Controls!$B$8,(Controls!$B$8+Controls!$B$9)/2)))</f>
        <v/>
      </c>
      <c r="H354" s="10" t="str">
        <f>IF(Random!AB354="","",IF(Controls!$B$7="Normal",Controls!$B$8,(Controls!$B$8+Controls!$B$9)/2)+Controls!$B$10*(H353-IF(Controls!$B$7="Normal",Controls!$B$8,(Controls!$B$8+Controls!$B$9)/2))+SQRT(1-Controls!$B$10^2)*(Random!AB354-IF(Controls!$B$7="Normal",Controls!$B$8,(Controls!$B$8+Controls!$B$9)/2)))</f>
        <v/>
      </c>
      <c r="I354" s="10" t="str">
        <f>IF(Random!AC354="","",IF(Controls!$B$7="Normal",Controls!$B$8,(Controls!$B$8+Controls!$B$9)/2)+Controls!$B$10*(I353-IF(Controls!$B$7="Normal",Controls!$B$8,(Controls!$B$8+Controls!$B$9)/2))+SQRT(1-Controls!$B$10^2)*(Random!AC354-IF(Controls!$B$7="Normal",Controls!$B$8,(Controls!$B$8+Controls!$B$9)/2)))</f>
        <v/>
      </c>
      <c r="J354" s="10" t="str">
        <f>IF(Random!AD354="","",IF(Controls!$B$7="Normal",Controls!$B$8,(Controls!$B$8+Controls!$B$9)/2)+Controls!$B$10*(J353-IF(Controls!$B$7="Normal",Controls!$B$8,(Controls!$B$8+Controls!$B$9)/2))+SQRT(1-Controls!$B$10^2)*(Random!AD354-IF(Controls!$B$7="Normal",Controls!$B$8,(Controls!$B$8+Controls!$B$9)/2)))</f>
        <v/>
      </c>
      <c r="K354" s="10" t="str">
        <f>IF(Random!AE354="","",IF(Controls!$B$7="Normal",Controls!$B$8,(Controls!$B$8+Controls!$B$9)/2)+Controls!$B$10*(K353-IF(Controls!$B$7="Normal",Controls!$B$8,(Controls!$B$8+Controls!$B$9)/2))+SQRT(1-Controls!$B$10^2)*(Random!AE354-IF(Controls!$B$7="Normal",Controls!$B$8,(Controls!$B$8+Controls!$B$9)/2)))</f>
        <v/>
      </c>
      <c r="L354" s="10" t="str">
        <f>IF($A354="","",IF(AND($A354&gt;=Controls!$B$25,$A354&lt;Controls!$B$25+Controls!$C$25),(Controls!$D$25-1)*EXP(-0.5*(($A354-Controls!$B$25-(Controls!$C$25-1)/2)/MAX(Controls!$C$25/4,0.5))^2),0))</f>
        <v/>
      </c>
      <c r="M354" s="10" t="str">
        <f>IF($A354="","",IF(AND($A354&gt;=Controls!$B$26,$A354&lt;Controls!$B$26+Controls!$C$26),(Controls!$D$26-1)*EXP(-0.5*(($A354-Controls!$B$26-(Controls!$C$26-1)/2)/MAX(Controls!$C$26/4,0.5))^2),0))</f>
        <v/>
      </c>
      <c r="N354" s="10" t="str">
        <f>IF($A354="","",IF(AND($A354&gt;=Controls!$B$27,$A354&lt;Controls!$B$27+Controls!$C$27),(Controls!$D$27-1)*EXP(-0.5*(($A354-Controls!$B$27-(Controls!$C$27-1)/2)/MAX(Controls!$C$27/4,0.5))^2),0))</f>
        <v/>
      </c>
      <c r="O354" s="10" t="str">
        <f>IF($A354="","",IF(AND($A354&gt;=Controls!$B$28,$A354&lt;Controls!$B$28+Controls!$C$28),(Controls!$D$28-1)*EXP(-0.5*(($A354-Controls!$B$28-(Controls!$C$28-1)/2)/MAX(Controls!$C$28/4,0.5))^2),0))</f>
        <v/>
      </c>
      <c r="P354" s="4" t="str">
        <f t="shared" si="1"/>
        <v/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21.0" customHeight="1">
      <c r="A355" s="7" t="str">
        <f>IF(354&lt;=Controls!$B$5,Controls!$B$4+353,"")</f>
        <v/>
      </c>
      <c r="B355" s="10" t="str">
        <f>IF(Random!V355="","",IF(Controls!$B$7="Normal",Controls!$B$8,(Controls!$B$8+Controls!$B$9)/2)+Controls!$B$10*(B354-IF(Controls!$B$7="Normal",Controls!$B$8,(Controls!$B$8+Controls!$B$9)/2))+SQRT(1-Controls!$B$10^2)*(Random!V355-IF(Controls!$B$7="Normal",Controls!$B$8,(Controls!$B$8+Controls!$B$9)/2)))</f>
        <v/>
      </c>
      <c r="C355" s="10" t="str">
        <f>IF(Random!W355="","",IF(Controls!$B$7="Normal",Controls!$B$8,(Controls!$B$8+Controls!$B$9)/2)+Controls!$B$10*(C354-IF(Controls!$B$7="Normal",Controls!$B$8,(Controls!$B$8+Controls!$B$9)/2))+SQRT(1-Controls!$B$10^2)*(Random!W355-IF(Controls!$B$7="Normal",Controls!$B$8,(Controls!$B$8+Controls!$B$9)/2)))</f>
        <v/>
      </c>
      <c r="D355" s="10" t="str">
        <f>IF(Random!X355="","",IF(Controls!$B$7="Normal",Controls!$B$8,(Controls!$B$8+Controls!$B$9)/2)+Controls!$B$10*(D354-IF(Controls!$B$7="Normal",Controls!$B$8,(Controls!$B$8+Controls!$B$9)/2))+SQRT(1-Controls!$B$10^2)*(Random!X355-IF(Controls!$B$7="Normal",Controls!$B$8,(Controls!$B$8+Controls!$B$9)/2)))</f>
        <v/>
      </c>
      <c r="E355" s="10" t="str">
        <f>IF(Random!Y355="","",IF(Controls!$B$7="Normal",Controls!$B$8,(Controls!$B$8+Controls!$B$9)/2)+Controls!$B$10*(E354-IF(Controls!$B$7="Normal",Controls!$B$8,(Controls!$B$8+Controls!$B$9)/2))+SQRT(1-Controls!$B$10^2)*(Random!Y355-IF(Controls!$B$7="Normal",Controls!$B$8,(Controls!$B$8+Controls!$B$9)/2)))</f>
        <v/>
      </c>
      <c r="F355" s="10" t="str">
        <f>IF(Random!Z355="","",IF(Controls!$B$7="Normal",Controls!$B$8,(Controls!$B$8+Controls!$B$9)/2)+Controls!$B$10*(F354-IF(Controls!$B$7="Normal",Controls!$B$8,(Controls!$B$8+Controls!$B$9)/2))+SQRT(1-Controls!$B$10^2)*(Random!Z355-IF(Controls!$B$7="Normal",Controls!$B$8,(Controls!$B$8+Controls!$B$9)/2)))</f>
        <v/>
      </c>
      <c r="G355" s="10" t="str">
        <f>IF(Random!AA355="","",IF(Controls!$B$7="Normal",Controls!$B$8,(Controls!$B$8+Controls!$B$9)/2)+Controls!$B$10*(G354-IF(Controls!$B$7="Normal",Controls!$B$8,(Controls!$B$8+Controls!$B$9)/2))+SQRT(1-Controls!$B$10^2)*(Random!AA355-IF(Controls!$B$7="Normal",Controls!$B$8,(Controls!$B$8+Controls!$B$9)/2)))</f>
        <v/>
      </c>
      <c r="H355" s="10" t="str">
        <f>IF(Random!AB355="","",IF(Controls!$B$7="Normal",Controls!$B$8,(Controls!$B$8+Controls!$B$9)/2)+Controls!$B$10*(H354-IF(Controls!$B$7="Normal",Controls!$B$8,(Controls!$B$8+Controls!$B$9)/2))+SQRT(1-Controls!$B$10^2)*(Random!AB355-IF(Controls!$B$7="Normal",Controls!$B$8,(Controls!$B$8+Controls!$B$9)/2)))</f>
        <v/>
      </c>
      <c r="I355" s="10" t="str">
        <f>IF(Random!AC355="","",IF(Controls!$B$7="Normal",Controls!$B$8,(Controls!$B$8+Controls!$B$9)/2)+Controls!$B$10*(I354-IF(Controls!$B$7="Normal",Controls!$B$8,(Controls!$B$8+Controls!$B$9)/2))+SQRT(1-Controls!$B$10^2)*(Random!AC355-IF(Controls!$B$7="Normal",Controls!$B$8,(Controls!$B$8+Controls!$B$9)/2)))</f>
        <v/>
      </c>
      <c r="J355" s="10" t="str">
        <f>IF(Random!AD355="","",IF(Controls!$B$7="Normal",Controls!$B$8,(Controls!$B$8+Controls!$B$9)/2)+Controls!$B$10*(J354-IF(Controls!$B$7="Normal",Controls!$B$8,(Controls!$B$8+Controls!$B$9)/2))+SQRT(1-Controls!$B$10^2)*(Random!AD355-IF(Controls!$B$7="Normal",Controls!$B$8,(Controls!$B$8+Controls!$B$9)/2)))</f>
        <v/>
      </c>
      <c r="K355" s="10" t="str">
        <f>IF(Random!AE355="","",IF(Controls!$B$7="Normal",Controls!$B$8,(Controls!$B$8+Controls!$B$9)/2)+Controls!$B$10*(K354-IF(Controls!$B$7="Normal",Controls!$B$8,(Controls!$B$8+Controls!$B$9)/2))+SQRT(1-Controls!$B$10^2)*(Random!AE355-IF(Controls!$B$7="Normal",Controls!$B$8,(Controls!$B$8+Controls!$B$9)/2)))</f>
        <v/>
      </c>
      <c r="L355" s="10" t="str">
        <f>IF($A355="","",IF(AND($A355&gt;=Controls!$B$25,$A355&lt;Controls!$B$25+Controls!$C$25),(Controls!$D$25-1)*EXP(-0.5*(($A355-Controls!$B$25-(Controls!$C$25-1)/2)/MAX(Controls!$C$25/4,0.5))^2),0))</f>
        <v/>
      </c>
      <c r="M355" s="10" t="str">
        <f>IF($A355="","",IF(AND($A355&gt;=Controls!$B$26,$A355&lt;Controls!$B$26+Controls!$C$26),(Controls!$D$26-1)*EXP(-0.5*(($A355-Controls!$B$26-(Controls!$C$26-1)/2)/MAX(Controls!$C$26/4,0.5))^2),0))</f>
        <v/>
      </c>
      <c r="N355" s="10" t="str">
        <f>IF($A355="","",IF(AND($A355&gt;=Controls!$B$27,$A355&lt;Controls!$B$27+Controls!$C$27),(Controls!$D$27-1)*EXP(-0.5*(($A355-Controls!$B$27-(Controls!$C$27-1)/2)/MAX(Controls!$C$27/4,0.5))^2),0))</f>
        <v/>
      </c>
      <c r="O355" s="10" t="str">
        <f>IF($A355="","",IF(AND($A355&gt;=Controls!$B$28,$A355&lt;Controls!$B$28+Controls!$C$28),(Controls!$D$28-1)*EXP(-0.5*(($A355-Controls!$B$28-(Controls!$C$28-1)/2)/MAX(Controls!$C$28/4,0.5))^2),0))</f>
        <v/>
      </c>
      <c r="P355" s="4" t="str">
        <f t="shared" si="1"/>
        <v/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21.0" customHeight="1">
      <c r="A356" s="7" t="str">
        <f>IF(355&lt;=Controls!$B$5,Controls!$B$4+354,"")</f>
        <v/>
      </c>
      <c r="B356" s="10" t="str">
        <f>IF(Random!V356="","",IF(Controls!$B$7="Normal",Controls!$B$8,(Controls!$B$8+Controls!$B$9)/2)+Controls!$B$10*(B355-IF(Controls!$B$7="Normal",Controls!$B$8,(Controls!$B$8+Controls!$B$9)/2))+SQRT(1-Controls!$B$10^2)*(Random!V356-IF(Controls!$B$7="Normal",Controls!$B$8,(Controls!$B$8+Controls!$B$9)/2)))</f>
        <v/>
      </c>
      <c r="C356" s="10" t="str">
        <f>IF(Random!W356="","",IF(Controls!$B$7="Normal",Controls!$B$8,(Controls!$B$8+Controls!$B$9)/2)+Controls!$B$10*(C355-IF(Controls!$B$7="Normal",Controls!$B$8,(Controls!$B$8+Controls!$B$9)/2))+SQRT(1-Controls!$B$10^2)*(Random!W356-IF(Controls!$B$7="Normal",Controls!$B$8,(Controls!$B$8+Controls!$B$9)/2)))</f>
        <v/>
      </c>
      <c r="D356" s="10" t="str">
        <f>IF(Random!X356="","",IF(Controls!$B$7="Normal",Controls!$B$8,(Controls!$B$8+Controls!$B$9)/2)+Controls!$B$10*(D355-IF(Controls!$B$7="Normal",Controls!$B$8,(Controls!$B$8+Controls!$B$9)/2))+SQRT(1-Controls!$B$10^2)*(Random!X356-IF(Controls!$B$7="Normal",Controls!$B$8,(Controls!$B$8+Controls!$B$9)/2)))</f>
        <v/>
      </c>
      <c r="E356" s="10" t="str">
        <f>IF(Random!Y356="","",IF(Controls!$B$7="Normal",Controls!$B$8,(Controls!$B$8+Controls!$B$9)/2)+Controls!$B$10*(E355-IF(Controls!$B$7="Normal",Controls!$B$8,(Controls!$B$8+Controls!$B$9)/2))+SQRT(1-Controls!$B$10^2)*(Random!Y356-IF(Controls!$B$7="Normal",Controls!$B$8,(Controls!$B$8+Controls!$B$9)/2)))</f>
        <v/>
      </c>
      <c r="F356" s="10" t="str">
        <f>IF(Random!Z356="","",IF(Controls!$B$7="Normal",Controls!$B$8,(Controls!$B$8+Controls!$B$9)/2)+Controls!$B$10*(F355-IF(Controls!$B$7="Normal",Controls!$B$8,(Controls!$B$8+Controls!$B$9)/2))+SQRT(1-Controls!$B$10^2)*(Random!Z356-IF(Controls!$B$7="Normal",Controls!$B$8,(Controls!$B$8+Controls!$B$9)/2)))</f>
        <v/>
      </c>
      <c r="G356" s="10" t="str">
        <f>IF(Random!AA356="","",IF(Controls!$B$7="Normal",Controls!$B$8,(Controls!$B$8+Controls!$B$9)/2)+Controls!$B$10*(G355-IF(Controls!$B$7="Normal",Controls!$B$8,(Controls!$B$8+Controls!$B$9)/2))+SQRT(1-Controls!$B$10^2)*(Random!AA356-IF(Controls!$B$7="Normal",Controls!$B$8,(Controls!$B$8+Controls!$B$9)/2)))</f>
        <v/>
      </c>
      <c r="H356" s="10" t="str">
        <f>IF(Random!AB356="","",IF(Controls!$B$7="Normal",Controls!$B$8,(Controls!$B$8+Controls!$B$9)/2)+Controls!$B$10*(H355-IF(Controls!$B$7="Normal",Controls!$B$8,(Controls!$B$8+Controls!$B$9)/2))+SQRT(1-Controls!$B$10^2)*(Random!AB356-IF(Controls!$B$7="Normal",Controls!$B$8,(Controls!$B$8+Controls!$B$9)/2)))</f>
        <v/>
      </c>
      <c r="I356" s="10" t="str">
        <f>IF(Random!AC356="","",IF(Controls!$B$7="Normal",Controls!$B$8,(Controls!$B$8+Controls!$B$9)/2)+Controls!$B$10*(I355-IF(Controls!$B$7="Normal",Controls!$B$8,(Controls!$B$8+Controls!$B$9)/2))+SQRT(1-Controls!$B$10^2)*(Random!AC356-IF(Controls!$B$7="Normal",Controls!$B$8,(Controls!$B$8+Controls!$B$9)/2)))</f>
        <v/>
      </c>
      <c r="J356" s="10" t="str">
        <f>IF(Random!AD356="","",IF(Controls!$B$7="Normal",Controls!$B$8,(Controls!$B$8+Controls!$B$9)/2)+Controls!$B$10*(J355-IF(Controls!$B$7="Normal",Controls!$B$8,(Controls!$B$8+Controls!$B$9)/2))+SQRT(1-Controls!$B$10^2)*(Random!AD356-IF(Controls!$B$7="Normal",Controls!$B$8,(Controls!$B$8+Controls!$B$9)/2)))</f>
        <v/>
      </c>
      <c r="K356" s="10" t="str">
        <f>IF(Random!AE356="","",IF(Controls!$B$7="Normal",Controls!$B$8,(Controls!$B$8+Controls!$B$9)/2)+Controls!$B$10*(K355-IF(Controls!$B$7="Normal",Controls!$B$8,(Controls!$B$8+Controls!$B$9)/2))+SQRT(1-Controls!$B$10^2)*(Random!AE356-IF(Controls!$B$7="Normal",Controls!$B$8,(Controls!$B$8+Controls!$B$9)/2)))</f>
        <v/>
      </c>
      <c r="L356" s="10" t="str">
        <f>IF($A356="","",IF(AND($A356&gt;=Controls!$B$25,$A356&lt;Controls!$B$25+Controls!$C$25),(Controls!$D$25-1)*EXP(-0.5*(($A356-Controls!$B$25-(Controls!$C$25-1)/2)/MAX(Controls!$C$25/4,0.5))^2),0))</f>
        <v/>
      </c>
      <c r="M356" s="10" t="str">
        <f>IF($A356="","",IF(AND($A356&gt;=Controls!$B$26,$A356&lt;Controls!$B$26+Controls!$C$26),(Controls!$D$26-1)*EXP(-0.5*(($A356-Controls!$B$26-(Controls!$C$26-1)/2)/MAX(Controls!$C$26/4,0.5))^2),0))</f>
        <v/>
      </c>
      <c r="N356" s="10" t="str">
        <f>IF($A356="","",IF(AND($A356&gt;=Controls!$B$27,$A356&lt;Controls!$B$27+Controls!$C$27),(Controls!$D$27-1)*EXP(-0.5*(($A356-Controls!$B$27-(Controls!$C$27-1)/2)/MAX(Controls!$C$27/4,0.5))^2),0))</f>
        <v/>
      </c>
      <c r="O356" s="10" t="str">
        <f>IF($A356="","",IF(AND($A356&gt;=Controls!$B$28,$A356&lt;Controls!$B$28+Controls!$C$28),(Controls!$D$28-1)*EXP(-0.5*(($A356-Controls!$B$28-(Controls!$C$28-1)/2)/MAX(Controls!$C$28/4,0.5))^2),0))</f>
        <v/>
      </c>
      <c r="P356" s="4" t="str">
        <f t="shared" si="1"/>
        <v/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21.0" customHeight="1">
      <c r="A357" s="7" t="str">
        <f>IF(356&lt;=Controls!$B$5,Controls!$B$4+355,"")</f>
        <v/>
      </c>
      <c r="B357" s="10" t="str">
        <f>IF(Random!V357="","",IF(Controls!$B$7="Normal",Controls!$B$8,(Controls!$B$8+Controls!$B$9)/2)+Controls!$B$10*(B356-IF(Controls!$B$7="Normal",Controls!$B$8,(Controls!$B$8+Controls!$B$9)/2))+SQRT(1-Controls!$B$10^2)*(Random!V357-IF(Controls!$B$7="Normal",Controls!$B$8,(Controls!$B$8+Controls!$B$9)/2)))</f>
        <v/>
      </c>
      <c r="C357" s="10" t="str">
        <f>IF(Random!W357="","",IF(Controls!$B$7="Normal",Controls!$B$8,(Controls!$B$8+Controls!$B$9)/2)+Controls!$B$10*(C356-IF(Controls!$B$7="Normal",Controls!$B$8,(Controls!$B$8+Controls!$B$9)/2))+SQRT(1-Controls!$B$10^2)*(Random!W357-IF(Controls!$B$7="Normal",Controls!$B$8,(Controls!$B$8+Controls!$B$9)/2)))</f>
        <v/>
      </c>
      <c r="D357" s="10" t="str">
        <f>IF(Random!X357="","",IF(Controls!$B$7="Normal",Controls!$B$8,(Controls!$B$8+Controls!$B$9)/2)+Controls!$B$10*(D356-IF(Controls!$B$7="Normal",Controls!$B$8,(Controls!$B$8+Controls!$B$9)/2))+SQRT(1-Controls!$B$10^2)*(Random!X357-IF(Controls!$B$7="Normal",Controls!$B$8,(Controls!$B$8+Controls!$B$9)/2)))</f>
        <v/>
      </c>
      <c r="E357" s="10" t="str">
        <f>IF(Random!Y357="","",IF(Controls!$B$7="Normal",Controls!$B$8,(Controls!$B$8+Controls!$B$9)/2)+Controls!$B$10*(E356-IF(Controls!$B$7="Normal",Controls!$B$8,(Controls!$B$8+Controls!$B$9)/2))+SQRT(1-Controls!$B$10^2)*(Random!Y357-IF(Controls!$B$7="Normal",Controls!$B$8,(Controls!$B$8+Controls!$B$9)/2)))</f>
        <v/>
      </c>
      <c r="F357" s="10" t="str">
        <f>IF(Random!Z357="","",IF(Controls!$B$7="Normal",Controls!$B$8,(Controls!$B$8+Controls!$B$9)/2)+Controls!$B$10*(F356-IF(Controls!$B$7="Normal",Controls!$B$8,(Controls!$B$8+Controls!$B$9)/2))+SQRT(1-Controls!$B$10^2)*(Random!Z357-IF(Controls!$B$7="Normal",Controls!$B$8,(Controls!$B$8+Controls!$B$9)/2)))</f>
        <v/>
      </c>
      <c r="G357" s="10" t="str">
        <f>IF(Random!AA357="","",IF(Controls!$B$7="Normal",Controls!$B$8,(Controls!$B$8+Controls!$B$9)/2)+Controls!$B$10*(G356-IF(Controls!$B$7="Normal",Controls!$B$8,(Controls!$B$8+Controls!$B$9)/2))+SQRT(1-Controls!$B$10^2)*(Random!AA357-IF(Controls!$B$7="Normal",Controls!$B$8,(Controls!$B$8+Controls!$B$9)/2)))</f>
        <v/>
      </c>
      <c r="H357" s="10" t="str">
        <f>IF(Random!AB357="","",IF(Controls!$B$7="Normal",Controls!$B$8,(Controls!$B$8+Controls!$B$9)/2)+Controls!$B$10*(H356-IF(Controls!$B$7="Normal",Controls!$B$8,(Controls!$B$8+Controls!$B$9)/2))+SQRT(1-Controls!$B$10^2)*(Random!AB357-IF(Controls!$B$7="Normal",Controls!$B$8,(Controls!$B$8+Controls!$B$9)/2)))</f>
        <v/>
      </c>
      <c r="I357" s="10" t="str">
        <f>IF(Random!AC357="","",IF(Controls!$B$7="Normal",Controls!$B$8,(Controls!$B$8+Controls!$B$9)/2)+Controls!$B$10*(I356-IF(Controls!$B$7="Normal",Controls!$B$8,(Controls!$B$8+Controls!$B$9)/2))+SQRT(1-Controls!$B$10^2)*(Random!AC357-IF(Controls!$B$7="Normal",Controls!$B$8,(Controls!$B$8+Controls!$B$9)/2)))</f>
        <v/>
      </c>
      <c r="J357" s="10" t="str">
        <f>IF(Random!AD357="","",IF(Controls!$B$7="Normal",Controls!$B$8,(Controls!$B$8+Controls!$B$9)/2)+Controls!$B$10*(J356-IF(Controls!$B$7="Normal",Controls!$B$8,(Controls!$B$8+Controls!$B$9)/2))+SQRT(1-Controls!$B$10^2)*(Random!AD357-IF(Controls!$B$7="Normal",Controls!$B$8,(Controls!$B$8+Controls!$B$9)/2)))</f>
        <v/>
      </c>
      <c r="K357" s="10" t="str">
        <f>IF(Random!AE357="","",IF(Controls!$B$7="Normal",Controls!$B$8,(Controls!$B$8+Controls!$B$9)/2)+Controls!$B$10*(K356-IF(Controls!$B$7="Normal",Controls!$B$8,(Controls!$B$8+Controls!$B$9)/2))+SQRT(1-Controls!$B$10^2)*(Random!AE357-IF(Controls!$B$7="Normal",Controls!$B$8,(Controls!$B$8+Controls!$B$9)/2)))</f>
        <v/>
      </c>
      <c r="L357" s="10" t="str">
        <f>IF($A357="","",IF(AND($A357&gt;=Controls!$B$25,$A357&lt;Controls!$B$25+Controls!$C$25),(Controls!$D$25-1)*EXP(-0.5*(($A357-Controls!$B$25-(Controls!$C$25-1)/2)/MAX(Controls!$C$25/4,0.5))^2),0))</f>
        <v/>
      </c>
      <c r="M357" s="10" t="str">
        <f>IF($A357="","",IF(AND($A357&gt;=Controls!$B$26,$A357&lt;Controls!$B$26+Controls!$C$26),(Controls!$D$26-1)*EXP(-0.5*(($A357-Controls!$B$26-(Controls!$C$26-1)/2)/MAX(Controls!$C$26/4,0.5))^2),0))</f>
        <v/>
      </c>
      <c r="N357" s="10" t="str">
        <f>IF($A357="","",IF(AND($A357&gt;=Controls!$B$27,$A357&lt;Controls!$B$27+Controls!$C$27),(Controls!$D$27-1)*EXP(-0.5*(($A357-Controls!$B$27-(Controls!$C$27-1)/2)/MAX(Controls!$C$27/4,0.5))^2),0))</f>
        <v/>
      </c>
      <c r="O357" s="10" t="str">
        <f>IF($A357="","",IF(AND($A357&gt;=Controls!$B$28,$A357&lt;Controls!$B$28+Controls!$C$28),(Controls!$D$28-1)*EXP(-0.5*(($A357-Controls!$B$28-(Controls!$C$28-1)/2)/MAX(Controls!$C$28/4,0.5))^2),0))</f>
        <v/>
      </c>
      <c r="P357" s="4" t="str">
        <f t="shared" si="1"/>
        <v/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21.0" customHeight="1">
      <c r="A358" s="7" t="str">
        <f>IF(357&lt;=Controls!$B$5,Controls!$B$4+356,"")</f>
        <v/>
      </c>
      <c r="B358" s="10" t="str">
        <f>IF(Random!V358="","",IF(Controls!$B$7="Normal",Controls!$B$8,(Controls!$B$8+Controls!$B$9)/2)+Controls!$B$10*(B357-IF(Controls!$B$7="Normal",Controls!$B$8,(Controls!$B$8+Controls!$B$9)/2))+SQRT(1-Controls!$B$10^2)*(Random!V358-IF(Controls!$B$7="Normal",Controls!$B$8,(Controls!$B$8+Controls!$B$9)/2)))</f>
        <v/>
      </c>
      <c r="C358" s="10" t="str">
        <f>IF(Random!W358="","",IF(Controls!$B$7="Normal",Controls!$B$8,(Controls!$B$8+Controls!$B$9)/2)+Controls!$B$10*(C357-IF(Controls!$B$7="Normal",Controls!$B$8,(Controls!$B$8+Controls!$B$9)/2))+SQRT(1-Controls!$B$10^2)*(Random!W358-IF(Controls!$B$7="Normal",Controls!$B$8,(Controls!$B$8+Controls!$B$9)/2)))</f>
        <v/>
      </c>
      <c r="D358" s="10" t="str">
        <f>IF(Random!X358="","",IF(Controls!$B$7="Normal",Controls!$B$8,(Controls!$B$8+Controls!$B$9)/2)+Controls!$B$10*(D357-IF(Controls!$B$7="Normal",Controls!$B$8,(Controls!$B$8+Controls!$B$9)/2))+SQRT(1-Controls!$B$10^2)*(Random!X358-IF(Controls!$B$7="Normal",Controls!$B$8,(Controls!$B$8+Controls!$B$9)/2)))</f>
        <v/>
      </c>
      <c r="E358" s="10" t="str">
        <f>IF(Random!Y358="","",IF(Controls!$B$7="Normal",Controls!$B$8,(Controls!$B$8+Controls!$B$9)/2)+Controls!$B$10*(E357-IF(Controls!$B$7="Normal",Controls!$B$8,(Controls!$B$8+Controls!$B$9)/2))+SQRT(1-Controls!$B$10^2)*(Random!Y358-IF(Controls!$B$7="Normal",Controls!$B$8,(Controls!$B$8+Controls!$B$9)/2)))</f>
        <v/>
      </c>
      <c r="F358" s="10" t="str">
        <f>IF(Random!Z358="","",IF(Controls!$B$7="Normal",Controls!$B$8,(Controls!$B$8+Controls!$B$9)/2)+Controls!$B$10*(F357-IF(Controls!$B$7="Normal",Controls!$B$8,(Controls!$B$8+Controls!$B$9)/2))+SQRT(1-Controls!$B$10^2)*(Random!Z358-IF(Controls!$B$7="Normal",Controls!$B$8,(Controls!$B$8+Controls!$B$9)/2)))</f>
        <v/>
      </c>
      <c r="G358" s="10" t="str">
        <f>IF(Random!AA358="","",IF(Controls!$B$7="Normal",Controls!$B$8,(Controls!$B$8+Controls!$B$9)/2)+Controls!$B$10*(G357-IF(Controls!$B$7="Normal",Controls!$B$8,(Controls!$B$8+Controls!$B$9)/2))+SQRT(1-Controls!$B$10^2)*(Random!AA358-IF(Controls!$B$7="Normal",Controls!$B$8,(Controls!$B$8+Controls!$B$9)/2)))</f>
        <v/>
      </c>
      <c r="H358" s="10" t="str">
        <f>IF(Random!AB358="","",IF(Controls!$B$7="Normal",Controls!$B$8,(Controls!$B$8+Controls!$B$9)/2)+Controls!$B$10*(H357-IF(Controls!$B$7="Normal",Controls!$B$8,(Controls!$B$8+Controls!$B$9)/2))+SQRT(1-Controls!$B$10^2)*(Random!AB358-IF(Controls!$B$7="Normal",Controls!$B$8,(Controls!$B$8+Controls!$B$9)/2)))</f>
        <v/>
      </c>
      <c r="I358" s="10" t="str">
        <f>IF(Random!AC358="","",IF(Controls!$B$7="Normal",Controls!$B$8,(Controls!$B$8+Controls!$B$9)/2)+Controls!$B$10*(I357-IF(Controls!$B$7="Normal",Controls!$B$8,(Controls!$B$8+Controls!$B$9)/2))+SQRT(1-Controls!$B$10^2)*(Random!AC358-IF(Controls!$B$7="Normal",Controls!$B$8,(Controls!$B$8+Controls!$B$9)/2)))</f>
        <v/>
      </c>
      <c r="J358" s="10" t="str">
        <f>IF(Random!AD358="","",IF(Controls!$B$7="Normal",Controls!$B$8,(Controls!$B$8+Controls!$B$9)/2)+Controls!$B$10*(J357-IF(Controls!$B$7="Normal",Controls!$B$8,(Controls!$B$8+Controls!$B$9)/2))+SQRT(1-Controls!$B$10^2)*(Random!AD358-IF(Controls!$B$7="Normal",Controls!$B$8,(Controls!$B$8+Controls!$B$9)/2)))</f>
        <v/>
      </c>
      <c r="K358" s="10" t="str">
        <f>IF(Random!AE358="","",IF(Controls!$B$7="Normal",Controls!$B$8,(Controls!$B$8+Controls!$B$9)/2)+Controls!$B$10*(K357-IF(Controls!$B$7="Normal",Controls!$B$8,(Controls!$B$8+Controls!$B$9)/2))+SQRT(1-Controls!$B$10^2)*(Random!AE358-IF(Controls!$B$7="Normal",Controls!$B$8,(Controls!$B$8+Controls!$B$9)/2)))</f>
        <v/>
      </c>
      <c r="L358" s="10" t="str">
        <f>IF($A358="","",IF(AND($A358&gt;=Controls!$B$25,$A358&lt;Controls!$B$25+Controls!$C$25),(Controls!$D$25-1)*EXP(-0.5*(($A358-Controls!$B$25-(Controls!$C$25-1)/2)/MAX(Controls!$C$25/4,0.5))^2),0))</f>
        <v/>
      </c>
      <c r="M358" s="10" t="str">
        <f>IF($A358="","",IF(AND($A358&gt;=Controls!$B$26,$A358&lt;Controls!$B$26+Controls!$C$26),(Controls!$D$26-1)*EXP(-0.5*(($A358-Controls!$B$26-(Controls!$C$26-1)/2)/MAX(Controls!$C$26/4,0.5))^2),0))</f>
        <v/>
      </c>
      <c r="N358" s="10" t="str">
        <f>IF($A358="","",IF(AND($A358&gt;=Controls!$B$27,$A358&lt;Controls!$B$27+Controls!$C$27),(Controls!$D$27-1)*EXP(-0.5*(($A358-Controls!$B$27-(Controls!$C$27-1)/2)/MAX(Controls!$C$27/4,0.5))^2),0))</f>
        <v/>
      </c>
      <c r="O358" s="10" t="str">
        <f>IF($A358="","",IF(AND($A358&gt;=Controls!$B$28,$A358&lt;Controls!$B$28+Controls!$C$28),(Controls!$D$28-1)*EXP(-0.5*(($A358-Controls!$B$28-(Controls!$C$28-1)/2)/MAX(Controls!$C$28/4,0.5))^2),0))</f>
        <v/>
      </c>
      <c r="P358" s="4" t="str">
        <f t="shared" si="1"/>
        <v/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21.0" customHeight="1">
      <c r="A359" s="7" t="str">
        <f>IF(358&lt;=Controls!$B$5,Controls!$B$4+357,"")</f>
        <v/>
      </c>
      <c r="B359" s="10" t="str">
        <f>IF(Random!V359="","",IF(Controls!$B$7="Normal",Controls!$B$8,(Controls!$B$8+Controls!$B$9)/2)+Controls!$B$10*(B358-IF(Controls!$B$7="Normal",Controls!$B$8,(Controls!$B$8+Controls!$B$9)/2))+SQRT(1-Controls!$B$10^2)*(Random!V359-IF(Controls!$B$7="Normal",Controls!$B$8,(Controls!$B$8+Controls!$B$9)/2)))</f>
        <v/>
      </c>
      <c r="C359" s="10" t="str">
        <f>IF(Random!W359="","",IF(Controls!$B$7="Normal",Controls!$B$8,(Controls!$B$8+Controls!$B$9)/2)+Controls!$B$10*(C358-IF(Controls!$B$7="Normal",Controls!$B$8,(Controls!$B$8+Controls!$B$9)/2))+SQRT(1-Controls!$B$10^2)*(Random!W359-IF(Controls!$B$7="Normal",Controls!$B$8,(Controls!$B$8+Controls!$B$9)/2)))</f>
        <v/>
      </c>
      <c r="D359" s="10" t="str">
        <f>IF(Random!X359="","",IF(Controls!$B$7="Normal",Controls!$B$8,(Controls!$B$8+Controls!$B$9)/2)+Controls!$B$10*(D358-IF(Controls!$B$7="Normal",Controls!$B$8,(Controls!$B$8+Controls!$B$9)/2))+SQRT(1-Controls!$B$10^2)*(Random!X359-IF(Controls!$B$7="Normal",Controls!$B$8,(Controls!$B$8+Controls!$B$9)/2)))</f>
        <v/>
      </c>
      <c r="E359" s="10" t="str">
        <f>IF(Random!Y359="","",IF(Controls!$B$7="Normal",Controls!$B$8,(Controls!$B$8+Controls!$B$9)/2)+Controls!$B$10*(E358-IF(Controls!$B$7="Normal",Controls!$B$8,(Controls!$B$8+Controls!$B$9)/2))+SQRT(1-Controls!$B$10^2)*(Random!Y359-IF(Controls!$B$7="Normal",Controls!$B$8,(Controls!$B$8+Controls!$B$9)/2)))</f>
        <v/>
      </c>
      <c r="F359" s="10" t="str">
        <f>IF(Random!Z359="","",IF(Controls!$B$7="Normal",Controls!$B$8,(Controls!$B$8+Controls!$B$9)/2)+Controls!$B$10*(F358-IF(Controls!$B$7="Normal",Controls!$B$8,(Controls!$B$8+Controls!$B$9)/2))+SQRT(1-Controls!$B$10^2)*(Random!Z359-IF(Controls!$B$7="Normal",Controls!$B$8,(Controls!$B$8+Controls!$B$9)/2)))</f>
        <v/>
      </c>
      <c r="G359" s="10" t="str">
        <f>IF(Random!AA359="","",IF(Controls!$B$7="Normal",Controls!$B$8,(Controls!$B$8+Controls!$B$9)/2)+Controls!$B$10*(G358-IF(Controls!$B$7="Normal",Controls!$B$8,(Controls!$B$8+Controls!$B$9)/2))+SQRT(1-Controls!$B$10^2)*(Random!AA359-IF(Controls!$B$7="Normal",Controls!$B$8,(Controls!$B$8+Controls!$B$9)/2)))</f>
        <v/>
      </c>
      <c r="H359" s="10" t="str">
        <f>IF(Random!AB359="","",IF(Controls!$B$7="Normal",Controls!$B$8,(Controls!$B$8+Controls!$B$9)/2)+Controls!$B$10*(H358-IF(Controls!$B$7="Normal",Controls!$B$8,(Controls!$B$8+Controls!$B$9)/2))+SQRT(1-Controls!$B$10^2)*(Random!AB359-IF(Controls!$B$7="Normal",Controls!$B$8,(Controls!$B$8+Controls!$B$9)/2)))</f>
        <v/>
      </c>
      <c r="I359" s="10" t="str">
        <f>IF(Random!AC359="","",IF(Controls!$B$7="Normal",Controls!$B$8,(Controls!$B$8+Controls!$B$9)/2)+Controls!$B$10*(I358-IF(Controls!$B$7="Normal",Controls!$B$8,(Controls!$B$8+Controls!$B$9)/2))+SQRT(1-Controls!$B$10^2)*(Random!AC359-IF(Controls!$B$7="Normal",Controls!$B$8,(Controls!$B$8+Controls!$B$9)/2)))</f>
        <v/>
      </c>
      <c r="J359" s="10" t="str">
        <f>IF(Random!AD359="","",IF(Controls!$B$7="Normal",Controls!$B$8,(Controls!$B$8+Controls!$B$9)/2)+Controls!$B$10*(J358-IF(Controls!$B$7="Normal",Controls!$B$8,(Controls!$B$8+Controls!$B$9)/2))+SQRT(1-Controls!$B$10^2)*(Random!AD359-IF(Controls!$B$7="Normal",Controls!$B$8,(Controls!$B$8+Controls!$B$9)/2)))</f>
        <v/>
      </c>
      <c r="K359" s="10" t="str">
        <f>IF(Random!AE359="","",IF(Controls!$B$7="Normal",Controls!$B$8,(Controls!$B$8+Controls!$B$9)/2)+Controls!$B$10*(K358-IF(Controls!$B$7="Normal",Controls!$B$8,(Controls!$B$8+Controls!$B$9)/2))+SQRT(1-Controls!$B$10^2)*(Random!AE359-IF(Controls!$B$7="Normal",Controls!$B$8,(Controls!$B$8+Controls!$B$9)/2)))</f>
        <v/>
      </c>
      <c r="L359" s="10" t="str">
        <f>IF($A359="","",IF(AND($A359&gt;=Controls!$B$25,$A359&lt;Controls!$B$25+Controls!$C$25),(Controls!$D$25-1)*EXP(-0.5*(($A359-Controls!$B$25-(Controls!$C$25-1)/2)/MAX(Controls!$C$25/4,0.5))^2),0))</f>
        <v/>
      </c>
      <c r="M359" s="10" t="str">
        <f>IF($A359="","",IF(AND($A359&gt;=Controls!$B$26,$A359&lt;Controls!$B$26+Controls!$C$26),(Controls!$D$26-1)*EXP(-0.5*(($A359-Controls!$B$26-(Controls!$C$26-1)/2)/MAX(Controls!$C$26/4,0.5))^2),0))</f>
        <v/>
      </c>
      <c r="N359" s="10" t="str">
        <f>IF($A359="","",IF(AND($A359&gt;=Controls!$B$27,$A359&lt;Controls!$B$27+Controls!$C$27),(Controls!$D$27-1)*EXP(-0.5*(($A359-Controls!$B$27-(Controls!$C$27-1)/2)/MAX(Controls!$C$27/4,0.5))^2),0))</f>
        <v/>
      </c>
      <c r="O359" s="10" t="str">
        <f>IF($A359="","",IF(AND($A359&gt;=Controls!$B$28,$A359&lt;Controls!$B$28+Controls!$C$28),(Controls!$D$28-1)*EXP(-0.5*(($A359-Controls!$B$28-(Controls!$C$28-1)/2)/MAX(Controls!$C$28/4,0.5))^2),0))</f>
        <v/>
      </c>
      <c r="P359" s="4" t="str">
        <f t="shared" si="1"/>
        <v/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21.0" customHeight="1">
      <c r="A360" s="7" t="str">
        <f>IF(359&lt;=Controls!$B$5,Controls!$B$4+358,"")</f>
        <v/>
      </c>
      <c r="B360" s="10" t="str">
        <f>IF(Random!V360="","",IF(Controls!$B$7="Normal",Controls!$B$8,(Controls!$B$8+Controls!$B$9)/2)+Controls!$B$10*(B359-IF(Controls!$B$7="Normal",Controls!$B$8,(Controls!$B$8+Controls!$B$9)/2))+SQRT(1-Controls!$B$10^2)*(Random!V360-IF(Controls!$B$7="Normal",Controls!$B$8,(Controls!$B$8+Controls!$B$9)/2)))</f>
        <v/>
      </c>
      <c r="C360" s="10" t="str">
        <f>IF(Random!W360="","",IF(Controls!$B$7="Normal",Controls!$B$8,(Controls!$B$8+Controls!$B$9)/2)+Controls!$B$10*(C359-IF(Controls!$B$7="Normal",Controls!$B$8,(Controls!$B$8+Controls!$B$9)/2))+SQRT(1-Controls!$B$10^2)*(Random!W360-IF(Controls!$B$7="Normal",Controls!$B$8,(Controls!$B$8+Controls!$B$9)/2)))</f>
        <v/>
      </c>
      <c r="D360" s="10" t="str">
        <f>IF(Random!X360="","",IF(Controls!$B$7="Normal",Controls!$B$8,(Controls!$B$8+Controls!$B$9)/2)+Controls!$B$10*(D359-IF(Controls!$B$7="Normal",Controls!$B$8,(Controls!$B$8+Controls!$B$9)/2))+SQRT(1-Controls!$B$10^2)*(Random!X360-IF(Controls!$B$7="Normal",Controls!$B$8,(Controls!$B$8+Controls!$B$9)/2)))</f>
        <v/>
      </c>
      <c r="E360" s="10" t="str">
        <f>IF(Random!Y360="","",IF(Controls!$B$7="Normal",Controls!$B$8,(Controls!$B$8+Controls!$B$9)/2)+Controls!$B$10*(E359-IF(Controls!$B$7="Normal",Controls!$B$8,(Controls!$B$8+Controls!$B$9)/2))+SQRT(1-Controls!$B$10^2)*(Random!Y360-IF(Controls!$B$7="Normal",Controls!$B$8,(Controls!$B$8+Controls!$B$9)/2)))</f>
        <v/>
      </c>
      <c r="F360" s="10" t="str">
        <f>IF(Random!Z360="","",IF(Controls!$B$7="Normal",Controls!$B$8,(Controls!$B$8+Controls!$B$9)/2)+Controls!$B$10*(F359-IF(Controls!$B$7="Normal",Controls!$B$8,(Controls!$B$8+Controls!$B$9)/2))+SQRT(1-Controls!$B$10^2)*(Random!Z360-IF(Controls!$B$7="Normal",Controls!$B$8,(Controls!$B$8+Controls!$B$9)/2)))</f>
        <v/>
      </c>
      <c r="G360" s="10" t="str">
        <f>IF(Random!AA360="","",IF(Controls!$B$7="Normal",Controls!$B$8,(Controls!$B$8+Controls!$B$9)/2)+Controls!$B$10*(G359-IF(Controls!$B$7="Normal",Controls!$B$8,(Controls!$B$8+Controls!$B$9)/2))+SQRT(1-Controls!$B$10^2)*(Random!AA360-IF(Controls!$B$7="Normal",Controls!$B$8,(Controls!$B$8+Controls!$B$9)/2)))</f>
        <v/>
      </c>
      <c r="H360" s="10" t="str">
        <f>IF(Random!AB360="","",IF(Controls!$B$7="Normal",Controls!$B$8,(Controls!$B$8+Controls!$B$9)/2)+Controls!$B$10*(H359-IF(Controls!$B$7="Normal",Controls!$B$8,(Controls!$B$8+Controls!$B$9)/2))+SQRT(1-Controls!$B$10^2)*(Random!AB360-IF(Controls!$B$7="Normal",Controls!$B$8,(Controls!$B$8+Controls!$B$9)/2)))</f>
        <v/>
      </c>
      <c r="I360" s="10" t="str">
        <f>IF(Random!AC360="","",IF(Controls!$B$7="Normal",Controls!$B$8,(Controls!$B$8+Controls!$B$9)/2)+Controls!$B$10*(I359-IF(Controls!$B$7="Normal",Controls!$B$8,(Controls!$B$8+Controls!$B$9)/2))+SQRT(1-Controls!$B$10^2)*(Random!AC360-IF(Controls!$B$7="Normal",Controls!$B$8,(Controls!$B$8+Controls!$B$9)/2)))</f>
        <v/>
      </c>
      <c r="J360" s="10" t="str">
        <f>IF(Random!AD360="","",IF(Controls!$B$7="Normal",Controls!$B$8,(Controls!$B$8+Controls!$B$9)/2)+Controls!$B$10*(J359-IF(Controls!$B$7="Normal",Controls!$B$8,(Controls!$B$8+Controls!$B$9)/2))+SQRT(1-Controls!$B$10^2)*(Random!AD360-IF(Controls!$B$7="Normal",Controls!$B$8,(Controls!$B$8+Controls!$B$9)/2)))</f>
        <v/>
      </c>
      <c r="K360" s="10" t="str">
        <f>IF(Random!AE360="","",IF(Controls!$B$7="Normal",Controls!$B$8,(Controls!$B$8+Controls!$B$9)/2)+Controls!$B$10*(K359-IF(Controls!$B$7="Normal",Controls!$B$8,(Controls!$B$8+Controls!$B$9)/2))+SQRT(1-Controls!$B$10^2)*(Random!AE360-IF(Controls!$B$7="Normal",Controls!$B$8,(Controls!$B$8+Controls!$B$9)/2)))</f>
        <v/>
      </c>
      <c r="L360" s="10" t="str">
        <f>IF($A360="","",IF(AND($A360&gt;=Controls!$B$25,$A360&lt;Controls!$B$25+Controls!$C$25),(Controls!$D$25-1)*EXP(-0.5*(($A360-Controls!$B$25-(Controls!$C$25-1)/2)/MAX(Controls!$C$25/4,0.5))^2),0))</f>
        <v/>
      </c>
      <c r="M360" s="10" t="str">
        <f>IF($A360="","",IF(AND($A360&gt;=Controls!$B$26,$A360&lt;Controls!$B$26+Controls!$C$26),(Controls!$D$26-1)*EXP(-0.5*(($A360-Controls!$B$26-(Controls!$C$26-1)/2)/MAX(Controls!$C$26/4,0.5))^2),0))</f>
        <v/>
      </c>
      <c r="N360" s="10" t="str">
        <f>IF($A360="","",IF(AND($A360&gt;=Controls!$B$27,$A360&lt;Controls!$B$27+Controls!$C$27),(Controls!$D$27-1)*EXP(-0.5*(($A360-Controls!$B$27-(Controls!$C$27-1)/2)/MAX(Controls!$C$27/4,0.5))^2),0))</f>
        <v/>
      </c>
      <c r="O360" s="10" t="str">
        <f>IF($A360="","",IF(AND($A360&gt;=Controls!$B$28,$A360&lt;Controls!$B$28+Controls!$C$28),(Controls!$D$28-1)*EXP(-0.5*(($A360-Controls!$B$28-(Controls!$C$28-1)/2)/MAX(Controls!$C$28/4,0.5))^2),0))</f>
        <v/>
      </c>
      <c r="P360" s="4" t="str">
        <f t="shared" si="1"/>
        <v/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21.0" customHeight="1">
      <c r="A361" s="7" t="str">
        <f>IF(360&lt;=Controls!$B$5,Controls!$B$4+359,"")</f>
        <v/>
      </c>
      <c r="B361" s="10" t="str">
        <f>IF(Random!V361="","",IF(Controls!$B$7="Normal",Controls!$B$8,(Controls!$B$8+Controls!$B$9)/2)+Controls!$B$10*(B360-IF(Controls!$B$7="Normal",Controls!$B$8,(Controls!$B$8+Controls!$B$9)/2))+SQRT(1-Controls!$B$10^2)*(Random!V361-IF(Controls!$B$7="Normal",Controls!$B$8,(Controls!$B$8+Controls!$B$9)/2)))</f>
        <v/>
      </c>
      <c r="C361" s="10" t="str">
        <f>IF(Random!W361="","",IF(Controls!$B$7="Normal",Controls!$B$8,(Controls!$B$8+Controls!$B$9)/2)+Controls!$B$10*(C360-IF(Controls!$B$7="Normal",Controls!$B$8,(Controls!$B$8+Controls!$B$9)/2))+SQRT(1-Controls!$B$10^2)*(Random!W361-IF(Controls!$B$7="Normal",Controls!$B$8,(Controls!$B$8+Controls!$B$9)/2)))</f>
        <v/>
      </c>
      <c r="D361" s="10" t="str">
        <f>IF(Random!X361="","",IF(Controls!$B$7="Normal",Controls!$B$8,(Controls!$B$8+Controls!$B$9)/2)+Controls!$B$10*(D360-IF(Controls!$B$7="Normal",Controls!$B$8,(Controls!$B$8+Controls!$B$9)/2))+SQRT(1-Controls!$B$10^2)*(Random!X361-IF(Controls!$B$7="Normal",Controls!$B$8,(Controls!$B$8+Controls!$B$9)/2)))</f>
        <v/>
      </c>
      <c r="E361" s="10" t="str">
        <f>IF(Random!Y361="","",IF(Controls!$B$7="Normal",Controls!$B$8,(Controls!$B$8+Controls!$B$9)/2)+Controls!$B$10*(E360-IF(Controls!$B$7="Normal",Controls!$B$8,(Controls!$B$8+Controls!$B$9)/2))+SQRT(1-Controls!$B$10^2)*(Random!Y361-IF(Controls!$B$7="Normal",Controls!$B$8,(Controls!$B$8+Controls!$B$9)/2)))</f>
        <v/>
      </c>
      <c r="F361" s="10" t="str">
        <f>IF(Random!Z361="","",IF(Controls!$B$7="Normal",Controls!$B$8,(Controls!$B$8+Controls!$B$9)/2)+Controls!$B$10*(F360-IF(Controls!$B$7="Normal",Controls!$B$8,(Controls!$B$8+Controls!$B$9)/2))+SQRT(1-Controls!$B$10^2)*(Random!Z361-IF(Controls!$B$7="Normal",Controls!$B$8,(Controls!$B$8+Controls!$B$9)/2)))</f>
        <v/>
      </c>
      <c r="G361" s="10" t="str">
        <f>IF(Random!AA361="","",IF(Controls!$B$7="Normal",Controls!$B$8,(Controls!$B$8+Controls!$B$9)/2)+Controls!$B$10*(G360-IF(Controls!$B$7="Normal",Controls!$B$8,(Controls!$B$8+Controls!$B$9)/2))+SQRT(1-Controls!$B$10^2)*(Random!AA361-IF(Controls!$B$7="Normal",Controls!$B$8,(Controls!$B$8+Controls!$B$9)/2)))</f>
        <v/>
      </c>
      <c r="H361" s="10" t="str">
        <f>IF(Random!AB361="","",IF(Controls!$B$7="Normal",Controls!$B$8,(Controls!$B$8+Controls!$B$9)/2)+Controls!$B$10*(H360-IF(Controls!$B$7="Normal",Controls!$B$8,(Controls!$B$8+Controls!$B$9)/2))+SQRT(1-Controls!$B$10^2)*(Random!AB361-IF(Controls!$B$7="Normal",Controls!$B$8,(Controls!$B$8+Controls!$B$9)/2)))</f>
        <v/>
      </c>
      <c r="I361" s="10" t="str">
        <f>IF(Random!AC361="","",IF(Controls!$B$7="Normal",Controls!$B$8,(Controls!$B$8+Controls!$B$9)/2)+Controls!$B$10*(I360-IF(Controls!$B$7="Normal",Controls!$B$8,(Controls!$B$8+Controls!$B$9)/2))+SQRT(1-Controls!$B$10^2)*(Random!AC361-IF(Controls!$B$7="Normal",Controls!$B$8,(Controls!$B$8+Controls!$B$9)/2)))</f>
        <v/>
      </c>
      <c r="J361" s="10" t="str">
        <f>IF(Random!AD361="","",IF(Controls!$B$7="Normal",Controls!$B$8,(Controls!$B$8+Controls!$B$9)/2)+Controls!$B$10*(J360-IF(Controls!$B$7="Normal",Controls!$B$8,(Controls!$B$8+Controls!$B$9)/2))+SQRT(1-Controls!$B$10^2)*(Random!AD361-IF(Controls!$B$7="Normal",Controls!$B$8,(Controls!$B$8+Controls!$B$9)/2)))</f>
        <v/>
      </c>
      <c r="K361" s="10" t="str">
        <f>IF(Random!AE361="","",IF(Controls!$B$7="Normal",Controls!$B$8,(Controls!$B$8+Controls!$B$9)/2)+Controls!$B$10*(K360-IF(Controls!$B$7="Normal",Controls!$B$8,(Controls!$B$8+Controls!$B$9)/2))+SQRT(1-Controls!$B$10^2)*(Random!AE361-IF(Controls!$B$7="Normal",Controls!$B$8,(Controls!$B$8+Controls!$B$9)/2)))</f>
        <v/>
      </c>
      <c r="L361" s="10" t="str">
        <f>IF($A361="","",IF(AND($A361&gt;=Controls!$B$25,$A361&lt;Controls!$B$25+Controls!$C$25),(Controls!$D$25-1)*EXP(-0.5*(($A361-Controls!$B$25-(Controls!$C$25-1)/2)/MAX(Controls!$C$25/4,0.5))^2),0))</f>
        <v/>
      </c>
      <c r="M361" s="10" t="str">
        <f>IF($A361="","",IF(AND($A361&gt;=Controls!$B$26,$A361&lt;Controls!$B$26+Controls!$C$26),(Controls!$D$26-1)*EXP(-0.5*(($A361-Controls!$B$26-(Controls!$C$26-1)/2)/MAX(Controls!$C$26/4,0.5))^2),0))</f>
        <v/>
      </c>
      <c r="N361" s="10" t="str">
        <f>IF($A361="","",IF(AND($A361&gt;=Controls!$B$27,$A361&lt;Controls!$B$27+Controls!$C$27),(Controls!$D$27-1)*EXP(-0.5*(($A361-Controls!$B$27-(Controls!$C$27-1)/2)/MAX(Controls!$C$27/4,0.5))^2),0))</f>
        <v/>
      </c>
      <c r="O361" s="10" t="str">
        <f>IF($A361="","",IF(AND($A361&gt;=Controls!$B$28,$A361&lt;Controls!$B$28+Controls!$C$28),(Controls!$D$28-1)*EXP(-0.5*(($A361-Controls!$B$28-(Controls!$C$28-1)/2)/MAX(Controls!$C$28/4,0.5))^2),0))</f>
        <v/>
      </c>
      <c r="P361" s="4" t="str">
        <f t="shared" si="1"/>
        <v/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21.0" customHeight="1">
      <c r="A362" s="7" t="str">
        <f>IF(361&lt;=Controls!$B$5,Controls!$B$4+360,"")</f>
        <v/>
      </c>
      <c r="B362" s="10" t="str">
        <f>IF(Random!V362="","",IF(Controls!$B$7="Normal",Controls!$B$8,(Controls!$B$8+Controls!$B$9)/2)+Controls!$B$10*(B361-IF(Controls!$B$7="Normal",Controls!$B$8,(Controls!$B$8+Controls!$B$9)/2))+SQRT(1-Controls!$B$10^2)*(Random!V362-IF(Controls!$B$7="Normal",Controls!$B$8,(Controls!$B$8+Controls!$B$9)/2)))</f>
        <v/>
      </c>
      <c r="C362" s="10" t="str">
        <f>IF(Random!W362="","",IF(Controls!$B$7="Normal",Controls!$B$8,(Controls!$B$8+Controls!$B$9)/2)+Controls!$B$10*(C361-IF(Controls!$B$7="Normal",Controls!$B$8,(Controls!$B$8+Controls!$B$9)/2))+SQRT(1-Controls!$B$10^2)*(Random!W362-IF(Controls!$B$7="Normal",Controls!$B$8,(Controls!$B$8+Controls!$B$9)/2)))</f>
        <v/>
      </c>
      <c r="D362" s="10" t="str">
        <f>IF(Random!X362="","",IF(Controls!$B$7="Normal",Controls!$B$8,(Controls!$B$8+Controls!$B$9)/2)+Controls!$B$10*(D361-IF(Controls!$B$7="Normal",Controls!$B$8,(Controls!$B$8+Controls!$B$9)/2))+SQRT(1-Controls!$B$10^2)*(Random!X362-IF(Controls!$B$7="Normal",Controls!$B$8,(Controls!$B$8+Controls!$B$9)/2)))</f>
        <v/>
      </c>
      <c r="E362" s="10" t="str">
        <f>IF(Random!Y362="","",IF(Controls!$B$7="Normal",Controls!$B$8,(Controls!$B$8+Controls!$B$9)/2)+Controls!$B$10*(E361-IF(Controls!$B$7="Normal",Controls!$B$8,(Controls!$B$8+Controls!$B$9)/2))+SQRT(1-Controls!$B$10^2)*(Random!Y362-IF(Controls!$B$7="Normal",Controls!$B$8,(Controls!$B$8+Controls!$B$9)/2)))</f>
        <v/>
      </c>
      <c r="F362" s="10" t="str">
        <f>IF(Random!Z362="","",IF(Controls!$B$7="Normal",Controls!$B$8,(Controls!$B$8+Controls!$B$9)/2)+Controls!$B$10*(F361-IF(Controls!$B$7="Normal",Controls!$B$8,(Controls!$B$8+Controls!$B$9)/2))+SQRT(1-Controls!$B$10^2)*(Random!Z362-IF(Controls!$B$7="Normal",Controls!$B$8,(Controls!$B$8+Controls!$B$9)/2)))</f>
        <v/>
      </c>
      <c r="G362" s="10" t="str">
        <f>IF(Random!AA362="","",IF(Controls!$B$7="Normal",Controls!$B$8,(Controls!$B$8+Controls!$B$9)/2)+Controls!$B$10*(G361-IF(Controls!$B$7="Normal",Controls!$B$8,(Controls!$B$8+Controls!$B$9)/2))+SQRT(1-Controls!$B$10^2)*(Random!AA362-IF(Controls!$B$7="Normal",Controls!$B$8,(Controls!$B$8+Controls!$B$9)/2)))</f>
        <v/>
      </c>
      <c r="H362" s="10" t="str">
        <f>IF(Random!AB362="","",IF(Controls!$B$7="Normal",Controls!$B$8,(Controls!$B$8+Controls!$B$9)/2)+Controls!$B$10*(H361-IF(Controls!$B$7="Normal",Controls!$B$8,(Controls!$B$8+Controls!$B$9)/2))+SQRT(1-Controls!$B$10^2)*(Random!AB362-IF(Controls!$B$7="Normal",Controls!$B$8,(Controls!$B$8+Controls!$B$9)/2)))</f>
        <v/>
      </c>
      <c r="I362" s="10" t="str">
        <f>IF(Random!AC362="","",IF(Controls!$B$7="Normal",Controls!$B$8,(Controls!$B$8+Controls!$B$9)/2)+Controls!$B$10*(I361-IF(Controls!$B$7="Normal",Controls!$B$8,(Controls!$B$8+Controls!$B$9)/2))+SQRT(1-Controls!$B$10^2)*(Random!AC362-IF(Controls!$B$7="Normal",Controls!$B$8,(Controls!$B$8+Controls!$B$9)/2)))</f>
        <v/>
      </c>
      <c r="J362" s="10" t="str">
        <f>IF(Random!AD362="","",IF(Controls!$B$7="Normal",Controls!$B$8,(Controls!$B$8+Controls!$B$9)/2)+Controls!$B$10*(J361-IF(Controls!$B$7="Normal",Controls!$B$8,(Controls!$B$8+Controls!$B$9)/2))+SQRT(1-Controls!$B$10^2)*(Random!AD362-IF(Controls!$B$7="Normal",Controls!$B$8,(Controls!$B$8+Controls!$B$9)/2)))</f>
        <v/>
      </c>
      <c r="K362" s="10" t="str">
        <f>IF(Random!AE362="","",IF(Controls!$B$7="Normal",Controls!$B$8,(Controls!$B$8+Controls!$B$9)/2)+Controls!$B$10*(K361-IF(Controls!$B$7="Normal",Controls!$B$8,(Controls!$B$8+Controls!$B$9)/2))+SQRT(1-Controls!$B$10^2)*(Random!AE362-IF(Controls!$B$7="Normal",Controls!$B$8,(Controls!$B$8+Controls!$B$9)/2)))</f>
        <v/>
      </c>
      <c r="L362" s="10" t="str">
        <f>IF($A362="","",IF(AND($A362&gt;=Controls!$B$25,$A362&lt;Controls!$B$25+Controls!$C$25),(Controls!$D$25-1)*EXP(-0.5*(($A362-Controls!$B$25-(Controls!$C$25-1)/2)/MAX(Controls!$C$25/4,0.5))^2),0))</f>
        <v/>
      </c>
      <c r="M362" s="10" t="str">
        <f>IF($A362="","",IF(AND($A362&gt;=Controls!$B$26,$A362&lt;Controls!$B$26+Controls!$C$26),(Controls!$D$26-1)*EXP(-0.5*(($A362-Controls!$B$26-(Controls!$C$26-1)/2)/MAX(Controls!$C$26/4,0.5))^2),0))</f>
        <v/>
      </c>
      <c r="N362" s="10" t="str">
        <f>IF($A362="","",IF(AND($A362&gt;=Controls!$B$27,$A362&lt;Controls!$B$27+Controls!$C$27),(Controls!$D$27-1)*EXP(-0.5*(($A362-Controls!$B$27-(Controls!$C$27-1)/2)/MAX(Controls!$C$27/4,0.5))^2),0))</f>
        <v/>
      </c>
      <c r="O362" s="10" t="str">
        <f>IF($A362="","",IF(AND($A362&gt;=Controls!$B$28,$A362&lt;Controls!$B$28+Controls!$C$28),(Controls!$D$28-1)*EXP(-0.5*(($A362-Controls!$B$28-(Controls!$C$28-1)/2)/MAX(Controls!$C$28/4,0.5))^2),0))</f>
        <v/>
      </c>
      <c r="P362" s="4" t="str">
        <f t="shared" si="1"/>
        <v/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21.0" customHeight="1">
      <c r="A363" s="7" t="str">
        <f>IF(362&lt;=Controls!$B$5,Controls!$B$4+361,"")</f>
        <v/>
      </c>
      <c r="B363" s="10" t="str">
        <f>IF(Random!V363="","",IF(Controls!$B$7="Normal",Controls!$B$8,(Controls!$B$8+Controls!$B$9)/2)+Controls!$B$10*(B362-IF(Controls!$B$7="Normal",Controls!$B$8,(Controls!$B$8+Controls!$B$9)/2))+SQRT(1-Controls!$B$10^2)*(Random!V363-IF(Controls!$B$7="Normal",Controls!$B$8,(Controls!$B$8+Controls!$B$9)/2)))</f>
        <v/>
      </c>
      <c r="C363" s="10" t="str">
        <f>IF(Random!W363="","",IF(Controls!$B$7="Normal",Controls!$B$8,(Controls!$B$8+Controls!$B$9)/2)+Controls!$B$10*(C362-IF(Controls!$B$7="Normal",Controls!$B$8,(Controls!$B$8+Controls!$B$9)/2))+SQRT(1-Controls!$B$10^2)*(Random!W363-IF(Controls!$B$7="Normal",Controls!$B$8,(Controls!$B$8+Controls!$B$9)/2)))</f>
        <v/>
      </c>
      <c r="D363" s="10" t="str">
        <f>IF(Random!X363="","",IF(Controls!$B$7="Normal",Controls!$B$8,(Controls!$B$8+Controls!$B$9)/2)+Controls!$B$10*(D362-IF(Controls!$B$7="Normal",Controls!$B$8,(Controls!$B$8+Controls!$B$9)/2))+SQRT(1-Controls!$B$10^2)*(Random!X363-IF(Controls!$B$7="Normal",Controls!$B$8,(Controls!$B$8+Controls!$B$9)/2)))</f>
        <v/>
      </c>
      <c r="E363" s="10" t="str">
        <f>IF(Random!Y363="","",IF(Controls!$B$7="Normal",Controls!$B$8,(Controls!$B$8+Controls!$B$9)/2)+Controls!$B$10*(E362-IF(Controls!$B$7="Normal",Controls!$B$8,(Controls!$B$8+Controls!$B$9)/2))+SQRT(1-Controls!$B$10^2)*(Random!Y363-IF(Controls!$B$7="Normal",Controls!$B$8,(Controls!$B$8+Controls!$B$9)/2)))</f>
        <v/>
      </c>
      <c r="F363" s="10" t="str">
        <f>IF(Random!Z363="","",IF(Controls!$B$7="Normal",Controls!$B$8,(Controls!$B$8+Controls!$B$9)/2)+Controls!$B$10*(F362-IF(Controls!$B$7="Normal",Controls!$B$8,(Controls!$B$8+Controls!$B$9)/2))+SQRT(1-Controls!$B$10^2)*(Random!Z363-IF(Controls!$B$7="Normal",Controls!$B$8,(Controls!$B$8+Controls!$B$9)/2)))</f>
        <v/>
      </c>
      <c r="G363" s="10" t="str">
        <f>IF(Random!AA363="","",IF(Controls!$B$7="Normal",Controls!$B$8,(Controls!$B$8+Controls!$B$9)/2)+Controls!$B$10*(G362-IF(Controls!$B$7="Normal",Controls!$B$8,(Controls!$B$8+Controls!$B$9)/2))+SQRT(1-Controls!$B$10^2)*(Random!AA363-IF(Controls!$B$7="Normal",Controls!$B$8,(Controls!$B$8+Controls!$B$9)/2)))</f>
        <v/>
      </c>
      <c r="H363" s="10" t="str">
        <f>IF(Random!AB363="","",IF(Controls!$B$7="Normal",Controls!$B$8,(Controls!$B$8+Controls!$B$9)/2)+Controls!$B$10*(H362-IF(Controls!$B$7="Normal",Controls!$B$8,(Controls!$B$8+Controls!$B$9)/2))+SQRT(1-Controls!$B$10^2)*(Random!AB363-IF(Controls!$B$7="Normal",Controls!$B$8,(Controls!$B$8+Controls!$B$9)/2)))</f>
        <v/>
      </c>
      <c r="I363" s="10" t="str">
        <f>IF(Random!AC363="","",IF(Controls!$B$7="Normal",Controls!$B$8,(Controls!$B$8+Controls!$B$9)/2)+Controls!$B$10*(I362-IF(Controls!$B$7="Normal",Controls!$B$8,(Controls!$B$8+Controls!$B$9)/2))+SQRT(1-Controls!$B$10^2)*(Random!AC363-IF(Controls!$B$7="Normal",Controls!$B$8,(Controls!$B$8+Controls!$B$9)/2)))</f>
        <v/>
      </c>
      <c r="J363" s="10" t="str">
        <f>IF(Random!AD363="","",IF(Controls!$B$7="Normal",Controls!$B$8,(Controls!$B$8+Controls!$B$9)/2)+Controls!$B$10*(J362-IF(Controls!$B$7="Normal",Controls!$B$8,(Controls!$B$8+Controls!$B$9)/2))+SQRT(1-Controls!$B$10^2)*(Random!AD363-IF(Controls!$B$7="Normal",Controls!$B$8,(Controls!$B$8+Controls!$B$9)/2)))</f>
        <v/>
      </c>
      <c r="K363" s="10" t="str">
        <f>IF(Random!AE363="","",IF(Controls!$B$7="Normal",Controls!$B$8,(Controls!$B$8+Controls!$B$9)/2)+Controls!$B$10*(K362-IF(Controls!$B$7="Normal",Controls!$B$8,(Controls!$B$8+Controls!$B$9)/2))+SQRT(1-Controls!$B$10^2)*(Random!AE363-IF(Controls!$B$7="Normal",Controls!$B$8,(Controls!$B$8+Controls!$B$9)/2)))</f>
        <v/>
      </c>
      <c r="L363" s="10" t="str">
        <f>IF($A363="","",IF(AND($A363&gt;=Controls!$B$25,$A363&lt;Controls!$B$25+Controls!$C$25),(Controls!$D$25-1)*EXP(-0.5*(($A363-Controls!$B$25-(Controls!$C$25-1)/2)/MAX(Controls!$C$25/4,0.5))^2),0))</f>
        <v/>
      </c>
      <c r="M363" s="10" t="str">
        <f>IF($A363="","",IF(AND($A363&gt;=Controls!$B$26,$A363&lt;Controls!$B$26+Controls!$C$26),(Controls!$D$26-1)*EXP(-0.5*(($A363-Controls!$B$26-(Controls!$C$26-1)/2)/MAX(Controls!$C$26/4,0.5))^2),0))</f>
        <v/>
      </c>
      <c r="N363" s="10" t="str">
        <f>IF($A363="","",IF(AND($A363&gt;=Controls!$B$27,$A363&lt;Controls!$B$27+Controls!$C$27),(Controls!$D$27-1)*EXP(-0.5*(($A363-Controls!$B$27-(Controls!$C$27-1)/2)/MAX(Controls!$C$27/4,0.5))^2),0))</f>
        <v/>
      </c>
      <c r="O363" s="10" t="str">
        <f>IF($A363="","",IF(AND($A363&gt;=Controls!$B$28,$A363&lt;Controls!$B$28+Controls!$C$28),(Controls!$D$28-1)*EXP(-0.5*(($A363-Controls!$B$28-(Controls!$C$28-1)/2)/MAX(Controls!$C$28/4,0.5))^2),0))</f>
        <v/>
      </c>
      <c r="P363" s="4" t="str">
        <f t="shared" si="1"/>
        <v/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21.0" customHeight="1">
      <c r="A364" s="7" t="str">
        <f>IF(363&lt;=Controls!$B$5,Controls!$B$4+362,"")</f>
        <v/>
      </c>
      <c r="B364" s="10" t="str">
        <f>IF(Random!V364="","",IF(Controls!$B$7="Normal",Controls!$B$8,(Controls!$B$8+Controls!$B$9)/2)+Controls!$B$10*(B363-IF(Controls!$B$7="Normal",Controls!$B$8,(Controls!$B$8+Controls!$B$9)/2))+SQRT(1-Controls!$B$10^2)*(Random!V364-IF(Controls!$B$7="Normal",Controls!$B$8,(Controls!$B$8+Controls!$B$9)/2)))</f>
        <v/>
      </c>
      <c r="C364" s="10" t="str">
        <f>IF(Random!W364="","",IF(Controls!$B$7="Normal",Controls!$B$8,(Controls!$B$8+Controls!$B$9)/2)+Controls!$B$10*(C363-IF(Controls!$B$7="Normal",Controls!$B$8,(Controls!$B$8+Controls!$B$9)/2))+SQRT(1-Controls!$B$10^2)*(Random!W364-IF(Controls!$B$7="Normal",Controls!$B$8,(Controls!$B$8+Controls!$B$9)/2)))</f>
        <v/>
      </c>
      <c r="D364" s="10" t="str">
        <f>IF(Random!X364="","",IF(Controls!$B$7="Normal",Controls!$B$8,(Controls!$B$8+Controls!$B$9)/2)+Controls!$B$10*(D363-IF(Controls!$B$7="Normal",Controls!$B$8,(Controls!$B$8+Controls!$B$9)/2))+SQRT(1-Controls!$B$10^2)*(Random!X364-IF(Controls!$B$7="Normal",Controls!$B$8,(Controls!$B$8+Controls!$B$9)/2)))</f>
        <v/>
      </c>
      <c r="E364" s="10" t="str">
        <f>IF(Random!Y364="","",IF(Controls!$B$7="Normal",Controls!$B$8,(Controls!$B$8+Controls!$B$9)/2)+Controls!$B$10*(E363-IF(Controls!$B$7="Normal",Controls!$B$8,(Controls!$B$8+Controls!$B$9)/2))+SQRT(1-Controls!$B$10^2)*(Random!Y364-IF(Controls!$B$7="Normal",Controls!$B$8,(Controls!$B$8+Controls!$B$9)/2)))</f>
        <v/>
      </c>
      <c r="F364" s="10" t="str">
        <f>IF(Random!Z364="","",IF(Controls!$B$7="Normal",Controls!$B$8,(Controls!$B$8+Controls!$B$9)/2)+Controls!$B$10*(F363-IF(Controls!$B$7="Normal",Controls!$B$8,(Controls!$B$8+Controls!$B$9)/2))+SQRT(1-Controls!$B$10^2)*(Random!Z364-IF(Controls!$B$7="Normal",Controls!$B$8,(Controls!$B$8+Controls!$B$9)/2)))</f>
        <v/>
      </c>
      <c r="G364" s="10" t="str">
        <f>IF(Random!AA364="","",IF(Controls!$B$7="Normal",Controls!$B$8,(Controls!$B$8+Controls!$B$9)/2)+Controls!$B$10*(G363-IF(Controls!$B$7="Normal",Controls!$B$8,(Controls!$B$8+Controls!$B$9)/2))+SQRT(1-Controls!$B$10^2)*(Random!AA364-IF(Controls!$B$7="Normal",Controls!$B$8,(Controls!$B$8+Controls!$B$9)/2)))</f>
        <v/>
      </c>
      <c r="H364" s="10" t="str">
        <f>IF(Random!AB364="","",IF(Controls!$B$7="Normal",Controls!$B$8,(Controls!$B$8+Controls!$B$9)/2)+Controls!$B$10*(H363-IF(Controls!$B$7="Normal",Controls!$B$8,(Controls!$B$8+Controls!$B$9)/2))+SQRT(1-Controls!$B$10^2)*(Random!AB364-IF(Controls!$B$7="Normal",Controls!$B$8,(Controls!$B$8+Controls!$B$9)/2)))</f>
        <v/>
      </c>
      <c r="I364" s="10" t="str">
        <f>IF(Random!AC364="","",IF(Controls!$B$7="Normal",Controls!$B$8,(Controls!$B$8+Controls!$B$9)/2)+Controls!$B$10*(I363-IF(Controls!$B$7="Normal",Controls!$B$8,(Controls!$B$8+Controls!$B$9)/2))+SQRT(1-Controls!$B$10^2)*(Random!AC364-IF(Controls!$B$7="Normal",Controls!$B$8,(Controls!$B$8+Controls!$B$9)/2)))</f>
        <v/>
      </c>
      <c r="J364" s="10" t="str">
        <f>IF(Random!AD364="","",IF(Controls!$B$7="Normal",Controls!$B$8,(Controls!$B$8+Controls!$B$9)/2)+Controls!$B$10*(J363-IF(Controls!$B$7="Normal",Controls!$B$8,(Controls!$B$8+Controls!$B$9)/2))+SQRT(1-Controls!$B$10^2)*(Random!AD364-IF(Controls!$B$7="Normal",Controls!$B$8,(Controls!$B$8+Controls!$B$9)/2)))</f>
        <v/>
      </c>
      <c r="K364" s="10" t="str">
        <f>IF(Random!AE364="","",IF(Controls!$B$7="Normal",Controls!$B$8,(Controls!$B$8+Controls!$B$9)/2)+Controls!$B$10*(K363-IF(Controls!$B$7="Normal",Controls!$B$8,(Controls!$B$8+Controls!$B$9)/2))+SQRT(1-Controls!$B$10^2)*(Random!AE364-IF(Controls!$B$7="Normal",Controls!$B$8,(Controls!$B$8+Controls!$B$9)/2)))</f>
        <v/>
      </c>
      <c r="L364" s="10" t="str">
        <f>IF($A364="","",IF(AND($A364&gt;=Controls!$B$25,$A364&lt;Controls!$B$25+Controls!$C$25),(Controls!$D$25-1)*EXP(-0.5*(($A364-Controls!$B$25-(Controls!$C$25-1)/2)/MAX(Controls!$C$25/4,0.5))^2),0))</f>
        <v/>
      </c>
      <c r="M364" s="10" t="str">
        <f>IF($A364="","",IF(AND($A364&gt;=Controls!$B$26,$A364&lt;Controls!$B$26+Controls!$C$26),(Controls!$D$26-1)*EXP(-0.5*(($A364-Controls!$B$26-(Controls!$C$26-1)/2)/MAX(Controls!$C$26/4,0.5))^2),0))</f>
        <v/>
      </c>
      <c r="N364" s="10" t="str">
        <f>IF($A364="","",IF(AND($A364&gt;=Controls!$B$27,$A364&lt;Controls!$B$27+Controls!$C$27),(Controls!$D$27-1)*EXP(-0.5*(($A364-Controls!$B$27-(Controls!$C$27-1)/2)/MAX(Controls!$C$27/4,0.5))^2),0))</f>
        <v/>
      </c>
      <c r="O364" s="10" t="str">
        <f>IF($A364="","",IF(AND($A364&gt;=Controls!$B$28,$A364&lt;Controls!$B$28+Controls!$C$28),(Controls!$D$28-1)*EXP(-0.5*(($A364-Controls!$B$28-(Controls!$C$28-1)/2)/MAX(Controls!$C$28/4,0.5))^2),0))</f>
        <v/>
      </c>
      <c r="P364" s="4" t="str">
        <f t="shared" si="1"/>
        <v/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21.0" customHeight="1">
      <c r="A365" s="7" t="str">
        <f>IF(364&lt;=Controls!$B$5,Controls!$B$4+363,"")</f>
        <v/>
      </c>
      <c r="B365" s="10" t="str">
        <f>IF(Random!V365="","",IF(Controls!$B$7="Normal",Controls!$B$8,(Controls!$B$8+Controls!$B$9)/2)+Controls!$B$10*(B364-IF(Controls!$B$7="Normal",Controls!$B$8,(Controls!$B$8+Controls!$B$9)/2))+SQRT(1-Controls!$B$10^2)*(Random!V365-IF(Controls!$B$7="Normal",Controls!$B$8,(Controls!$B$8+Controls!$B$9)/2)))</f>
        <v/>
      </c>
      <c r="C365" s="10" t="str">
        <f>IF(Random!W365="","",IF(Controls!$B$7="Normal",Controls!$B$8,(Controls!$B$8+Controls!$B$9)/2)+Controls!$B$10*(C364-IF(Controls!$B$7="Normal",Controls!$B$8,(Controls!$B$8+Controls!$B$9)/2))+SQRT(1-Controls!$B$10^2)*(Random!W365-IF(Controls!$B$7="Normal",Controls!$B$8,(Controls!$B$8+Controls!$B$9)/2)))</f>
        <v/>
      </c>
      <c r="D365" s="10" t="str">
        <f>IF(Random!X365="","",IF(Controls!$B$7="Normal",Controls!$B$8,(Controls!$B$8+Controls!$B$9)/2)+Controls!$B$10*(D364-IF(Controls!$B$7="Normal",Controls!$B$8,(Controls!$B$8+Controls!$B$9)/2))+SQRT(1-Controls!$B$10^2)*(Random!X365-IF(Controls!$B$7="Normal",Controls!$B$8,(Controls!$B$8+Controls!$B$9)/2)))</f>
        <v/>
      </c>
      <c r="E365" s="10" t="str">
        <f>IF(Random!Y365="","",IF(Controls!$B$7="Normal",Controls!$B$8,(Controls!$B$8+Controls!$B$9)/2)+Controls!$B$10*(E364-IF(Controls!$B$7="Normal",Controls!$B$8,(Controls!$B$8+Controls!$B$9)/2))+SQRT(1-Controls!$B$10^2)*(Random!Y365-IF(Controls!$B$7="Normal",Controls!$B$8,(Controls!$B$8+Controls!$B$9)/2)))</f>
        <v/>
      </c>
      <c r="F365" s="10" t="str">
        <f>IF(Random!Z365="","",IF(Controls!$B$7="Normal",Controls!$B$8,(Controls!$B$8+Controls!$B$9)/2)+Controls!$B$10*(F364-IF(Controls!$B$7="Normal",Controls!$B$8,(Controls!$B$8+Controls!$B$9)/2))+SQRT(1-Controls!$B$10^2)*(Random!Z365-IF(Controls!$B$7="Normal",Controls!$B$8,(Controls!$B$8+Controls!$B$9)/2)))</f>
        <v/>
      </c>
      <c r="G365" s="10" t="str">
        <f>IF(Random!AA365="","",IF(Controls!$B$7="Normal",Controls!$B$8,(Controls!$B$8+Controls!$B$9)/2)+Controls!$B$10*(G364-IF(Controls!$B$7="Normal",Controls!$B$8,(Controls!$B$8+Controls!$B$9)/2))+SQRT(1-Controls!$B$10^2)*(Random!AA365-IF(Controls!$B$7="Normal",Controls!$B$8,(Controls!$B$8+Controls!$B$9)/2)))</f>
        <v/>
      </c>
      <c r="H365" s="10" t="str">
        <f>IF(Random!AB365="","",IF(Controls!$B$7="Normal",Controls!$B$8,(Controls!$B$8+Controls!$B$9)/2)+Controls!$B$10*(H364-IF(Controls!$B$7="Normal",Controls!$B$8,(Controls!$B$8+Controls!$B$9)/2))+SQRT(1-Controls!$B$10^2)*(Random!AB365-IF(Controls!$B$7="Normal",Controls!$B$8,(Controls!$B$8+Controls!$B$9)/2)))</f>
        <v/>
      </c>
      <c r="I365" s="10" t="str">
        <f>IF(Random!AC365="","",IF(Controls!$B$7="Normal",Controls!$B$8,(Controls!$B$8+Controls!$B$9)/2)+Controls!$B$10*(I364-IF(Controls!$B$7="Normal",Controls!$B$8,(Controls!$B$8+Controls!$B$9)/2))+SQRT(1-Controls!$B$10^2)*(Random!AC365-IF(Controls!$B$7="Normal",Controls!$B$8,(Controls!$B$8+Controls!$B$9)/2)))</f>
        <v/>
      </c>
      <c r="J365" s="10" t="str">
        <f>IF(Random!AD365="","",IF(Controls!$B$7="Normal",Controls!$B$8,(Controls!$B$8+Controls!$B$9)/2)+Controls!$B$10*(J364-IF(Controls!$B$7="Normal",Controls!$B$8,(Controls!$B$8+Controls!$B$9)/2))+SQRT(1-Controls!$B$10^2)*(Random!AD365-IF(Controls!$B$7="Normal",Controls!$B$8,(Controls!$B$8+Controls!$B$9)/2)))</f>
        <v/>
      </c>
      <c r="K365" s="10" t="str">
        <f>IF(Random!AE365="","",IF(Controls!$B$7="Normal",Controls!$B$8,(Controls!$B$8+Controls!$B$9)/2)+Controls!$B$10*(K364-IF(Controls!$B$7="Normal",Controls!$B$8,(Controls!$B$8+Controls!$B$9)/2))+SQRT(1-Controls!$B$10^2)*(Random!AE365-IF(Controls!$B$7="Normal",Controls!$B$8,(Controls!$B$8+Controls!$B$9)/2)))</f>
        <v/>
      </c>
      <c r="L365" s="10" t="str">
        <f>IF($A365="","",IF(AND($A365&gt;=Controls!$B$25,$A365&lt;Controls!$B$25+Controls!$C$25),(Controls!$D$25-1)*EXP(-0.5*(($A365-Controls!$B$25-(Controls!$C$25-1)/2)/MAX(Controls!$C$25/4,0.5))^2),0))</f>
        <v/>
      </c>
      <c r="M365" s="10" t="str">
        <f>IF($A365="","",IF(AND($A365&gt;=Controls!$B$26,$A365&lt;Controls!$B$26+Controls!$C$26),(Controls!$D$26-1)*EXP(-0.5*(($A365-Controls!$B$26-(Controls!$C$26-1)/2)/MAX(Controls!$C$26/4,0.5))^2),0))</f>
        <v/>
      </c>
      <c r="N365" s="10" t="str">
        <f>IF($A365="","",IF(AND($A365&gt;=Controls!$B$27,$A365&lt;Controls!$B$27+Controls!$C$27),(Controls!$D$27-1)*EXP(-0.5*(($A365-Controls!$B$27-(Controls!$C$27-1)/2)/MAX(Controls!$C$27/4,0.5))^2),0))</f>
        <v/>
      </c>
      <c r="O365" s="10" t="str">
        <f>IF($A365="","",IF(AND($A365&gt;=Controls!$B$28,$A365&lt;Controls!$B$28+Controls!$C$28),(Controls!$D$28-1)*EXP(-0.5*(($A365-Controls!$B$28-(Controls!$C$28-1)/2)/MAX(Controls!$C$28/4,0.5))^2),0))</f>
        <v/>
      </c>
      <c r="P365" s="4" t="str">
        <f t="shared" si="1"/>
        <v/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21.0" customHeight="1">
      <c r="A366" s="7" t="str">
        <f>IF(365&lt;=Controls!$B$5,Controls!$B$4+364,"")</f>
        <v/>
      </c>
      <c r="B366" s="10" t="str">
        <f>IF(Random!V366="","",IF(Controls!$B$7="Normal",Controls!$B$8,(Controls!$B$8+Controls!$B$9)/2)+Controls!$B$10*(B365-IF(Controls!$B$7="Normal",Controls!$B$8,(Controls!$B$8+Controls!$B$9)/2))+SQRT(1-Controls!$B$10^2)*(Random!V366-IF(Controls!$B$7="Normal",Controls!$B$8,(Controls!$B$8+Controls!$B$9)/2)))</f>
        <v/>
      </c>
      <c r="C366" s="10" t="str">
        <f>IF(Random!W366="","",IF(Controls!$B$7="Normal",Controls!$B$8,(Controls!$B$8+Controls!$B$9)/2)+Controls!$B$10*(C365-IF(Controls!$B$7="Normal",Controls!$B$8,(Controls!$B$8+Controls!$B$9)/2))+SQRT(1-Controls!$B$10^2)*(Random!W366-IF(Controls!$B$7="Normal",Controls!$B$8,(Controls!$B$8+Controls!$B$9)/2)))</f>
        <v/>
      </c>
      <c r="D366" s="10" t="str">
        <f>IF(Random!X366="","",IF(Controls!$B$7="Normal",Controls!$B$8,(Controls!$B$8+Controls!$B$9)/2)+Controls!$B$10*(D365-IF(Controls!$B$7="Normal",Controls!$B$8,(Controls!$B$8+Controls!$B$9)/2))+SQRT(1-Controls!$B$10^2)*(Random!X366-IF(Controls!$B$7="Normal",Controls!$B$8,(Controls!$B$8+Controls!$B$9)/2)))</f>
        <v/>
      </c>
      <c r="E366" s="10" t="str">
        <f>IF(Random!Y366="","",IF(Controls!$B$7="Normal",Controls!$B$8,(Controls!$B$8+Controls!$B$9)/2)+Controls!$B$10*(E365-IF(Controls!$B$7="Normal",Controls!$B$8,(Controls!$B$8+Controls!$B$9)/2))+SQRT(1-Controls!$B$10^2)*(Random!Y366-IF(Controls!$B$7="Normal",Controls!$B$8,(Controls!$B$8+Controls!$B$9)/2)))</f>
        <v/>
      </c>
      <c r="F366" s="10" t="str">
        <f>IF(Random!Z366="","",IF(Controls!$B$7="Normal",Controls!$B$8,(Controls!$B$8+Controls!$B$9)/2)+Controls!$B$10*(F365-IF(Controls!$B$7="Normal",Controls!$B$8,(Controls!$B$8+Controls!$B$9)/2))+SQRT(1-Controls!$B$10^2)*(Random!Z366-IF(Controls!$B$7="Normal",Controls!$B$8,(Controls!$B$8+Controls!$B$9)/2)))</f>
        <v/>
      </c>
      <c r="G366" s="10" t="str">
        <f>IF(Random!AA366="","",IF(Controls!$B$7="Normal",Controls!$B$8,(Controls!$B$8+Controls!$B$9)/2)+Controls!$B$10*(G365-IF(Controls!$B$7="Normal",Controls!$B$8,(Controls!$B$8+Controls!$B$9)/2))+SQRT(1-Controls!$B$10^2)*(Random!AA366-IF(Controls!$B$7="Normal",Controls!$B$8,(Controls!$B$8+Controls!$B$9)/2)))</f>
        <v/>
      </c>
      <c r="H366" s="10" t="str">
        <f>IF(Random!AB366="","",IF(Controls!$B$7="Normal",Controls!$B$8,(Controls!$B$8+Controls!$B$9)/2)+Controls!$B$10*(H365-IF(Controls!$B$7="Normal",Controls!$B$8,(Controls!$B$8+Controls!$B$9)/2))+SQRT(1-Controls!$B$10^2)*(Random!AB366-IF(Controls!$B$7="Normal",Controls!$B$8,(Controls!$B$8+Controls!$B$9)/2)))</f>
        <v/>
      </c>
      <c r="I366" s="10" t="str">
        <f>IF(Random!AC366="","",IF(Controls!$B$7="Normal",Controls!$B$8,(Controls!$B$8+Controls!$B$9)/2)+Controls!$B$10*(I365-IF(Controls!$B$7="Normal",Controls!$B$8,(Controls!$B$8+Controls!$B$9)/2))+SQRT(1-Controls!$B$10^2)*(Random!AC366-IF(Controls!$B$7="Normal",Controls!$B$8,(Controls!$B$8+Controls!$B$9)/2)))</f>
        <v/>
      </c>
      <c r="J366" s="10" t="str">
        <f>IF(Random!AD366="","",IF(Controls!$B$7="Normal",Controls!$B$8,(Controls!$B$8+Controls!$B$9)/2)+Controls!$B$10*(J365-IF(Controls!$B$7="Normal",Controls!$B$8,(Controls!$B$8+Controls!$B$9)/2))+SQRT(1-Controls!$B$10^2)*(Random!AD366-IF(Controls!$B$7="Normal",Controls!$B$8,(Controls!$B$8+Controls!$B$9)/2)))</f>
        <v/>
      </c>
      <c r="K366" s="10" t="str">
        <f>IF(Random!AE366="","",IF(Controls!$B$7="Normal",Controls!$B$8,(Controls!$B$8+Controls!$B$9)/2)+Controls!$B$10*(K365-IF(Controls!$B$7="Normal",Controls!$B$8,(Controls!$B$8+Controls!$B$9)/2))+SQRT(1-Controls!$B$10^2)*(Random!AE366-IF(Controls!$B$7="Normal",Controls!$B$8,(Controls!$B$8+Controls!$B$9)/2)))</f>
        <v/>
      </c>
      <c r="L366" s="10" t="str">
        <f>IF($A366="","",IF(AND($A366&gt;=Controls!$B$25,$A366&lt;Controls!$B$25+Controls!$C$25),(Controls!$D$25-1)*EXP(-0.5*(($A366-Controls!$B$25-(Controls!$C$25-1)/2)/MAX(Controls!$C$25/4,0.5))^2),0))</f>
        <v/>
      </c>
      <c r="M366" s="10" t="str">
        <f>IF($A366="","",IF(AND($A366&gt;=Controls!$B$26,$A366&lt;Controls!$B$26+Controls!$C$26),(Controls!$D$26-1)*EXP(-0.5*(($A366-Controls!$B$26-(Controls!$C$26-1)/2)/MAX(Controls!$C$26/4,0.5))^2),0))</f>
        <v/>
      </c>
      <c r="N366" s="10" t="str">
        <f>IF($A366="","",IF(AND($A366&gt;=Controls!$B$27,$A366&lt;Controls!$B$27+Controls!$C$27),(Controls!$D$27-1)*EXP(-0.5*(($A366-Controls!$B$27-(Controls!$C$27-1)/2)/MAX(Controls!$C$27/4,0.5))^2),0))</f>
        <v/>
      </c>
      <c r="O366" s="10" t="str">
        <f>IF($A366="","",IF(AND($A366&gt;=Controls!$B$28,$A366&lt;Controls!$B$28+Controls!$C$28),(Controls!$D$28-1)*EXP(-0.5*(($A366-Controls!$B$28-(Controls!$C$28-1)/2)/MAX(Controls!$C$28/4,0.5))^2),0))</f>
        <v/>
      </c>
      <c r="P366" s="4" t="str">
        <f t="shared" si="1"/>
        <v/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21.0" customHeight="1">
      <c r="A367" s="7" t="str">
        <f>IF(366&lt;=Controls!$B$5,Controls!$B$4+365,"")</f>
        <v/>
      </c>
      <c r="B367" s="10" t="str">
        <f>IF(Random!V367="","",IF(Controls!$B$7="Normal",Controls!$B$8,(Controls!$B$8+Controls!$B$9)/2)+Controls!$B$10*(B366-IF(Controls!$B$7="Normal",Controls!$B$8,(Controls!$B$8+Controls!$B$9)/2))+SQRT(1-Controls!$B$10^2)*(Random!V367-IF(Controls!$B$7="Normal",Controls!$B$8,(Controls!$B$8+Controls!$B$9)/2)))</f>
        <v/>
      </c>
      <c r="C367" s="10" t="str">
        <f>IF(Random!W367="","",IF(Controls!$B$7="Normal",Controls!$B$8,(Controls!$B$8+Controls!$B$9)/2)+Controls!$B$10*(C366-IF(Controls!$B$7="Normal",Controls!$B$8,(Controls!$B$8+Controls!$B$9)/2))+SQRT(1-Controls!$B$10^2)*(Random!W367-IF(Controls!$B$7="Normal",Controls!$B$8,(Controls!$B$8+Controls!$B$9)/2)))</f>
        <v/>
      </c>
      <c r="D367" s="10" t="str">
        <f>IF(Random!X367="","",IF(Controls!$B$7="Normal",Controls!$B$8,(Controls!$B$8+Controls!$B$9)/2)+Controls!$B$10*(D366-IF(Controls!$B$7="Normal",Controls!$B$8,(Controls!$B$8+Controls!$B$9)/2))+SQRT(1-Controls!$B$10^2)*(Random!X367-IF(Controls!$B$7="Normal",Controls!$B$8,(Controls!$B$8+Controls!$B$9)/2)))</f>
        <v/>
      </c>
      <c r="E367" s="10" t="str">
        <f>IF(Random!Y367="","",IF(Controls!$B$7="Normal",Controls!$B$8,(Controls!$B$8+Controls!$B$9)/2)+Controls!$B$10*(E366-IF(Controls!$B$7="Normal",Controls!$B$8,(Controls!$B$8+Controls!$B$9)/2))+SQRT(1-Controls!$B$10^2)*(Random!Y367-IF(Controls!$B$7="Normal",Controls!$B$8,(Controls!$B$8+Controls!$B$9)/2)))</f>
        <v/>
      </c>
      <c r="F367" s="10" t="str">
        <f>IF(Random!Z367="","",IF(Controls!$B$7="Normal",Controls!$B$8,(Controls!$B$8+Controls!$B$9)/2)+Controls!$B$10*(F366-IF(Controls!$B$7="Normal",Controls!$B$8,(Controls!$B$8+Controls!$B$9)/2))+SQRT(1-Controls!$B$10^2)*(Random!Z367-IF(Controls!$B$7="Normal",Controls!$B$8,(Controls!$B$8+Controls!$B$9)/2)))</f>
        <v/>
      </c>
      <c r="G367" s="10" t="str">
        <f>IF(Random!AA367="","",IF(Controls!$B$7="Normal",Controls!$B$8,(Controls!$B$8+Controls!$B$9)/2)+Controls!$B$10*(G366-IF(Controls!$B$7="Normal",Controls!$B$8,(Controls!$B$8+Controls!$B$9)/2))+SQRT(1-Controls!$B$10^2)*(Random!AA367-IF(Controls!$B$7="Normal",Controls!$B$8,(Controls!$B$8+Controls!$B$9)/2)))</f>
        <v/>
      </c>
      <c r="H367" s="10" t="str">
        <f>IF(Random!AB367="","",IF(Controls!$B$7="Normal",Controls!$B$8,(Controls!$B$8+Controls!$B$9)/2)+Controls!$B$10*(H366-IF(Controls!$B$7="Normal",Controls!$B$8,(Controls!$B$8+Controls!$B$9)/2))+SQRT(1-Controls!$B$10^2)*(Random!AB367-IF(Controls!$B$7="Normal",Controls!$B$8,(Controls!$B$8+Controls!$B$9)/2)))</f>
        <v/>
      </c>
      <c r="I367" s="10" t="str">
        <f>IF(Random!AC367="","",IF(Controls!$B$7="Normal",Controls!$B$8,(Controls!$B$8+Controls!$B$9)/2)+Controls!$B$10*(I366-IF(Controls!$B$7="Normal",Controls!$B$8,(Controls!$B$8+Controls!$B$9)/2))+SQRT(1-Controls!$B$10^2)*(Random!AC367-IF(Controls!$B$7="Normal",Controls!$B$8,(Controls!$B$8+Controls!$B$9)/2)))</f>
        <v/>
      </c>
      <c r="J367" s="10" t="str">
        <f>IF(Random!AD367="","",IF(Controls!$B$7="Normal",Controls!$B$8,(Controls!$B$8+Controls!$B$9)/2)+Controls!$B$10*(J366-IF(Controls!$B$7="Normal",Controls!$B$8,(Controls!$B$8+Controls!$B$9)/2))+SQRT(1-Controls!$B$10^2)*(Random!AD367-IF(Controls!$B$7="Normal",Controls!$B$8,(Controls!$B$8+Controls!$B$9)/2)))</f>
        <v/>
      </c>
      <c r="K367" s="10" t="str">
        <f>IF(Random!AE367="","",IF(Controls!$B$7="Normal",Controls!$B$8,(Controls!$B$8+Controls!$B$9)/2)+Controls!$B$10*(K366-IF(Controls!$B$7="Normal",Controls!$B$8,(Controls!$B$8+Controls!$B$9)/2))+SQRT(1-Controls!$B$10^2)*(Random!AE367-IF(Controls!$B$7="Normal",Controls!$B$8,(Controls!$B$8+Controls!$B$9)/2)))</f>
        <v/>
      </c>
      <c r="L367" s="10" t="str">
        <f>IF($A367="","",IF(AND($A367&gt;=Controls!$B$25,$A367&lt;Controls!$B$25+Controls!$C$25),(Controls!$D$25-1)*EXP(-0.5*(($A367-Controls!$B$25-(Controls!$C$25-1)/2)/MAX(Controls!$C$25/4,0.5))^2),0))</f>
        <v/>
      </c>
      <c r="M367" s="10" t="str">
        <f>IF($A367="","",IF(AND($A367&gt;=Controls!$B$26,$A367&lt;Controls!$B$26+Controls!$C$26),(Controls!$D$26-1)*EXP(-0.5*(($A367-Controls!$B$26-(Controls!$C$26-1)/2)/MAX(Controls!$C$26/4,0.5))^2),0))</f>
        <v/>
      </c>
      <c r="N367" s="10" t="str">
        <f>IF($A367="","",IF(AND($A367&gt;=Controls!$B$27,$A367&lt;Controls!$B$27+Controls!$C$27),(Controls!$D$27-1)*EXP(-0.5*(($A367-Controls!$B$27-(Controls!$C$27-1)/2)/MAX(Controls!$C$27/4,0.5))^2),0))</f>
        <v/>
      </c>
      <c r="O367" s="10" t="str">
        <f>IF($A367="","",IF(AND($A367&gt;=Controls!$B$28,$A367&lt;Controls!$B$28+Controls!$C$28),(Controls!$D$28-1)*EXP(-0.5*(($A367-Controls!$B$28-(Controls!$C$28-1)/2)/MAX(Controls!$C$28/4,0.5))^2),0))</f>
        <v/>
      </c>
      <c r="P367" s="4" t="str">
        <f t="shared" si="1"/>
        <v/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31" width="15.0"/>
  </cols>
  <sheetData>
    <row r="1" ht="27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</row>
    <row r="2" ht="21.0" customHeight="1">
      <c r="A2" s="7">
        <f>IF(1&lt;=Controls!$B$5,Controls!$B$4+0,"")</f>
        <v>72991</v>
      </c>
      <c r="B2" s="10">
        <f>IF(OR($A2="",1&gt;Controls!$B$6),"",MOD((MOD(Controls!$B$12+104729,2147483646)+1)*48271,2147483647))</f>
        <v>762530189</v>
      </c>
      <c r="C2" s="10">
        <f>IF(OR($A2="",2&gt;Controls!$B$6),"",MOD((MOD(Controls!$B$12+209458,2147483646)+1)*48271,2147483647))</f>
        <v>1522936454</v>
      </c>
      <c r="D2" s="10">
        <f>IF(OR($A2="",3&gt;Controls!$B$6),"",MOD((MOD(Controls!$B$12+314187,2147483646)+1)*48271,2147483647))</f>
        <v>135859072</v>
      </c>
      <c r="E2" s="10" t="str">
        <f>IF(OR($A2="",4&gt;Controls!$B$6),"",MOD((MOD(Controls!$B$12+418916,2147483646)+1)*48271,2147483647))</f>
        <v/>
      </c>
      <c r="F2" s="10" t="str">
        <f>IF(OR($A2="",5&gt;Controls!$B$6),"",MOD((MOD(Controls!$B$12+523645,2147483646)+1)*48271,2147483647))</f>
        <v/>
      </c>
      <c r="G2" s="10" t="str">
        <f>IF(OR($A2="",6&gt;Controls!$B$6),"",MOD((MOD(Controls!$B$12+628374,2147483646)+1)*48271,2147483647))</f>
        <v/>
      </c>
      <c r="H2" s="10" t="str">
        <f>IF(OR($A2="",7&gt;Controls!$B$6),"",MOD((MOD(Controls!$B$12+733103,2147483646)+1)*48271,2147483647))</f>
        <v/>
      </c>
      <c r="I2" s="10" t="str">
        <f>IF(OR($A2="",8&gt;Controls!$B$6),"",MOD((MOD(Controls!$B$12+837832,2147483646)+1)*48271,2147483647))</f>
        <v/>
      </c>
      <c r="J2" s="10" t="str">
        <f>IF(OR($A2="",9&gt;Controls!$B$6),"",MOD((MOD(Controls!$B$12+942561,2147483646)+1)*48271,2147483647))</f>
        <v/>
      </c>
      <c r="K2" s="10" t="str">
        <f>IF(OR($A2="",10&gt;Controls!$B$6),"",MOD((MOD(Controls!$B$12+1047290,2147483646)+1)*48271,2147483647))</f>
        <v/>
      </c>
      <c r="L2" s="10">
        <f t="shared" ref="L2:U2" si="1">IF(B2="","",MOD(B2*48271,2147483647))</f>
        <v>225043639</v>
      </c>
      <c r="M2" s="10">
        <f t="shared" si="1"/>
        <v>1005366930</v>
      </c>
      <c r="N2" s="10">
        <f t="shared" si="1"/>
        <v>1785690221</v>
      </c>
      <c r="O2" s="10" t="str">
        <f t="shared" si="1"/>
        <v/>
      </c>
      <c r="P2" s="10" t="str">
        <f t="shared" si="1"/>
        <v/>
      </c>
      <c r="Q2" s="10" t="str">
        <f t="shared" si="1"/>
        <v/>
      </c>
      <c r="R2" s="10" t="str">
        <f t="shared" si="1"/>
        <v/>
      </c>
      <c r="S2" s="10" t="str">
        <f t="shared" si="1"/>
        <v/>
      </c>
      <c r="T2" s="10" t="str">
        <f t="shared" si="1"/>
        <v/>
      </c>
      <c r="U2" s="10" t="str">
        <f t="shared" si="1"/>
        <v/>
      </c>
      <c r="V2" s="10">
        <f>IF(B2="","",IF(Controls!$B$7="Normal",Controls!$B$8+Controls!$B$9*SQRT(-2*LN(B2/2147483647))*COS(2*PI()*L2/2147483647),Controls!$B$8+(Controls!$B$9-Controls!$B$8)*B2/2147483647))</f>
        <v>61.38200241</v>
      </c>
      <c r="W2" s="10">
        <f>IF(C2="","",IF(Controls!$B$7="Normal",Controls!$B$8+Controls!$B$9*SQRT(-2*LN(C2/2147483647))*COS(2*PI()*M2/2147483647),Controls!$B$8+(Controls!$B$9-Controls!$B$8)*C2/2147483647))</f>
        <v>41.87491205</v>
      </c>
      <c r="X2" s="10">
        <f>IF(D2="","",IF(Controls!$B$7="Normal",Controls!$B$8+Controls!$B$9*SQRT(-2*LN(D2/2147483647))*COS(2*PI()*N2/2147483647),Controls!$B$8+(Controls!$B$9-Controls!$B$8)*D2/2147483647))</f>
        <v>61.51654021</v>
      </c>
      <c r="Y2" s="10" t="str">
        <f>IF(E2="","",IF(Controls!$B$7="Normal",Controls!$B$8+Controls!$B$9*SQRT(-2*LN(E2/2147483647))*COS(2*PI()*O2/2147483647),Controls!$B$8+(Controls!$B$9-Controls!$B$8)*E2/2147483647))</f>
        <v/>
      </c>
      <c r="Z2" s="10" t="str">
        <f>IF(F2="","",IF(Controls!$B$7="Normal",Controls!$B$8+Controls!$B$9*SQRT(-2*LN(F2/2147483647))*COS(2*PI()*P2/2147483647),Controls!$B$8+(Controls!$B$9-Controls!$B$8)*F2/2147483647))</f>
        <v/>
      </c>
      <c r="AA2" s="10" t="str">
        <f>IF(G2="","",IF(Controls!$B$7="Normal",Controls!$B$8+Controls!$B$9*SQRT(-2*LN(G2/2147483647))*COS(2*PI()*Q2/2147483647),Controls!$B$8+(Controls!$B$9-Controls!$B$8)*G2/2147483647))</f>
        <v/>
      </c>
      <c r="AB2" s="10" t="str">
        <f>IF(H2="","",IF(Controls!$B$7="Normal",Controls!$B$8+Controls!$B$9*SQRT(-2*LN(H2/2147483647))*COS(2*PI()*R2/2147483647),Controls!$B$8+(Controls!$B$9-Controls!$B$8)*H2/2147483647))</f>
        <v/>
      </c>
      <c r="AC2" s="10" t="str">
        <f>IF(I2="","",IF(Controls!$B$7="Normal",Controls!$B$8+Controls!$B$9*SQRT(-2*LN(I2/2147483647))*COS(2*PI()*S2/2147483647),Controls!$B$8+(Controls!$B$9-Controls!$B$8)*I2/2147483647))</f>
        <v/>
      </c>
      <c r="AD2" s="10" t="str">
        <f>IF(J2="","",IF(Controls!$B$7="Normal",Controls!$B$8+Controls!$B$9*SQRT(-2*LN(J2/2147483647))*COS(2*PI()*T2/2147483647),Controls!$B$8+(Controls!$B$9-Controls!$B$8)*J2/2147483647))</f>
        <v/>
      </c>
      <c r="AE2" s="10" t="str">
        <f>IF(K2="","",IF(Controls!$B$7="Normal",Controls!$B$8+Controls!$B$9*SQRT(-2*LN(K2/2147483647))*COS(2*PI()*U2/2147483647),Controls!$B$8+(Controls!$B$9-Controls!$B$8)*K2/2147483647))</f>
        <v/>
      </c>
    </row>
    <row r="3" ht="21.0" customHeight="1">
      <c r="A3" s="7">
        <f>IF(2&lt;=Controls!$B$5,Controls!$B$4+1,"")</f>
        <v>72992</v>
      </c>
      <c r="B3" s="10">
        <f>IF(OR($A3="",1&gt;Controls!$B$6),"",MOD(L2*48271,2147483647))</f>
        <v>1109211643</v>
      </c>
      <c r="C3" s="10">
        <f>IF(OR($A3="",2&gt;Controls!$B$6),"",MOD(M2*48271,2147483647))</f>
        <v>1231623124</v>
      </c>
      <c r="D3" s="10">
        <f>IF(OR($A3="",3&gt;Controls!$B$6),"",MOD(N2*48271,2147483647))</f>
        <v>1354034605</v>
      </c>
      <c r="E3" s="10" t="str">
        <f>IF(OR($A3="",4&gt;Controls!$B$6),"",MOD(O2*48271,2147483647))</f>
        <v/>
      </c>
      <c r="F3" s="10" t="str">
        <f>IF(OR($A3="",5&gt;Controls!$B$6),"",MOD(P2*48271,2147483647))</f>
        <v/>
      </c>
      <c r="G3" s="10" t="str">
        <f>IF(OR($A3="",6&gt;Controls!$B$6),"",MOD(Q2*48271,2147483647))</f>
        <v/>
      </c>
      <c r="H3" s="10" t="str">
        <f>IF(OR($A3="",7&gt;Controls!$B$6),"",MOD(R2*48271,2147483647))</f>
        <v/>
      </c>
      <c r="I3" s="10" t="str">
        <f>IF(OR($A3="",8&gt;Controls!$B$6),"",MOD(S2*48271,2147483647))</f>
        <v/>
      </c>
      <c r="J3" s="10" t="str">
        <f>IF(OR($A3="",9&gt;Controls!$B$6),"",MOD(T2*48271,2147483647))</f>
        <v/>
      </c>
      <c r="K3" s="10" t="str">
        <f>IF(OR($A3="",10&gt;Controls!$B$6),"",MOD(U2*48271,2147483647))</f>
        <v/>
      </c>
      <c r="L3" s="10">
        <f t="shared" ref="L3:U3" si="2">IF(B3="","",MOD(B3*48271,2147483647))</f>
        <v>1692932249</v>
      </c>
      <c r="M3" s="10">
        <f t="shared" si="2"/>
        <v>742535056</v>
      </c>
      <c r="N3" s="10">
        <f t="shared" si="2"/>
        <v>1939621510</v>
      </c>
      <c r="O3" s="10" t="str">
        <f t="shared" si="2"/>
        <v/>
      </c>
      <c r="P3" s="10" t="str">
        <f t="shared" si="2"/>
        <v/>
      </c>
      <c r="Q3" s="10" t="str">
        <f t="shared" si="2"/>
        <v/>
      </c>
      <c r="R3" s="10" t="str">
        <f t="shared" si="2"/>
        <v/>
      </c>
      <c r="S3" s="10" t="str">
        <f t="shared" si="2"/>
        <v/>
      </c>
      <c r="T3" s="10" t="str">
        <f t="shared" si="2"/>
        <v/>
      </c>
      <c r="U3" s="10" t="str">
        <f t="shared" si="2"/>
        <v/>
      </c>
      <c r="V3" s="10">
        <f>IF(B3="","",IF(Controls!$B$7="Normal",Controls!$B$8+Controls!$B$9*SQRT(-2*LN(B3/2147483647))*COS(2*PI()*L3/2147483647),Controls!$B$8+(Controls!$B$9-Controls!$B$8)*B3/2147483647))</f>
        <v>52.74186158</v>
      </c>
      <c r="W3" s="10">
        <f>IF(C3="","",IF(Controls!$B$7="Normal",Controls!$B$8+Controls!$B$9*SQRT(-2*LN(C3/2147483647))*COS(2*PI()*M3/2147483647),Controls!$B$8+(Controls!$B$9-Controls!$B$8)*C3/2147483647))</f>
        <v>44.03082842</v>
      </c>
      <c r="X3" s="10">
        <f>IF(D3="","",IF(Controls!$B$7="Normal",Controls!$B$8+Controls!$B$9*SQRT(-2*LN(D3/2147483647))*COS(2*PI()*N3/2147483647),Controls!$B$8+(Controls!$B$9-Controls!$B$8)*D3/2147483647))</f>
        <v>57.88215629</v>
      </c>
      <c r="Y3" s="10" t="str">
        <f>IF(E3="","",IF(Controls!$B$7="Normal",Controls!$B$8+Controls!$B$9*SQRT(-2*LN(E3/2147483647))*COS(2*PI()*O3/2147483647),Controls!$B$8+(Controls!$B$9-Controls!$B$8)*E3/2147483647))</f>
        <v/>
      </c>
      <c r="Z3" s="10" t="str">
        <f>IF(F3="","",IF(Controls!$B$7="Normal",Controls!$B$8+Controls!$B$9*SQRT(-2*LN(F3/2147483647))*COS(2*PI()*P3/2147483647),Controls!$B$8+(Controls!$B$9-Controls!$B$8)*F3/2147483647))</f>
        <v/>
      </c>
      <c r="AA3" s="10" t="str">
        <f>IF(G3="","",IF(Controls!$B$7="Normal",Controls!$B$8+Controls!$B$9*SQRT(-2*LN(G3/2147483647))*COS(2*PI()*Q3/2147483647),Controls!$B$8+(Controls!$B$9-Controls!$B$8)*G3/2147483647))</f>
        <v/>
      </c>
      <c r="AB3" s="10" t="str">
        <f>IF(H3="","",IF(Controls!$B$7="Normal",Controls!$B$8+Controls!$B$9*SQRT(-2*LN(H3/2147483647))*COS(2*PI()*R3/2147483647),Controls!$B$8+(Controls!$B$9-Controls!$B$8)*H3/2147483647))</f>
        <v/>
      </c>
      <c r="AC3" s="10" t="str">
        <f>IF(I3="","",IF(Controls!$B$7="Normal",Controls!$B$8+Controls!$B$9*SQRT(-2*LN(I3/2147483647))*COS(2*PI()*S3/2147483647),Controls!$B$8+(Controls!$B$9-Controls!$B$8)*I3/2147483647))</f>
        <v/>
      </c>
      <c r="AD3" s="10" t="str">
        <f>IF(J3="","",IF(Controls!$B$7="Normal",Controls!$B$8+Controls!$B$9*SQRT(-2*LN(J3/2147483647))*COS(2*PI()*T3/2147483647),Controls!$B$8+(Controls!$B$9-Controls!$B$8)*J3/2147483647))</f>
        <v/>
      </c>
      <c r="AE3" s="10" t="str">
        <f>IF(K3="","",IF(Controls!$B$7="Normal",Controls!$B$8+Controls!$B$9*SQRT(-2*LN(K3/2147483647))*COS(2*PI()*U3/2147483647),Controls!$B$8+(Controls!$B$9-Controls!$B$8)*K3/2147483647))</f>
        <v/>
      </c>
    </row>
    <row r="4" ht="21.0" customHeight="1">
      <c r="A4" s="7">
        <f>IF(3&lt;=Controls!$B$5,Controls!$B$4+2,"")</f>
        <v>72993</v>
      </c>
      <c r="B4" s="10">
        <f>IF(OR($A4="",1&gt;Controls!$B$6),"",MOD(L3*48271,2147483647))</f>
        <v>1337372188</v>
      </c>
      <c r="C4" s="10">
        <f>IF(OR($A4="",2&gt;Controls!$B$6),"",MOD(M3*48271,2147483647))</f>
        <v>1407619746</v>
      </c>
      <c r="D4" s="10">
        <f>IF(OR($A4="",3&gt;Controls!$B$6),"",MOD(N3*48271,2147483647))</f>
        <v>1477867304</v>
      </c>
      <c r="E4" s="10" t="str">
        <f>IF(OR($A4="",4&gt;Controls!$B$6),"",MOD(O3*48271,2147483647))</f>
        <v/>
      </c>
      <c r="F4" s="10" t="str">
        <f>IF(OR($A4="",5&gt;Controls!$B$6),"",MOD(P3*48271,2147483647))</f>
        <v/>
      </c>
      <c r="G4" s="10" t="str">
        <f>IF(OR($A4="",6&gt;Controls!$B$6),"",MOD(Q3*48271,2147483647))</f>
        <v/>
      </c>
      <c r="H4" s="10" t="str">
        <f>IF(OR($A4="",7&gt;Controls!$B$6),"",MOD(R3*48271,2147483647))</f>
        <v/>
      </c>
      <c r="I4" s="10" t="str">
        <f>IF(OR($A4="",8&gt;Controls!$B$6),"",MOD(S3*48271,2147483647))</f>
        <v/>
      </c>
      <c r="J4" s="10" t="str">
        <f>IF(OR($A4="",9&gt;Controls!$B$6),"",MOD(T3*48271,2147483647))</f>
        <v/>
      </c>
      <c r="K4" s="10" t="str">
        <f>IF(OR($A4="",10&gt;Controls!$B$6),"",MOD(U3*48271,2147483647))</f>
        <v/>
      </c>
      <c r="L4" s="10">
        <f t="shared" ref="L4:U4" si="3">IF(B4="","",MOD(B4*48271,2147483647))</f>
        <v>786974481</v>
      </c>
      <c r="M4" s="10">
        <f t="shared" si="3"/>
        <v>830168086</v>
      </c>
      <c r="N4" s="10">
        <f t="shared" si="3"/>
        <v>873361691</v>
      </c>
      <c r="O4" s="10" t="str">
        <f t="shared" si="3"/>
        <v/>
      </c>
      <c r="P4" s="10" t="str">
        <f t="shared" si="3"/>
        <v/>
      </c>
      <c r="Q4" s="10" t="str">
        <f t="shared" si="3"/>
        <v/>
      </c>
      <c r="R4" s="10" t="str">
        <f t="shared" si="3"/>
        <v/>
      </c>
      <c r="S4" s="10" t="str">
        <f t="shared" si="3"/>
        <v/>
      </c>
      <c r="T4" s="10" t="str">
        <f t="shared" si="3"/>
        <v/>
      </c>
      <c r="U4" s="10" t="str">
        <f t="shared" si="3"/>
        <v/>
      </c>
      <c r="V4" s="10">
        <f>IF(B4="","",IF(Controls!$B$7="Normal",Controls!$B$8+Controls!$B$9*SQRT(-2*LN(B4/2147483647))*COS(2*PI()*L4/2147483647),Controls!$B$8+(Controls!$B$9-Controls!$B$8)*B4/2147483647))</f>
        <v>43.49704335</v>
      </c>
      <c r="W4" s="10">
        <f>IF(C4="","",IF(Controls!$B$7="Normal",Controls!$B$8+Controls!$B$9*SQRT(-2*LN(C4/2147483647))*COS(2*PI()*M4/2147483647),Controls!$B$8+(Controls!$B$9-Controls!$B$8)*C4/2147483647))</f>
        <v>43.04563855</v>
      </c>
      <c r="X4" s="10">
        <f>IF(D4="","",IF(Controls!$B$7="Normal",Controls!$B$8+Controls!$B$9*SQRT(-2*LN(D4/2147483647))*COS(2*PI()*N4/2147483647),Controls!$B$8+(Controls!$B$9-Controls!$B$8)*D4/2147483647))</f>
        <v>42.79851272</v>
      </c>
      <c r="Y4" s="10" t="str">
        <f>IF(E4="","",IF(Controls!$B$7="Normal",Controls!$B$8+Controls!$B$9*SQRT(-2*LN(E4/2147483647))*COS(2*PI()*O4/2147483647),Controls!$B$8+(Controls!$B$9-Controls!$B$8)*E4/2147483647))</f>
        <v/>
      </c>
      <c r="Z4" s="10" t="str">
        <f>IF(F4="","",IF(Controls!$B$7="Normal",Controls!$B$8+Controls!$B$9*SQRT(-2*LN(F4/2147483647))*COS(2*PI()*P4/2147483647),Controls!$B$8+(Controls!$B$9-Controls!$B$8)*F4/2147483647))</f>
        <v/>
      </c>
      <c r="AA4" s="10" t="str">
        <f>IF(G4="","",IF(Controls!$B$7="Normal",Controls!$B$8+Controls!$B$9*SQRT(-2*LN(G4/2147483647))*COS(2*PI()*Q4/2147483647),Controls!$B$8+(Controls!$B$9-Controls!$B$8)*G4/2147483647))</f>
        <v/>
      </c>
      <c r="AB4" s="10" t="str">
        <f>IF(H4="","",IF(Controls!$B$7="Normal",Controls!$B$8+Controls!$B$9*SQRT(-2*LN(H4/2147483647))*COS(2*PI()*R4/2147483647),Controls!$B$8+(Controls!$B$9-Controls!$B$8)*H4/2147483647))</f>
        <v/>
      </c>
      <c r="AC4" s="10" t="str">
        <f>IF(I4="","",IF(Controls!$B$7="Normal",Controls!$B$8+Controls!$B$9*SQRT(-2*LN(I4/2147483647))*COS(2*PI()*S4/2147483647),Controls!$B$8+(Controls!$B$9-Controls!$B$8)*I4/2147483647))</f>
        <v/>
      </c>
      <c r="AD4" s="10" t="str">
        <f>IF(J4="","",IF(Controls!$B$7="Normal",Controls!$B$8+Controls!$B$9*SQRT(-2*LN(J4/2147483647))*COS(2*PI()*T4/2147483647),Controls!$B$8+(Controls!$B$9-Controls!$B$8)*J4/2147483647))</f>
        <v/>
      </c>
      <c r="AE4" s="10" t="str">
        <f>IF(K4="","",IF(Controls!$B$7="Normal",Controls!$B$8+Controls!$B$9*SQRT(-2*LN(K4/2147483647))*COS(2*PI()*U4/2147483647),Controls!$B$8+(Controls!$B$9-Controls!$B$8)*K4/2147483647))</f>
        <v/>
      </c>
    </row>
    <row r="5" ht="21.0" customHeight="1">
      <c r="A5" s="7">
        <f>IF(4&lt;=Controls!$B$5,Controls!$B$4+3,"")</f>
        <v>72994</v>
      </c>
      <c r="B5" s="10">
        <f>IF(OR($A5="",1&gt;Controls!$B$6),"",MOD(L4*48271,2147483647))</f>
        <v>1206940568</v>
      </c>
      <c r="C5" s="10">
        <f>IF(OR($A5="",2&gt;Controls!$B$6),"",MOD(M4*48271,2147483647))</f>
        <v>998826286</v>
      </c>
      <c r="D5" s="10">
        <f>IF(OR($A5="",3&gt;Controls!$B$6),"",MOD(N4*48271,2147483647))</f>
        <v>790712004</v>
      </c>
      <c r="E5" s="10" t="str">
        <f>IF(OR($A5="",4&gt;Controls!$B$6),"",MOD(O4*48271,2147483647))</f>
        <v/>
      </c>
      <c r="F5" s="10" t="str">
        <f>IF(OR($A5="",5&gt;Controls!$B$6),"",MOD(P4*48271,2147483647))</f>
        <v/>
      </c>
      <c r="G5" s="10" t="str">
        <f>IF(OR($A5="",6&gt;Controls!$B$6),"",MOD(Q4*48271,2147483647))</f>
        <v/>
      </c>
      <c r="H5" s="10" t="str">
        <f>IF(OR($A5="",7&gt;Controls!$B$6),"",MOD(R4*48271,2147483647))</f>
        <v/>
      </c>
      <c r="I5" s="10" t="str">
        <f>IF(OR($A5="",8&gt;Controls!$B$6),"",MOD(S4*48271,2147483647))</f>
        <v/>
      </c>
      <c r="J5" s="10" t="str">
        <f>IF(OR($A5="",9&gt;Controls!$B$6),"",MOD(T4*48271,2147483647))</f>
        <v/>
      </c>
      <c r="K5" s="10" t="str">
        <f>IF(OR($A5="",10&gt;Controls!$B$6),"",MOD(U4*48271,2147483647))</f>
        <v/>
      </c>
      <c r="L5" s="10">
        <f t="shared" ref="L5:U5" si="4">IF(B5="","",MOD(B5*48271,2147483647))</f>
        <v>1144298465</v>
      </c>
      <c r="M5" s="10">
        <f t="shared" si="4"/>
        <v>1188292709</v>
      </c>
      <c r="N5" s="10">
        <f t="shared" si="4"/>
        <v>1232286953</v>
      </c>
      <c r="O5" s="10" t="str">
        <f t="shared" si="4"/>
        <v/>
      </c>
      <c r="P5" s="10" t="str">
        <f t="shared" si="4"/>
        <v/>
      </c>
      <c r="Q5" s="10" t="str">
        <f t="shared" si="4"/>
        <v/>
      </c>
      <c r="R5" s="10" t="str">
        <f t="shared" si="4"/>
        <v/>
      </c>
      <c r="S5" s="10" t="str">
        <f t="shared" si="4"/>
        <v/>
      </c>
      <c r="T5" s="10" t="str">
        <f t="shared" si="4"/>
        <v/>
      </c>
      <c r="U5" s="10" t="str">
        <f t="shared" si="4"/>
        <v/>
      </c>
      <c r="V5" s="10">
        <f>IF(B5="","",IF(Controls!$B$7="Normal",Controls!$B$8+Controls!$B$9*SQRT(-2*LN(B5/2147483647))*COS(2*PI()*L5/2147483647),Controls!$B$8+(Controls!$B$9-Controls!$B$8)*B5/2147483647))</f>
        <v>39.49286861</v>
      </c>
      <c r="W5" s="10">
        <f>IF(C5="","",IF(Controls!$B$7="Normal",Controls!$B$8+Controls!$B$9*SQRT(-2*LN(C5/2147483647))*COS(2*PI()*M5/2147483647),Controls!$B$8+(Controls!$B$9-Controls!$B$8)*C5/2147483647))</f>
        <v>38.3153321</v>
      </c>
      <c r="X5" s="10">
        <f>IF(D5="","",IF(Controls!$B$7="Normal",Controls!$B$8+Controls!$B$9*SQRT(-2*LN(D5/2147483647))*COS(2*PI()*N5/2147483647),Controls!$B$8+(Controls!$B$9-Controls!$B$8)*D5/2147483647))</f>
        <v>37.35791835</v>
      </c>
      <c r="Y5" s="10" t="str">
        <f>IF(E5="","",IF(Controls!$B$7="Normal",Controls!$B$8+Controls!$B$9*SQRT(-2*LN(E5/2147483647))*COS(2*PI()*O5/2147483647),Controls!$B$8+(Controls!$B$9-Controls!$B$8)*E5/2147483647))</f>
        <v/>
      </c>
      <c r="Z5" s="10" t="str">
        <f>IF(F5="","",IF(Controls!$B$7="Normal",Controls!$B$8+Controls!$B$9*SQRT(-2*LN(F5/2147483647))*COS(2*PI()*P5/2147483647),Controls!$B$8+(Controls!$B$9-Controls!$B$8)*F5/2147483647))</f>
        <v/>
      </c>
      <c r="AA5" s="10" t="str">
        <f>IF(G5="","",IF(Controls!$B$7="Normal",Controls!$B$8+Controls!$B$9*SQRT(-2*LN(G5/2147483647))*COS(2*PI()*Q5/2147483647),Controls!$B$8+(Controls!$B$9-Controls!$B$8)*G5/2147483647))</f>
        <v/>
      </c>
      <c r="AB5" s="10" t="str">
        <f>IF(H5="","",IF(Controls!$B$7="Normal",Controls!$B$8+Controls!$B$9*SQRT(-2*LN(H5/2147483647))*COS(2*PI()*R5/2147483647),Controls!$B$8+(Controls!$B$9-Controls!$B$8)*H5/2147483647))</f>
        <v/>
      </c>
      <c r="AC5" s="10" t="str">
        <f>IF(I5="","",IF(Controls!$B$7="Normal",Controls!$B$8+Controls!$B$9*SQRT(-2*LN(I5/2147483647))*COS(2*PI()*S5/2147483647),Controls!$B$8+(Controls!$B$9-Controls!$B$8)*I5/2147483647))</f>
        <v/>
      </c>
      <c r="AD5" s="10" t="str">
        <f>IF(J5="","",IF(Controls!$B$7="Normal",Controls!$B$8+Controls!$B$9*SQRT(-2*LN(J5/2147483647))*COS(2*PI()*T5/2147483647),Controls!$B$8+(Controls!$B$9-Controls!$B$8)*J5/2147483647))</f>
        <v/>
      </c>
      <c r="AE5" s="10" t="str">
        <f>IF(K5="","",IF(Controls!$B$7="Normal",Controls!$B$8+Controls!$B$9*SQRT(-2*LN(K5/2147483647))*COS(2*PI()*U5/2147483647),Controls!$B$8+(Controls!$B$9-Controls!$B$8)*K5/2147483647))</f>
        <v/>
      </c>
    </row>
    <row r="6" ht="21.0" customHeight="1">
      <c r="A6" s="7">
        <f>IF(5&lt;=Controls!$B$5,Controls!$B$4+4,"")</f>
        <v>72995</v>
      </c>
      <c r="B6" s="10">
        <f>IF(OR($A6="",1&gt;Controls!$B$6),"",MOD(L5*48271,2147483647))</f>
        <v>1004319528</v>
      </c>
      <c r="C6" s="10">
        <f>IF(OR($A6="",2&gt;Controls!$B$6),"",MOD(M5*48271,2147483647))</f>
        <v>789144769</v>
      </c>
      <c r="D6" s="10">
        <f>IF(OR($A6="",3&gt;Controls!$B$6),"",MOD(N5*48271,2147483647))</f>
        <v>573970010</v>
      </c>
      <c r="E6" s="10" t="str">
        <f>IF(OR($A6="",4&gt;Controls!$B$6),"",MOD(O5*48271,2147483647))</f>
        <v/>
      </c>
      <c r="F6" s="10" t="str">
        <f>IF(OR($A6="",5&gt;Controls!$B$6),"",MOD(P5*48271,2147483647))</f>
        <v/>
      </c>
      <c r="G6" s="10" t="str">
        <f>IF(OR($A6="",6&gt;Controls!$B$6),"",MOD(Q5*48271,2147483647))</f>
        <v/>
      </c>
      <c r="H6" s="10" t="str">
        <f>IF(OR($A6="",7&gt;Controls!$B$6),"",MOD(R5*48271,2147483647))</f>
        <v/>
      </c>
      <c r="I6" s="10" t="str">
        <f>IF(OR($A6="",8&gt;Controls!$B$6),"",MOD(S5*48271,2147483647))</f>
        <v/>
      </c>
      <c r="J6" s="10" t="str">
        <f>IF(OR($A6="",9&gt;Controls!$B$6),"",MOD(T5*48271,2147483647))</f>
        <v/>
      </c>
      <c r="K6" s="10" t="str">
        <f>IF(OR($A6="",10&gt;Controls!$B$6),"",MOD(U5*48271,2147483647))</f>
        <v/>
      </c>
      <c r="L6" s="10">
        <f t="shared" ref="L6:U6" si="5">IF(B6="","",MOD(B6*48271,2147483647))</f>
        <v>64605063</v>
      </c>
      <c r="M6" s="10">
        <f t="shared" si="5"/>
        <v>742213913</v>
      </c>
      <c r="N6" s="10">
        <f t="shared" si="5"/>
        <v>1419822763</v>
      </c>
      <c r="O6" s="10" t="str">
        <f t="shared" si="5"/>
        <v/>
      </c>
      <c r="P6" s="10" t="str">
        <f t="shared" si="5"/>
        <v/>
      </c>
      <c r="Q6" s="10" t="str">
        <f t="shared" si="5"/>
        <v/>
      </c>
      <c r="R6" s="10" t="str">
        <f t="shared" si="5"/>
        <v/>
      </c>
      <c r="S6" s="10" t="str">
        <f t="shared" si="5"/>
        <v/>
      </c>
      <c r="T6" s="10" t="str">
        <f t="shared" si="5"/>
        <v/>
      </c>
      <c r="U6" s="10" t="str">
        <f t="shared" si="5"/>
        <v/>
      </c>
      <c r="V6" s="10">
        <f>IF(B6="","",IF(Controls!$B$7="Normal",Controls!$B$8+Controls!$B$9*SQRT(-2*LN(B6/2147483647))*COS(2*PI()*L6/2147483647),Controls!$B$8+(Controls!$B$9-Controls!$B$8)*B6/2147483647))</f>
        <v>62.1091212</v>
      </c>
      <c r="W6" s="10">
        <f>IF(C6="","",IF(Controls!$B$7="Normal",Controls!$B$8+Controls!$B$9*SQRT(-2*LN(C6/2147483647))*COS(2*PI()*M6/2147483647),Controls!$B$8+(Controls!$B$9-Controls!$B$8)*C6/2147483647))</f>
        <v>42.00100996</v>
      </c>
      <c r="X6" s="10">
        <f>IF(D6="","",IF(Controls!$B$7="Normal",Controls!$B$8+Controls!$B$9*SQRT(-2*LN(D6/2147483647))*COS(2*PI()*N6/2147483647),Controls!$B$8+(Controls!$B$9-Controls!$B$8)*D6/2147483647))</f>
        <v>41.39547271</v>
      </c>
      <c r="Y6" s="10" t="str">
        <f>IF(E6="","",IF(Controls!$B$7="Normal",Controls!$B$8+Controls!$B$9*SQRT(-2*LN(E6/2147483647))*COS(2*PI()*O6/2147483647),Controls!$B$8+(Controls!$B$9-Controls!$B$8)*E6/2147483647))</f>
        <v/>
      </c>
      <c r="Z6" s="10" t="str">
        <f>IF(F6="","",IF(Controls!$B$7="Normal",Controls!$B$8+Controls!$B$9*SQRT(-2*LN(F6/2147483647))*COS(2*PI()*P6/2147483647),Controls!$B$8+(Controls!$B$9-Controls!$B$8)*F6/2147483647))</f>
        <v/>
      </c>
      <c r="AA6" s="10" t="str">
        <f>IF(G6="","",IF(Controls!$B$7="Normal",Controls!$B$8+Controls!$B$9*SQRT(-2*LN(G6/2147483647))*COS(2*PI()*Q6/2147483647),Controls!$B$8+(Controls!$B$9-Controls!$B$8)*G6/2147483647))</f>
        <v/>
      </c>
      <c r="AB6" s="10" t="str">
        <f>IF(H6="","",IF(Controls!$B$7="Normal",Controls!$B$8+Controls!$B$9*SQRT(-2*LN(H6/2147483647))*COS(2*PI()*R6/2147483647),Controls!$B$8+(Controls!$B$9-Controls!$B$8)*H6/2147483647))</f>
        <v/>
      </c>
      <c r="AC6" s="10" t="str">
        <f>IF(I6="","",IF(Controls!$B$7="Normal",Controls!$B$8+Controls!$B$9*SQRT(-2*LN(I6/2147483647))*COS(2*PI()*S6/2147483647),Controls!$B$8+(Controls!$B$9-Controls!$B$8)*I6/2147483647))</f>
        <v/>
      </c>
      <c r="AD6" s="10" t="str">
        <f>IF(J6="","",IF(Controls!$B$7="Normal",Controls!$B$8+Controls!$B$9*SQRT(-2*LN(J6/2147483647))*COS(2*PI()*T6/2147483647),Controls!$B$8+(Controls!$B$9-Controls!$B$8)*J6/2147483647))</f>
        <v/>
      </c>
      <c r="AE6" s="10" t="str">
        <f>IF(K6="","",IF(Controls!$B$7="Normal",Controls!$B$8+Controls!$B$9*SQRT(-2*LN(K6/2147483647))*COS(2*PI()*U6/2147483647),Controls!$B$8+(Controls!$B$9-Controls!$B$8)*K6/2147483647))</f>
        <v/>
      </c>
    </row>
    <row r="7" ht="21.0" customHeight="1">
      <c r="A7" s="7">
        <f>IF(6&lt;=Controls!$B$5,Controls!$B$4+5,"")</f>
        <v>72996</v>
      </c>
      <c r="B7" s="10">
        <f>IF(OR($A7="",1&gt;Controls!$B$6),"",MOD(L6*48271,2147483647))</f>
        <v>404740629</v>
      </c>
      <c r="C7" s="10">
        <f>IF(OR($A7="",2&gt;Controls!$B$6),"",MOD(M6*48271,2147483647))</f>
        <v>938111522</v>
      </c>
      <c r="D7" s="10">
        <f>IF(OR($A7="",3&gt;Controls!$B$6),"",MOD(N6*48271,2147483647))</f>
        <v>1471482415</v>
      </c>
      <c r="E7" s="10" t="str">
        <f>IF(OR($A7="",4&gt;Controls!$B$6),"",MOD(O6*48271,2147483647))</f>
        <v/>
      </c>
      <c r="F7" s="10" t="str">
        <f>IF(OR($A7="",5&gt;Controls!$B$6),"",MOD(P6*48271,2147483647))</f>
        <v/>
      </c>
      <c r="G7" s="10" t="str">
        <f>IF(OR($A7="",6&gt;Controls!$B$6),"",MOD(Q6*48271,2147483647))</f>
        <v/>
      </c>
      <c r="H7" s="10" t="str">
        <f>IF(OR($A7="",7&gt;Controls!$B$6),"",MOD(R6*48271,2147483647))</f>
        <v/>
      </c>
      <c r="I7" s="10" t="str">
        <f>IF(OR($A7="",8&gt;Controls!$B$6),"",MOD(S6*48271,2147483647))</f>
        <v/>
      </c>
      <c r="J7" s="10" t="str">
        <f>IF(OR($A7="",9&gt;Controls!$B$6),"",MOD(T6*48271,2147483647))</f>
        <v/>
      </c>
      <c r="K7" s="10" t="str">
        <f>IF(OR($A7="",10&gt;Controls!$B$6),"",MOD(U6*48271,2147483647))</f>
        <v/>
      </c>
      <c r="L7" s="10">
        <f t="shared" ref="L7:U7" si="6">IF(B7="","",MOD(B7*48271,2147483647))</f>
        <v>1576165700</v>
      </c>
      <c r="M7" s="10">
        <f t="shared" si="6"/>
        <v>1741097820</v>
      </c>
      <c r="N7" s="10">
        <f t="shared" si="6"/>
        <v>1906029940</v>
      </c>
      <c r="O7" s="10" t="str">
        <f t="shared" si="6"/>
        <v/>
      </c>
      <c r="P7" s="10" t="str">
        <f t="shared" si="6"/>
        <v/>
      </c>
      <c r="Q7" s="10" t="str">
        <f t="shared" si="6"/>
        <v/>
      </c>
      <c r="R7" s="10" t="str">
        <f t="shared" si="6"/>
        <v/>
      </c>
      <c r="S7" s="10" t="str">
        <f t="shared" si="6"/>
        <v/>
      </c>
      <c r="T7" s="10" t="str">
        <f t="shared" si="6"/>
        <v/>
      </c>
      <c r="U7" s="10" t="str">
        <f t="shared" si="6"/>
        <v/>
      </c>
      <c r="V7" s="10">
        <f>IF(B7="","",IF(Controls!$B$7="Normal",Controls!$B$8+Controls!$B$9*SQRT(-2*LN(B7/2147483647))*COS(2*PI()*L7/2147483647),Controls!$B$8+(Controls!$B$9-Controls!$B$8)*B7/2147483647))</f>
        <v>48.16183614</v>
      </c>
      <c r="W7" s="10">
        <f>IF(C7="","",IF(Controls!$B$7="Normal",Controls!$B$8+Controls!$B$9*SQRT(-2*LN(C7/2147483647))*COS(2*PI()*M7/2147483647),Controls!$B$8+(Controls!$B$9-Controls!$B$8)*C7/2147483647))</f>
        <v>54.79498539</v>
      </c>
      <c r="X7" s="10">
        <f>IF(D7="","",IF(Controls!$B$7="Normal",Controls!$B$8+Controls!$B$9*SQRT(-2*LN(D7/2147483647))*COS(2*PI()*N7/2147483647),Controls!$B$8+(Controls!$B$9-Controls!$B$8)*D7/2147483647))</f>
        <v>56.61411156</v>
      </c>
      <c r="Y7" s="10" t="str">
        <f>IF(E7="","",IF(Controls!$B$7="Normal",Controls!$B$8+Controls!$B$9*SQRT(-2*LN(E7/2147483647))*COS(2*PI()*O7/2147483647),Controls!$B$8+(Controls!$B$9-Controls!$B$8)*E7/2147483647))</f>
        <v/>
      </c>
      <c r="Z7" s="10" t="str">
        <f>IF(F7="","",IF(Controls!$B$7="Normal",Controls!$B$8+Controls!$B$9*SQRT(-2*LN(F7/2147483647))*COS(2*PI()*P7/2147483647),Controls!$B$8+(Controls!$B$9-Controls!$B$8)*F7/2147483647))</f>
        <v/>
      </c>
      <c r="AA7" s="10" t="str">
        <f>IF(G7="","",IF(Controls!$B$7="Normal",Controls!$B$8+Controls!$B$9*SQRT(-2*LN(G7/2147483647))*COS(2*PI()*Q7/2147483647),Controls!$B$8+(Controls!$B$9-Controls!$B$8)*G7/2147483647))</f>
        <v/>
      </c>
      <c r="AB7" s="10" t="str">
        <f>IF(H7="","",IF(Controls!$B$7="Normal",Controls!$B$8+Controls!$B$9*SQRT(-2*LN(H7/2147483647))*COS(2*PI()*R7/2147483647),Controls!$B$8+(Controls!$B$9-Controls!$B$8)*H7/2147483647))</f>
        <v/>
      </c>
      <c r="AC7" s="10" t="str">
        <f>IF(I7="","",IF(Controls!$B$7="Normal",Controls!$B$8+Controls!$B$9*SQRT(-2*LN(I7/2147483647))*COS(2*PI()*S7/2147483647),Controls!$B$8+(Controls!$B$9-Controls!$B$8)*I7/2147483647))</f>
        <v/>
      </c>
      <c r="AD7" s="10" t="str">
        <f>IF(J7="","",IF(Controls!$B$7="Normal",Controls!$B$8+Controls!$B$9*SQRT(-2*LN(J7/2147483647))*COS(2*PI()*T7/2147483647),Controls!$B$8+(Controls!$B$9-Controls!$B$8)*J7/2147483647))</f>
        <v/>
      </c>
      <c r="AE7" s="10" t="str">
        <f>IF(K7="","",IF(Controls!$B$7="Normal",Controls!$B$8+Controls!$B$9*SQRT(-2*LN(K7/2147483647))*COS(2*PI()*U7/2147483647),Controls!$B$8+(Controls!$B$9-Controls!$B$8)*K7/2147483647))</f>
        <v/>
      </c>
    </row>
    <row r="8" ht="21.0" customHeight="1">
      <c r="A8" s="7">
        <f>IF(7&lt;=Controls!$B$5,Controls!$B$4+6,"")</f>
        <v>72997</v>
      </c>
      <c r="B8" s="10">
        <f>IF(OR($A8="",1&gt;Controls!$B$6),"",MOD(L7*48271,2147483647))</f>
        <v>2043858784</v>
      </c>
      <c r="C8" s="10">
        <f>IF(OR($A8="",2&gt;Controls!$B$6),"",MOD(M7*48271,2147483647))</f>
        <v>612860228</v>
      </c>
      <c r="D8" s="10">
        <f>IF(OR($A8="",3&gt;Controls!$B$6),"",MOD(N7*48271,2147483647))</f>
        <v>1329345319</v>
      </c>
      <c r="E8" s="10" t="str">
        <f>IF(OR($A8="",4&gt;Controls!$B$6),"",MOD(O7*48271,2147483647))</f>
        <v/>
      </c>
      <c r="F8" s="10" t="str">
        <f>IF(OR($A8="",5&gt;Controls!$B$6),"",MOD(P7*48271,2147483647))</f>
        <v/>
      </c>
      <c r="G8" s="10" t="str">
        <f>IF(OR($A8="",6&gt;Controls!$B$6),"",MOD(Q7*48271,2147483647))</f>
        <v/>
      </c>
      <c r="H8" s="10" t="str">
        <f>IF(OR($A8="",7&gt;Controls!$B$6),"",MOD(R7*48271,2147483647))</f>
        <v/>
      </c>
      <c r="I8" s="10" t="str">
        <f>IF(OR($A8="",8&gt;Controls!$B$6),"",MOD(S7*48271,2147483647))</f>
        <v/>
      </c>
      <c r="J8" s="10" t="str">
        <f>IF(OR($A8="",9&gt;Controls!$B$6),"",MOD(T7*48271,2147483647))</f>
        <v/>
      </c>
      <c r="K8" s="10" t="str">
        <f>IF(OR($A8="",10&gt;Controls!$B$6),"",MOD(U7*48271,2147483647))</f>
        <v/>
      </c>
      <c r="L8" s="10">
        <f t="shared" ref="L8:U8" si="7">IF(B8="","",MOD(B8*48271,2147483647))</f>
        <v>1561135637</v>
      </c>
      <c r="M8" s="10">
        <f t="shared" si="7"/>
        <v>1788828363</v>
      </c>
      <c r="N8" s="10">
        <f t="shared" si="7"/>
        <v>2016521089</v>
      </c>
      <c r="O8" s="10" t="str">
        <f t="shared" si="7"/>
        <v/>
      </c>
      <c r="P8" s="10" t="str">
        <f t="shared" si="7"/>
        <v/>
      </c>
      <c r="Q8" s="10" t="str">
        <f t="shared" si="7"/>
        <v/>
      </c>
      <c r="R8" s="10" t="str">
        <f t="shared" si="7"/>
        <v/>
      </c>
      <c r="S8" s="10" t="str">
        <f t="shared" si="7"/>
        <v/>
      </c>
      <c r="T8" s="10" t="str">
        <f t="shared" si="7"/>
        <v/>
      </c>
      <c r="U8" s="10" t="str">
        <f t="shared" si="7"/>
        <v/>
      </c>
      <c r="V8" s="10">
        <f>IF(B8="","",IF(Controls!$B$7="Normal",Controls!$B$8+Controls!$B$9*SQRT(-2*LN(B8/2147483647))*COS(2*PI()*L8/2147483647),Controls!$B$8+(Controls!$B$9-Controls!$B$8)*B8/2147483647))</f>
        <v>49.54630292</v>
      </c>
      <c r="W8" s="10">
        <f>IF(C8="","",IF(Controls!$B$7="Normal",Controls!$B$8+Controls!$B$9*SQRT(-2*LN(C8/2147483647))*COS(2*PI()*M8/2147483647),Controls!$B$8+(Controls!$B$9-Controls!$B$8)*C8/2147483647))</f>
        <v>57.88829925</v>
      </c>
      <c r="X8" s="10">
        <f>IF(D8="","",IF(Controls!$B$7="Normal",Controls!$B$8+Controls!$B$9*SQRT(-2*LN(D8/2147483647))*COS(2*PI()*N8/2147483647),Controls!$B$8+(Controls!$B$9-Controls!$B$8)*D8/2147483647))</f>
        <v>59.0837426</v>
      </c>
      <c r="Y8" s="10" t="str">
        <f>IF(E8="","",IF(Controls!$B$7="Normal",Controls!$B$8+Controls!$B$9*SQRT(-2*LN(E8/2147483647))*COS(2*PI()*O8/2147483647),Controls!$B$8+(Controls!$B$9-Controls!$B$8)*E8/2147483647))</f>
        <v/>
      </c>
      <c r="Z8" s="10" t="str">
        <f>IF(F8="","",IF(Controls!$B$7="Normal",Controls!$B$8+Controls!$B$9*SQRT(-2*LN(F8/2147483647))*COS(2*PI()*P8/2147483647),Controls!$B$8+(Controls!$B$9-Controls!$B$8)*F8/2147483647))</f>
        <v/>
      </c>
      <c r="AA8" s="10" t="str">
        <f>IF(G8="","",IF(Controls!$B$7="Normal",Controls!$B$8+Controls!$B$9*SQRT(-2*LN(G8/2147483647))*COS(2*PI()*Q8/2147483647),Controls!$B$8+(Controls!$B$9-Controls!$B$8)*G8/2147483647))</f>
        <v/>
      </c>
      <c r="AB8" s="10" t="str">
        <f>IF(H8="","",IF(Controls!$B$7="Normal",Controls!$B$8+Controls!$B$9*SQRT(-2*LN(H8/2147483647))*COS(2*PI()*R8/2147483647),Controls!$B$8+(Controls!$B$9-Controls!$B$8)*H8/2147483647))</f>
        <v/>
      </c>
      <c r="AC8" s="10" t="str">
        <f>IF(I8="","",IF(Controls!$B$7="Normal",Controls!$B$8+Controls!$B$9*SQRT(-2*LN(I8/2147483647))*COS(2*PI()*S8/2147483647),Controls!$B$8+(Controls!$B$9-Controls!$B$8)*I8/2147483647))</f>
        <v/>
      </c>
      <c r="AD8" s="10" t="str">
        <f>IF(J8="","",IF(Controls!$B$7="Normal",Controls!$B$8+Controls!$B$9*SQRT(-2*LN(J8/2147483647))*COS(2*PI()*T8/2147483647),Controls!$B$8+(Controls!$B$9-Controls!$B$8)*J8/2147483647))</f>
        <v/>
      </c>
      <c r="AE8" s="10" t="str">
        <f>IF(K8="","",IF(Controls!$B$7="Normal",Controls!$B$8+Controls!$B$9*SQRT(-2*LN(K8/2147483647))*COS(2*PI()*U8/2147483647),Controls!$B$8+(Controls!$B$9-Controls!$B$8)*K8/2147483647))</f>
        <v/>
      </c>
    </row>
    <row r="9" ht="21.0" customHeight="1">
      <c r="A9" s="7">
        <f>IF(8&lt;=Controls!$B$5,Controls!$B$4+7,"")</f>
        <v>72998</v>
      </c>
      <c r="B9" s="10">
        <f>IF(OR($A9="",1&gt;Controls!$B$6),"",MOD(L8*48271,2147483647))</f>
        <v>229676750</v>
      </c>
      <c r="C9" s="10">
        <f>IF(OR($A9="",2&gt;Controls!$B$6),"",MOD(M8*48271,2147483647))</f>
        <v>363948150</v>
      </c>
      <c r="D9" s="10">
        <f>IF(OR($A9="",3&gt;Controls!$B$6),"",MOD(N8*48271,2147483647))</f>
        <v>498219550</v>
      </c>
      <c r="E9" s="10" t="str">
        <f>IF(OR($A9="",4&gt;Controls!$B$6),"",MOD(O8*48271,2147483647))</f>
        <v/>
      </c>
      <c r="F9" s="10" t="str">
        <f>IF(OR($A9="",5&gt;Controls!$B$6),"",MOD(P8*48271,2147483647))</f>
        <v/>
      </c>
      <c r="G9" s="10" t="str">
        <f>IF(OR($A9="",6&gt;Controls!$B$6),"",MOD(Q8*48271,2147483647))</f>
        <v/>
      </c>
      <c r="H9" s="10" t="str">
        <f>IF(OR($A9="",7&gt;Controls!$B$6),"",MOD(R8*48271,2147483647))</f>
        <v/>
      </c>
      <c r="I9" s="10" t="str">
        <f>IF(OR($A9="",8&gt;Controls!$B$6),"",MOD(S8*48271,2147483647))</f>
        <v/>
      </c>
      <c r="J9" s="10" t="str">
        <f>IF(OR($A9="",9&gt;Controls!$B$6),"",MOD(T8*48271,2147483647))</f>
        <v/>
      </c>
      <c r="K9" s="10" t="str">
        <f>IF(OR($A9="",10&gt;Controls!$B$6),"",MOD(U8*48271,2147483647))</f>
        <v/>
      </c>
      <c r="L9" s="10">
        <f t="shared" ref="L9:U9" si="8">IF(B9="","",MOD(B9*48271,2147483647))</f>
        <v>1415813436</v>
      </c>
      <c r="M9" s="10">
        <f t="shared" si="8"/>
        <v>1724916190</v>
      </c>
      <c r="N9" s="10">
        <f t="shared" si="8"/>
        <v>2034018944</v>
      </c>
      <c r="O9" s="10" t="str">
        <f t="shared" si="8"/>
        <v/>
      </c>
      <c r="P9" s="10" t="str">
        <f t="shared" si="8"/>
        <v/>
      </c>
      <c r="Q9" s="10" t="str">
        <f t="shared" si="8"/>
        <v/>
      </c>
      <c r="R9" s="10" t="str">
        <f t="shared" si="8"/>
        <v/>
      </c>
      <c r="S9" s="10" t="str">
        <f t="shared" si="8"/>
        <v/>
      </c>
      <c r="T9" s="10" t="str">
        <f t="shared" si="8"/>
        <v/>
      </c>
      <c r="U9" s="10" t="str">
        <f t="shared" si="8"/>
        <v/>
      </c>
      <c r="V9" s="10">
        <f>IF(B9="","",IF(Controls!$B$7="Normal",Controls!$B$8+Controls!$B$9*SQRT(-2*LN(B9/2147483647))*COS(2*PI()*L9/2147483647),Controls!$B$8+(Controls!$B$9-Controls!$B$8)*B9/2147483647))</f>
        <v>38.59080467</v>
      </c>
      <c r="W9" s="10">
        <f>IF(C9="","",IF(Controls!$B$7="Normal",Controls!$B$8+Controls!$B$9*SQRT(-2*LN(C9/2147483647))*COS(2*PI()*M9/2147483647),Controls!$B$8+(Controls!$B$9-Controls!$B$8)*C9/2147483647))</f>
        <v>56.18446957</v>
      </c>
      <c r="X9" s="10">
        <f>IF(D9="","",IF(Controls!$B$7="Normal",Controls!$B$8+Controls!$B$9*SQRT(-2*LN(D9/2147483647))*COS(2*PI()*N9/2147483647),Controls!$B$8+(Controls!$B$9-Controls!$B$8)*D9/2147483647))</f>
        <v>66.16058156</v>
      </c>
      <c r="Y9" s="10" t="str">
        <f>IF(E9="","",IF(Controls!$B$7="Normal",Controls!$B$8+Controls!$B$9*SQRT(-2*LN(E9/2147483647))*COS(2*PI()*O9/2147483647),Controls!$B$8+(Controls!$B$9-Controls!$B$8)*E9/2147483647))</f>
        <v/>
      </c>
      <c r="Z9" s="10" t="str">
        <f>IF(F9="","",IF(Controls!$B$7="Normal",Controls!$B$8+Controls!$B$9*SQRT(-2*LN(F9/2147483647))*COS(2*PI()*P9/2147483647),Controls!$B$8+(Controls!$B$9-Controls!$B$8)*F9/2147483647))</f>
        <v/>
      </c>
      <c r="AA9" s="10" t="str">
        <f>IF(G9="","",IF(Controls!$B$7="Normal",Controls!$B$8+Controls!$B$9*SQRT(-2*LN(G9/2147483647))*COS(2*PI()*Q9/2147483647),Controls!$B$8+(Controls!$B$9-Controls!$B$8)*G9/2147483647))</f>
        <v/>
      </c>
      <c r="AB9" s="10" t="str">
        <f>IF(H9="","",IF(Controls!$B$7="Normal",Controls!$B$8+Controls!$B$9*SQRT(-2*LN(H9/2147483647))*COS(2*PI()*R9/2147483647),Controls!$B$8+(Controls!$B$9-Controls!$B$8)*H9/2147483647))</f>
        <v/>
      </c>
      <c r="AC9" s="10" t="str">
        <f>IF(I9="","",IF(Controls!$B$7="Normal",Controls!$B$8+Controls!$B$9*SQRT(-2*LN(I9/2147483647))*COS(2*PI()*S9/2147483647),Controls!$B$8+(Controls!$B$9-Controls!$B$8)*I9/2147483647))</f>
        <v/>
      </c>
      <c r="AD9" s="10" t="str">
        <f>IF(J9="","",IF(Controls!$B$7="Normal",Controls!$B$8+Controls!$B$9*SQRT(-2*LN(J9/2147483647))*COS(2*PI()*T9/2147483647),Controls!$B$8+(Controls!$B$9-Controls!$B$8)*J9/2147483647))</f>
        <v/>
      </c>
      <c r="AE9" s="10" t="str">
        <f>IF(K9="","",IF(Controls!$B$7="Normal",Controls!$B$8+Controls!$B$9*SQRT(-2*LN(K9/2147483647))*COS(2*PI()*U9/2147483647),Controls!$B$8+(Controls!$B$9-Controls!$B$8)*K9/2147483647))</f>
        <v/>
      </c>
    </row>
    <row r="10" ht="21.0" customHeight="1">
      <c r="A10" s="7">
        <f>IF(9&lt;=Controls!$B$5,Controls!$B$4+8,"")</f>
        <v>72999</v>
      </c>
      <c r="B10" s="10">
        <f>IF(OR($A10="",1&gt;Controls!$B$6),"",MOD(L9*48271,2147483647))</f>
        <v>1210787028</v>
      </c>
      <c r="C10" s="10">
        <f>IF(OR($A10="",2&gt;Controls!$B$6),"",MOD(M9*48271,2147483647))</f>
        <v>1193446006</v>
      </c>
      <c r="D10" s="10">
        <f>IF(OR($A10="",3&gt;Controls!$B$6),"",MOD(N9*48271,2147483647))</f>
        <v>1176104984</v>
      </c>
      <c r="E10" s="10" t="str">
        <f>IF(OR($A10="",4&gt;Controls!$B$6),"",MOD(O9*48271,2147483647))</f>
        <v/>
      </c>
      <c r="F10" s="10" t="str">
        <f>IF(OR($A10="",5&gt;Controls!$B$6),"",MOD(P9*48271,2147483647))</f>
        <v/>
      </c>
      <c r="G10" s="10" t="str">
        <f>IF(OR($A10="",6&gt;Controls!$B$6),"",MOD(Q9*48271,2147483647))</f>
        <v/>
      </c>
      <c r="H10" s="10" t="str">
        <f>IF(OR($A10="",7&gt;Controls!$B$6),"",MOD(R9*48271,2147483647))</f>
        <v/>
      </c>
      <c r="I10" s="10" t="str">
        <f>IF(OR($A10="",8&gt;Controls!$B$6),"",MOD(S9*48271,2147483647))</f>
        <v/>
      </c>
      <c r="J10" s="10" t="str">
        <f>IF(OR($A10="",9&gt;Controls!$B$6),"",MOD(T9*48271,2147483647))</f>
        <v/>
      </c>
      <c r="K10" s="10" t="str">
        <f>IF(OR($A10="",10&gt;Controls!$B$6),"",MOD(U9*48271,2147483647))</f>
        <v/>
      </c>
      <c r="L10" s="10">
        <f t="shared" ref="L10:U10" si="9">IF(B10="","",MOD(B10*48271,2147483647))</f>
        <v>2133175483</v>
      </c>
      <c r="M10" s="10">
        <f t="shared" si="9"/>
        <v>435841204</v>
      </c>
      <c r="N10" s="10">
        <f t="shared" si="9"/>
        <v>885990572</v>
      </c>
      <c r="O10" s="10" t="str">
        <f t="shared" si="9"/>
        <v/>
      </c>
      <c r="P10" s="10" t="str">
        <f t="shared" si="9"/>
        <v/>
      </c>
      <c r="Q10" s="10" t="str">
        <f t="shared" si="9"/>
        <v/>
      </c>
      <c r="R10" s="10" t="str">
        <f t="shared" si="9"/>
        <v/>
      </c>
      <c r="S10" s="10" t="str">
        <f t="shared" si="9"/>
        <v/>
      </c>
      <c r="T10" s="10" t="str">
        <f t="shared" si="9"/>
        <v/>
      </c>
      <c r="U10" s="10" t="str">
        <f t="shared" si="9"/>
        <v/>
      </c>
      <c r="V10" s="10">
        <f>IF(B10="","",IF(Controls!$B$7="Normal",Controls!$B$8+Controls!$B$9*SQRT(-2*LN(B10/2147483647))*COS(2*PI()*L10/2147483647),Controls!$B$8+(Controls!$B$9-Controls!$B$8)*B10/2147483647))</f>
        <v>60.69600403</v>
      </c>
      <c r="W10" s="10">
        <f>IF(C10="","",IF(Controls!$B$7="Normal",Controls!$B$8+Controls!$B$9*SQRT(-2*LN(C10/2147483647))*COS(2*PI()*M10/2147483647),Controls!$B$8+(Controls!$B$9-Controls!$B$8)*C10/2147483647))</f>
        <v>53.15760014</v>
      </c>
      <c r="X10" s="10">
        <f>IF(D10="","",IF(Controls!$B$7="Normal",Controls!$B$8+Controls!$B$9*SQRT(-2*LN(D10/2147483647))*COS(2*PI()*N10/2147483647),Controls!$B$8+(Controls!$B$9-Controls!$B$8)*D10/2147483647))</f>
        <v>40.64097688</v>
      </c>
      <c r="Y10" s="10" t="str">
        <f>IF(E10="","",IF(Controls!$B$7="Normal",Controls!$B$8+Controls!$B$9*SQRT(-2*LN(E10/2147483647))*COS(2*PI()*O10/2147483647),Controls!$B$8+(Controls!$B$9-Controls!$B$8)*E10/2147483647))</f>
        <v/>
      </c>
      <c r="Z10" s="10" t="str">
        <f>IF(F10="","",IF(Controls!$B$7="Normal",Controls!$B$8+Controls!$B$9*SQRT(-2*LN(F10/2147483647))*COS(2*PI()*P10/2147483647),Controls!$B$8+(Controls!$B$9-Controls!$B$8)*F10/2147483647))</f>
        <v/>
      </c>
      <c r="AA10" s="10" t="str">
        <f>IF(G10="","",IF(Controls!$B$7="Normal",Controls!$B$8+Controls!$B$9*SQRT(-2*LN(G10/2147483647))*COS(2*PI()*Q10/2147483647),Controls!$B$8+(Controls!$B$9-Controls!$B$8)*G10/2147483647))</f>
        <v/>
      </c>
      <c r="AB10" s="10" t="str">
        <f>IF(H10="","",IF(Controls!$B$7="Normal",Controls!$B$8+Controls!$B$9*SQRT(-2*LN(H10/2147483647))*COS(2*PI()*R10/2147483647),Controls!$B$8+(Controls!$B$9-Controls!$B$8)*H10/2147483647))</f>
        <v/>
      </c>
      <c r="AC10" s="10" t="str">
        <f>IF(I10="","",IF(Controls!$B$7="Normal",Controls!$B$8+Controls!$B$9*SQRT(-2*LN(I10/2147483647))*COS(2*PI()*S10/2147483647),Controls!$B$8+(Controls!$B$9-Controls!$B$8)*I10/2147483647))</f>
        <v/>
      </c>
      <c r="AD10" s="10" t="str">
        <f>IF(J10="","",IF(Controls!$B$7="Normal",Controls!$B$8+Controls!$B$9*SQRT(-2*LN(J10/2147483647))*COS(2*PI()*T10/2147483647),Controls!$B$8+(Controls!$B$9-Controls!$B$8)*J10/2147483647))</f>
        <v/>
      </c>
      <c r="AE10" s="10" t="str">
        <f>IF(K10="","",IF(Controls!$B$7="Normal",Controls!$B$8+Controls!$B$9*SQRT(-2*LN(K10/2147483647))*COS(2*PI()*U10/2147483647),Controls!$B$8+(Controls!$B$9-Controls!$B$8)*K10/2147483647))</f>
        <v/>
      </c>
    </row>
    <row r="11" ht="21.0" customHeight="1">
      <c r="A11" s="7">
        <f>IF(10&lt;=Controls!$B$5,Controls!$B$4+9,"")</f>
        <v>73000</v>
      </c>
      <c r="B11" s="10">
        <f>IF(OR($A11="",1&gt;Controls!$B$6),"",MOD(L10*48271,2147483647))</f>
        <v>820349890</v>
      </c>
      <c r="C11" s="10">
        <f>IF(OR($A11="",2&gt;Controls!$B$6),"",MOD(M10*48271,2147483647))</f>
        <v>1740952272</v>
      </c>
      <c r="D11" s="10">
        <f>IF(OR($A11="",3&gt;Controls!$B$6),"",MOD(N10*48271,2147483647))</f>
        <v>514071007</v>
      </c>
      <c r="E11" s="10" t="str">
        <f>IF(OR($A11="",4&gt;Controls!$B$6),"",MOD(O10*48271,2147483647))</f>
        <v/>
      </c>
      <c r="F11" s="10" t="str">
        <f>IF(OR($A11="",5&gt;Controls!$B$6),"",MOD(P10*48271,2147483647))</f>
        <v/>
      </c>
      <c r="G11" s="10" t="str">
        <f>IF(OR($A11="",6&gt;Controls!$B$6),"",MOD(Q10*48271,2147483647))</f>
        <v/>
      </c>
      <c r="H11" s="10" t="str">
        <f>IF(OR($A11="",7&gt;Controls!$B$6),"",MOD(R10*48271,2147483647))</f>
        <v/>
      </c>
      <c r="I11" s="10" t="str">
        <f>IF(OR($A11="",8&gt;Controls!$B$6),"",MOD(S10*48271,2147483647))</f>
        <v/>
      </c>
      <c r="J11" s="10" t="str">
        <f>IF(OR($A11="",9&gt;Controls!$B$6),"",MOD(T10*48271,2147483647))</f>
        <v/>
      </c>
      <c r="K11" s="10" t="str">
        <f>IF(OR($A11="",10&gt;Controls!$B$6),"",MOD(U10*48271,2147483647))</f>
        <v/>
      </c>
      <c r="L11" s="10">
        <f t="shared" ref="L11:U11" si="10">IF(B11="","",MOD(B11*48271,2147483647))</f>
        <v>1658573157</v>
      </c>
      <c r="M11" s="10">
        <f t="shared" si="10"/>
        <v>29563661</v>
      </c>
      <c r="N11" s="10">
        <f t="shared" si="10"/>
        <v>548037812</v>
      </c>
      <c r="O11" s="10" t="str">
        <f t="shared" si="10"/>
        <v/>
      </c>
      <c r="P11" s="10" t="str">
        <f t="shared" si="10"/>
        <v/>
      </c>
      <c r="Q11" s="10" t="str">
        <f t="shared" si="10"/>
        <v/>
      </c>
      <c r="R11" s="10" t="str">
        <f t="shared" si="10"/>
        <v/>
      </c>
      <c r="S11" s="10" t="str">
        <f t="shared" si="10"/>
        <v/>
      </c>
      <c r="T11" s="10" t="str">
        <f t="shared" si="10"/>
        <v/>
      </c>
      <c r="U11" s="10" t="str">
        <f t="shared" si="10"/>
        <v/>
      </c>
      <c r="V11" s="10">
        <f>IF(B11="","",IF(Controls!$B$7="Normal",Controls!$B$8+Controls!$B$9*SQRT(-2*LN(B11/2147483647))*COS(2*PI()*L11/2147483647),Controls!$B$8+(Controls!$B$9-Controls!$B$8)*B11/2147483647))</f>
        <v>51.94035764</v>
      </c>
      <c r="W11" s="10">
        <f>IF(C11="","",IF(Controls!$B$7="Normal",Controls!$B$8+Controls!$B$9*SQRT(-2*LN(C11/2147483647))*COS(2*PI()*M11/2147483647),Controls!$B$8+(Controls!$B$9-Controls!$B$8)*C11/2147483647))</f>
        <v>56.45442831</v>
      </c>
      <c r="X11" s="10">
        <f>IF(D11="","",IF(Controls!$B$7="Normal",Controls!$B$8+Controls!$B$9*SQRT(-2*LN(D11/2147483647))*COS(2*PI()*N11/2147483647),Controls!$B$8+(Controls!$B$9-Controls!$B$8)*D11/2147483647))</f>
        <v>49.4476156</v>
      </c>
      <c r="Y11" s="10" t="str">
        <f>IF(E11="","",IF(Controls!$B$7="Normal",Controls!$B$8+Controls!$B$9*SQRT(-2*LN(E11/2147483647))*COS(2*PI()*O11/2147483647),Controls!$B$8+(Controls!$B$9-Controls!$B$8)*E11/2147483647))</f>
        <v/>
      </c>
      <c r="Z11" s="10" t="str">
        <f>IF(F11="","",IF(Controls!$B$7="Normal",Controls!$B$8+Controls!$B$9*SQRT(-2*LN(F11/2147483647))*COS(2*PI()*P11/2147483647),Controls!$B$8+(Controls!$B$9-Controls!$B$8)*F11/2147483647))</f>
        <v/>
      </c>
      <c r="AA11" s="10" t="str">
        <f>IF(G11="","",IF(Controls!$B$7="Normal",Controls!$B$8+Controls!$B$9*SQRT(-2*LN(G11/2147483647))*COS(2*PI()*Q11/2147483647),Controls!$B$8+(Controls!$B$9-Controls!$B$8)*G11/2147483647))</f>
        <v/>
      </c>
      <c r="AB11" s="10" t="str">
        <f>IF(H11="","",IF(Controls!$B$7="Normal",Controls!$B$8+Controls!$B$9*SQRT(-2*LN(H11/2147483647))*COS(2*PI()*R11/2147483647),Controls!$B$8+(Controls!$B$9-Controls!$B$8)*H11/2147483647))</f>
        <v/>
      </c>
      <c r="AC11" s="10" t="str">
        <f>IF(I11="","",IF(Controls!$B$7="Normal",Controls!$B$8+Controls!$B$9*SQRT(-2*LN(I11/2147483647))*COS(2*PI()*S11/2147483647),Controls!$B$8+(Controls!$B$9-Controls!$B$8)*I11/2147483647))</f>
        <v/>
      </c>
      <c r="AD11" s="10" t="str">
        <f>IF(J11="","",IF(Controls!$B$7="Normal",Controls!$B$8+Controls!$B$9*SQRT(-2*LN(J11/2147483647))*COS(2*PI()*T11/2147483647),Controls!$B$8+(Controls!$B$9-Controls!$B$8)*J11/2147483647))</f>
        <v/>
      </c>
      <c r="AE11" s="10" t="str">
        <f>IF(K11="","",IF(Controls!$B$7="Normal",Controls!$B$8+Controls!$B$9*SQRT(-2*LN(K11/2147483647))*COS(2*PI()*U11/2147483647),Controls!$B$8+(Controls!$B$9-Controls!$B$8)*K11/2147483647))</f>
        <v/>
      </c>
    </row>
    <row r="12" ht="21.0" customHeight="1">
      <c r="A12" s="7">
        <f>IF(11&lt;=Controls!$B$5,Controls!$B$4+10,"")</f>
        <v>73001</v>
      </c>
      <c r="B12" s="10">
        <f>IF(OR($A12="",1&gt;Controls!$B$6),"",MOD(L11*48271,2147483647))</f>
        <v>647017740</v>
      </c>
      <c r="C12" s="10">
        <f>IF(OR($A12="",2&gt;Controls!$B$6),"",MOD(M11*48271,2147483647))</f>
        <v>1138338523</v>
      </c>
      <c r="D12" s="10">
        <f>IF(OR($A12="",3&gt;Controls!$B$6),"",MOD(N11*48271,2147483647))</f>
        <v>1629659306</v>
      </c>
      <c r="E12" s="10" t="str">
        <f>IF(OR($A12="",4&gt;Controls!$B$6),"",MOD(O11*48271,2147483647))</f>
        <v/>
      </c>
      <c r="F12" s="10" t="str">
        <f>IF(OR($A12="",5&gt;Controls!$B$6),"",MOD(P11*48271,2147483647))</f>
        <v/>
      </c>
      <c r="G12" s="10" t="str">
        <f>IF(OR($A12="",6&gt;Controls!$B$6),"",MOD(Q11*48271,2147483647))</f>
        <v/>
      </c>
      <c r="H12" s="10" t="str">
        <f>IF(OR($A12="",7&gt;Controls!$B$6),"",MOD(R11*48271,2147483647))</f>
        <v/>
      </c>
      <c r="I12" s="10" t="str">
        <f>IF(OR($A12="",8&gt;Controls!$B$6),"",MOD(S11*48271,2147483647))</f>
        <v/>
      </c>
      <c r="J12" s="10" t="str">
        <f>IF(OR($A12="",9&gt;Controls!$B$6),"",MOD(T11*48271,2147483647))</f>
        <v/>
      </c>
      <c r="K12" s="10" t="str">
        <f>IF(OR($A12="",10&gt;Controls!$B$6),"",MOD(U11*48271,2147483647))</f>
        <v/>
      </c>
      <c r="L12" s="10">
        <f t="shared" ref="L12:U12" si="11">IF(B12="","",MOD(B12*48271,2147483647))</f>
        <v>1338649219</v>
      </c>
      <c r="M12" s="10">
        <f t="shared" si="11"/>
        <v>1074767944</v>
      </c>
      <c r="N12" s="10">
        <f t="shared" si="11"/>
        <v>810886669</v>
      </c>
      <c r="O12" s="10" t="str">
        <f t="shared" si="11"/>
        <v/>
      </c>
      <c r="P12" s="10" t="str">
        <f t="shared" si="11"/>
        <v/>
      </c>
      <c r="Q12" s="10" t="str">
        <f t="shared" si="11"/>
        <v/>
      </c>
      <c r="R12" s="10" t="str">
        <f t="shared" si="11"/>
        <v/>
      </c>
      <c r="S12" s="10" t="str">
        <f t="shared" si="11"/>
        <v/>
      </c>
      <c r="T12" s="10" t="str">
        <f t="shared" si="11"/>
        <v/>
      </c>
      <c r="U12" s="10" t="str">
        <f t="shared" si="11"/>
        <v/>
      </c>
      <c r="V12" s="10">
        <f>IF(B12="","",IF(Controls!$B$7="Normal",Controls!$B$8+Controls!$B$9*SQRT(-2*LN(B12/2147483647))*COS(2*PI()*L12/2147483647),Controls!$B$8+(Controls!$B$9-Controls!$B$8)*B12/2147483647))</f>
        <v>38.93454027</v>
      </c>
      <c r="W12" s="10">
        <f>IF(C12="","",IF(Controls!$B$7="Normal",Controls!$B$8+Controls!$B$9*SQRT(-2*LN(C12/2147483647))*COS(2*PI()*M12/2147483647),Controls!$B$8+(Controls!$B$9-Controls!$B$8)*C12/2147483647))</f>
        <v>38.73304588</v>
      </c>
      <c r="X12" s="10">
        <f>IF(D12="","",IF(Controls!$B$7="Normal",Controls!$B$8+Controls!$B$9*SQRT(-2*LN(D12/2147483647))*COS(2*PI()*N12/2147483647),Controls!$B$8+(Controls!$B$9-Controls!$B$8)*D12/2147483647))</f>
        <v>44.66207637</v>
      </c>
      <c r="Y12" s="10" t="str">
        <f>IF(E12="","",IF(Controls!$B$7="Normal",Controls!$B$8+Controls!$B$9*SQRT(-2*LN(E12/2147483647))*COS(2*PI()*O12/2147483647),Controls!$B$8+(Controls!$B$9-Controls!$B$8)*E12/2147483647))</f>
        <v/>
      </c>
      <c r="Z12" s="10" t="str">
        <f>IF(F12="","",IF(Controls!$B$7="Normal",Controls!$B$8+Controls!$B$9*SQRT(-2*LN(F12/2147483647))*COS(2*PI()*P12/2147483647),Controls!$B$8+(Controls!$B$9-Controls!$B$8)*F12/2147483647))</f>
        <v/>
      </c>
      <c r="AA12" s="10" t="str">
        <f>IF(G12="","",IF(Controls!$B$7="Normal",Controls!$B$8+Controls!$B$9*SQRT(-2*LN(G12/2147483647))*COS(2*PI()*Q12/2147483647),Controls!$B$8+(Controls!$B$9-Controls!$B$8)*G12/2147483647))</f>
        <v/>
      </c>
      <c r="AB12" s="10" t="str">
        <f>IF(H12="","",IF(Controls!$B$7="Normal",Controls!$B$8+Controls!$B$9*SQRT(-2*LN(H12/2147483647))*COS(2*PI()*R12/2147483647),Controls!$B$8+(Controls!$B$9-Controls!$B$8)*H12/2147483647))</f>
        <v/>
      </c>
      <c r="AC12" s="10" t="str">
        <f>IF(I12="","",IF(Controls!$B$7="Normal",Controls!$B$8+Controls!$B$9*SQRT(-2*LN(I12/2147483647))*COS(2*PI()*S12/2147483647),Controls!$B$8+(Controls!$B$9-Controls!$B$8)*I12/2147483647))</f>
        <v/>
      </c>
      <c r="AD12" s="10" t="str">
        <f>IF(J12="","",IF(Controls!$B$7="Normal",Controls!$B$8+Controls!$B$9*SQRT(-2*LN(J12/2147483647))*COS(2*PI()*T12/2147483647),Controls!$B$8+(Controls!$B$9-Controls!$B$8)*J12/2147483647))</f>
        <v/>
      </c>
      <c r="AE12" s="10" t="str">
        <f>IF(K12="","",IF(Controls!$B$7="Normal",Controls!$B$8+Controls!$B$9*SQRT(-2*LN(K12/2147483647))*COS(2*PI()*U12/2147483647),Controls!$B$8+(Controls!$B$9-Controls!$B$8)*K12/2147483647))</f>
        <v/>
      </c>
    </row>
    <row r="13" ht="21.0" customHeight="1">
      <c r="A13" s="7">
        <f>IF(12&lt;=Controls!$B$5,Controls!$B$4+11,"")</f>
        <v>73002</v>
      </c>
      <c r="B13" s="10">
        <f>IF(OR($A13="",1&gt;Controls!$B$6),"",MOD(L12*48271,2147483647))</f>
        <v>153512119</v>
      </c>
      <c r="C13" s="10">
        <f>IF(OR($A13="",2&gt;Controls!$B$6),"",MOD(M12*48271,2147483647))</f>
        <v>1213480598</v>
      </c>
      <c r="D13" s="10">
        <f>IF(OR($A13="",3&gt;Controls!$B$6),"",MOD(N12*48271,2147483647))</f>
        <v>125965430</v>
      </c>
      <c r="E13" s="10" t="str">
        <f>IF(OR($A13="",4&gt;Controls!$B$6),"",MOD(O12*48271,2147483647))</f>
        <v/>
      </c>
      <c r="F13" s="10" t="str">
        <f>IF(OR($A13="",5&gt;Controls!$B$6),"",MOD(P12*48271,2147483647))</f>
        <v/>
      </c>
      <c r="G13" s="10" t="str">
        <f>IF(OR($A13="",6&gt;Controls!$B$6),"",MOD(Q12*48271,2147483647))</f>
        <v/>
      </c>
      <c r="H13" s="10" t="str">
        <f>IF(OR($A13="",7&gt;Controls!$B$6),"",MOD(R12*48271,2147483647))</f>
        <v/>
      </c>
      <c r="I13" s="10" t="str">
        <f>IF(OR($A13="",8&gt;Controls!$B$6),"",MOD(S12*48271,2147483647))</f>
        <v/>
      </c>
      <c r="J13" s="10" t="str">
        <f>IF(OR($A13="",9&gt;Controls!$B$6),"",MOD(T12*48271,2147483647))</f>
        <v/>
      </c>
      <c r="K13" s="10" t="str">
        <f>IF(OR($A13="",10&gt;Controls!$B$6),"",MOD(U12*48271,2147483647))</f>
        <v/>
      </c>
      <c r="L13" s="10">
        <f t="shared" ref="L13:U13" si="12">IF(B13="","",MOD(B13*48271,2147483647))</f>
        <v>1364914099</v>
      </c>
      <c r="M13" s="10">
        <f t="shared" si="12"/>
        <v>1157990486</v>
      </c>
      <c r="N13" s="10">
        <f t="shared" si="12"/>
        <v>951066873</v>
      </c>
      <c r="O13" s="10" t="str">
        <f t="shared" si="12"/>
        <v/>
      </c>
      <c r="P13" s="10" t="str">
        <f t="shared" si="12"/>
        <v/>
      </c>
      <c r="Q13" s="10" t="str">
        <f t="shared" si="12"/>
        <v/>
      </c>
      <c r="R13" s="10" t="str">
        <f t="shared" si="12"/>
        <v/>
      </c>
      <c r="S13" s="10" t="str">
        <f t="shared" si="12"/>
        <v/>
      </c>
      <c r="T13" s="10" t="str">
        <f t="shared" si="12"/>
        <v/>
      </c>
      <c r="U13" s="10" t="str">
        <f t="shared" si="12"/>
        <v/>
      </c>
      <c r="V13" s="10">
        <f>IF(B13="","",IF(Controls!$B$7="Normal",Controls!$B$8+Controls!$B$9*SQRT(-2*LN(B13/2147483647))*COS(2*PI()*L13/2147483647),Controls!$B$8+(Controls!$B$9-Controls!$B$8)*B13/2147483647))</f>
        <v>34.87290763</v>
      </c>
      <c r="W13" s="10">
        <f>IF(C13="","",IF(Controls!$B$7="Normal",Controls!$B$8+Controls!$B$9*SQRT(-2*LN(C13/2147483647))*COS(2*PI()*M13/2147483647),Controls!$B$8+(Controls!$B$9-Controls!$B$8)*C13/2147483647))</f>
        <v>39.63835845</v>
      </c>
      <c r="X13" s="10">
        <f>IF(D13="","",IF(Controls!$B$7="Normal",Controls!$B$8+Controls!$B$9*SQRT(-2*LN(D13/2147483647))*COS(2*PI()*N13/2147483647),Controls!$B$8+(Controls!$B$9-Controls!$B$8)*D13/2147483647))</f>
        <v>27.70155165</v>
      </c>
      <c r="Y13" s="10" t="str">
        <f>IF(E13="","",IF(Controls!$B$7="Normal",Controls!$B$8+Controls!$B$9*SQRT(-2*LN(E13/2147483647))*COS(2*PI()*O13/2147483647),Controls!$B$8+(Controls!$B$9-Controls!$B$8)*E13/2147483647))</f>
        <v/>
      </c>
      <c r="Z13" s="10" t="str">
        <f>IF(F13="","",IF(Controls!$B$7="Normal",Controls!$B$8+Controls!$B$9*SQRT(-2*LN(F13/2147483647))*COS(2*PI()*P13/2147483647),Controls!$B$8+(Controls!$B$9-Controls!$B$8)*F13/2147483647))</f>
        <v/>
      </c>
      <c r="AA13" s="10" t="str">
        <f>IF(G13="","",IF(Controls!$B$7="Normal",Controls!$B$8+Controls!$B$9*SQRT(-2*LN(G13/2147483647))*COS(2*PI()*Q13/2147483647),Controls!$B$8+(Controls!$B$9-Controls!$B$8)*G13/2147483647))</f>
        <v/>
      </c>
      <c r="AB13" s="10" t="str">
        <f>IF(H13="","",IF(Controls!$B$7="Normal",Controls!$B$8+Controls!$B$9*SQRT(-2*LN(H13/2147483647))*COS(2*PI()*R13/2147483647),Controls!$B$8+(Controls!$B$9-Controls!$B$8)*H13/2147483647))</f>
        <v/>
      </c>
      <c r="AC13" s="10" t="str">
        <f>IF(I13="","",IF(Controls!$B$7="Normal",Controls!$B$8+Controls!$B$9*SQRT(-2*LN(I13/2147483647))*COS(2*PI()*S13/2147483647),Controls!$B$8+(Controls!$B$9-Controls!$B$8)*I13/2147483647))</f>
        <v/>
      </c>
      <c r="AD13" s="10" t="str">
        <f>IF(J13="","",IF(Controls!$B$7="Normal",Controls!$B$8+Controls!$B$9*SQRT(-2*LN(J13/2147483647))*COS(2*PI()*T13/2147483647),Controls!$B$8+(Controls!$B$9-Controls!$B$8)*J13/2147483647))</f>
        <v/>
      </c>
      <c r="AE13" s="10" t="str">
        <f>IF(K13="","",IF(Controls!$B$7="Normal",Controls!$B$8+Controls!$B$9*SQRT(-2*LN(K13/2147483647))*COS(2*PI()*U13/2147483647),Controls!$B$8+(Controls!$B$9-Controls!$B$8)*K13/2147483647))</f>
        <v/>
      </c>
    </row>
    <row r="14" ht="21.0" customHeight="1">
      <c r="A14" s="7">
        <f>IF(13&lt;=Controls!$B$5,Controls!$B$4+12,"")</f>
        <v>73003</v>
      </c>
      <c r="B14" s="10">
        <f>IF(OR($A14="",1&gt;Controls!$B$6),"",MOD(L13*48271,2147483647))</f>
        <v>970182869</v>
      </c>
      <c r="C14" s="10">
        <f>IF(OR($A14="",2&gt;Controls!$B$6),"",MOD(M13*48271,2147483647))</f>
        <v>506901943</v>
      </c>
      <c r="D14" s="10">
        <f>IF(OR($A14="",3&gt;Controls!$B$6),"",MOD(N13*48271,2147483647))</f>
        <v>43621017</v>
      </c>
      <c r="E14" s="10" t="str">
        <f>IF(OR($A14="",4&gt;Controls!$B$6),"",MOD(O13*48271,2147483647))</f>
        <v/>
      </c>
      <c r="F14" s="10" t="str">
        <f>IF(OR($A14="",5&gt;Controls!$B$6),"",MOD(P13*48271,2147483647))</f>
        <v/>
      </c>
      <c r="G14" s="10" t="str">
        <f>IF(OR($A14="",6&gt;Controls!$B$6),"",MOD(Q13*48271,2147483647))</f>
        <v/>
      </c>
      <c r="H14" s="10" t="str">
        <f>IF(OR($A14="",7&gt;Controls!$B$6),"",MOD(R13*48271,2147483647))</f>
        <v/>
      </c>
      <c r="I14" s="10" t="str">
        <f>IF(OR($A14="",8&gt;Controls!$B$6),"",MOD(S13*48271,2147483647))</f>
        <v/>
      </c>
      <c r="J14" s="10" t="str">
        <f>IF(OR($A14="",9&gt;Controls!$B$6),"",MOD(T13*48271,2147483647))</f>
        <v/>
      </c>
      <c r="K14" s="10" t="str">
        <f>IF(OR($A14="",10&gt;Controls!$B$6),"",MOD(U13*48271,2147483647))</f>
        <v/>
      </c>
      <c r="L14" s="10">
        <f t="shared" ref="L14:U14" si="13">IF(B14="","",MOD(B14*48271,2147483647))</f>
        <v>1521379370</v>
      </c>
      <c r="M14" s="10">
        <f t="shared" si="13"/>
        <v>235016635</v>
      </c>
      <c r="N14" s="10">
        <f t="shared" si="13"/>
        <v>1096137547</v>
      </c>
      <c r="O14" s="10" t="str">
        <f t="shared" si="13"/>
        <v/>
      </c>
      <c r="P14" s="10" t="str">
        <f t="shared" si="13"/>
        <v/>
      </c>
      <c r="Q14" s="10" t="str">
        <f t="shared" si="13"/>
        <v/>
      </c>
      <c r="R14" s="10" t="str">
        <f t="shared" si="13"/>
        <v/>
      </c>
      <c r="S14" s="10" t="str">
        <f t="shared" si="13"/>
        <v/>
      </c>
      <c r="T14" s="10" t="str">
        <f t="shared" si="13"/>
        <v/>
      </c>
      <c r="U14" s="10" t="str">
        <f t="shared" si="13"/>
        <v/>
      </c>
      <c r="V14" s="10">
        <f>IF(B14="","",IF(Controls!$B$7="Normal",Controls!$B$8+Controls!$B$9*SQRT(-2*LN(B14/2147483647))*COS(2*PI()*L14/2147483647),Controls!$B$8+(Controls!$B$9-Controls!$B$8)*B14/2147483647))</f>
        <v>46.74603758</v>
      </c>
      <c r="W14" s="10">
        <f>IF(C14="","",IF(Controls!$B$7="Normal",Controls!$B$8+Controls!$B$9*SQRT(-2*LN(C14/2147483647))*COS(2*PI()*M14/2147483647),Controls!$B$8+(Controls!$B$9-Controls!$B$8)*C14/2147483647))</f>
        <v>63.13114362</v>
      </c>
      <c r="X14" s="10">
        <f>IF(D14="","",IF(Controls!$B$7="Normal",Controls!$B$8+Controls!$B$9*SQRT(-2*LN(D14/2147483647))*COS(2*PI()*N14/2147483647),Controls!$B$8+(Controls!$B$9-Controls!$B$8)*D14/2147483647))</f>
        <v>22.1439181</v>
      </c>
      <c r="Y14" s="10" t="str">
        <f>IF(E14="","",IF(Controls!$B$7="Normal",Controls!$B$8+Controls!$B$9*SQRT(-2*LN(E14/2147483647))*COS(2*PI()*O14/2147483647),Controls!$B$8+(Controls!$B$9-Controls!$B$8)*E14/2147483647))</f>
        <v/>
      </c>
      <c r="Z14" s="10" t="str">
        <f>IF(F14="","",IF(Controls!$B$7="Normal",Controls!$B$8+Controls!$B$9*SQRT(-2*LN(F14/2147483647))*COS(2*PI()*P14/2147483647),Controls!$B$8+(Controls!$B$9-Controls!$B$8)*F14/2147483647))</f>
        <v/>
      </c>
      <c r="AA14" s="10" t="str">
        <f>IF(G14="","",IF(Controls!$B$7="Normal",Controls!$B$8+Controls!$B$9*SQRT(-2*LN(G14/2147483647))*COS(2*PI()*Q14/2147483647),Controls!$B$8+(Controls!$B$9-Controls!$B$8)*G14/2147483647))</f>
        <v/>
      </c>
      <c r="AB14" s="10" t="str">
        <f>IF(H14="","",IF(Controls!$B$7="Normal",Controls!$B$8+Controls!$B$9*SQRT(-2*LN(H14/2147483647))*COS(2*PI()*R14/2147483647),Controls!$B$8+(Controls!$B$9-Controls!$B$8)*H14/2147483647))</f>
        <v/>
      </c>
      <c r="AC14" s="10" t="str">
        <f>IF(I14="","",IF(Controls!$B$7="Normal",Controls!$B$8+Controls!$B$9*SQRT(-2*LN(I14/2147483647))*COS(2*PI()*S14/2147483647),Controls!$B$8+(Controls!$B$9-Controls!$B$8)*I14/2147483647))</f>
        <v/>
      </c>
      <c r="AD14" s="10" t="str">
        <f>IF(J14="","",IF(Controls!$B$7="Normal",Controls!$B$8+Controls!$B$9*SQRT(-2*LN(J14/2147483647))*COS(2*PI()*T14/2147483647),Controls!$B$8+(Controls!$B$9-Controls!$B$8)*J14/2147483647))</f>
        <v/>
      </c>
      <c r="AE14" s="10" t="str">
        <f>IF(K14="","",IF(Controls!$B$7="Normal",Controls!$B$8+Controls!$B$9*SQRT(-2*LN(K14/2147483647))*COS(2*PI()*U14/2147483647),Controls!$B$8+(Controls!$B$9-Controls!$B$8)*K14/2147483647))</f>
        <v/>
      </c>
    </row>
    <row r="15" ht="21.0" customHeight="1">
      <c r="A15" s="7">
        <f>IF(14&lt;=Controls!$B$5,Controls!$B$4+13,"")</f>
        <v>73004</v>
      </c>
      <c r="B15" s="10">
        <f>IF(OR($A15="",1&gt;Controls!$B$6),"",MOD(L14*48271,2147483647))</f>
        <v>1005292811</v>
      </c>
      <c r="C15" s="10">
        <f>IF(OR($A15="",2&gt;Controls!$B$6),"",MOD(M14*48271,2147483647))</f>
        <v>1479364631</v>
      </c>
      <c r="D15" s="10">
        <f>IF(OR($A15="",3&gt;Controls!$B$6),"",MOD(N14*48271,2147483647))</f>
        <v>1953436451</v>
      </c>
      <c r="E15" s="10" t="str">
        <f>IF(OR($A15="",4&gt;Controls!$B$6),"",MOD(O14*48271,2147483647))</f>
        <v/>
      </c>
      <c r="F15" s="10" t="str">
        <f>IF(OR($A15="",5&gt;Controls!$B$6),"",MOD(P14*48271,2147483647))</f>
        <v/>
      </c>
      <c r="G15" s="10" t="str">
        <f>IF(OR($A15="",6&gt;Controls!$B$6),"",MOD(Q14*48271,2147483647))</f>
        <v/>
      </c>
      <c r="H15" s="10" t="str">
        <f>IF(OR($A15="",7&gt;Controls!$B$6),"",MOD(R14*48271,2147483647))</f>
        <v/>
      </c>
      <c r="I15" s="10" t="str">
        <f>IF(OR($A15="",8&gt;Controls!$B$6),"",MOD(S14*48271,2147483647))</f>
        <v/>
      </c>
      <c r="J15" s="10" t="str">
        <f>IF(OR($A15="",9&gt;Controls!$B$6),"",MOD(T14*48271,2147483647))</f>
        <v/>
      </c>
      <c r="K15" s="10" t="str">
        <f>IF(OR($A15="",10&gt;Controls!$B$6),"",MOD(U14*48271,2147483647))</f>
        <v/>
      </c>
      <c r="L15" s="10">
        <f t="shared" ref="L15:U15" si="14">IF(B15="","",MOD(B15*48271,2147483647))</f>
        <v>1948792169</v>
      </c>
      <c r="M15" s="10">
        <f t="shared" si="14"/>
        <v>136389310</v>
      </c>
      <c r="N15" s="10">
        <f t="shared" si="14"/>
        <v>471470098</v>
      </c>
      <c r="O15" s="10" t="str">
        <f t="shared" si="14"/>
        <v/>
      </c>
      <c r="P15" s="10" t="str">
        <f t="shared" si="14"/>
        <v/>
      </c>
      <c r="Q15" s="10" t="str">
        <f t="shared" si="14"/>
        <v/>
      </c>
      <c r="R15" s="10" t="str">
        <f t="shared" si="14"/>
        <v/>
      </c>
      <c r="S15" s="10" t="str">
        <f t="shared" si="14"/>
        <v/>
      </c>
      <c r="T15" s="10" t="str">
        <f t="shared" si="14"/>
        <v/>
      </c>
      <c r="U15" s="10" t="str">
        <f t="shared" si="14"/>
        <v/>
      </c>
      <c r="V15" s="10">
        <f>IF(B15="","",IF(Controls!$B$7="Normal",Controls!$B$8+Controls!$B$9*SQRT(-2*LN(B15/2147483647))*COS(2*PI()*L15/2147483647),Controls!$B$8+(Controls!$B$9-Controls!$B$8)*B15/2147483647))</f>
        <v>60.29689049</v>
      </c>
      <c r="W15" s="10">
        <f>IF(C15="","",IF(Controls!$B$7="Normal",Controls!$B$8+Controls!$B$9*SQRT(-2*LN(C15/2147483647))*COS(2*PI()*M15/2147483647),Controls!$B$8+(Controls!$B$9-Controls!$B$8)*C15/2147483647))</f>
        <v>57.95513399</v>
      </c>
      <c r="X15" s="10">
        <f>IF(D15="","",IF(Controls!$B$7="Normal",Controls!$B$8+Controls!$B$9*SQRT(-2*LN(D15/2147483647))*COS(2*PI()*N15/2147483647),Controls!$B$8+(Controls!$B$9-Controls!$B$8)*D15/2147483647))</f>
        <v>50.82772264</v>
      </c>
      <c r="Y15" s="10" t="str">
        <f>IF(E15="","",IF(Controls!$B$7="Normal",Controls!$B$8+Controls!$B$9*SQRT(-2*LN(E15/2147483647))*COS(2*PI()*O15/2147483647),Controls!$B$8+(Controls!$B$9-Controls!$B$8)*E15/2147483647))</f>
        <v/>
      </c>
      <c r="Z15" s="10" t="str">
        <f>IF(F15="","",IF(Controls!$B$7="Normal",Controls!$B$8+Controls!$B$9*SQRT(-2*LN(F15/2147483647))*COS(2*PI()*P15/2147483647),Controls!$B$8+(Controls!$B$9-Controls!$B$8)*F15/2147483647))</f>
        <v/>
      </c>
      <c r="AA15" s="10" t="str">
        <f>IF(G15="","",IF(Controls!$B$7="Normal",Controls!$B$8+Controls!$B$9*SQRT(-2*LN(G15/2147483647))*COS(2*PI()*Q15/2147483647),Controls!$B$8+(Controls!$B$9-Controls!$B$8)*G15/2147483647))</f>
        <v/>
      </c>
      <c r="AB15" s="10" t="str">
        <f>IF(H15="","",IF(Controls!$B$7="Normal",Controls!$B$8+Controls!$B$9*SQRT(-2*LN(H15/2147483647))*COS(2*PI()*R15/2147483647),Controls!$B$8+(Controls!$B$9-Controls!$B$8)*H15/2147483647))</f>
        <v/>
      </c>
      <c r="AC15" s="10" t="str">
        <f>IF(I15="","",IF(Controls!$B$7="Normal",Controls!$B$8+Controls!$B$9*SQRT(-2*LN(I15/2147483647))*COS(2*PI()*S15/2147483647),Controls!$B$8+(Controls!$B$9-Controls!$B$8)*I15/2147483647))</f>
        <v/>
      </c>
      <c r="AD15" s="10" t="str">
        <f>IF(J15="","",IF(Controls!$B$7="Normal",Controls!$B$8+Controls!$B$9*SQRT(-2*LN(J15/2147483647))*COS(2*PI()*T15/2147483647),Controls!$B$8+(Controls!$B$9-Controls!$B$8)*J15/2147483647))</f>
        <v/>
      </c>
      <c r="AE15" s="10" t="str">
        <f>IF(K15="","",IF(Controls!$B$7="Normal",Controls!$B$8+Controls!$B$9*SQRT(-2*LN(K15/2147483647))*COS(2*PI()*U15/2147483647),Controls!$B$8+(Controls!$B$9-Controls!$B$8)*K15/2147483647))</f>
        <v/>
      </c>
    </row>
    <row r="16" ht="21.0" customHeight="1">
      <c r="A16" s="7">
        <f>IF(15&lt;=Controls!$B$5,Controls!$B$4+14,"")</f>
        <v>73005</v>
      </c>
      <c r="B16" s="10">
        <f>IF(OR($A16="",1&gt;Controls!$B$6),"",MOD(L15*48271,2147483647))</f>
        <v>1773116611</v>
      </c>
      <c r="C16" s="10">
        <f>IF(OR($A16="",2&gt;Controls!$B$6),"",MOD(M15*48271,2147483647))</f>
        <v>1611004955</v>
      </c>
      <c r="D16" s="10">
        <f>IF(OR($A16="",3&gt;Controls!$B$6),"",MOD(N15*48271,2147483647))</f>
        <v>1448893299</v>
      </c>
      <c r="E16" s="10" t="str">
        <f>IF(OR($A16="",4&gt;Controls!$B$6),"",MOD(O15*48271,2147483647))</f>
        <v/>
      </c>
      <c r="F16" s="10" t="str">
        <f>IF(OR($A16="",5&gt;Controls!$B$6),"",MOD(P15*48271,2147483647))</f>
        <v/>
      </c>
      <c r="G16" s="10" t="str">
        <f>IF(OR($A16="",6&gt;Controls!$B$6),"",MOD(Q15*48271,2147483647))</f>
        <v/>
      </c>
      <c r="H16" s="10" t="str">
        <f>IF(OR($A16="",7&gt;Controls!$B$6),"",MOD(R15*48271,2147483647))</f>
        <v/>
      </c>
      <c r="I16" s="10" t="str">
        <f>IF(OR($A16="",8&gt;Controls!$B$6),"",MOD(S15*48271,2147483647))</f>
        <v/>
      </c>
      <c r="J16" s="10" t="str">
        <f>IF(OR($A16="",9&gt;Controls!$B$6),"",MOD(T15*48271,2147483647))</f>
        <v/>
      </c>
      <c r="K16" s="10" t="str">
        <f>IF(OR($A16="",10&gt;Controls!$B$6),"",MOD(U15*48271,2147483647))</f>
        <v/>
      </c>
      <c r="L16" s="10">
        <f t="shared" ref="L16:U16" si="15">IF(B16="","",MOD(B16*48271,2147483647))</f>
        <v>3694749</v>
      </c>
      <c r="M16" s="10">
        <f t="shared" si="15"/>
        <v>142357641</v>
      </c>
      <c r="N16" s="10">
        <f t="shared" si="15"/>
        <v>281020533</v>
      </c>
      <c r="O16" s="10" t="str">
        <f t="shared" si="15"/>
        <v/>
      </c>
      <c r="P16" s="10" t="str">
        <f t="shared" si="15"/>
        <v/>
      </c>
      <c r="Q16" s="10" t="str">
        <f t="shared" si="15"/>
        <v/>
      </c>
      <c r="R16" s="10" t="str">
        <f t="shared" si="15"/>
        <v/>
      </c>
      <c r="S16" s="10" t="str">
        <f t="shared" si="15"/>
        <v/>
      </c>
      <c r="T16" s="10" t="str">
        <f t="shared" si="15"/>
        <v/>
      </c>
      <c r="U16" s="10" t="str">
        <f t="shared" si="15"/>
        <v/>
      </c>
      <c r="V16" s="10">
        <f>IF(B16="","",IF(Controls!$B$7="Normal",Controls!$B$8+Controls!$B$9*SQRT(-2*LN(B16/2147483647))*COS(2*PI()*L16/2147483647),Controls!$B$8+(Controls!$B$9-Controls!$B$8)*B16/2147483647))</f>
        <v>56.18927427</v>
      </c>
      <c r="W16" s="10">
        <f>IF(C16="","",IF(Controls!$B$7="Normal",Controls!$B$8+Controls!$B$9*SQRT(-2*LN(C16/2147483647))*COS(2*PI()*M16/2147483647),Controls!$B$8+(Controls!$B$9-Controls!$B$8)*C16/2147483647))</f>
        <v>56.93383206</v>
      </c>
      <c r="X16" s="10">
        <f>IF(D16="","",IF(Controls!$B$7="Normal",Controls!$B$8+Controls!$B$9*SQRT(-2*LN(D16/2147483647))*COS(2*PI()*N16/2147483647),Controls!$B$8+(Controls!$B$9-Controls!$B$8)*D16/2147483647))</f>
        <v>56.03775082</v>
      </c>
      <c r="Y16" s="10" t="str">
        <f>IF(E16="","",IF(Controls!$B$7="Normal",Controls!$B$8+Controls!$B$9*SQRT(-2*LN(E16/2147483647))*COS(2*PI()*O16/2147483647),Controls!$B$8+(Controls!$B$9-Controls!$B$8)*E16/2147483647))</f>
        <v/>
      </c>
      <c r="Z16" s="10" t="str">
        <f>IF(F16="","",IF(Controls!$B$7="Normal",Controls!$B$8+Controls!$B$9*SQRT(-2*LN(F16/2147483647))*COS(2*PI()*P16/2147483647),Controls!$B$8+(Controls!$B$9-Controls!$B$8)*F16/2147483647))</f>
        <v/>
      </c>
      <c r="AA16" s="10" t="str">
        <f>IF(G16="","",IF(Controls!$B$7="Normal",Controls!$B$8+Controls!$B$9*SQRT(-2*LN(G16/2147483647))*COS(2*PI()*Q16/2147483647),Controls!$B$8+(Controls!$B$9-Controls!$B$8)*G16/2147483647))</f>
        <v/>
      </c>
      <c r="AB16" s="10" t="str">
        <f>IF(H16="","",IF(Controls!$B$7="Normal",Controls!$B$8+Controls!$B$9*SQRT(-2*LN(H16/2147483647))*COS(2*PI()*R16/2147483647),Controls!$B$8+(Controls!$B$9-Controls!$B$8)*H16/2147483647))</f>
        <v/>
      </c>
      <c r="AC16" s="10" t="str">
        <f>IF(I16="","",IF(Controls!$B$7="Normal",Controls!$B$8+Controls!$B$9*SQRT(-2*LN(I16/2147483647))*COS(2*PI()*S16/2147483647),Controls!$B$8+(Controls!$B$9-Controls!$B$8)*I16/2147483647))</f>
        <v/>
      </c>
      <c r="AD16" s="10" t="str">
        <f>IF(J16="","",IF(Controls!$B$7="Normal",Controls!$B$8+Controls!$B$9*SQRT(-2*LN(J16/2147483647))*COS(2*PI()*T16/2147483647),Controls!$B$8+(Controls!$B$9-Controls!$B$8)*J16/2147483647))</f>
        <v/>
      </c>
      <c r="AE16" s="10" t="str">
        <f>IF(K16="","",IF(Controls!$B$7="Normal",Controls!$B$8+Controls!$B$9*SQRT(-2*LN(K16/2147483647))*COS(2*PI()*U16/2147483647),Controls!$B$8+(Controls!$B$9-Controls!$B$8)*K16/2147483647))</f>
        <v/>
      </c>
    </row>
    <row r="17" ht="21.0" customHeight="1">
      <c r="A17" s="7">
        <f>IF(16&lt;=Controls!$B$5,Controls!$B$4+15,"")</f>
        <v>73006</v>
      </c>
      <c r="B17" s="10">
        <f>IF(OR($A17="",1&gt;Controls!$B$6),"",MOD(L16*48271,2147483647))</f>
        <v>108086278</v>
      </c>
      <c r="C17" s="10">
        <f>IF(OR($A17="",2&gt;Controls!$B$6),"",MOD(M16*48271,2147483647))</f>
        <v>1945501958</v>
      </c>
      <c r="D17" s="10">
        <f>IF(OR($A17="",3&gt;Controls!$B$6),"",MOD(N16*48271,2147483647))</f>
        <v>1635433991</v>
      </c>
      <c r="E17" s="10" t="str">
        <f>IF(OR($A17="",4&gt;Controls!$B$6),"",MOD(O16*48271,2147483647))</f>
        <v/>
      </c>
      <c r="F17" s="10" t="str">
        <f>IF(OR($A17="",5&gt;Controls!$B$6),"",MOD(P16*48271,2147483647))</f>
        <v/>
      </c>
      <c r="G17" s="10" t="str">
        <f>IF(OR($A17="",6&gt;Controls!$B$6),"",MOD(Q16*48271,2147483647))</f>
        <v/>
      </c>
      <c r="H17" s="10" t="str">
        <f>IF(OR($A17="",7&gt;Controls!$B$6),"",MOD(R16*48271,2147483647))</f>
        <v/>
      </c>
      <c r="I17" s="10" t="str">
        <f>IF(OR($A17="",8&gt;Controls!$B$6),"",MOD(S16*48271,2147483647))</f>
        <v/>
      </c>
      <c r="J17" s="10" t="str">
        <f>IF(OR($A17="",9&gt;Controls!$B$6),"",MOD(T16*48271,2147483647))</f>
        <v/>
      </c>
      <c r="K17" s="10" t="str">
        <f>IF(OR($A17="",10&gt;Controls!$B$6),"",MOD(U16*48271,2147483647))</f>
        <v/>
      </c>
      <c r="L17" s="10">
        <f t="shared" ref="L17:U17" si="16">IF(B17="","",MOD(B17*48271,2147483647))</f>
        <v>1194946775</v>
      </c>
      <c r="M17" s="10">
        <f t="shared" si="16"/>
        <v>1865131308</v>
      </c>
      <c r="N17" s="10">
        <f t="shared" si="16"/>
        <v>387832194</v>
      </c>
      <c r="O17" s="10" t="str">
        <f t="shared" si="16"/>
        <v/>
      </c>
      <c r="P17" s="10" t="str">
        <f t="shared" si="16"/>
        <v/>
      </c>
      <c r="Q17" s="10" t="str">
        <f t="shared" si="16"/>
        <v/>
      </c>
      <c r="R17" s="10" t="str">
        <f t="shared" si="16"/>
        <v/>
      </c>
      <c r="S17" s="10" t="str">
        <f t="shared" si="16"/>
        <v/>
      </c>
      <c r="T17" s="10" t="str">
        <f t="shared" si="16"/>
        <v/>
      </c>
      <c r="U17" s="10" t="str">
        <f t="shared" si="16"/>
        <v/>
      </c>
      <c r="V17" s="10">
        <f>IF(B17="","",IF(Controls!$B$7="Normal",Controls!$B$8+Controls!$B$9*SQRT(-2*LN(B17/2147483647))*COS(2*PI()*L17/2147483647),Controls!$B$8+(Controls!$B$9-Controls!$B$8)*B17/2147483647))</f>
        <v>27.07094406</v>
      </c>
      <c r="W17" s="10">
        <f>IF(C17="","",IF(Controls!$B$7="Normal",Controls!$B$8+Controls!$B$9*SQRT(-2*LN(C17/2147483647))*COS(2*PI()*M17/2147483647),Controls!$B$8+(Controls!$B$9-Controls!$B$8)*C17/2147483647))</f>
        <v>53.0123337</v>
      </c>
      <c r="X17" s="10">
        <f>IF(D17="","",IF(Controls!$B$7="Normal",Controls!$B$8+Controls!$B$9*SQRT(-2*LN(D17/2147483647))*COS(2*PI()*N17/2147483647),Controls!$B$8+(Controls!$B$9-Controls!$B$8)*D17/2147483647))</f>
        <v>53.11750135</v>
      </c>
      <c r="Y17" s="10" t="str">
        <f>IF(E17="","",IF(Controls!$B$7="Normal",Controls!$B$8+Controls!$B$9*SQRT(-2*LN(E17/2147483647))*COS(2*PI()*O17/2147483647),Controls!$B$8+(Controls!$B$9-Controls!$B$8)*E17/2147483647))</f>
        <v/>
      </c>
      <c r="Z17" s="10" t="str">
        <f>IF(F17="","",IF(Controls!$B$7="Normal",Controls!$B$8+Controls!$B$9*SQRT(-2*LN(F17/2147483647))*COS(2*PI()*P17/2147483647),Controls!$B$8+(Controls!$B$9-Controls!$B$8)*F17/2147483647))</f>
        <v/>
      </c>
      <c r="AA17" s="10" t="str">
        <f>IF(G17="","",IF(Controls!$B$7="Normal",Controls!$B$8+Controls!$B$9*SQRT(-2*LN(G17/2147483647))*COS(2*PI()*Q17/2147483647),Controls!$B$8+(Controls!$B$9-Controls!$B$8)*G17/2147483647))</f>
        <v/>
      </c>
      <c r="AB17" s="10" t="str">
        <f>IF(H17="","",IF(Controls!$B$7="Normal",Controls!$B$8+Controls!$B$9*SQRT(-2*LN(H17/2147483647))*COS(2*PI()*R17/2147483647),Controls!$B$8+(Controls!$B$9-Controls!$B$8)*H17/2147483647))</f>
        <v/>
      </c>
      <c r="AC17" s="10" t="str">
        <f>IF(I17="","",IF(Controls!$B$7="Normal",Controls!$B$8+Controls!$B$9*SQRT(-2*LN(I17/2147483647))*COS(2*PI()*S17/2147483647),Controls!$B$8+(Controls!$B$9-Controls!$B$8)*I17/2147483647))</f>
        <v/>
      </c>
      <c r="AD17" s="10" t="str">
        <f>IF(J17="","",IF(Controls!$B$7="Normal",Controls!$B$8+Controls!$B$9*SQRT(-2*LN(J17/2147483647))*COS(2*PI()*T17/2147483647),Controls!$B$8+(Controls!$B$9-Controls!$B$8)*J17/2147483647))</f>
        <v/>
      </c>
      <c r="AE17" s="10" t="str">
        <f>IF(K17="","",IF(Controls!$B$7="Normal",Controls!$B$8+Controls!$B$9*SQRT(-2*LN(K17/2147483647))*COS(2*PI()*U17/2147483647),Controls!$B$8+(Controls!$B$9-Controls!$B$8)*K17/2147483647))</f>
        <v/>
      </c>
    </row>
    <row r="18" ht="21.0" customHeight="1">
      <c r="A18" s="7">
        <f>IF(17&lt;=Controls!$B$5,Controls!$B$4+16,"")</f>
        <v>73007</v>
      </c>
      <c r="B18" s="10">
        <f>IF(OR($A18="",1&gt;Controls!$B$6),"",MOD(L17*48271,2147483647))</f>
        <v>2012501252</v>
      </c>
      <c r="C18" s="10">
        <f>IF(OR($A18="",2&gt;Controls!$B$6),"",MOD(M17*48271,2147483647))</f>
        <v>648951640</v>
      </c>
      <c r="D18" s="10">
        <f>IF(OR($A18="",3&gt;Controls!$B$6),"",MOD(N17*48271,2147483647))</f>
        <v>1432885675</v>
      </c>
      <c r="E18" s="10" t="str">
        <f>IF(OR($A18="",4&gt;Controls!$B$6),"",MOD(O17*48271,2147483647))</f>
        <v/>
      </c>
      <c r="F18" s="10" t="str">
        <f>IF(OR($A18="",5&gt;Controls!$B$6),"",MOD(P17*48271,2147483647))</f>
        <v/>
      </c>
      <c r="G18" s="10" t="str">
        <f>IF(OR($A18="",6&gt;Controls!$B$6),"",MOD(Q17*48271,2147483647))</f>
        <v/>
      </c>
      <c r="H18" s="10" t="str">
        <f>IF(OR($A18="",7&gt;Controls!$B$6),"",MOD(R17*48271,2147483647))</f>
        <v/>
      </c>
      <c r="I18" s="10" t="str">
        <f>IF(OR($A18="",8&gt;Controls!$B$6),"",MOD(S17*48271,2147483647))</f>
        <v/>
      </c>
      <c r="J18" s="10" t="str">
        <f>IF(OR($A18="",9&gt;Controls!$B$6),"",MOD(T17*48271,2147483647))</f>
        <v/>
      </c>
      <c r="K18" s="10" t="str">
        <f>IF(OR($A18="",10&gt;Controls!$B$6),"",MOD(U17*48271,2147483647))</f>
        <v/>
      </c>
      <c r="L18" s="10">
        <f t="shared" ref="L18:U18" si="17">IF(B18="","",MOD(B18*48271,2147483647))</f>
        <v>1877679600</v>
      </c>
      <c r="M18" s="10">
        <f t="shared" si="17"/>
        <v>200655651</v>
      </c>
      <c r="N18" s="10">
        <f t="shared" si="17"/>
        <v>671115349</v>
      </c>
      <c r="O18" s="10" t="str">
        <f t="shared" si="17"/>
        <v/>
      </c>
      <c r="P18" s="10" t="str">
        <f t="shared" si="17"/>
        <v/>
      </c>
      <c r="Q18" s="10" t="str">
        <f t="shared" si="17"/>
        <v/>
      </c>
      <c r="R18" s="10" t="str">
        <f t="shared" si="17"/>
        <v/>
      </c>
      <c r="S18" s="10" t="str">
        <f t="shared" si="17"/>
        <v/>
      </c>
      <c r="T18" s="10" t="str">
        <f t="shared" si="17"/>
        <v/>
      </c>
      <c r="U18" s="10" t="str">
        <f t="shared" si="17"/>
        <v/>
      </c>
      <c r="V18" s="10">
        <f>IF(B18="","",IF(Controls!$B$7="Normal",Controls!$B$8+Controls!$B$9*SQRT(-2*LN(B18/2147483647))*COS(2*PI()*L18/2147483647),Controls!$B$8+(Controls!$B$9-Controls!$B$8)*B18/2147483647))</f>
        <v>52.53768617</v>
      </c>
      <c r="W18" s="10">
        <f>IF(C18="","",IF(Controls!$B$7="Normal",Controls!$B$8+Controls!$B$9*SQRT(-2*LN(C18/2147483647))*COS(2*PI()*M18/2147483647),Controls!$B$8+(Controls!$B$9-Controls!$B$8)*C18/2147483647))</f>
        <v>62.88016279</v>
      </c>
      <c r="X18" s="10">
        <f>IF(D18="","",IF(Controls!$B$7="Normal",Controls!$B$8+Controls!$B$9*SQRT(-2*LN(D18/2147483647))*COS(2*PI()*N18/2147483647),Controls!$B$8+(Controls!$B$9-Controls!$B$8)*D18/2147483647))</f>
        <v>46.55687368</v>
      </c>
      <c r="Y18" s="10" t="str">
        <f>IF(E18="","",IF(Controls!$B$7="Normal",Controls!$B$8+Controls!$B$9*SQRT(-2*LN(E18/2147483647))*COS(2*PI()*O18/2147483647),Controls!$B$8+(Controls!$B$9-Controls!$B$8)*E18/2147483647))</f>
        <v/>
      </c>
      <c r="Z18" s="10" t="str">
        <f>IF(F18="","",IF(Controls!$B$7="Normal",Controls!$B$8+Controls!$B$9*SQRT(-2*LN(F18/2147483647))*COS(2*PI()*P18/2147483647),Controls!$B$8+(Controls!$B$9-Controls!$B$8)*F18/2147483647))</f>
        <v/>
      </c>
      <c r="AA18" s="10" t="str">
        <f>IF(G18="","",IF(Controls!$B$7="Normal",Controls!$B$8+Controls!$B$9*SQRT(-2*LN(G18/2147483647))*COS(2*PI()*Q18/2147483647),Controls!$B$8+(Controls!$B$9-Controls!$B$8)*G18/2147483647))</f>
        <v/>
      </c>
      <c r="AB18" s="10" t="str">
        <f>IF(H18="","",IF(Controls!$B$7="Normal",Controls!$B$8+Controls!$B$9*SQRT(-2*LN(H18/2147483647))*COS(2*PI()*R18/2147483647),Controls!$B$8+(Controls!$B$9-Controls!$B$8)*H18/2147483647))</f>
        <v/>
      </c>
      <c r="AC18" s="10" t="str">
        <f>IF(I18="","",IF(Controls!$B$7="Normal",Controls!$B$8+Controls!$B$9*SQRT(-2*LN(I18/2147483647))*COS(2*PI()*S18/2147483647),Controls!$B$8+(Controls!$B$9-Controls!$B$8)*I18/2147483647))</f>
        <v/>
      </c>
      <c r="AD18" s="10" t="str">
        <f>IF(J18="","",IF(Controls!$B$7="Normal",Controls!$B$8+Controls!$B$9*SQRT(-2*LN(J18/2147483647))*COS(2*PI()*T18/2147483647),Controls!$B$8+(Controls!$B$9-Controls!$B$8)*J18/2147483647))</f>
        <v/>
      </c>
      <c r="AE18" s="10" t="str">
        <f>IF(K18="","",IF(Controls!$B$7="Normal",Controls!$B$8+Controls!$B$9*SQRT(-2*LN(K18/2147483647))*COS(2*PI()*U18/2147483647),Controls!$B$8+(Controls!$B$9-Controls!$B$8)*K18/2147483647))</f>
        <v/>
      </c>
    </row>
    <row r="19" ht="21.0" customHeight="1">
      <c r="A19" s="7">
        <f>IF(18&lt;=Controls!$B$5,Controls!$B$4+17,"")</f>
        <v>73008</v>
      </c>
      <c r="B19" s="10">
        <f>IF(OR($A19="",1&gt;Controls!$B$6),"",MOD(L18*48271,2147483647))</f>
        <v>777166318</v>
      </c>
      <c r="C19" s="10">
        <f>IF(OR($A19="",2&gt;Controls!$B$6),"",MOD(M18*48271,2147483647))</f>
        <v>697681451</v>
      </c>
      <c r="D19" s="10">
        <f>IF(OR($A19="",3&gt;Controls!$B$6),"",MOD(N18*48271,2147483647))</f>
        <v>618196584</v>
      </c>
      <c r="E19" s="10" t="str">
        <f>IF(OR($A19="",4&gt;Controls!$B$6),"",MOD(O18*48271,2147483647))</f>
        <v/>
      </c>
      <c r="F19" s="10" t="str">
        <f>IF(OR($A19="",5&gt;Controls!$B$6),"",MOD(P18*48271,2147483647))</f>
        <v/>
      </c>
      <c r="G19" s="10" t="str">
        <f>IF(OR($A19="",6&gt;Controls!$B$6),"",MOD(Q18*48271,2147483647))</f>
        <v/>
      </c>
      <c r="H19" s="10" t="str">
        <f>IF(OR($A19="",7&gt;Controls!$B$6),"",MOD(R18*48271,2147483647))</f>
        <v/>
      </c>
      <c r="I19" s="10" t="str">
        <f>IF(OR($A19="",8&gt;Controls!$B$6),"",MOD(S18*48271,2147483647))</f>
        <v/>
      </c>
      <c r="J19" s="10" t="str">
        <f>IF(OR($A19="",9&gt;Controls!$B$6),"",MOD(T18*48271,2147483647))</f>
        <v/>
      </c>
      <c r="K19" s="10" t="str">
        <f>IF(OR($A19="",10&gt;Controls!$B$6),"",MOD(U18*48271,2147483647))</f>
        <v/>
      </c>
      <c r="L19" s="10">
        <f t="shared" ref="L19:U19" si="18">IF(B19="","",MOD(B19*48271,2147483647))</f>
        <v>203506735</v>
      </c>
      <c r="M19" s="10">
        <f t="shared" si="18"/>
        <v>942768967</v>
      </c>
      <c r="N19" s="10">
        <f t="shared" si="18"/>
        <v>1682031199</v>
      </c>
      <c r="O19" s="10" t="str">
        <f t="shared" si="18"/>
        <v/>
      </c>
      <c r="P19" s="10" t="str">
        <f t="shared" si="18"/>
        <v/>
      </c>
      <c r="Q19" s="10" t="str">
        <f t="shared" si="18"/>
        <v/>
      </c>
      <c r="R19" s="10" t="str">
        <f t="shared" si="18"/>
        <v/>
      </c>
      <c r="S19" s="10" t="str">
        <f t="shared" si="18"/>
        <v/>
      </c>
      <c r="T19" s="10" t="str">
        <f t="shared" si="18"/>
        <v/>
      </c>
      <c r="U19" s="10" t="str">
        <f t="shared" si="18"/>
        <v/>
      </c>
      <c r="V19" s="10">
        <f>IF(B19="","",IF(Controls!$B$7="Normal",Controls!$B$8+Controls!$B$9*SQRT(-2*LN(B19/2147483647))*COS(2*PI()*L19/2147483647),Controls!$B$8+(Controls!$B$9-Controls!$B$8)*B19/2147483647))</f>
        <v>61.80400454</v>
      </c>
      <c r="W19" s="10">
        <f>IF(C19="","",IF(Controls!$B$7="Normal",Controls!$B$8+Controls!$B$9*SQRT(-2*LN(C19/2147483647))*COS(2*PI()*M19/2147483647),Controls!$B$8+(Controls!$B$9-Controls!$B$8)*C19/2147483647))</f>
        <v>36.092329</v>
      </c>
      <c r="X19" s="10">
        <f>IF(D19="","",IF(Controls!$B$7="Normal",Controls!$B$8+Controls!$B$9*SQRT(-2*LN(D19/2147483647))*COS(2*PI()*N19/2147483647),Controls!$B$8+(Controls!$B$9-Controls!$B$8)*D19/2147483647))</f>
        <v>53.27369263</v>
      </c>
      <c r="Y19" s="10" t="str">
        <f>IF(E19="","",IF(Controls!$B$7="Normal",Controls!$B$8+Controls!$B$9*SQRT(-2*LN(E19/2147483647))*COS(2*PI()*O19/2147483647),Controls!$B$8+(Controls!$B$9-Controls!$B$8)*E19/2147483647))</f>
        <v/>
      </c>
      <c r="Z19" s="10" t="str">
        <f>IF(F19="","",IF(Controls!$B$7="Normal",Controls!$B$8+Controls!$B$9*SQRT(-2*LN(F19/2147483647))*COS(2*PI()*P19/2147483647),Controls!$B$8+(Controls!$B$9-Controls!$B$8)*F19/2147483647))</f>
        <v/>
      </c>
      <c r="AA19" s="10" t="str">
        <f>IF(G19="","",IF(Controls!$B$7="Normal",Controls!$B$8+Controls!$B$9*SQRT(-2*LN(G19/2147483647))*COS(2*PI()*Q19/2147483647),Controls!$B$8+(Controls!$B$9-Controls!$B$8)*G19/2147483647))</f>
        <v/>
      </c>
      <c r="AB19" s="10" t="str">
        <f>IF(H19="","",IF(Controls!$B$7="Normal",Controls!$B$8+Controls!$B$9*SQRT(-2*LN(H19/2147483647))*COS(2*PI()*R19/2147483647),Controls!$B$8+(Controls!$B$9-Controls!$B$8)*H19/2147483647))</f>
        <v/>
      </c>
      <c r="AC19" s="10" t="str">
        <f>IF(I19="","",IF(Controls!$B$7="Normal",Controls!$B$8+Controls!$B$9*SQRT(-2*LN(I19/2147483647))*COS(2*PI()*S19/2147483647),Controls!$B$8+(Controls!$B$9-Controls!$B$8)*I19/2147483647))</f>
        <v/>
      </c>
      <c r="AD19" s="10" t="str">
        <f>IF(J19="","",IF(Controls!$B$7="Normal",Controls!$B$8+Controls!$B$9*SQRT(-2*LN(J19/2147483647))*COS(2*PI()*T19/2147483647),Controls!$B$8+(Controls!$B$9-Controls!$B$8)*J19/2147483647))</f>
        <v/>
      </c>
      <c r="AE19" s="10" t="str">
        <f>IF(K19="","",IF(Controls!$B$7="Normal",Controls!$B$8+Controls!$B$9*SQRT(-2*LN(K19/2147483647))*COS(2*PI()*U19/2147483647),Controls!$B$8+(Controls!$B$9-Controls!$B$8)*K19/2147483647))</f>
        <v/>
      </c>
    </row>
    <row r="20" ht="21.0" customHeight="1">
      <c r="A20" s="7">
        <f>IF(19&lt;=Controls!$B$5,Controls!$B$4+18,"")</f>
        <v>73009</v>
      </c>
      <c r="B20" s="10">
        <f>IF(OR($A20="",1&gt;Controls!$B$6),"",MOD(L19*48271,2147483647))</f>
        <v>883403807</v>
      </c>
      <c r="C20" s="10">
        <f>IF(OR($A20="",2&gt;Controls!$B$6),"",MOD(M19*48271,2147483647))</f>
        <v>1074842480</v>
      </c>
      <c r="D20" s="10">
        <f>IF(OR($A20="",3&gt;Controls!$B$6),"",MOD(N19*48271,2147483647))</f>
        <v>1266281153</v>
      </c>
      <c r="E20" s="10" t="str">
        <f>IF(OR($A20="",4&gt;Controls!$B$6),"",MOD(O19*48271,2147483647))</f>
        <v/>
      </c>
      <c r="F20" s="10" t="str">
        <f>IF(OR($A20="",5&gt;Controls!$B$6),"",MOD(P19*48271,2147483647))</f>
        <v/>
      </c>
      <c r="G20" s="10" t="str">
        <f>IF(OR($A20="",6&gt;Controls!$B$6),"",MOD(Q19*48271,2147483647))</f>
        <v/>
      </c>
      <c r="H20" s="10" t="str">
        <f>IF(OR($A20="",7&gt;Controls!$B$6),"",MOD(R19*48271,2147483647))</f>
        <v/>
      </c>
      <c r="I20" s="10" t="str">
        <f>IF(OR($A20="",8&gt;Controls!$B$6),"",MOD(S19*48271,2147483647))</f>
        <v/>
      </c>
      <c r="J20" s="10" t="str">
        <f>IF(OR($A20="",9&gt;Controls!$B$6),"",MOD(T19*48271,2147483647))</f>
        <v/>
      </c>
      <c r="K20" s="10" t="str">
        <f>IF(OR($A20="",10&gt;Controls!$B$6),"",MOD(U19*48271,2147483647))</f>
        <v/>
      </c>
      <c r="L20" s="10">
        <f t="shared" ref="L20:U20" si="19">IF(B20="","",MOD(B20*48271,2147483647))</f>
        <v>202389218</v>
      </c>
      <c r="M20" s="10">
        <f t="shared" si="19"/>
        <v>516440560</v>
      </c>
      <c r="N20" s="10">
        <f t="shared" si="19"/>
        <v>830491902</v>
      </c>
      <c r="O20" s="10" t="str">
        <f t="shared" si="19"/>
        <v/>
      </c>
      <c r="P20" s="10" t="str">
        <f t="shared" si="19"/>
        <v/>
      </c>
      <c r="Q20" s="10" t="str">
        <f t="shared" si="19"/>
        <v/>
      </c>
      <c r="R20" s="10" t="str">
        <f t="shared" si="19"/>
        <v/>
      </c>
      <c r="S20" s="10" t="str">
        <f t="shared" si="19"/>
        <v/>
      </c>
      <c r="T20" s="10" t="str">
        <f t="shared" si="19"/>
        <v/>
      </c>
      <c r="U20" s="10" t="str">
        <f t="shared" si="19"/>
        <v/>
      </c>
      <c r="V20" s="10">
        <f>IF(B20="","",IF(Controls!$B$7="Normal",Controls!$B$8+Controls!$B$9*SQRT(-2*LN(B20/2147483647))*COS(2*PI()*L20/2147483647),Controls!$B$8+(Controls!$B$9-Controls!$B$8)*B20/2147483647))</f>
        <v>61.05932286</v>
      </c>
      <c r="W20" s="10">
        <f>IF(C20="","",IF(Controls!$B$7="Normal",Controls!$B$8+Controls!$B$9*SQRT(-2*LN(C20/2147483647))*COS(2*PI()*M20/2147483647),Controls!$B$8+(Controls!$B$9-Controls!$B$8)*C20/2147483647))</f>
        <v>50.7028679</v>
      </c>
      <c r="X20" s="10">
        <f>IF(D20="","",IF(Controls!$B$7="Normal",Controls!$B$8+Controls!$B$9*SQRT(-2*LN(D20/2147483647))*COS(2*PI()*N20/2147483647),Controls!$B$8+(Controls!$B$9-Controls!$B$8)*D20/2147483647))</f>
        <v>42.21682907</v>
      </c>
      <c r="Y20" s="10" t="str">
        <f>IF(E20="","",IF(Controls!$B$7="Normal",Controls!$B$8+Controls!$B$9*SQRT(-2*LN(E20/2147483647))*COS(2*PI()*O20/2147483647),Controls!$B$8+(Controls!$B$9-Controls!$B$8)*E20/2147483647))</f>
        <v/>
      </c>
      <c r="Z20" s="10" t="str">
        <f>IF(F20="","",IF(Controls!$B$7="Normal",Controls!$B$8+Controls!$B$9*SQRT(-2*LN(F20/2147483647))*COS(2*PI()*P20/2147483647),Controls!$B$8+(Controls!$B$9-Controls!$B$8)*F20/2147483647))</f>
        <v/>
      </c>
      <c r="AA20" s="10" t="str">
        <f>IF(G20="","",IF(Controls!$B$7="Normal",Controls!$B$8+Controls!$B$9*SQRT(-2*LN(G20/2147483647))*COS(2*PI()*Q20/2147483647),Controls!$B$8+(Controls!$B$9-Controls!$B$8)*G20/2147483647))</f>
        <v/>
      </c>
      <c r="AB20" s="10" t="str">
        <f>IF(H20="","",IF(Controls!$B$7="Normal",Controls!$B$8+Controls!$B$9*SQRT(-2*LN(H20/2147483647))*COS(2*PI()*R20/2147483647),Controls!$B$8+(Controls!$B$9-Controls!$B$8)*H20/2147483647))</f>
        <v/>
      </c>
      <c r="AC20" s="10" t="str">
        <f>IF(I20="","",IF(Controls!$B$7="Normal",Controls!$B$8+Controls!$B$9*SQRT(-2*LN(I20/2147483647))*COS(2*PI()*S20/2147483647),Controls!$B$8+(Controls!$B$9-Controls!$B$8)*I20/2147483647))</f>
        <v/>
      </c>
      <c r="AD20" s="10" t="str">
        <f>IF(J20="","",IF(Controls!$B$7="Normal",Controls!$B$8+Controls!$B$9*SQRT(-2*LN(J20/2147483647))*COS(2*PI()*T20/2147483647),Controls!$B$8+(Controls!$B$9-Controls!$B$8)*J20/2147483647))</f>
        <v/>
      </c>
      <c r="AE20" s="10" t="str">
        <f>IF(K20="","",IF(Controls!$B$7="Normal",Controls!$B$8+Controls!$B$9*SQRT(-2*LN(K20/2147483647))*COS(2*PI()*U20/2147483647),Controls!$B$8+(Controls!$B$9-Controls!$B$8)*K20/2147483647))</f>
        <v/>
      </c>
    </row>
    <row r="21" ht="21.0" customHeight="1">
      <c r="A21" s="7">
        <f>IF(20&lt;=Controls!$B$5,Controls!$B$4+19,"")</f>
        <v>73010</v>
      </c>
      <c r="B21" s="10">
        <f>IF(OR($A21="",1&gt;Controls!$B$6),"",MOD(L20*48271,2147483647))</f>
        <v>626831875</v>
      </c>
      <c r="C21" s="10">
        <f>IF(OR($A21="",2&gt;Controls!$B$6),"",MOD(M20*48271,2147483647))</f>
        <v>1112097384</v>
      </c>
      <c r="D21" s="10">
        <f>IF(OR($A21="",3&gt;Controls!$B$6),"",MOD(N20*48271,2147483647))</f>
        <v>1597362893</v>
      </c>
      <c r="E21" s="10" t="str">
        <f>IF(OR($A21="",4&gt;Controls!$B$6),"",MOD(O20*48271,2147483647))</f>
        <v/>
      </c>
      <c r="F21" s="10" t="str">
        <f>IF(OR($A21="",5&gt;Controls!$B$6),"",MOD(P20*48271,2147483647))</f>
        <v/>
      </c>
      <c r="G21" s="10" t="str">
        <f>IF(OR($A21="",6&gt;Controls!$B$6),"",MOD(Q20*48271,2147483647))</f>
        <v/>
      </c>
      <c r="H21" s="10" t="str">
        <f>IF(OR($A21="",7&gt;Controls!$B$6),"",MOD(R20*48271,2147483647))</f>
        <v/>
      </c>
      <c r="I21" s="10" t="str">
        <f>IF(OR($A21="",8&gt;Controls!$B$6),"",MOD(S20*48271,2147483647))</f>
        <v/>
      </c>
      <c r="J21" s="10" t="str">
        <f>IF(OR($A21="",9&gt;Controls!$B$6),"",MOD(T20*48271,2147483647))</f>
        <v/>
      </c>
      <c r="K21" s="10" t="str">
        <f>IF(OR($A21="",10&gt;Controls!$B$6),"",MOD(U20*48271,2147483647))</f>
        <v/>
      </c>
      <c r="L21" s="10">
        <f t="shared" ref="L21:U21" si="20">IF(B21="","",MOD(B21*48271,2147483647))</f>
        <v>1904335542</v>
      </c>
      <c r="M21" s="10">
        <f t="shared" si="20"/>
        <v>1404099005</v>
      </c>
      <c r="N21" s="10">
        <f t="shared" si="20"/>
        <v>903862468</v>
      </c>
      <c r="O21" s="10" t="str">
        <f t="shared" si="20"/>
        <v/>
      </c>
      <c r="P21" s="10" t="str">
        <f t="shared" si="20"/>
        <v/>
      </c>
      <c r="Q21" s="10" t="str">
        <f t="shared" si="20"/>
        <v/>
      </c>
      <c r="R21" s="10" t="str">
        <f t="shared" si="20"/>
        <v/>
      </c>
      <c r="S21" s="10" t="str">
        <f t="shared" si="20"/>
        <v/>
      </c>
      <c r="T21" s="10" t="str">
        <f t="shared" si="20"/>
        <v/>
      </c>
      <c r="U21" s="10" t="str">
        <f t="shared" si="20"/>
        <v/>
      </c>
      <c r="V21" s="10">
        <f>IF(B21="","",IF(Controls!$B$7="Normal",Controls!$B$8+Controls!$B$9*SQRT(-2*LN(B21/2147483647))*COS(2*PI()*L21/2147483647),Controls!$B$8+(Controls!$B$9-Controls!$B$8)*B21/2147483647))</f>
        <v>61.8866306</v>
      </c>
      <c r="W21" s="10">
        <f>IF(C21="","",IF(Controls!$B$7="Normal",Controls!$B$8+Controls!$B$9*SQRT(-2*LN(C21/2147483647))*COS(2*PI()*M21/2147483647),Controls!$B$8+(Controls!$B$9-Controls!$B$8)*C21/2147483647))</f>
        <v>43.48239827</v>
      </c>
      <c r="X21" s="10">
        <f>IF(D21="","",IF(Controls!$B$7="Normal",Controls!$B$8+Controls!$B$9*SQRT(-2*LN(D21/2147483647))*COS(2*PI()*N21/2147483647),Controls!$B$8+(Controls!$B$9-Controls!$B$8)*D21/2147483647))</f>
        <v>43.23750754</v>
      </c>
      <c r="Y21" s="10" t="str">
        <f>IF(E21="","",IF(Controls!$B$7="Normal",Controls!$B$8+Controls!$B$9*SQRT(-2*LN(E21/2147483647))*COS(2*PI()*O21/2147483647),Controls!$B$8+(Controls!$B$9-Controls!$B$8)*E21/2147483647))</f>
        <v/>
      </c>
      <c r="Z21" s="10" t="str">
        <f>IF(F21="","",IF(Controls!$B$7="Normal",Controls!$B$8+Controls!$B$9*SQRT(-2*LN(F21/2147483647))*COS(2*PI()*P21/2147483647),Controls!$B$8+(Controls!$B$9-Controls!$B$8)*F21/2147483647))</f>
        <v/>
      </c>
      <c r="AA21" s="10" t="str">
        <f>IF(G21="","",IF(Controls!$B$7="Normal",Controls!$B$8+Controls!$B$9*SQRT(-2*LN(G21/2147483647))*COS(2*PI()*Q21/2147483647),Controls!$B$8+(Controls!$B$9-Controls!$B$8)*G21/2147483647))</f>
        <v/>
      </c>
      <c r="AB21" s="10" t="str">
        <f>IF(H21="","",IF(Controls!$B$7="Normal",Controls!$B$8+Controls!$B$9*SQRT(-2*LN(H21/2147483647))*COS(2*PI()*R21/2147483647),Controls!$B$8+(Controls!$B$9-Controls!$B$8)*H21/2147483647))</f>
        <v/>
      </c>
      <c r="AC21" s="10" t="str">
        <f>IF(I21="","",IF(Controls!$B$7="Normal",Controls!$B$8+Controls!$B$9*SQRT(-2*LN(I21/2147483647))*COS(2*PI()*S21/2147483647),Controls!$B$8+(Controls!$B$9-Controls!$B$8)*I21/2147483647))</f>
        <v/>
      </c>
      <c r="AD21" s="10" t="str">
        <f>IF(J21="","",IF(Controls!$B$7="Normal",Controls!$B$8+Controls!$B$9*SQRT(-2*LN(J21/2147483647))*COS(2*PI()*T21/2147483647),Controls!$B$8+(Controls!$B$9-Controls!$B$8)*J21/2147483647))</f>
        <v/>
      </c>
      <c r="AE21" s="10" t="str">
        <f>IF(K21="","",IF(Controls!$B$7="Normal",Controls!$B$8+Controls!$B$9*SQRT(-2*LN(K21/2147483647))*COS(2*PI()*U21/2147483647),Controls!$B$8+(Controls!$B$9-Controls!$B$8)*K21/2147483647))</f>
        <v/>
      </c>
    </row>
    <row r="22" ht="21.0" customHeight="1">
      <c r="A22" s="7">
        <f>IF(21&lt;=Controls!$B$5,Controls!$B$4+20,"")</f>
        <v>73011</v>
      </c>
      <c r="B22" s="10">
        <f>IF(OR($A22="",1&gt;Controls!$B$6),"",MOD(L21*48271,2147483647))</f>
        <v>1143438047</v>
      </c>
      <c r="C22" s="10">
        <f>IF(OR($A22="",2&gt;Controls!$B$6),"",MOD(M21*48271,2147483647))</f>
        <v>531687388</v>
      </c>
      <c r="D22" s="10">
        <f>IF(OR($A22="",3&gt;Controls!$B$6),"",MOD(N21*48271,2147483647))</f>
        <v>2067420376</v>
      </c>
      <c r="E22" s="10" t="str">
        <f>IF(OR($A22="",4&gt;Controls!$B$6),"",MOD(O21*48271,2147483647))</f>
        <v/>
      </c>
      <c r="F22" s="10" t="str">
        <f>IF(OR($A22="",5&gt;Controls!$B$6),"",MOD(P21*48271,2147483647))</f>
        <v/>
      </c>
      <c r="G22" s="10" t="str">
        <f>IF(OR($A22="",6&gt;Controls!$B$6),"",MOD(Q21*48271,2147483647))</f>
        <v/>
      </c>
      <c r="H22" s="10" t="str">
        <f>IF(OR($A22="",7&gt;Controls!$B$6),"",MOD(R21*48271,2147483647))</f>
        <v/>
      </c>
      <c r="I22" s="10" t="str">
        <f>IF(OR($A22="",8&gt;Controls!$B$6),"",MOD(S21*48271,2147483647))</f>
        <v/>
      </c>
      <c r="J22" s="10" t="str">
        <f>IF(OR($A22="",9&gt;Controls!$B$6),"",MOD(T21*48271,2147483647))</f>
        <v/>
      </c>
      <c r="K22" s="10" t="str">
        <f>IF(OR($A22="",10&gt;Controls!$B$6),"",MOD(U21*48271,2147483647))</f>
        <v/>
      </c>
      <c r="L22" s="10">
        <f t="shared" ref="L22:U22" si="21">IF(B22="","",MOD(B22*48271,2147483647))</f>
        <v>273271543</v>
      </c>
      <c r="M22" s="10">
        <f t="shared" si="21"/>
        <v>504840851</v>
      </c>
      <c r="N22" s="10">
        <f t="shared" si="21"/>
        <v>736410159</v>
      </c>
      <c r="O22" s="10" t="str">
        <f t="shared" si="21"/>
        <v/>
      </c>
      <c r="P22" s="10" t="str">
        <f t="shared" si="21"/>
        <v/>
      </c>
      <c r="Q22" s="10" t="str">
        <f t="shared" si="21"/>
        <v/>
      </c>
      <c r="R22" s="10" t="str">
        <f t="shared" si="21"/>
        <v/>
      </c>
      <c r="S22" s="10" t="str">
        <f t="shared" si="21"/>
        <v/>
      </c>
      <c r="T22" s="10" t="str">
        <f t="shared" si="21"/>
        <v/>
      </c>
      <c r="U22" s="10" t="str">
        <f t="shared" si="21"/>
        <v/>
      </c>
      <c r="V22" s="10">
        <f>IF(B22="","",IF(Controls!$B$7="Normal",Controls!$B$8+Controls!$B$9*SQRT(-2*LN(B22/2147483647))*COS(2*PI()*L22/2147483647),Controls!$B$8+(Controls!$B$9-Controls!$B$8)*B22/2147483647))</f>
        <v>57.82575116</v>
      </c>
      <c r="W22" s="10">
        <f>IF(C22="","",IF(Controls!$B$7="Normal",Controls!$B$8+Controls!$B$9*SQRT(-2*LN(C22/2147483647))*COS(2*PI()*M22/2147483647),Controls!$B$8+(Controls!$B$9-Controls!$B$8)*C22/2147483647))</f>
        <v>51.5636121</v>
      </c>
      <c r="X22" s="10">
        <f>IF(D22="","",IF(Controls!$B$7="Normal",Controls!$B$8+Controls!$B$9*SQRT(-2*LN(D22/2147483647))*COS(2*PI()*N22/2147483647),Controls!$B$8+(Controls!$B$9-Controls!$B$8)*D22/2147483647))</f>
        <v>48.48050396</v>
      </c>
      <c r="Y22" s="10" t="str">
        <f>IF(E22="","",IF(Controls!$B$7="Normal",Controls!$B$8+Controls!$B$9*SQRT(-2*LN(E22/2147483647))*COS(2*PI()*O22/2147483647),Controls!$B$8+(Controls!$B$9-Controls!$B$8)*E22/2147483647))</f>
        <v/>
      </c>
      <c r="Z22" s="10" t="str">
        <f>IF(F22="","",IF(Controls!$B$7="Normal",Controls!$B$8+Controls!$B$9*SQRT(-2*LN(F22/2147483647))*COS(2*PI()*P22/2147483647),Controls!$B$8+(Controls!$B$9-Controls!$B$8)*F22/2147483647))</f>
        <v/>
      </c>
      <c r="AA22" s="10" t="str">
        <f>IF(G22="","",IF(Controls!$B$7="Normal",Controls!$B$8+Controls!$B$9*SQRT(-2*LN(G22/2147483647))*COS(2*PI()*Q22/2147483647),Controls!$B$8+(Controls!$B$9-Controls!$B$8)*G22/2147483647))</f>
        <v/>
      </c>
      <c r="AB22" s="10" t="str">
        <f>IF(H22="","",IF(Controls!$B$7="Normal",Controls!$B$8+Controls!$B$9*SQRT(-2*LN(H22/2147483647))*COS(2*PI()*R22/2147483647),Controls!$B$8+(Controls!$B$9-Controls!$B$8)*H22/2147483647))</f>
        <v/>
      </c>
      <c r="AC22" s="10" t="str">
        <f>IF(I22="","",IF(Controls!$B$7="Normal",Controls!$B$8+Controls!$B$9*SQRT(-2*LN(I22/2147483647))*COS(2*PI()*S22/2147483647),Controls!$B$8+(Controls!$B$9-Controls!$B$8)*I22/2147483647))</f>
        <v/>
      </c>
      <c r="AD22" s="10" t="str">
        <f>IF(J22="","",IF(Controls!$B$7="Normal",Controls!$B$8+Controls!$B$9*SQRT(-2*LN(J22/2147483647))*COS(2*PI()*T22/2147483647),Controls!$B$8+(Controls!$B$9-Controls!$B$8)*J22/2147483647))</f>
        <v/>
      </c>
      <c r="AE22" s="10" t="str">
        <f>IF(K22="","",IF(Controls!$B$7="Normal",Controls!$B$8+Controls!$B$9*SQRT(-2*LN(K22/2147483647))*COS(2*PI()*U22/2147483647),Controls!$B$8+(Controls!$B$9-Controls!$B$8)*K22/2147483647))</f>
        <v/>
      </c>
    </row>
    <row r="23" ht="21.0" customHeight="1">
      <c r="A23" s="7">
        <f>IF(22&lt;=Controls!$B$5,Controls!$B$4+21,"")</f>
        <v>73012</v>
      </c>
      <c r="B23" s="10">
        <f>IF(OR($A23="",1&gt;Controls!$B$6),"",MOD(L22*48271,2147483647))</f>
        <v>1246092279</v>
      </c>
      <c r="C23" s="10">
        <f>IF(OR($A23="",2&gt;Controls!$B$6),"",MOD(M22*48271,2147483647))</f>
        <v>1675776112</v>
      </c>
      <c r="D23" s="10">
        <f>IF(OR($A23="",3&gt;Controls!$B$6),"",MOD(N22*48271,2147483647))</f>
        <v>2105459945</v>
      </c>
      <c r="E23" s="10" t="str">
        <f>IF(OR($A23="",4&gt;Controls!$B$6),"",MOD(O22*48271,2147483647))</f>
        <v/>
      </c>
      <c r="F23" s="10" t="str">
        <f>IF(OR($A23="",5&gt;Controls!$B$6),"",MOD(P22*48271,2147483647))</f>
        <v/>
      </c>
      <c r="G23" s="10" t="str">
        <f>IF(OR($A23="",6&gt;Controls!$B$6),"",MOD(Q22*48271,2147483647))</f>
        <v/>
      </c>
      <c r="H23" s="10" t="str">
        <f>IF(OR($A23="",7&gt;Controls!$B$6),"",MOD(R22*48271,2147483647))</f>
        <v/>
      </c>
      <c r="I23" s="10" t="str">
        <f>IF(OR($A23="",8&gt;Controls!$B$6),"",MOD(S22*48271,2147483647))</f>
        <v/>
      </c>
      <c r="J23" s="10" t="str">
        <f>IF(OR($A23="",9&gt;Controls!$B$6),"",MOD(T22*48271,2147483647))</f>
        <v/>
      </c>
      <c r="K23" s="10" t="str">
        <f>IF(OR($A23="",10&gt;Controls!$B$6),"",MOD(U22*48271,2147483647))</f>
        <v/>
      </c>
      <c r="L23" s="10">
        <f t="shared" ref="L23:U23" si="22">IF(B23="","",MOD(B23*48271,2147483647))</f>
        <v>1250930786</v>
      </c>
      <c r="M23" s="10">
        <f t="shared" si="22"/>
        <v>2122170803</v>
      </c>
      <c r="N23" s="10">
        <f t="shared" si="22"/>
        <v>845927173</v>
      </c>
      <c r="O23" s="10" t="str">
        <f t="shared" si="22"/>
        <v/>
      </c>
      <c r="P23" s="10" t="str">
        <f t="shared" si="22"/>
        <v/>
      </c>
      <c r="Q23" s="10" t="str">
        <f t="shared" si="22"/>
        <v/>
      </c>
      <c r="R23" s="10" t="str">
        <f t="shared" si="22"/>
        <v/>
      </c>
      <c r="S23" s="10" t="str">
        <f t="shared" si="22"/>
        <v/>
      </c>
      <c r="T23" s="10" t="str">
        <f t="shared" si="22"/>
        <v/>
      </c>
      <c r="U23" s="10" t="str">
        <f t="shared" si="22"/>
        <v/>
      </c>
      <c r="V23" s="10">
        <f>IF(B23="","",IF(Controls!$B$7="Normal",Controls!$B$8+Controls!$B$9*SQRT(-2*LN(B23/2147483647))*COS(2*PI()*L23/2147483647),Controls!$B$8+(Controls!$B$9-Controls!$B$8)*B23/2147483647))</f>
        <v>40.93750359</v>
      </c>
      <c r="W23" s="10">
        <f>IF(C23="","",IF(Controls!$B$7="Normal",Controls!$B$8+Controls!$B$9*SQRT(-2*LN(C23/2147483647))*COS(2*PI()*M23/2147483647),Controls!$B$8+(Controls!$B$9-Controls!$B$8)*C23/2147483647))</f>
        <v>57.02370883</v>
      </c>
      <c r="X23" s="10">
        <f>IF(D23="","",IF(Controls!$B$7="Normal",Controls!$B$8+Controls!$B$9*SQRT(-2*LN(D23/2147483647))*COS(2*PI()*N23/2147483647),Controls!$B$8+(Controls!$B$9-Controls!$B$8)*D23/2147483647))</f>
        <v>48.43742783</v>
      </c>
      <c r="Y23" s="10" t="str">
        <f>IF(E23="","",IF(Controls!$B$7="Normal",Controls!$B$8+Controls!$B$9*SQRT(-2*LN(E23/2147483647))*COS(2*PI()*O23/2147483647),Controls!$B$8+(Controls!$B$9-Controls!$B$8)*E23/2147483647))</f>
        <v/>
      </c>
      <c r="Z23" s="10" t="str">
        <f>IF(F23="","",IF(Controls!$B$7="Normal",Controls!$B$8+Controls!$B$9*SQRT(-2*LN(F23/2147483647))*COS(2*PI()*P23/2147483647),Controls!$B$8+(Controls!$B$9-Controls!$B$8)*F23/2147483647))</f>
        <v/>
      </c>
      <c r="AA23" s="10" t="str">
        <f>IF(G23="","",IF(Controls!$B$7="Normal",Controls!$B$8+Controls!$B$9*SQRT(-2*LN(G23/2147483647))*COS(2*PI()*Q23/2147483647),Controls!$B$8+(Controls!$B$9-Controls!$B$8)*G23/2147483647))</f>
        <v/>
      </c>
      <c r="AB23" s="10" t="str">
        <f>IF(H23="","",IF(Controls!$B$7="Normal",Controls!$B$8+Controls!$B$9*SQRT(-2*LN(H23/2147483647))*COS(2*PI()*R23/2147483647),Controls!$B$8+(Controls!$B$9-Controls!$B$8)*H23/2147483647))</f>
        <v/>
      </c>
      <c r="AC23" s="10" t="str">
        <f>IF(I23="","",IF(Controls!$B$7="Normal",Controls!$B$8+Controls!$B$9*SQRT(-2*LN(I23/2147483647))*COS(2*PI()*S23/2147483647),Controls!$B$8+(Controls!$B$9-Controls!$B$8)*I23/2147483647))</f>
        <v/>
      </c>
      <c r="AD23" s="10" t="str">
        <f>IF(J23="","",IF(Controls!$B$7="Normal",Controls!$B$8+Controls!$B$9*SQRT(-2*LN(J23/2147483647))*COS(2*PI()*T23/2147483647),Controls!$B$8+(Controls!$B$9-Controls!$B$8)*J23/2147483647))</f>
        <v/>
      </c>
      <c r="AE23" s="10" t="str">
        <f>IF(K23="","",IF(Controls!$B$7="Normal",Controls!$B$8+Controls!$B$9*SQRT(-2*LN(K23/2147483647))*COS(2*PI()*U23/2147483647),Controls!$B$8+(Controls!$B$9-Controls!$B$8)*K23/2147483647))</f>
        <v/>
      </c>
    </row>
    <row r="24" ht="21.0" customHeight="1">
      <c r="A24" s="7">
        <f>IF(23&lt;=Controls!$B$5,Controls!$B$4+22,"")</f>
        <v>73013</v>
      </c>
      <c r="B24" s="10">
        <f>IF(OR($A24="",1&gt;Controls!$B$6),"",MOD(L23*48271,2147483647))</f>
        <v>734784660</v>
      </c>
      <c r="C24" s="10">
        <f>IF(OR($A24="",2&gt;Controls!$B$6),"",MOD(M23*48271,2147483647))</f>
        <v>41902419</v>
      </c>
      <c r="D24" s="10">
        <f>IF(OR($A24="",3&gt;Controls!$B$6),"",MOD(N23*48271,2147483647))</f>
        <v>1496503825</v>
      </c>
      <c r="E24" s="10" t="str">
        <f>IF(OR($A24="",4&gt;Controls!$B$6),"",MOD(O23*48271,2147483647))</f>
        <v/>
      </c>
      <c r="F24" s="10" t="str">
        <f>IF(OR($A24="",5&gt;Controls!$B$6),"",MOD(P23*48271,2147483647))</f>
        <v/>
      </c>
      <c r="G24" s="10" t="str">
        <f>IF(OR($A24="",6&gt;Controls!$B$6),"",MOD(Q23*48271,2147483647))</f>
        <v/>
      </c>
      <c r="H24" s="10" t="str">
        <f>IF(OR($A24="",7&gt;Controls!$B$6),"",MOD(R23*48271,2147483647))</f>
        <v/>
      </c>
      <c r="I24" s="10" t="str">
        <f>IF(OR($A24="",8&gt;Controls!$B$6),"",MOD(S23*48271,2147483647))</f>
        <v/>
      </c>
      <c r="J24" s="10" t="str">
        <f>IF(OR($A24="",9&gt;Controls!$B$6),"",MOD(T23*48271,2147483647))</f>
        <v/>
      </c>
      <c r="K24" s="10" t="str">
        <f>IF(OR($A24="",10&gt;Controls!$B$6),"",MOD(U23*48271,2147483647))</f>
        <v/>
      </c>
      <c r="L24" s="10">
        <f t="shared" ref="L24:U24" si="23">IF(B24="","",MOD(B24*48271,2147483647))</f>
        <v>950409008</v>
      </c>
      <c r="M24" s="10">
        <f t="shared" si="23"/>
        <v>1889555722</v>
      </c>
      <c r="N24" s="10">
        <f t="shared" si="23"/>
        <v>681218789</v>
      </c>
      <c r="O24" s="10" t="str">
        <f t="shared" si="23"/>
        <v/>
      </c>
      <c r="P24" s="10" t="str">
        <f t="shared" si="23"/>
        <v/>
      </c>
      <c r="Q24" s="10" t="str">
        <f t="shared" si="23"/>
        <v/>
      </c>
      <c r="R24" s="10" t="str">
        <f t="shared" si="23"/>
        <v/>
      </c>
      <c r="S24" s="10" t="str">
        <f t="shared" si="23"/>
        <v/>
      </c>
      <c r="T24" s="10" t="str">
        <f t="shared" si="23"/>
        <v/>
      </c>
      <c r="U24" s="10" t="str">
        <f t="shared" si="23"/>
        <v/>
      </c>
      <c r="V24" s="10">
        <f>IF(B24="","",IF(Controls!$B$7="Normal",Controls!$B$8+Controls!$B$9*SQRT(-2*LN(B24/2147483647))*COS(2*PI()*L24/2147483647),Controls!$B$8+(Controls!$B$9-Controls!$B$8)*B24/2147483647))</f>
        <v>36.2975862</v>
      </c>
      <c r="W24" s="10">
        <f>IF(C24="","",IF(Controls!$B$7="Normal",Controls!$B$8+Controls!$B$9*SQRT(-2*LN(C24/2147483647))*COS(2*PI()*M24/2147483647),Controls!$B$8+(Controls!$B$9-Controls!$B$8)*C24/2147483647))</f>
        <v>70.44165091</v>
      </c>
      <c r="X24" s="10">
        <f>IF(D24="","",IF(Controls!$B$7="Normal",Controls!$B$8+Controls!$B$9*SQRT(-2*LN(D24/2147483647))*COS(2*PI()*N24/2147483647),Controls!$B$8+(Controls!$B$9-Controls!$B$8)*D24/2147483647))</f>
        <v>46.51630714</v>
      </c>
      <c r="Y24" s="10" t="str">
        <f>IF(E24="","",IF(Controls!$B$7="Normal",Controls!$B$8+Controls!$B$9*SQRT(-2*LN(E24/2147483647))*COS(2*PI()*O24/2147483647),Controls!$B$8+(Controls!$B$9-Controls!$B$8)*E24/2147483647))</f>
        <v/>
      </c>
      <c r="Z24" s="10" t="str">
        <f>IF(F24="","",IF(Controls!$B$7="Normal",Controls!$B$8+Controls!$B$9*SQRT(-2*LN(F24/2147483647))*COS(2*PI()*P24/2147483647),Controls!$B$8+(Controls!$B$9-Controls!$B$8)*F24/2147483647))</f>
        <v/>
      </c>
      <c r="AA24" s="10" t="str">
        <f>IF(G24="","",IF(Controls!$B$7="Normal",Controls!$B$8+Controls!$B$9*SQRT(-2*LN(G24/2147483647))*COS(2*PI()*Q24/2147483647),Controls!$B$8+(Controls!$B$9-Controls!$B$8)*G24/2147483647))</f>
        <v/>
      </c>
      <c r="AB24" s="10" t="str">
        <f>IF(H24="","",IF(Controls!$B$7="Normal",Controls!$B$8+Controls!$B$9*SQRT(-2*LN(H24/2147483647))*COS(2*PI()*R24/2147483647),Controls!$B$8+(Controls!$B$9-Controls!$B$8)*H24/2147483647))</f>
        <v/>
      </c>
      <c r="AC24" s="10" t="str">
        <f>IF(I24="","",IF(Controls!$B$7="Normal",Controls!$B$8+Controls!$B$9*SQRT(-2*LN(I24/2147483647))*COS(2*PI()*S24/2147483647),Controls!$B$8+(Controls!$B$9-Controls!$B$8)*I24/2147483647))</f>
        <v/>
      </c>
      <c r="AD24" s="10" t="str">
        <f>IF(J24="","",IF(Controls!$B$7="Normal",Controls!$B$8+Controls!$B$9*SQRT(-2*LN(J24/2147483647))*COS(2*PI()*T24/2147483647),Controls!$B$8+(Controls!$B$9-Controls!$B$8)*J24/2147483647))</f>
        <v/>
      </c>
      <c r="AE24" s="10" t="str">
        <f>IF(K24="","",IF(Controls!$B$7="Normal",Controls!$B$8+Controls!$B$9*SQRT(-2*LN(K24/2147483647))*COS(2*PI()*U24/2147483647),Controls!$B$8+(Controls!$B$9-Controls!$B$8)*K24/2147483647))</f>
        <v/>
      </c>
    </row>
    <row r="25" ht="21.0" customHeight="1">
      <c r="A25" s="7">
        <f>IF(24&lt;=Controls!$B$5,Controls!$B$4+23,"")</f>
        <v>73014</v>
      </c>
      <c r="B25" s="10">
        <f>IF(OR($A25="",1&gt;Controls!$B$6),"",MOD(L24*48271,2147483647))</f>
        <v>500074307</v>
      </c>
      <c r="C25" s="10">
        <f>IF(OR($A25="",2&gt;Controls!$B$6),"",MOD(M24*48271,2147483647))</f>
        <v>671317631</v>
      </c>
      <c r="D25" s="10">
        <f>IF(OR($A25="",3&gt;Controls!$B$6),"",MOD(N24*48271,2147483647))</f>
        <v>842560955</v>
      </c>
      <c r="E25" s="10" t="str">
        <f>IF(OR($A25="",4&gt;Controls!$B$6),"",MOD(O24*48271,2147483647))</f>
        <v/>
      </c>
      <c r="F25" s="10" t="str">
        <f>IF(OR($A25="",5&gt;Controls!$B$6),"",MOD(P24*48271,2147483647))</f>
        <v/>
      </c>
      <c r="G25" s="10" t="str">
        <f>IF(OR($A25="",6&gt;Controls!$B$6),"",MOD(Q24*48271,2147483647))</f>
        <v/>
      </c>
      <c r="H25" s="10" t="str">
        <f>IF(OR($A25="",7&gt;Controls!$B$6),"",MOD(R24*48271,2147483647))</f>
        <v/>
      </c>
      <c r="I25" s="10" t="str">
        <f>IF(OR($A25="",8&gt;Controls!$B$6),"",MOD(S24*48271,2147483647))</f>
        <v/>
      </c>
      <c r="J25" s="10" t="str">
        <f>IF(OR($A25="",9&gt;Controls!$B$6),"",MOD(T24*48271,2147483647))</f>
        <v/>
      </c>
      <c r="K25" s="10" t="str">
        <f>IF(OR($A25="",10&gt;Controls!$B$6),"",MOD(U24*48271,2147483647))</f>
        <v/>
      </c>
      <c r="L25" s="10">
        <f t="shared" ref="L25:U25" si="24">IF(B25="","",MOD(B25*48271,2147483647))</f>
        <v>1370680917</v>
      </c>
      <c r="M25" s="10">
        <f t="shared" si="24"/>
        <v>1792616418</v>
      </c>
      <c r="N25" s="10">
        <f t="shared" si="24"/>
        <v>67068272</v>
      </c>
      <c r="O25" s="10" t="str">
        <f t="shared" si="24"/>
        <v/>
      </c>
      <c r="P25" s="10" t="str">
        <f t="shared" si="24"/>
        <v/>
      </c>
      <c r="Q25" s="10" t="str">
        <f t="shared" si="24"/>
        <v/>
      </c>
      <c r="R25" s="10" t="str">
        <f t="shared" si="24"/>
        <v/>
      </c>
      <c r="S25" s="10" t="str">
        <f t="shared" si="24"/>
        <v/>
      </c>
      <c r="T25" s="10" t="str">
        <f t="shared" si="24"/>
        <v/>
      </c>
      <c r="U25" s="10" t="str">
        <f t="shared" si="24"/>
        <v/>
      </c>
      <c r="V25" s="10">
        <f>IF(B25="","",IF(Controls!$B$7="Normal",Controls!$B$8+Controls!$B$9*SQRT(-2*LN(B25/2147483647))*COS(2*PI()*L25/2147483647),Controls!$B$8+(Controls!$B$9-Controls!$B$8)*B25/2147483647))</f>
        <v>38.97569611</v>
      </c>
      <c r="W25" s="10">
        <f>IF(C25="","",IF(Controls!$B$7="Normal",Controls!$B$8+Controls!$B$9*SQRT(-2*LN(C25/2147483647))*COS(2*PI()*M25/2147483647),Controls!$B$8+(Controls!$B$9-Controls!$B$8)*C25/2147483647))</f>
        <v>57.74241456</v>
      </c>
      <c r="X25" s="10">
        <f>IF(D25="","",IF(Controls!$B$7="Normal",Controls!$B$8+Controls!$B$9*SQRT(-2*LN(D25/2147483647))*COS(2*PI()*N25/2147483647),Controls!$B$8+(Controls!$B$9-Controls!$B$8)*D25/2147483647))</f>
        <v>63.41669971</v>
      </c>
      <c r="Y25" s="10" t="str">
        <f>IF(E25="","",IF(Controls!$B$7="Normal",Controls!$B$8+Controls!$B$9*SQRT(-2*LN(E25/2147483647))*COS(2*PI()*O25/2147483647),Controls!$B$8+(Controls!$B$9-Controls!$B$8)*E25/2147483647))</f>
        <v/>
      </c>
      <c r="Z25" s="10" t="str">
        <f>IF(F25="","",IF(Controls!$B$7="Normal",Controls!$B$8+Controls!$B$9*SQRT(-2*LN(F25/2147483647))*COS(2*PI()*P25/2147483647),Controls!$B$8+(Controls!$B$9-Controls!$B$8)*F25/2147483647))</f>
        <v/>
      </c>
      <c r="AA25" s="10" t="str">
        <f>IF(G25="","",IF(Controls!$B$7="Normal",Controls!$B$8+Controls!$B$9*SQRT(-2*LN(G25/2147483647))*COS(2*PI()*Q25/2147483647),Controls!$B$8+(Controls!$B$9-Controls!$B$8)*G25/2147483647))</f>
        <v/>
      </c>
      <c r="AB25" s="10" t="str">
        <f>IF(H25="","",IF(Controls!$B$7="Normal",Controls!$B$8+Controls!$B$9*SQRT(-2*LN(H25/2147483647))*COS(2*PI()*R25/2147483647),Controls!$B$8+(Controls!$B$9-Controls!$B$8)*H25/2147483647))</f>
        <v/>
      </c>
      <c r="AC25" s="10" t="str">
        <f>IF(I25="","",IF(Controls!$B$7="Normal",Controls!$B$8+Controls!$B$9*SQRT(-2*LN(I25/2147483647))*COS(2*PI()*S25/2147483647),Controls!$B$8+(Controls!$B$9-Controls!$B$8)*I25/2147483647))</f>
        <v/>
      </c>
      <c r="AD25" s="10" t="str">
        <f>IF(J25="","",IF(Controls!$B$7="Normal",Controls!$B$8+Controls!$B$9*SQRT(-2*LN(J25/2147483647))*COS(2*PI()*T25/2147483647),Controls!$B$8+(Controls!$B$9-Controls!$B$8)*J25/2147483647))</f>
        <v/>
      </c>
      <c r="AE25" s="10" t="str">
        <f>IF(K25="","",IF(Controls!$B$7="Normal",Controls!$B$8+Controls!$B$9*SQRT(-2*LN(K25/2147483647))*COS(2*PI()*U25/2147483647),Controls!$B$8+(Controls!$B$9-Controls!$B$8)*K25/2147483647))</f>
        <v/>
      </c>
    </row>
    <row r="26" ht="21.0" customHeight="1">
      <c r="A26" s="7">
        <f>IF(25&lt;=Controls!$B$5,Controls!$B$4+24,"")</f>
        <v>73015</v>
      </c>
      <c r="B26" s="10">
        <f>IF(OR($A26="",1&gt;Controls!$B$6),"",MOD(L25*48271,2147483647))</f>
        <v>167380437</v>
      </c>
      <c r="C26" s="10">
        <f>IF(OR($A26="",2&gt;Controls!$B$6),"",MOD(M25*48271,2147483647))</f>
        <v>681041060</v>
      </c>
      <c r="D26" s="10">
        <f>IF(OR($A26="",3&gt;Controls!$B$6),"",MOD(N25*48271,2147483647))</f>
        <v>1194701683</v>
      </c>
      <c r="E26" s="10" t="str">
        <f>IF(OR($A26="",4&gt;Controls!$B$6),"",MOD(O25*48271,2147483647))</f>
        <v/>
      </c>
      <c r="F26" s="10" t="str">
        <f>IF(OR($A26="",5&gt;Controls!$B$6),"",MOD(P25*48271,2147483647))</f>
        <v/>
      </c>
      <c r="G26" s="10" t="str">
        <f>IF(OR($A26="",6&gt;Controls!$B$6),"",MOD(Q25*48271,2147483647))</f>
        <v/>
      </c>
      <c r="H26" s="10" t="str">
        <f>IF(OR($A26="",7&gt;Controls!$B$6),"",MOD(R25*48271,2147483647))</f>
        <v/>
      </c>
      <c r="I26" s="10" t="str">
        <f>IF(OR($A26="",8&gt;Controls!$B$6),"",MOD(S25*48271,2147483647))</f>
        <v/>
      </c>
      <c r="J26" s="10" t="str">
        <f>IF(OR($A26="",9&gt;Controls!$B$6),"",MOD(T25*48271,2147483647))</f>
        <v/>
      </c>
      <c r="K26" s="10" t="str">
        <f>IF(OR($A26="",10&gt;Controls!$B$6),"",MOD(U25*48271,2147483647))</f>
        <v/>
      </c>
      <c r="L26" s="10">
        <f t="shared" ref="L26:U26" si="25">IF(B26="","",MOD(B26*48271,2147483647))</f>
        <v>787594413</v>
      </c>
      <c r="M26" s="10">
        <f t="shared" si="25"/>
        <v>853338984</v>
      </c>
      <c r="N26" s="10">
        <f t="shared" si="25"/>
        <v>919083555</v>
      </c>
      <c r="O26" s="10" t="str">
        <f t="shared" si="25"/>
        <v/>
      </c>
      <c r="P26" s="10" t="str">
        <f t="shared" si="25"/>
        <v/>
      </c>
      <c r="Q26" s="10" t="str">
        <f t="shared" si="25"/>
        <v/>
      </c>
      <c r="R26" s="10" t="str">
        <f t="shared" si="25"/>
        <v/>
      </c>
      <c r="S26" s="10" t="str">
        <f t="shared" si="25"/>
        <v/>
      </c>
      <c r="T26" s="10" t="str">
        <f t="shared" si="25"/>
        <v/>
      </c>
      <c r="U26" s="10" t="str">
        <f t="shared" si="25"/>
        <v/>
      </c>
      <c r="V26" s="10">
        <f>IF(B26="","",IF(Controls!$B$7="Normal",Controls!$B$8+Controls!$B$9*SQRT(-2*LN(B26/2147483647))*COS(2*PI()*L26/2147483647),Controls!$B$8+(Controls!$B$9-Controls!$B$8)*B26/2147483647))</f>
        <v>34.87459877</v>
      </c>
      <c r="W26" s="10">
        <f>IF(C26="","",IF(Controls!$B$7="Normal",Controls!$B$8+Controls!$B$9*SQRT(-2*LN(C26/2147483647))*COS(2*PI()*M26/2147483647),Controls!$B$8+(Controls!$B$9-Controls!$B$8)*C26/2147483647))</f>
        <v>37.88807846</v>
      </c>
      <c r="X26" s="10">
        <f>IF(D26="","",IF(Controls!$B$7="Normal",Controls!$B$8+Controls!$B$9*SQRT(-2*LN(D26/2147483647))*COS(2*PI()*N26/2147483647),Controls!$B$8+(Controls!$B$9-Controls!$B$8)*D26/2147483647))</f>
        <v>40.26035507</v>
      </c>
      <c r="Y26" s="10" t="str">
        <f>IF(E26="","",IF(Controls!$B$7="Normal",Controls!$B$8+Controls!$B$9*SQRT(-2*LN(E26/2147483647))*COS(2*PI()*O26/2147483647),Controls!$B$8+(Controls!$B$9-Controls!$B$8)*E26/2147483647))</f>
        <v/>
      </c>
      <c r="Z26" s="10" t="str">
        <f>IF(F26="","",IF(Controls!$B$7="Normal",Controls!$B$8+Controls!$B$9*SQRT(-2*LN(F26/2147483647))*COS(2*PI()*P26/2147483647),Controls!$B$8+(Controls!$B$9-Controls!$B$8)*F26/2147483647))</f>
        <v/>
      </c>
      <c r="AA26" s="10" t="str">
        <f>IF(G26="","",IF(Controls!$B$7="Normal",Controls!$B$8+Controls!$B$9*SQRT(-2*LN(G26/2147483647))*COS(2*PI()*Q26/2147483647),Controls!$B$8+(Controls!$B$9-Controls!$B$8)*G26/2147483647))</f>
        <v/>
      </c>
      <c r="AB26" s="10" t="str">
        <f>IF(H26="","",IF(Controls!$B$7="Normal",Controls!$B$8+Controls!$B$9*SQRT(-2*LN(H26/2147483647))*COS(2*PI()*R26/2147483647),Controls!$B$8+(Controls!$B$9-Controls!$B$8)*H26/2147483647))</f>
        <v/>
      </c>
      <c r="AC26" s="10" t="str">
        <f>IF(I26="","",IF(Controls!$B$7="Normal",Controls!$B$8+Controls!$B$9*SQRT(-2*LN(I26/2147483647))*COS(2*PI()*S26/2147483647),Controls!$B$8+(Controls!$B$9-Controls!$B$8)*I26/2147483647))</f>
        <v/>
      </c>
      <c r="AD26" s="10" t="str">
        <f>IF(J26="","",IF(Controls!$B$7="Normal",Controls!$B$8+Controls!$B$9*SQRT(-2*LN(J26/2147483647))*COS(2*PI()*T26/2147483647),Controls!$B$8+(Controls!$B$9-Controls!$B$8)*J26/2147483647))</f>
        <v/>
      </c>
      <c r="AE26" s="10" t="str">
        <f>IF(K26="","",IF(Controls!$B$7="Normal",Controls!$B$8+Controls!$B$9*SQRT(-2*LN(K26/2147483647))*COS(2*PI()*U26/2147483647),Controls!$B$8+(Controls!$B$9-Controls!$B$8)*K26/2147483647))</f>
        <v/>
      </c>
    </row>
    <row r="27" ht="21.0" customHeight="1">
      <c r="A27" s="7">
        <f>IF(26&lt;=Controls!$B$5,Controls!$B$4+25,"")</f>
        <v>73016</v>
      </c>
      <c r="B27" s="10">
        <f>IF(OR($A27="",1&gt;Controls!$B$6),"",MOD(L26*48271,2147483647))</f>
        <v>1066907082</v>
      </c>
      <c r="C27" s="10">
        <f>IF(OR($A27="",2&gt;Controls!$B$6),"",MOD(M26*48271,2147483647))</f>
        <v>642263557</v>
      </c>
      <c r="D27" s="10">
        <f>IF(OR($A27="",3&gt;Controls!$B$6),"",MOD(N26*48271,2147483647))</f>
        <v>217620032</v>
      </c>
      <c r="E27" s="10" t="str">
        <f>IF(OR($A27="",4&gt;Controls!$B$6),"",MOD(O26*48271,2147483647))</f>
        <v/>
      </c>
      <c r="F27" s="10" t="str">
        <f>IF(OR($A27="",5&gt;Controls!$B$6),"",MOD(P26*48271,2147483647))</f>
        <v/>
      </c>
      <c r="G27" s="10" t="str">
        <f>IF(OR($A27="",6&gt;Controls!$B$6),"",MOD(Q26*48271,2147483647))</f>
        <v/>
      </c>
      <c r="H27" s="10" t="str">
        <f>IF(OR($A27="",7&gt;Controls!$B$6),"",MOD(R26*48271,2147483647))</f>
        <v/>
      </c>
      <c r="I27" s="10" t="str">
        <f>IF(OR($A27="",8&gt;Controls!$B$6),"",MOD(S26*48271,2147483647))</f>
        <v/>
      </c>
      <c r="J27" s="10" t="str">
        <f>IF(OR($A27="",9&gt;Controls!$B$6),"",MOD(T26*48271,2147483647))</f>
        <v/>
      </c>
      <c r="K27" s="10" t="str">
        <f>IF(OR($A27="",10&gt;Controls!$B$6),"",MOD(U26*48271,2147483647))</f>
        <v/>
      </c>
      <c r="L27" s="10">
        <f t="shared" ref="L27:U27" si="26">IF(B27="","",MOD(B27*48271,2147483647))</f>
        <v>1866416515</v>
      </c>
      <c r="M27" s="10">
        <f t="shared" si="26"/>
        <v>1630231855</v>
      </c>
      <c r="N27" s="10">
        <f t="shared" si="26"/>
        <v>1394047195</v>
      </c>
      <c r="O27" s="10" t="str">
        <f t="shared" si="26"/>
        <v/>
      </c>
      <c r="P27" s="10" t="str">
        <f t="shared" si="26"/>
        <v/>
      </c>
      <c r="Q27" s="10" t="str">
        <f t="shared" si="26"/>
        <v/>
      </c>
      <c r="R27" s="10" t="str">
        <f t="shared" si="26"/>
        <v/>
      </c>
      <c r="S27" s="10" t="str">
        <f t="shared" si="26"/>
        <v/>
      </c>
      <c r="T27" s="10" t="str">
        <f t="shared" si="26"/>
        <v/>
      </c>
      <c r="U27" s="10" t="str">
        <f t="shared" si="26"/>
        <v/>
      </c>
      <c r="V27" s="10">
        <f>IF(B27="","",IF(Controls!$B$7="Normal",Controls!$B$8+Controls!$B$9*SQRT(-2*LN(B27/2147483647))*COS(2*PI()*L27/2147483647),Controls!$B$8+(Controls!$B$9-Controls!$B$8)*B27/2147483647))</f>
        <v>58.04905569</v>
      </c>
      <c r="W27" s="10">
        <f>IF(C27="","",IF(Controls!$B$7="Normal",Controls!$B$8+Controls!$B$9*SQRT(-2*LN(C27/2147483647))*COS(2*PI()*M27/2147483647),Controls!$B$8+(Controls!$B$9-Controls!$B$8)*C27/2147483647))</f>
        <v>50.89139299</v>
      </c>
      <c r="X27" s="10">
        <f>IF(D27="","",IF(Controls!$B$7="Normal",Controls!$B$8+Controls!$B$9*SQRT(-2*LN(D27/2147483647))*COS(2*PI()*N27/2147483647),Controls!$B$8+(Controls!$B$9-Controls!$B$8)*D27/2147483647))</f>
        <v>37.33090435</v>
      </c>
      <c r="Y27" s="10" t="str">
        <f>IF(E27="","",IF(Controls!$B$7="Normal",Controls!$B$8+Controls!$B$9*SQRT(-2*LN(E27/2147483647))*COS(2*PI()*O27/2147483647),Controls!$B$8+(Controls!$B$9-Controls!$B$8)*E27/2147483647))</f>
        <v/>
      </c>
      <c r="Z27" s="10" t="str">
        <f>IF(F27="","",IF(Controls!$B$7="Normal",Controls!$B$8+Controls!$B$9*SQRT(-2*LN(F27/2147483647))*COS(2*PI()*P27/2147483647),Controls!$B$8+(Controls!$B$9-Controls!$B$8)*F27/2147483647))</f>
        <v/>
      </c>
      <c r="AA27" s="10" t="str">
        <f>IF(G27="","",IF(Controls!$B$7="Normal",Controls!$B$8+Controls!$B$9*SQRT(-2*LN(G27/2147483647))*COS(2*PI()*Q27/2147483647),Controls!$B$8+(Controls!$B$9-Controls!$B$8)*G27/2147483647))</f>
        <v/>
      </c>
      <c r="AB27" s="10" t="str">
        <f>IF(H27="","",IF(Controls!$B$7="Normal",Controls!$B$8+Controls!$B$9*SQRT(-2*LN(H27/2147483647))*COS(2*PI()*R27/2147483647),Controls!$B$8+(Controls!$B$9-Controls!$B$8)*H27/2147483647))</f>
        <v/>
      </c>
      <c r="AC27" s="10" t="str">
        <f>IF(I27="","",IF(Controls!$B$7="Normal",Controls!$B$8+Controls!$B$9*SQRT(-2*LN(I27/2147483647))*COS(2*PI()*S27/2147483647),Controls!$B$8+(Controls!$B$9-Controls!$B$8)*I27/2147483647))</f>
        <v/>
      </c>
      <c r="AD27" s="10" t="str">
        <f>IF(J27="","",IF(Controls!$B$7="Normal",Controls!$B$8+Controls!$B$9*SQRT(-2*LN(J27/2147483647))*COS(2*PI()*T27/2147483647),Controls!$B$8+(Controls!$B$9-Controls!$B$8)*J27/2147483647))</f>
        <v/>
      </c>
      <c r="AE27" s="10" t="str">
        <f>IF(K27="","",IF(Controls!$B$7="Normal",Controls!$B$8+Controls!$B$9*SQRT(-2*LN(K27/2147483647))*COS(2*PI()*U27/2147483647),Controls!$B$8+(Controls!$B$9-Controls!$B$8)*K27/2147483647))</f>
        <v/>
      </c>
    </row>
    <row r="28" ht="21.0" customHeight="1">
      <c r="A28" s="7">
        <f>IF(27&lt;=Controls!$B$5,Controls!$B$4+26,"")</f>
        <v>73017</v>
      </c>
      <c r="B28" s="10">
        <f>IF(OR($A28="",1&gt;Controls!$B$6),"",MOD(L27*48271,2147483647))</f>
        <v>410152974</v>
      </c>
      <c r="C28" s="10">
        <f>IF(OR($A28="",2&gt;Controls!$B$6),"",MOD(M27*48271,2147483647))</f>
        <v>531112037</v>
      </c>
      <c r="D28" s="10">
        <f>IF(OR($A28="",3&gt;Controls!$B$6),"",MOD(N27*48271,2147483647))</f>
        <v>652071100</v>
      </c>
      <c r="E28" s="10" t="str">
        <f>IF(OR($A28="",4&gt;Controls!$B$6),"",MOD(O27*48271,2147483647))</f>
        <v/>
      </c>
      <c r="F28" s="10" t="str">
        <f>IF(OR($A28="",5&gt;Controls!$B$6),"",MOD(P27*48271,2147483647))</f>
        <v/>
      </c>
      <c r="G28" s="10" t="str">
        <f>IF(OR($A28="",6&gt;Controls!$B$6),"",MOD(Q27*48271,2147483647))</f>
        <v/>
      </c>
      <c r="H28" s="10" t="str">
        <f>IF(OR($A28="",7&gt;Controls!$B$6),"",MOD(R27*48271,2147483647))</f>
        <v/>
      </c>
      <c r="I28" s="10" t="str">
        <f>IF(OR($A28="",8&gt;Controls!$B$6),"",MOD(S27*48271,2147483647))</f>
        <v/>
      </c>
      <c r="J28" s="10" t="str">
        <f>IF(OR($A28="",9&gt;Controls!$B$6),"",MOD(T27*48271,2147483647))</f>
        <v/>
      </c>
      <c r="K28" s="10" t="str">
        <f>IF(OR($A28="",10&gt;Controls!$B$6),"",MOD(U27*48271,2147483647))</f>
        <v/>
      </c>
      <c r="L28" s="10">
        <f t="shared" ref="L28:U28" si="27">IF(B28="","",MOD(B28*48271,2147483647))</f>
        <v>842466261</v>
      </c>
      <c r="M28" s="10">
        <f t="shared" si="27"/>
        <v>649360141</v>
      </c>
      <c r="N28" s="10">
        <f t="shared" si="27"/>
        <v>456254021</v>
      </c>
      <c r="O28" s="10" t="str">
        <f t="shared" si="27"/>
        <v/>
      </c>
      <c r="P28" s="10" t="str">
        <f t="shared" si="27"/>
        <v/>
      </c>
      <c r="Q28" s="10" t="str">
        <f t="shared" si="27"/>
        <v/>
      </c>
      <c r="R28" s="10" t="str">
        <f t="shared" si="27"/>
        <v/>
      </c>
      <c r="S28" s="10" t="str">
        <f t="shared" si="27"/>
        <v/>
      </c>
      <c r="T28" s="10" t="str">
        <f t="shared" si="27"/>
        <v/>
      </c>
      <c r="U28" s="10" t="str">
        <f t="shared" si="27"/>
        <v/>
      </c>
      <c r="V28" s="10">
        <f>IF(B28="","",IF(Controls!$B$7="Normal",Controls!$B$8+Controls!$B$9*SQRT(-2*LN(B28/2147483647))*COS(2*PI()*L28/2147483647),Controls!$B$8+(Controls!$B$9-Controls!$B$8)*B28/2147483647))</f>
        <v>35.81310203</v>
      </c>
      <c r="W28" s="10">
        <f>IF(C28="","",IF(Controls!$B$7="Normal",Controls!$B$8+Controls!$B$9*SQRT(-2*LN(C28/2147483647))*COS(2*PI()*M28/2147483647),Controls!$B$8+(Controls!$B$9-Controls!$B$8)*C28/2147483647))</f>
        <v>44.59722076</v>
      </c>
      <c r="X28" s="10">
        <f>IF(D28="","",IF(Controls!$B$7="Normal",Controls!$B$8+Controls!$B$9*SQRT(-2*LN(D28/2147483647))*COS(2*PI()*N28/2147483647),Controls!$B$8+(Controls!$B$9-Controls!$B$8)*D28/2147483647))</f>
        <v>53.60807987</v>
      </c>
      <c r="Y28" s="10" t="str">
        <f>IF(E28="","",IF(Controls!$B$7="Normal",Controls!$B$8+Controls!$B$9*SQRT(-2*LN(E28/2147483647))*COS(2*PI()*O28/2147483647),Controls!$B$8+(Controls!$B$9-Controls!$B$8)*E28/2147483647))</f>
        <v/>
      </c>
      <c r="Z28" s="10" t="str">
        <f>IF(F28="","",IF(Controls!$B$7="Normal",Controls!$B$8+Controls!$B$9*SQRT(-2*LN(F28/2147483647))*COS(2*PI()*P28/2147483647),Controls!$B$8+(Controls!$B$9-Controls!$B$8)*F28/2147483647))</f>
        <v/>
      </c>
      <c r="AA28" s="10" t="str">
        <f>IF(G28="","",IF(Controls!$B$7="Normal",Controls!$B$8+Controls!$B$9*SQRT(-2*LN(G28/2147483647))*COS(2*PI()*Q28/2147483647),Controls!$B$8+(Controls!$B$9-Controls!$B$8)*G28/2147483647))</f>
        <v/>
      </c>
      <c r="AB28" s="10" t="str">
        <f>IF(H28="","",IF(Controls!$B$7="Normal",Controls!$B$8+Controls!$B$9*SQRT(-2*LN(H28/2147483647))*COS(2*PI()*R28/2147483647),Controls!$B$8+(Controls!$B$9-Controls!$B$8)*H28/2147483647))</f>
        <v/>
      </c>
      <c r="AC28" s="10" t="str">
        <f>IF(I28="","",IF(Controls!$B$7="Normal",Controls!$B$8+Controls!$B$9*SQRT(-2*LN(I28/2147483647))*COS(2*PI()*S28/2147483647),Controls!$B$8+(Controls!$B$9-Controls!$B$8)*I28/2147483647))</f>
        <v/>
      </c>
      <c r="AD28" s="10" t="str">
        <f>IF(J28="","",IF(Controls!$B$7="Normal",Controls!$B$8+Controls!$B$9*SQRT(-2*LN(J28/2147483647))*COS(2*PI()*T28/2147483647),Controls!$B$8+(Controls!$B$9-Controls!$B$8)*J28/2147483647))</f>
        <v/>
      </c>
      <c r="AE28" s="10" t="str">
        <f>IF(K28="","",IF(Controls!$B$7="Normal",Controls!$B$8+Controls!$B$9*SQRT(-2*LN(K28/2147483647))*COS(2*PI()*U28/2147483647),Controls!$B$8+(Controls!$B$9-Controls!$B$8)*K28/2147483647))</f>
        <v/>
      </c>
    </row>
    <row r="29" ht="21.0" customHeight="1">
      <c r="A29" s="7">
        <f>IF(28&lt;=Controls!$B$5,Controls!$B$4+27,"")</f>
        <v>73018</v>
      </c>
      <c r="B29" s="10">
        <f>IF(OR($A29="",1&gt;Controls!$B$6),"",MOD(L28*48271,2147483647))</f>
        <v>1938545139</v>
      </c>
      <c r="C29" s="10">
        <f>IF(OR($A29="",2&gt;Controls!$B$6),"",MOD(M28*48271,2147483647))</f>
        <v>592054599</v>
      </c>
      <c r="D29" s="10">
        <f>IF(OR($A29="",3&gt;Controls!$B$6),"",MOD(N28*48271,2147483647))</f>
        <v>1393047706</v>
      </c>
      <c r="E29" s="10" t="str">
        <f>IF(OR($A29="",4&gt;Controls!$B$6),"",MOD(O28*48271,2147483647))</f>
        <v/>
      </c>
      <c r="F29" s="10" t="str">
        <f>IF(OR($A29="",5&gt;Controls!$B$6),"",MOD(P28*48271,2147483647))</f>
        <v/>
      </c>
      <c r="G29" s="10" t="str">
        <f>IF(OR($A29="",6&gt;Controls!$B$6),"",MOD(Q28*48271,2147483647))</f>
        <v/>
      </c>
      <c r="H29" s="10" t="str">
        <f>IF(OR($A29="",7&gt;Controls!$B$6),"",MOD(R28*48271,2147483647))</f>
        <v/>
      </c>
      <c r="I29" s="10" t="str">
        <f>IF(OR($A29="",8&gt;Controls!$B$6),"",MOD(S28*48271,2147483647))</f>
        <v/>
      </c>
      <c r="J29" s="10" t="str">
        <f>IF(OR($A29="",9&gt;Controls!$B$6),"",MOD(T28*48271,2147483647))</f>
        <v/>
      </c>
      <c r="K29" s="10" t="str">
        <f>IF(OR($A29="",10&gt;Controls!$B$6),"",MOD(U28*48271,2147483647))</f>
        <v/>
      </c>
      <c r="L29" s="10">
        <f t="shared" ref="L29:U29" si="28">IF(B29="","",MOD(B29*48271,2147483647))</f>
        <v>1059970291</v>
      </c>
      <c r="M29" s="10">
        <f t="shared" si="28"/>
        <v>355174053</v>
      </c>
      <c r="N29" s="10">
        <f t="shared" si="28"/>
        <v>1797861462</v>
      </c>
      <c r="O29" s="10" t="str">
        <f t="shared" si="28"/>
        <v/>
      </c>
      <c r="P29" s="10" t="str">
        <f t="shared" si="28"/>
        <v/>
      </c>
      <c r="Q29" s="10" t="str">
        <f t="shared" si="28"/>
        <v/>
      </c>
      <c r="R29" s="10" t="str">
        <f t="shared" si="28"/>
        <v/>
      </c>
      <c r="S29" s="10" t="str">
        <f t="shared" si="28"/>
        <v/>
      </c>
      <c r="T29" s="10" t="str">
        <f t="shared" si="28"/>
        <v/>
      </c>
      <c r="U29" s="10" t="str">
        <f t="shared" si="28"/>
        <v/>
      </c>
      <c r="V29" s="10">
        <f>IF(B29="","",IF(Controls!$B$7="Normal",Controls!$B$8+Controls!$B$9*SQRT(-2*LN(B29/2147483647))*COS(2*PI()*L29/2147483647),Controls!$B$8+(Controls!$B$9-Controls!$B$8)*B29/2147483647))</f>
        <v>45.47909518</v>
      </c>
      <c r="W29" s="10">
        <f>IF(C29="","",IF(Controls!$B$7="Normal",Controls!$B$8+Controls!$B$9*SQRT(-2*LN(C29/2147483647))*COS(2*PI()*M29/2147483647),Controls!$B$8+(Controls!$B$9-Controls!$B$8)*C29/2147483647))</f>
        <v>58.13755919</v>
      </c>
      <c r="X29" s="10">
        <f>IF(D29="","",IF(Controls!$B$7="Normal",Controls!$B$8+Controls!$B$9*SQRT(-2*LN(D29/2147483647))*COS(2*PI()*N29/2147483647),Controls!$B$8+(Controls!$B$9-Controls!$B$8)*D29/2147483647))</f>
        <v>54.8459816</v>
      </c>
      <c r="Y29" s="10" t="str">
        <f>IF(E29="","",IF(Controls!$B$7="Normal",Controls!$B$8+Controls!$B$9*SQRT(-2*LN(E29/2147483647))*COS(2*PI()*O29/2147483647),Controls!$B$8+(Controls!$B$9-Controls!$B$8)*E29/2147483647))</f>
        <v/>
      </c>
      <c r="Z29" s="10" t="str">
        <f>IF(F29="","",IF(Controls!$B$7="Normal",Controls!$B$8+Controls!$B$9*SQRT(-2*LN(F29/2147483647))*COS(2*PI()*P29/2147483647),Controls!$B$8+(Controls!$B$9-Controls!$B$8)*F29/2147483647))</f>
        <v/>
      </c>
      <c r="AA29" s="10" t="str">
        <f>IF(G29="","",IF(Controls!$B$7="Normal",Controls!$B$8+Controls!$B$9*SQRT(-2*LN(G29/2147483647))*COS(2*PI()*Q29/2147483647),Controls!$B$8+(Controls!$B$9-Controls!$B$8)*G29/2147483647))</f>
        <v/>
      </c>
      <c r="AB29" s="10" t="str">
        <f>IF(H29="","",IF(Controls!$B$7="Normal",Controls!$B$8+Controls!$B$9*SQRT(-2*LN(H29/2147483647))*COS(2*PI()*R29/2147483647),Controls!$B$8+(Controls!$B$9-Controls!$B$8)*H29/2147483647))</f>
        <v/>
      </c>
      <c r="AC29" s="10" t="str">
        <f>IF(I29="","",IF(Controls!$B$7="Normal",Controls!$B$8+Controls!$B$9*SQRT(-2*LN(I29/2147483647))*COS(2*PI()*S29/2147483647),Controls!$B$8+(Controls!$B$9-Controls!$B$8)*I29/2147483647))</f>
        <v/>
      </c>
      <c r="AD29" s="10" t="str">
        <f>IF(J29="","",IF(Controls!$B$7="Normal",Controls!$B$8+Controls!$B$9*SQRT(-2*LN(J29/2147483647))*COS(2*PI()*T29/2147483647),Controls!$B$8+(Controls!$B$9-Controls!$B$8)*J29/2147483647))</f>
        <v/>
      </c>
      <c r="AE29" s="10" t="str">
        <f>IF(K29="","",IF(Controls!$B$7="Normal",Controls!$B$8+Controls!$B$9*SQRT(-2*LN(K29/2147483647))*COS(2*PI()*U29/2147483647),Controls!$B$8+(Controls!$B$9-Controls!$B$8)*K29/2147483647))</f>
        <v/>
      </c>
    </row>
    <row r="30" ht="21.0" customHeight="1">
      <c r="A30" s="7">
        <f>IF(29&lt;=Controls!$B$5,Controls!$B$4+28,"")</f>
        <v>73019</v>
      </c>
      <c r="B30" s="10">
        <f>IF(OR($A30="",1&gt;Controls!$B$6),"",MOD(L29*48271,2147483647))</f>
        <v>2028027086</v>
      </c>
      <c r="C30" s="10">
        <f>IF(OR($A30="",2&gt;Controls!$B$6),"",MOD(M29*48271,2147483647))</f>
        <v>1244758362</v>
      </c>
      <c r="D30" s="10">
        <f>IF(OR($A30="",3&gt;Controls!$B$6),"",MOD(N29*48271,2147483647))</f>
        <v>461489638</v>
      </c>
      <c r="E30" s="10" t="str">
        <f>IF(OR($A30="",4&gt;Controls!$B$6),"",MOD(O29*48271,2147483647))</f>
        <v/>
      </c>
      <c r="F30" s="10" t="str">
        <f>IF(OR($A30="",5&gt;Controls!$B$6),"",MOD(P29*48271,2147483647))</f>
        <v/>
      </c>
      <c r="G30" s="10" t="str">
        <f>IF(OR($A30="",6&gt;Controls!$B$6),"",MOD(Q29*48271,2147483647))</f>
        <v/>
      </c>
      <c r="H30" s="10" t="str">
        <f>IF(OR($A30="",7&gt;Controls!$B$6),"",MOD(R29*48271,2147483647))</f>
        <v/>
      </c>
      <c r="I30" s="10" t="str">
        <f>IF(OR($A30="",8&gt;Controls!$B$6),"",MOD(S29*48271,2147483647))</f>
        <v/>
      </c>
      <c r="J30" s="10" t="str">
        <f>IF(OR($A30="",9&gt;Controls!$B$6),"",MOD(T29*48271,2147483647))</f>
        <v/>
      </c>
      <c r="K30" s="10" t="str">
        <f>IF(OR($A30="",10&gt;Controls!$B$6),"",MOD(U29*48271,2147483647))</f>
        <v/>
      </c>
      <c r="L30" s="10">
        <f t="shared" ref="L30:U30" si="29">IF(B30="","",MOD(B30*48271,2147483647))</f>
        <v>1853419811</v>
      </c>
      <c r="M30" s="10">
        <f t="shared" si="29"/>
        <v>1285932689</v>
      </c>
      <c r="N30" s="10">
        <f t="shared" si="29"/>
        <v>718445567</v>
      </c>
      <c r="O30" s="10" t="str">
        <f t="shared" si="29"/>
        <v/>
      </c>
      <c r="P30" s="10" t="str">
        <f t="shared" si="29"/>
        <v/>
      </c>
      <c r="Q30" s="10" t="str">
        <f t="shared" si="29"/>
        <v/>
      </c>
      <c r="R30" s="10" t="str">
        <f t="shared" si="29"/>
        <v/>
      </c>
      <c r="S30" s="10" t="str">
        <f t="shared" si="29"/>
        <v/>
      </c>
      <c r="T30" s="10" t="str">
        <f t="shared" si="29"/>
        <v/>
      </c>
      <c r="U30" s="10" t="str">
        <f t="shared" si="29"/>
        <v/>
      </c>
      <c r="V30" s="10">
        <f>IF(B30="","",IF(Controls!$B$7="Normal",Controls!$B$8+Controls!$B$9*SQRT(-2*LN(B30/2147483647))*COS(2*PI()*L30/2147483647),Controls!$B$8+(Controls!$B$9-Controls!$B$8)*B30/2147483647))</f>
        <v>52.2064052</v>
      </c>
      <c r="W30" s="10">
        <f>IF(C30="","",IF(Controls!$B$7="Normal",Controls!$B$8+Controls!$B$9*SQRT(-2*LN(C30/2147483647))*COS(2*PI()*M30/2147483647),Controls!$B$8+(Controls!$B$9-Controls!$B$8)*C30/2147483647))</f>
        <v>41.50516404</v>
      </c>
      <c r="X30" s="10">
        <f>IF(D30="","",IF(Controls!$B$7="Normal",Controls!$B$8+Controls!$B$9*SQRT(-2*LN(D30/2147483647))*COS(2*PI()*N30/2147483647),Controls!$B$8+(Controls!$B$9-Controls!$B$8)*D30/2147483647))</f>
        <v>41.11584135</v>
      </c>
      <c r="Y30" s="10" t="str">
        <f>IF(E30="","",IF(Controls!$B$7="Normal",Controls!$B$8+Controls!$B$9*SQRT(-2*LN(E30/2147483647))*COS(2*PI()*O30/2147483647),Controls!$B$8+(Controls!$B$9-Controls!$B$8)*E30/2147483647))</f>
        <v/>
      </c>
      <c r="Z30" s="10" t="str">
        <f>IF(F30="","",IF(Controls!$B$7="Normal",Controls!$B$8+Controls!$B$9*SQRT(-2*LN(F30/2147483647))*COS(2*PI()*P30/2147483647),Controls!$B$8+(Controls!$B$9-Controls!$B$8)*F30/2147483647))</f>
        <v/>
      </c>
      <c r="AA30" s="10" t="str">
        <f>IF(G30="","",IF(Controls!$B$7="Normal",Controls!$B$8+Controls!$B$9*SQRT(-2*LN(G30/2147483647))*COS(2*PI()*Q30/2147483647),Controls!$B$8+(Controls!$B$9-Controls!$B$8)*G30/2147483647))</f>
        <v/>
      </c>
      <c r="AB30" s="10" t="str">
        <f>IF(H30="","",IF(Controls!$B$7="Normal",Controls!$B$8+Controls!$B$9*SQRT(-2*LN(H30/2147483647))*COS(2*PI()*R30/2147483647),Controls!$B$8+(Controls!$B$9-Controls!$B$8)*H30/2147483647))</f>
        <v/>
      </c>
      <c r="AC30" s="10" t="str">
        <f>IF(I30="","",IF(Controls!$B$7="Normal",Controls!$B$8+Controls!$B$9*SQRT(-2*LN(I30/2147483647))*COS(2*PI()*S30/2147483647),Controls!$B$8+(Controls!$B$9-Controls!$B$8)*I30/2147483647))</f>
        <v/>
      </c>
      <c r="AD30" s="10" t="str">
        <f>IF(J30="","",IF(Controls!$B$7="Normal",Controls!$B$8+Controls!$B$9*SQRT(-2*LN(J30/2147483647))*COS(2*PI()*T30/2147483647),Controls!$B$8+(Controls!$B$9-Controls!$B$8)*J30/2147483647))</f>
        <v/>
      </c>
      <c r="AE30" s="10" t="str">
        <f>IF(K30="","",IF(Controls!$B$7="Normal",Controls!$B$8+Controls!$B$9*SQRT(-2*LN(K30/2147483647))*COS(2*PI()*U30/2147483647),Controls!$B$8+(Controls!$B$9-Controls!$B$8)*K30/2147483647))</f>
        <v/>
      </c>
    </row>
    <row r="31" ht="21.0" customHeight="1">
      <c r="A31" s="7">
        <f>IF(30&lt;=Controls!$B$5,Controls!$B$4+29,"")</f>
        <v>73020</v>
      </c>
      <c r="B31" s="10">
        <f>IF(OR($A31="",1&gt;Controls!$B$6),"",MOD(L30*48271,2147483647))</f>
        <v>111479114</v>
      </c>
      <c r="C31" s="10">
        <f>IF(OR($A31="",2&gt;Controls!$B$6),"",MOD(M30*48271,2147483647))</f>
        <v>242014184</v>
      </c>
      <c r="D31" s="10">
        <f>IF(OR($A31="",3&gt;Controls!$B$6),"",MOD(N30*48271,2147483647))</f>
        <v>372549254</v>
      </c>
      <c r="E31" s="10" t="str">
        <f>IF(OR($A31="",4&gt;Controls!$B$6),"",MOD(O30*48271,2147483647))</f>
        <v/>
      </c>
      <c r="F31" s="10" t="str">
        <f>IF(OR($A31="",5&gt;Controls!$B$6),"",MOD(P30*48271,2147483647))</f>
        <v/>
      </c>
      <c r="G31" s="10" t="str">
        <f>IF(OR($A31="",6&gt;Controls!$B$6),"",MOD(Q30*48271,2147483647))</f>
        <v/>
      </c>
      <c r="H31" s="10" t="str">
        <f>IF(OR($A31="",7&gt;Controls!$B$6),"",MOD(R30*48271,2147483647))</f>
        <v/>
      </c>
      <c r="I31" s="10" t="str">
        <f>IF(OR($A31="",8&gt;Controls!$B$6),"",MOD(S30*48271,2147483647))</f>
        <v/>
      </c>
      <c r="J31" s="10" t="str">
        <f>IF(OR($A31="",9&gt;Controls!$B$6),"",MOD(T30*48271,2147483647))</f>
        <v/>
      </c>
      <c r="K31" s="10" t="str">
        <f>IF(OR($A31="",10&gt;Controls!$B$6),"",MOD(U30*48271,2147483647))</f>
        <v/>
      </c>
      <c r="L31" s="10">
        <f t="shared" ref="L31:U31" si="30">IF(B31="","",MOD(B31*48271,2147483647))</f>
        <v>1761776159</v>
      </c>
      <c r="M31" s="10">
        <f t="shared" si="30"/>
        <v>2103119831</v>
      </c>
      <c r="N31" s="10">
        <f t="shared" si="30"/>
        <v>296979856</v>
      </c>
      <c r="O31" s="10" t="str">
        <f t="shared" si="30"/>
        <v/>
      </c>
      <c r="P31" s="10" t="str">
        <f t="shared" si="30"/>
        <v/>
      </c>
      <c r="Q31" s="10" t="str">
        <f t="shared" si="30"/>
        <v/>
      </c>
      <c r="R31" s="10" t="str">
        <f t="shared" si="30"/>
        <v/>
      </c>
      <c r="S31" s="10" t="str">
        <f t="shared" si="30"/>
        <v/>
      </c>
      <c r="T31" s="10" t="str">
        <f t="shared" si="30"/>
        <v/>
      </c>
      <c r="U31" s="10" t="str">
        <f t="shared" si="30"/>
        <v/>
      </c>
      <c r="V31" s="10">
        <f>IF(B31="","",IF(Controls!$B$7="Normal",Controls!$B$8+Controls!$B$9*SQRT(-2*LN(B31/2147483647))*COS(2*PI()*L31/2147483647),Controls!$B$8+(Controls!$B$9-Controls!$B$8)*B31/2147483647))</f>
        <v>60.41056466</v>
      </c>
      <c r="W31" s="10">
        <f>IF(C31="","",IF(Controls!$B$7="Normal",Controls!$B$8+Controls!$B$9*SQRT(-2*LN(C31/2147483647))*COS(2*PI()*M31/2147483647),Controls!$B$8+(Controls!$B$9-Controls!$B$8)*C31/2147483647))</f>
        <v>70.71946372</v>
      </c>
      <c r="X31" s="10">
        <f>IF(D31="","",IF(Controls!$B$7="Normal",Controls!$B$8+Controls!$B$9*SQRT(-2*LN(D31/2147483647))*COS(2*PI()*N31/2147483647),Controls!$B$8+(Controls!$B$9-Controls!$B$8)*D31/2147483647))</f>
        <v>62.08492243</v>
      </c>
      <c r="Y31" s="10" t="str">
        <f>IF(E31="","",IF(Controls!$B$7="Normal",Controls!$B$8+Controls!$B$9*SQRT(-2*LN(E31/2147483647))*COS(2*PI()*O31/2147483647),Controls!$B$8+(Controls!$B$9-Controls!$B$8)*E31/2147483647))</f>
        <v/>
      </c>
      <c r="Z31" s="10" t="str">
        <f>IF(F31="","",IF(Controls!$B$7="Normal",Controls!$B$8+Controls!$B$9*SQRT(-2*LN(F31/2147483647))*COS(2*PI()*P31/2147483647),Controls!$B$8+(Controls!$B$9-Controls!$B$8)*F31/2147483647))</f>
        <v/>
      </c>
      <c r="AA31" s="10" t="str">
        <f>IF(G31="","",IF(Controls!$B$7="Normal",Controls!$B$8+Controls!$B$9*SQRT(-2*LN(G31/2147483647))*COS(2*PI()*Q31/2147483647),Controls!$B$8+(Controls!$B$9-Controls!$B$8)*G31/2147483647))</f>
        <v/>
      </c>
      <c r="AB31" s="10" t="str">
        <f>IF(H31="","",IF(Controls!$B$7="Normal",Controls!$B$8+Controls!$B$9*SQRT(-2*LN(H31/2147483647))*COS(2*PI()*R31/2147483647),Controls!$B$8+(Controls!$B$9-Controls!$B$8)*H31/2147483647))</f>
        <v/>
      </c>
      <c r="AC31" s="10" t="str">
        <f>IF(I31="","",IF(Controls!$B$7="Normal",Controls!$B$8+Controls!$B$9*SQRT(-2*LN(I31/2147483647))*COS(2*PI()*S31/2147483647),Controls!$B$8+(Controls!$B$9-Controls!$B$8)*I31/2147483647))</f>
        <v/>
      </c>
      <c r="AD31" s="10" t="str">
        <f>IF(J31="","",IF(Controls!$B$7="Normal",Controls!$B$8+Controls!$B$9*SQRT(-2*LN(J31/2147483647))*COS(2*PI()*T31/2147483647),Controls!$B$8+(Controls!$B$9-Controls!$B$8)*J31/2147483647))</f>
        <v/>
      </c>
      <c r="AE31" s="10" t="str">
        <f>IF(K31="","",IF(Controls!$B$7="Normal",Controls!$B$8+Controls!$B$9*SQRT(-2*LN(K31/2147483647))*COS(2*PI()*U31/2147483647),Controls!$B$8+(Controls!$B$9-Controls!$B$8)*K31/2147483647))</f>
        <v/>
      </c>
    </row>
    <row r="32" ht="21.0" customHeight="1">
      <c r="A32" s="7">
        <f>IF(31&lt;=Controls!$B$5,Controls!$B$4+30,"")</f>
        <v>73021</v>
      </c>
      <c r="B32" s="10">
        <f>IF(OR($A32="",1&gt;Controls!$B$6),"",MOD(L31*48271,2147483647))</f>
        <v>197066242</v>
      </c>
      <c r="C32" s="10">
        <f>IF(OR($A32="",2&gt;Controls!$B$6),"",MOD(M31*48271,2147483647))</f>
        <v>1702917570</v>
      </c>
      <c r="D32" s="10">
        <f>IF(OR($A32="",3&gt;Controls!$B$6),"",MOD(N31*48271,2147483647))</f>
        <v>1061285251</v>
      </c>
      <c r="E32" s="10" t="str">
        <f>IF(OR($A32="",4&gt;Controls!$B$6),"",MOD(O31*48271,2147483647))</f>
        <v/>
      </c>
      <c r="F32" s="10" t="str">
        <f>IF(OR($A32="",5&gt;Controls!$B$6),"",MOD(P31*48271,2147483647))</f>
        <v/>
      </c>
      <c r="G32" s="10" t="str">
        <f>IF(OR($A32="",6&gt;Controls!$B$6),"",MOD(Q31*48271,2147483647))</f>
        <v/>
      </c>
      <c r="H32" s="10" t="str">
        <f>IF(OR($A32="",7&gt;Controls!$B$6),"",MOD(R31*48271,2147483647))</f>
        <v/>
      </c>
      <c r="I32" s="10" t="str">
        <f>IF(OR($A32="",8&gt;Controls!$B$6),"",MOD(S31*48271,2147483647))</f>
        <v/>
      </c>
      <c r="J32" s="10" t="str">
        <f>IF(OR($A32="",9&gt;Controls!$B$6),"",MOD(T31*48271,2147483647))</f>
        <v/>
      </c>
      <c r="K32" s="10" t="str">
        <f>IF(OR($A32="",10&gt;Controls!$B$6),"",MOD(U31*48271,2147483647))</f>
        <v/>
      </c>
      <c r="L32" s="10">
        <f t="shared" ref="L32:U32" si="31">IF(B32="","",MOD(B32*48271,2147483647))</f>
        <v>1379495019</v>
      </c>
      <c r="M32" s="10">
        <f t="shared" si="31"/>
        <v>154981604</v>
      </c>
      <c r="N32" s="10">
        <f t="shared" si="31"/>
        <v>1077951836</v>
      </c>
      <c r="O32" s="10" t="str">
        <f t="shared" si="31"/>
        <v/>
      </c>
      <c r="P32" s="10" t="str">
        <f t="shared" si="31"/>
        <v/>
      </c>
      <c r="Q32" s="10" t="str">
        <f t="shared" si="31"/>
        <v/>
      </c>
      <c r="R32" s="10" t="str">
        <f t="shared" si="31"/>
        <v/>
      </c>
      <c r="S32" s="10" t="str">
        <f t="shared" si="31"/>
        <v/>
      </c>
      <c r="T32" s="10" t="str">
        <f t="shared" si="31"/>
        <v/>
      </c>
      <c r="U32" s="10" t="str">
        <f t="shared" si="31"/>
        <v/>
      </c>
      <c r="V32" s="10">
        <f>IF(B32="","",IF(Controls!$B$7="Normal",Controls!$B$8+Controls!$B$9*SQRT(-2*LN(B32/2147483647))*COS(2*PI()*L32/2147483647),Controls!$B$8+(Controls!$B$9-Controls!$B$8)*B32/2147483647))</f>
        <v>36.3213108</v>
      </c>
      <c r="W32" s="10">
        <f>IF(C32="","",IF(Controls!$B$7="Normal",Controls!$B$8+Controls!$B$9*SQRT(-2*LN(C32/2147483647))*COS(2*PI()*M32/2147483647),Controls!$B$8+(Controls!$B$9-Controls!$B$8)*C32/2147483647))</f>
        <v>56.12275367</v>
      </c>
      <c r="X32" s="10">
        <f>IF(D32="","",IF(Controls!$B$7="Normal",Controls!$B$8+Controls!$B$9*SQRT(-2*LN(D32/2147483647))*COS(2*PI()*N32/2147483647),Controls!$B$8+(Controls!$B$9-Controls!$B$8)*D32/2147483647))</f>
        <v>38.12810756</v>
      </c>
      <c r="Y32" s="10" t="str">
        <f>IF(E32="","",IF(Controls!$B$7="Normal",Controls!$B$8+Controls!$B$9*SQRT(-2*LN(E32/2147483647))*COS(2*PI()*O32/2147483647),Controls!$B$8+(Controls!$B$9-Controls!$B$8)*E32/2147483647))</f>
        <v/>
      </c>
      <c r="Z32" s="10" t="str">
        <f>IF(F32="","",IF(Controls!$B$7="Normal",Controls!$B$8+Controls!$B$9*SQRT(-2*LN(F32/2147483647))*COS(2*PI()*P32/2147483647),Controls!$B$8+(Controls!$B$9-Controls!$B$8)*F32/2147483647))</f>
        <v/>
      </c>
      <c r="AA32" s="10" t="str">
        <f>IF(G32="","",IF(Controls!$B$7="Normal",Controls!$B$8+Controls!$B$9*SQRT(-2*LN(G32/2147483647))*COS(2*PI()*Q32/2147483647),Controls!$B$8+(Controls!$B$9-Controls!$B$8)*G32/2147483647))</f>
        <v/>
      </c>
      <c r="AB32" s="10" t="str">
        <f>IF(H32="","",IF(Controls!$B$7="Normal",Controls!$B$8+Controls!$B$9*SQRT(-2*LN(H32/2147483647))*COS(2*PI()*R32/2147483647),Controls!$B$8+(Controls!$B$9-Controls!$B$8)*H32/2147483647))</f>
        <v/>
      </c>
      <c r="AC32" s="10" t="str">
        <f>IF(I32="","",IF(Controls!$B$7="Normal",Controls!$B$8+Controls!$B$9*SQRT(-2*LN(I32/2147483647))*COS(2*PI()*S32/2147483647),Controls!$B$8+(Controls!$B$9-Controls!$B$8)*I32/2147483647))</f>
        <v/>
      </c>
      <c r="AD32" s="10" t="str">
        <f>IF(J32="","",IF(Controls!$B$7="Normal",Controls!$B$8+Controls!$B$9*SQRT(-2*LN(J32/2147483647))*COS(2*PI()*T32/2147483647),Controls!$B$8+(Controls!$B$9-Controls!$B$8)*J32/2147483647))</f>
        <v/>
      </c>
      <c r="AE32" s="10" t="str">
        <f>IF(K32="","",IF(Controls!$B$7="Normal",Controls!$B$8+Controls!$B$9*SQRT(-2*LN(K32/2147483647))*COS(2*PI()*U32/2147483647),Controls!$B$8+(Controls!$B$9-Controls!$B$8)*K32/2147483647))</f>
        <v/>
      </c>
    </row>
    <row r="33" ht="21.0" customHeight="1">
      <c r="A33" s="7">
        <f>IF(32&lt;=Controls!$B$5,Controls!$B$4+31,"")</f>
        <v>73022</v>
      </c>
      <c r="B33" s="10">
        <f>IF(OR($A33="",1&gt;Controls!$B$6),"",MOD(L32*48271,2147483647))</f>
        <v>431135973</v>
      </c>
      <c r="C33" s="10">
        <f>IF(OR($A33="",2&gt;Controls!$B$6),"",MOD(M32*48271,2147483647))</f>
        <v>1431464183</v>
      </c>
      <c r="D33" s="10">
        <f>IF(OR($A33="",3&gt;Controls!$B$6),"",MOD(N32*48271,2147483647))</f>
        <v>284308746</v>
      </c>
      <c r="E33" s="10" t="str">
        <f>IF(OR($A33="",4&gt;Controls!$B$6),"",MOD(O32*48271,2147483647))</f>
        <v/>
      </c>
      <c r="F33" s="10" t="str">
        <f>IF(OR($A33="",5&gt;Controls!$B$6),"",MOD(P32*48271,2147483647))</f>
        <v/>
      </c>
      <c r="G33" s="10" t="str">
        <f>IF(OR($A33="",6&gt;Controls!$B$6),"",MOD(Q32*48271,2147483647))</f>
        <v/>
      </c>
      <c r="H33" s="10" t="str">
        <f>IF(OR($A33="",7&gt;Controls!$B$6),"",MOD(R32*48271,2147483647))</f>
        <v/>
      </c>
      <c r="I33" s="10" t="str">
        <f>IF(OR($A33="",8&gt;Controls!$B$6),"",MOD(S32*48271,2147483647))</f>
        <v/>
      </c>
      <c r="J33" s="10" t="str">
        <f>IF(OR($A33="",9&gt;Controls!$B$6),"",MOD(T32*48271,2147483647))</f>
        <v/>
      </c>
      <c r="K33" s="10" t="str">
        <f>IF(OR($A33="",10&gt;Controls!$B$6),"",MOD(U32*48271,2147483647))</f>
        <v/>
      </c>
      <c r="L33" s="10">
        <f t="shared" ref="L33:U33" si="32">IF(B33="","",MOD(B33*48271,2147483647))</f>
        <v>100529606</v>
      </c>
      <c r="M33" s="10">
        <f t="shared" si="32"/>
        <v>773751721</v>
      </c>
      <c r="N33" s="10">
        <f t="shared" si="32"/>
        <v>1446973836</v>
      </c>
      <c r="O33" s="10" t="str">
        <f t="shared" si="32"/>
        <v/>
      </c>
      <c r="P33" s="10" t="str">
        <f t="shared" si="32"/>
        <v/>
      </c>
      <c r="Q33" s="10" t="str">
        <f t="shared" si="32"/>
        <v/>
      </c>
      <c r="R33" s="10" t="str">
        <f t="shared" si="32"/>
        <v/>
      </c>
      <c r="S33" s="10" t="str">
        <f t="shared" si="32"/>
        <v/>
      </c>
      <c r="T33" s="10" t="str">
        <f t="shared" si="32"/>
        <v/>
      </c>
      <c r="U33" s="10" t="str">
        <f t="shared" si="32"/>
        <v/>
      </c>
      <c r="V33" s="10">
        <f>IF(B33="","",IF(Controls!$B$7="Normal",Controls!$B$8+Controls!$B$9*SQRT(-2*LN(B33/2147483647))*COS(2*PI()*L33/2147483647),Controls!$B$8+(Controls!$B$9-Controls!$B$8)*B33/2147483647))</f>
        <v>67.15038565</v>
      </c>
      <c r="W33" s="10">
        <f>IF(C33="","",IF(Controls!$B$7="Normal",Controls!$B$8+Controls!$B$9*SQRT(-2*LN(C33/2147483647))*COS(2*PI()*M33/2147483647),Controls!$B$8+(Controls!$B$9-Controls!$B$8)*C33/2147483647))</f>
        <v>44.2456019</v>
      </c>
      <c r="X33" s="10">
        <f>IF(D33="","",IF(Controls!$B$7="Normal",Controls!$B$8+Controls!$B$9*SQRT(-2*LN(D33/2147483647))*COS(2*PI()*N33/2147483647),Controls!$B$8+(Controls!$B$9-Controls!$B$8)*D33/2147483647))</f>
        <v>40.73553716</v>
      </c>
      <c r="Y33" s="10" t="str">
        <f>IF(E33="","",IF(Controls!$B$7="Normal",Controls!$B$8+Controls!$B$9*SQRT(-2*LN(E33/2147483647))*COS(2*PI()*O33/2147483647),Controls!$B$8+(Controls!$B$9-Controls!$B$8)*E33/2147483647))</f>
        <v/>
      </c>
      <c r="Z33" s="10" t="str">
        <f>IF(F33="","",IF(Controls!$B$7="Normal",Controls!$B$8+Controls!$B$9*SQRT(-2*LN(F33/2147483647))*COS(2*PI()*P33/2147483647),Controls!$B$8+(Controls!$B$9-Controls!$B$8)*F33/2147483647))</f>
        <v/>
      </c>
      <c r="AA33" s="10" t="str">
        <f>IF(G33="","",IF(Controls!$B$7="Normal",Controls!$B$8+Controls!$B$9*SQRT(-2*LN(G33/2147483647))*COS(2*PI()*Q33/2147483647),Controls!$B$8+(Controls!$B$9-Controls!$B$8)*G33/2147483647))</f>
        <v/>
      </c>
      <c r="AB33" s="10" t="str">
        <f>IF(H33="","",IF(Controls!$B$7="Normal",Controls!$B$8+Controls!$B$9*SQRT(-2*LN(H33/2147483647))*COS(2*PI()*R33/2147483647),Controls!$B$8+(Controls!$B$9-Controls!$B$8)*H33/2147483647))</f>
        <v/>
      </c>
      <c r="AC33" s="10" t="str">
        <f>IF(I33="","",IF(Controls!$B$7="Normal",Controls!$B$8+Controls!$B$9*SQRT(-2*LN(I33/2147483647))*COS(2*PI()*S33/2147483647),Controls!$B$8+(Controls!$B$9-Controls!$B$8)*I33/2147483647))</f>
        <v/>
      </c>
      <c r="AD33" s="10" t="str">
        <f>IF(J33="","",IF(Controls!$B$7="Normal",Controls!$B$8+Controls!$B$9*SQRT(-2*LN(J33/2147483647))*COS(2*PI()*T33/2147483647),Controls!$B$8+(Controls!$B$9-Controls!$B$8)*J33/2147483647))</f>
        <v/>
      </c>
      <c r="AE33" s="10" t="str">
        <f>IF(K33="","",IF(Controls!$B$7="Normal",Controls!$B$8+Controls!$B$9*SQRT(-2*LN(K33/2147483647))*COS(2*PI()*U33/2147483647),Controls!$B$8+(Controls!$B$9-Controls!$B$8)*K33/2147483647))</f>
        <v/>
      </c>
    </row>
    <row r="34" ht="21.0" customHeight="1">
      <c r="A34" s="7">
        <f>IF(33&lt;=Controls!$B$5,Controls!$B$4+32,"")</f>
        <v>73023</v>
      </c>
      <c r="B34" s="10">
        <f>IF(OR($A34="",1&gt;Controls!$B$6),"",MOD(L33*48271,2147483647))</f>
        <v>1499052653</v>
      </c>
      <c r="C34" s="10">
        <f>IF(OR($A34="",2&gt;Controls!$B$6),"",MOD(M33*48271,2147483647))</f>
        <v>733735767</v>
      </c>
      <c r="D34" s="10">
        <f>IF(OR($A34="",3&gt;Controls!$B$6),"",MOD(N33*48271,2147483647))</f>
        <v>2115902528</v>
      </c>
      <c r="E34" s="10" t="str">
        <f>IF(OR($A34="",4&gt;Controls!$B$6),"",MOD(O33*48271,2147483647))</f>
        <v/>
      </c>
      <c r="F34" s="10" t="str">
        <f>IF(OR($A34="",5&gt;Controls!$B$6),"",MOD(P33*48271,2147483647))</f>
        <v/>
      </c>
      <c r="G34" s="10" t="str">
        <f>IF(OR($A34="",6&gt;Controls!$B$6),"",MOD(Q33*48271,2147483647))</f>
        <v/>
      </c>
      <c r="H34" s="10" t="str">
        <f>IF(OR($A34="",7&gt;Controls!$B$6),"",MOD(R33*48271,2147483647))</f>
        <v/>
      </c>
      <c r="I34" s="10" t="str">
        <f>IF(OR($A34="",8&gt;Controls!$B$6),"",MOD(S33*48271,2147483647))</f>
        <v/>
      </c>
      <c r="J34" s="10" t="str">
        <f>IF(OR($A34="",9&gt;Controls!$B$6),"",MOD(T33*48271,2147483647))</f>
        <v/>
      </c>
      <c r="K34" s="10" t="str">
        <f>IF(OR($A34="",10&gt;Controls!$B$6),"",MOD(U33*48271,2147483647))</f>
        <v/>
      </c>
      <c r="L34" s="10">
        <f t="shared" ref="L34:U34" si="33">IF(B34="","",MOD(B34*48271,2147483647))</f>
        <v>1309127298</v>
      </c>
      <c r="M34" s="10">
        <f t="shared" si="33"/>
        <v>1858902533</v>
      </c>
      <c r="N34" s="10">
        <f t="shared" si="33"/>
        <v>261194121</v>
      </c>
      <c r="O34" s="10" t="str">
        <f t="shared" si="33"/>
        <v/>
      </c>
      <c r="P34" s="10" t="str">
        <f t="shared" si="33"/>
        <v/>
      </c>
      <c r="Q34" s="10" t="str">
        <f t="shared" si="33"/>
        <v/>
      </c>
      <c r="R34" s="10" t="str">
        <f t="shared" si="33"/>
        <v/>
      </c>
      <c r="S34" s="10" t="str">
        <f t="shared" si="33"/>
        <v/>
      </c>
      <c r="T34" s="10" t="str">
        <f t="shared" si="33"/>
        <v/>
      </c>
      <c r="U34" s="10" t="str">
        <f t="shared" si="33"/>
        <v/>
      </c>
      <c r="V34" s="10">
        <f>IF(B34="","",IF(Controls!$B$7="Normal",Controls!$B$8+Controls!$B$9*SQRT(-2*LN(B34/2147483647))*COS(2*PI()*L34/2147483647),Controls!$B$8+(Controls!$B$9-Controls!$B$8)*B34/2147483647))</f>
        <v>43.45362511</v>
      </c>
      <c r="W34" s="10">
        <f>IF(C34="","",IF(Controls!$B$7="Normal",Controls!$B$8+Controls!$B$9*SQRT(-2*LN(C34/2147483647))*COS(2*PI()*M34/2147483647),Controls!$B$8+(Controls!$B$9-Controls!$B$8)*C34/2147483647))</f>
        <v>59.73446544</v>
      </c>
      <c r="X34" s="10">
        <f>IF(D34="","",IF(Controls!$B$7="Normal",Controls!$B$8+Controls!$B$9*SQRT(-2*LN(D34/2147483647))*COS(2*PI()*N34/2147483647),Controls!$B$8+(Controls!$B$9-Controls!$B$8)*D34/2147483647))</f>
        <v>51.2426949</v>
      </c>
      <c r="Y34" s="10" t="str">
        <f>IF(E34="","",IF(Controls!$B$7="Normal",Controls!$B$8+Controls!$B$9*SQRT(-2*LN(E34/2147483647))*COS(2*PI()*O34/2147483647),Controls!$B$8+(Controls!$B$9-Controls!$B$8)*E34/2147483647))</f>
        <v/>
      </c>
      <c r="Z34" s="10" t="str">
        <f>IF(F34="","",IF(Controls!$B$7="Normal",Controls!$B$8+Controls!$B$9*SQRT(-2*LN(F34/2147483647))*COS(2*PI()*P34/2147483647),Controls!$B$8+(Controls!$B$9-Controls!$B$8)*F34/2147483647))</f>
        <v/>
      </c>
      <c r="AA34" s="10" t="str">
        <f>IF(G34="","",IF(Controls!$B$7="Normal",Controls!$B$8+Controls!$B$9*SQRT(-2*LN(G34/2147483647))*COS(2*PI()*Q34/2147483647),Controls!$B$8+(Controls!$B$9-Controls!$B$8)*G34/2147483647))</f>
        <v/>
      </c>
      <c r="AB34" s="10" t="str">
        <f>IF(H34="","",IF(Controls!$B$7="Normal",Controls!$B$8+Controls!$B$9*SQRT(-2*LN(H34/2147483647))*COS(2*PI()*R34/2147483647),Controls!$B$8+(Controls!$B$9-Controls!$B$8)*H34/2147483647))</f>
        <v/>
      </c>
      <c r="AC34" s="10" t="str">
        <f>IF(I34="","",IF(Controls!$B$7="Normal",Controls!$B$8+Controls!$B$9*SQRT(-2*LN(I34/2147483647))*COS(2*PI()*S34/2147483647),Controls!$B$8+(Controls!$B$9-Controls!$B$8)*I34/2147483647))</f>
        <v/>
      </c>
      <c r="AD34" s="10" t="str">
        <f>IF(J34="","",IF(Controls!$B$7="Normal",Controls!$B$8+Controls!$B$9*SQRT(-2*LN(J34/2147483647))*COS(2*PI()*T34/2147483647),Controls!$B$8+(Controls!$B$9-Controls!$B$8)*J34/2147483647))</f>
        <v/>
      </c>
      <c r="AE34" s="10" t="str">
        <f>IF(K34="","",IF(Controls!$B$7="Normal",Controls!$B$8+Controls!$B$9*SQRT(-2*LN(K34/2147483647))*COS(2*PI()*U34/2147483647),Controls!$B$8+(Controls!$B$9-Controls!$B$8)*K34/2147483647))</f>
        <v/>
      </c>
    </row>
    <row r="35" ht="21.0" customHeight="1">
      <c r="A35" s="7">
        <f>IF(34&lt;=Controls!$B$5,Controls!$B$4+33,"")</f>
        <v>73024</v>
      </c>
      <c r="B35" s="10">
        <f>IF(OR($A35="",1&gt;Controls!$B$6),"",MOD(L34*48271,2147483647))</f>
        <v>1030005136</v>
      </c>
      <c r="C35" s="10">
        <f>IF(OR($A35="",2&gt;Controls!$B$6),"",MOD(M34*48271,2147483647))</f>
        <v>627464195</v>
      </c>
      <c r="D35" s="10">
        <f>IF(OR($A35="",3&gt;Controls!$B$6),"",MOD(N34*48271,2147483647))</f>
        <v>224923254</v>
      </c>
      <c r="E35" s="10" t="str">
        <f>IF(OR($A35="",4&gt;Controls!$B$6),"",MOD(O34*48271,2147483647))</f>
        <v/>
      </c>
      <c r="F35" s="10" t="str">
        <f>IF(OR($A35="",5&gt;Controls!$B$6),"",MOD(P34*48271,2147483647))</f>
        <v/>
      </c>
      <c r="G35" s="10" t="str">
        <f>IF(OR($A35="",6&gt;Controls!$B$6),"",MOD(Q34*48271,2147483647))</f>
        <v/>
      </c>
      <c r="H35" s="10" t="str">
        <f>IF(OR($A35="",7&gt;Controls!$B$6),"",MOD(R34*48271,2147483647))</f>
        <v/>
      </c>
      <c r="I35" s="10" t="str">
        <f>IF(OR($A35="",8&gt;Controls!$B$6),"",MOD(S34*48271,2147483647))</f>
        <v/>
      </c>
      <c r="J35" s="10" t="str">
        <f>IF(OR($A35="",9&gt;Controls!$B$6),"",MOD(T34*48271,2147483647))</f>
        <v/>
      </c>
      <c r="K35" s="10" t="str">
        <f>IF(OR($A35="",10&gt;Controls!$B$6),"",MOD(U34*48271,2147483647))</f>
        <v/>
      </c>
      <c r="L35" s="10">
        <f t="shared" ref="L35:U35" si="34">IF(B35="","",MOD(B35*48271,2147483647))</f>
        <v>836524512</v>
      </c>
      <c r="M35" s="10">
        <f t="shared" si="34"/>
        <v>214799557</v>
      </c>
      <c r="N35" s="10">
        <f t="shared" si="34"/>
        <v>1740558249</v>
      </c>
      <c r="O35" s="10" t="str">
        <f t="shared" si="34"/>
        <v/>
      </c>
      <c r="P35" s="10" t="str">
        <f t="shared" si="34"/>
        <v/>
      </c>
      <c r="Q35" s="10" t="str">
        <f t="shared" si="34"/>
        <v/>
      </c>
      <c r="R35" s="10" t="str">
        <f t="shared" si="34"/>
        <v/>
      </c>
      <c r="S35" s="10" t="str">
        <f t="shared" si="34"/>
        <v/>
      </c>
      <c r="T35" s="10" t="str">
        <f t="shared" si="34"/>
        <v/>
      </c>
      <c r="U35" s="10" t="str">
        <f t="shared" si="34"/>
        <v/>
      </c>
      <c r="V35" s="10">
        <f>IF(B35="","",IF(Controls!$B$7="Normal",Controls!$B$8+Controls!$B$9*SQRT(-2*LN(B35/2147483647))*COS(2*PI()*L35/2147483647),Controls!$B$8+(Controls!$B$9-Controls!$B$8)*B35/2147483647))</f>
        <v>40.68223467</v>
      </c>
      <c r="W35" s="10">
        <f>IF(C35="","",IF(Controls!$B$7="Normal",Controls!$B$8+Controls!$B$9*SQRT(-2*LN(C35/2147483647))*COS(2*PI()*M35/2147483647),Controls!$B$8+(Controls!$B$9-Controls!$B$8)*C35/2147483647))</f>
        <v>62.68943935</v>
      </c>
      <c r="X35" s="10">
        <f>IF(D35="","",IF(Controls!$B$7="Normal",Controls!$B$8+Controls!$B$9*SQRT(-2*LN(D35/2147483647))*COS(2*PI()*N35/2147483647),Controls!$B$8+(Controls!$B$9-Controls!$B$8)*D35/2147483647))</f>
        <v>57.88333805</v>
      </c>
      <c r="Y35" s="10" t="str">
        <f>IF(E35="","",IF(Controls!$B$7="Normal",Controls!$B$8+Controls!$B$9*SQRT(-2*LN(E35/2147483647))*COS(2*PI()*O35/2147483647),Controls!$B$8+(Controls!$B$9-Controls!$B$8)*E35/2147483647))</f>
        <v/>
      </c>
      <c r="Z35" s="10" t="str">
        <f>IF(F35="","",IF(Controls!$B$7="Normal",Controls!$B$8+Controls!$B$9*SQRT(-2*LN(F35/2147483647))*COS(2*PI()*P35/2147483647),Controls!$B$8+(Controls!$B$9-Controls!$B$8)*F35/2147483647))</f>
        <v/>
      </c>
      <c r="AA35" s="10" t="str">
        <f>IF(G35="","",IF(Controls!$B$7="Normal",Controls!$B$8+Controls!$B$9*SQRT(-2*LN(G35/2147483647))*COS(2*PI()*Q35/2147483647),Controls!$B$8+(Controls!$B$9-Controls!$B$8)*G35/2147483647))</f>
        <v/>
      </c>
      <c r="AB35" s="10" t="str">
        <f>IF(H35="","",IF(Controls!$B$7="Normal",Controls!$B$8+Controls!$B$9*SQRT(-2*LN(H35/2147483647))*COS(2*PI()*R35/2147483647),Controls!$B$8+(Controls!$B$9-Controls!$B$8)*H35/2147483647))</f>
        <v/>
      </c>
      <c r="AC35" s="10" t="str">
        <f>IF(I35="","",IF(Controls!$B$7="Normal",Controls!$B$8+Controls!$B$9*SQRT(-2*LN(I35/2147483647))*COS(2*PI()*S35/2147483647),Controls!$B$8+(Controls!$B$9-Controls!$B$8)*I35/2147483647))</f>
        <v/>
      </c>
      <c r="AD35" s="10" t="str">
        <f>IF(J35="","",IF(Controls!$B$7="Normal",Controls!$B$8+Controls!$B$9*SQRT(-2*LN(J35/2147483647))*COS(2*PI()*T35/2147483647),Controls!$B$8+(Controls!$B$9-Controls!$B$8)*J35/2147483647))</f>
        <v/>
      </c>
      <c r="AE35" s="10" t="str">
        <f>IF(K35="","",IF(Controls!$B$7="Normal",Controls!$B$8+Controls!$B$9*SQRT(-2*LN(K35/2147483647))*COS(2*PI()*U35/2147483647),Controls!$B$8+(Controls!$B$9-Controls!$B$8)*K35/2147483647))</f>
        <v/>
      </c>
    </row>
    <row r="36" ht="21.0" customHeight="1">
      <c r="A36" s="7">
        <f>IF(35&lt;=Controls!$B$5,Controls!$B$4+34,"")</f>
        <v>73025</v>
      </c>
      <c r="B36" s="10">
        <f>IF(OR($A36="",1&gt;Controls!$B$6),"",MOD(L35*48271,2147483647))</f>
        <v>739704211</v>
      </c>
      <c r="C36" s="10">
        <f>IF(OR($A36="",2&gt;Controls!$B$6),"",MOD(M35*48271,2147483647))</f>
        <v>538368231</v>
      </c>
      <c r="D36" s="10">
        <f>IF(OR($A36="",3&gt;Controls!$B$6),"",MOD(N35*48271,2147483647))</f>
        <v>337032251</v>
      </c>
      <c r="E36" s="10" t="str">
        <f>IF(OR($A36="",4&gt;Controls!$B$6),"",MOD(O35*48271,2147483647))</f>
        <v/>
      </c>
      <c r="F36" s="10" t="str">
        <f>IF(OR($A36="",5&gt;Controls!$B$6),"",MOD(P35*48271,2147483647))</f>
        <v/>
      </c>
      <c r="G36" s="10" t="str">
        <f>IF(OR($A36="",6&gt;Controls!$B$6),"",MOD(Q35*48271,2147483647))</f>
        <v/>
      </c>
      <c r="H36" s="10" t="str">
        <f>IF(OR($A36="",7&gt;Controls!$B$6),"",MOD(R35*48271,2147483647))</f>
        <v/>
      </c>
      <c r="I36" s="10" t="str">
        <f>IF(OR($A36="",8&gt;Controls!$B$6),"",MOD(S35*48271,2147483647))</f>
        <v/>
      </c>
      <c r="J36" s="10" t="str">
        <f>IF(OR($A36="",9&gt;Controls!$B$6),"",MOD(T35*48271,2147483647))</f>
        <v/>
      </c>
      <c r="K36" s="10" t="str">
        <f>IF(OR($A36="",10&gt;Controls!$B$6),"",MOD(U35*48271,2147483647))</f>
        <v/>
      </c>
      <c r="L36" s="10">
        <f t="shared" ref="L36:U36" si="35">IF(B36="","",MOD(B36*48271,2147483647))</f>
        <v>51370512</v>
      </c>
      <c r="M36" s="10">
        <f t="shared" si="35"/>
        <v>873266254</v>
      </c>
      <c r="N36" s="10">
        <f t="shared" si="35"/>
        <v>1695161996</v>
      </c>
      <c r="O36" s="10" t="str">
        <f t="shared" si="35"/>
        <v/>
      </c>
      <c r="P36" s="10" t="str">
        <f t="shared" si="35"/>
        <v/>
      </c>
      <c r="Q36" s="10" t="str">
        <f t="shared" si="35"/>
        <v/>
      </c>
      <c r="R36" s="10" t="str">
        <f t="shared" si="35"/>
        <v/>
      </c>
      <c r="S36" s="10" t="str">
        <f t="shared" si="35"/>
        <v/>
      </c>
      <c r="T36" s="10" t="str">
        <f t="shared" si="35"/>
        <v/>
      </c>
      <c r="U36" s="10" t="str">
        <f t="shared" si="35"/>
        <v/>
      </c>
      <c r="V36" s="10">
        <f>IF(B36="","",IF(Controls!$B$7="Normal",Controls!$B$8+Controls!$B$9*SQRT(-2*LN(B36/2147483647))*COS(2*PI()*L36/2147483647),Controls!$B$8+(Controls!$B$9-Controls!$B$8)*B36/2147483647))</f>
        <v>64.43540999</v>
      </c>
      <c r="W36" s="10">
        <f>IF(C36="","",IF(Controls!$B$7="Normal",Controls!$B$8+Controls!$B$9*SQRT(-2*LN(C36/2147483647))*COS(2*PI()*M36/2147483647),Controls!$B$8+(Controls!$B$9-Controls!$B$8)*C36/2147483647))</f>
        <v>36.14606898</v>
      </c>
      <c r="X36" s="10">
        <f>IF(D36="","",IF(Controls!$B$7="Normal",Controls!$B$8+Controls!$B$9*SQRT(-2*LN(D36/2147483647))*COS(2*PI()*N36/2147483647),Controls!$B$8+(Controls!$B$9-Controls!$B$8)*D36/2147483647))</f>
        <v>54.71239746</v>
      </c>
      <c r="Y36" s="10" t="str">
        <f>IF(E36="","",IF(Controls!$B$7="Normal",Controls!$B$8+Controls!$B$9*SQRT(-2*LN(E36/2147483647))*COS(2*PI()*O36/2147483647),Controls!$B$8+(Controls!$B$9-Controls!$B$8)*E36/2147483647))</f>
        <v/>
      </c>
      <c r="Z36" s="10" t="str">
        <f>IF(F36="","",IF(Controls!$B$7="Normal",Controls!$B$8+Controls!$B$9*SQRT(-2*LN(F36/2147483647))*COS(2*PI()*P36/2147483647),Controls!$B$8+(Controls!$B$9-Controls!$B$8)*F36/2147483647))</f>
        <v/>
      </c>
      <c r="AA36" s="10" t="str">
        <f>IF(G36="","",IF(Controls!$B$7="Normal",Controls!$B$8+Controls!$B$9*SQRT(-2*LN(G36/2147483647))*COS(2*PI()*Q36/2147483647),Controls!$B$8+(Controls!$B$9-Controls!$B$8)*G36/2147483647))</f>
        <v/>
      </c>
      <c r="AB36" s="10" t="str">
        <f>IF(H36="","",IF(Controls!$B$7="Normal",Controls!$B$8+Controls!$B$9*SQRT(-2*LN(H36/2147483647))*COS(2*PI()*R36/2147483647),Controls!$B$8+(Controls!$B$9-Controls!$B$8)*H36/2147483647))</f>
        <v/>
      </c>
      <c r="AC36" s="10" t="str">
        <f>IF(I36="","",IF(Controls!$B$7="Normal",Controls!$B$8+Controls!$B$9*SQRT(-2*LN(I36/2147483647))*COS(2*PI()*S36/2147483647),Controls!$B$8+(Controls!$B$9-Controls!$B$8)*I36/2147483647))</f>
        <v/>
      </c>
      <c r="AD36" s="10" t="str">
        <f>IF(J36="","",IF(Controls!$B$7="Normal",Controls!$B$8+Controls!$B$9*SQRT(-2*LN(J36/2147483647))*COS(2*PI()*T36/2147483647),Controls!$B$8+(Controls!$B$9-Controls!$B$8)*J36/2147483647))</f>
        <v/>
      </c>
      <c r="AE36" s="10" t="str">
        <f>IF(K36="","",IF(Controls!$B$7="Normal",Controls!$B$8+Controls!$B$9*SQRT(-2*LN(K36/2147483647))*COS(2*PI()*U36/2147483647),Controls!$B$8+(Controls!$B$9-Controls!$B$8)*K36/2147483647))</f>
        <v/>
      </c>
    </row>
    <row r="37" ht="21.0" customHeight="1">
      <c r="A37" s="7">
        <f>IF(36&lt;=Controls!$B$5,Controls!$B$4+35,"")</f>
        <v>73026</v>
      </c>
      <c r="B37" s="10">
        <f>IF(OR($A37="",1&gt;Controls!$B$6),"",MOD(L36*48271,2147483647))</f>
        <v>1509856114</v>
      </c>
      <c r="C37" s="10">
        <f>IF(OR($A37="",2&gt;Controls!$B$6),"",MOD(M36*48271,2147483647))</f>
        <v>478839871</v>
      </c>
      <c r="D37" s="10">
        <f>IF(OR($A37="",3&gt;Controls!$B$6),"",MOD(N36*48271,2147483647))</f>
        <v>1595307275</v>
      </c>
      <c r="E37" s="10" t="str">
        <f>IF(OR($A37="",4&gt;Controls!$B$6),"",MOD(O36*48271,2147483647))</f>
        <v/>
      </c>
      <c r="F37" s="10" t="str">
        <f>IF(OR($A37="",5&gt;Controls!$B$6),"",MOD(P36*48271,2147483647))</f>
        <v/>
      </c>
      <c r="G37" s="10" t="str">
        <f>IF(OR($A37="",6&gt;Controls!$B$6),"",MOD(Q36*48271,2147483647))</f>
        <v/>
      </c>
      <c r="H37" s="10" t="str">
        <f>IF(OR($A37="",7&gt;Controls!$B$6),"",MOD(R36*48271,2147483647))</f>
        <v/>
      </c>
      <c r="I37" s="10" t="str">
        <f>IF(OR($A37="",8&gt;Controls!$B$6),"",MOD(S36*48271,2147483647))</f>
        <v/>
      </c>
      <c r="J37" s="10" t="str">
        <f>IF(OR($A37="",9&gt;Controls!$B$6),"",MOD(T36*48271,2147483647))</f>
        <v/>
      </c>
      <c r="K37" s="10" t="str">
        <f>IF(OR($A37="",10&gt;Controls!$B$6),"",MOD(U36*48271,2147483647))</f>
        <v/>
      </c>
      <c r="L37" s="10">
        <f t="shared" ref="L37:U37" si="36">IF(B37="","",MOD(B37*48271,2147483647))</f>
        <v>964467008</v>
      </c>
      <c r="M37" s="10">
        <f t="shared" si="36"/>
        <v>712920380</v>
      </c>
      <c r="N37" s="10">
        <f t="shared" si="36"/>
        <v>461373752</v>
      </c>
      <c r="O37" s="10" t="str">
        <f t="shared" si="36"/>
        <v/>
      </c>
      <c r="P37" s="10" t="str">
        <f t="shared" si="36"/>
        <v/>
      </c>
      <c r="Q37" s="10" t="str">
        <f t="shared" si="36"/>
        <v/>
      </c>
      <c r="R37" s="10" t="str">
        <f t="shared" si="36"/>
        <v/>
      </c>
      <c r="S37" s="10" t="str">
        <f t="shared" si="36"/>
        <v/>
      </c>
      <c r="T37" s="10" t="str">
        <f t="shared" si="36"/>
        <v/>
      </c>
      <c r="U37" s="10" t="str">
        <f t="shared" si="36"/>
        <v/>
      </c>
      <c r="V37" s="10">
        <f>IF(B37="","",IF(Controls!$B$7="Normal",Controls!$B$8+Controls!$B$9*SQRT(-2*LN(B37/2147483647))*COS(2*PI()*L37/2147483647),Controls!$B$8+(Controls!$B$9-Controls!$B$8)*B37/2147483647))</f>
        <v>42.03153525</v>
      </c>
      <c r="W37" s="10">
        <f>IF(C37="","",IF(Controls!$B$7="Normal",Controls!$B$8+Controls!$B$9*SQRT(-2*LN(C37/2147483647))*COS(2*PI()*M37/2147483647),Controls!$B$8+(Controls!$B$9-Controls!$B$8)*C37/2147483647))</f>
        <v>41.46571065</v>
      </c>
      <c r="X37" s="10">
        <f>IF(D37="","",IF(Controls!$B$7="Normal",Controls!$B$8+Controls!$B$9*SQRT(-2*LN(D37/2147483647))*COS(2*PI()*N37/2147483647),Controls!$B$8+(Controls!$B$9-Controls!$B$8)*D37/2147483647))</f>
        <v>51.6892918</v>
      </c>
      <c r="Y37" s="10" t="str">
        <f>IF(E37="","",IF(Controls!$B$7="Normal",Controls!$B$8+Controls!$B$9*SQRT(-2*LN(E37/2147483647))*COS(2*PI()*O37/2147483647),Controls!$B$8+(Controls!$B$9-Controls!$B$8)*E37/2147483647))</f>
        <v/>
      </c>
      <c r="Z37" s="10" t="str">
        <f>IF(F37="","",IF(Controls!$B$7="Normal",Controls!$B$8+Controls!$B$9*SQRT(-2*LN(F37/2147483647))*COS(2*PI()*P37/2147483647),Controls!$B$8+(Controls!$B$9-Controls!$B$8)*F37/2147483647))</f>
        <v/>
      </c>
      <c r="AA37" s="10" t="str">
        <f>IF(G37="","",IF(Controls!$B$7="Normal",Controls!$B$8+Controls!$B$9*SQRT(-2*LN(G37/2147483647))*COS(2*PI()*Q37/2147483647),Controls!$B$8+(Controls!$B$9-Controls!$B$8)*G37/2147483647))</f>
        <v/>
      </c>
      <c r="AB37" s="10" t="str">
        <f>IF(H37="","",IF(Controls!$B$7="Normal",Controls!$B$8+Controls!$B$9*SQRT(-2*LN(H37/2147483647))*COS(2*PI()*R37/2147483647),Controls!$B$8+(Controls!$B$9-Controls!$B$8)*H37/2147483647))</f>
        <v/>
      </c>
      <c r="AC37" s="10" t="str">
        <f>IF(I37="","",IF(Controls!$B$7="Normal",Controls!$B$8+Controls!$B$9*SQRT(-2*LN(I37/2147483647))*COS(2*PI()*S37/2147483647),Controls!$B$8+(Controls!$B$9-Controls!$B$8)*I37/2147483647))</f>
        <v/>
      </c>
      <c r="AD37" s="10" t="str">
        <f>IF(J37="","",IF(Controls!$B$7="Normal",Controls!$B$8+Controls!$B$9*SQRT(-2*LN(J37/2147483647))*COS(2*PI()*T37/2147483647),Controls!$B$8+(Controls!$B$9-Controls!$B$8)*J37/2147483647))</f>
        <v/>
      </c>
      <c r="AE37" s="10" t="str">
        <f>IF(K37="","",IF(Controls!$B$7="Normal",Controls!$B$8+Controls!$B$9*SQRT(-2*LN(K37/2147483647))*COS(2*PI()*U37/2147483647),Controls!$B$8+(Controls!$B$9-Controls!$B$8)*K37/2147483647))</f>
        <v/>
      </c>
    </row>
    <row r="38" ht="21.0" customHeight="1">
      <c r="A38" s="7">
        <f>IF(37&lt;=Controls!$B$5,Controls!$B$4+36,"")</f>
        <v>73027</v>
      </c>
      <c r="B38" s="10">
        <f>IF(OR($A38="",1&gt;Controls!$B$6),"",MOD(L37*48271,2147483647))</f>
        <v>488959855</v>
      </c>
      <c r="C38" s="10">
        <f>IF(OR($A38="",2&gt;Controls!$B$6),"",MOD(M37*48271,2147483647))</f>
        <v>2101703452</v>
      </c>
      <c r="D38" s="10">
        <f>IF(OR($A38="",3&gt;Controls!$B$6),"",MOD(N37*48271,2147483647))</f>
        <v>1566963402</v>
      </c>
      <c r="E38" s="10" t="str">
        <f>IF(OR($A38="",4&gt;Controls!$B$6),"",MOD(O37*48271,2147483647))</f>
        <v/>
      </c>
      <c r="F38" s="10" t="str">
        <f>IF(OR($A38="",5&gt;Controls!$B$6),"",MOD(P37*48271,2147483647))</f>
        <v/>
      </c>
      <c r="G38" s="10" t="str">
        <f>IF(OR($A38="",6&gt;Controls!$B$6),"",MOD(Q37*48271,2147483647))</f>
        <v/>
      </c>
      <c r="H38" s="10" t="str">
        <f>IF(OR($A38="",7&gt;Controls!$B$6),"",MOD(R37*48271,2147483647))</f>
        <v/>
      </c>
      <c r="I38" s="10" t="str">
        <f>IF(OR($A38="",8&gt;Controls!$B$6),"",MOD(S37*48271,2147483647))</f>
        <v/>
      </c>
      <c r="J38" s="10" t="str">
        <f>IF(OR($A38="",9&gt;Controls!$B$6),"",MOD(T37*48271,2147483647))</f>
        <v/>
      </c>
      <c r="K38" s="10" t="str">
        <f>IF(OR($A38="",10&gt;Controls!$B$6),"",MOD(U37*48271,2147483647))</f>
        <v/>
      </c>
      <c r="L38" s="10">
        <f t="shared" ref="L38:U38" si="37">IF(B38="","",MOD(B38*48271,2147483647))</f>
        <v>1735880175</v>
      </c>
      <c r="M38" s="10">
        <f t="shared" si="37"/>
        <v>2052363565</v>
      </c>
      <c r="N38" s="10">
        <f t="shared" si="37"/>
        <v>221363308</v>
      </c>
      <c r="O38" s="10" t="str">
        <f t="shared" si="37"/>
        <v/>
      </c>
      <c r="P38" s="10" t="str">
        <f t="shared" si="37"/>
        <v/>
      </c>
      <c r="Q38" s="10" t="str">
        <f t="shared" si="37"/>
        <v/>
      </c>
      <c r="R38" s="10" t="str">
        <f t="shared" si="37"/>
        <v/>
      </c>
      <c r="S38" s="10" t="str">
        <f t="shared" si="37"/>
        <v/>
      </c>
      <c r="T38" s="10" t="str">
        <f t="shared" si="37"/>
        <v/>
      </c>
      <c r="U38" s="10" t="str">
        <f t="shared" si="37"/>
        <v/>
      </c>
      <c r="V38" s="10">
        <f>IF(B38="","",IF(Controls!$B$7="Normal",Controls!$B$8+Controls!$B$9*SQRT(-2*LN(B38/2147483647))*COS(2*PI()*L38/2147483647),Controls!$B$8+(Controls!$B$9-Controls!$B$8)*B38/2147483647))</f>
        <v>56.16500503</v>
      </c>
      <c r="W38" s="10">
        <f>IF(C38="","",IF(Controls!$B$7="Normal",Controls!$B$8+Controls!$B$9*SQRT(-2*LN(C38/2147483647))*COS(2*PI()*M38/2147483647),Controls!$B$8+(Controls!$B$9-Controls!$B$8)*C38/2147483647))</f>
        <v>51.99610617</v>
      </c>
      <c r="X38" s="10">
        <f>IF(D38="","",IF(Controls!$B$7="Normal",Controls!$B$8+Controls!$B$9*SQRT(-2*LN(D38/2147483647))*COS(2*PI()*N38/2147483647),Controls!$B$8+(Controls!$B$9-Controls!$B$8)*D38/2147483647))</f>
        <v>56.33145981</v>
      </c>
      <c r="Y38" s="10" t="str">
        <f>IF(E38="","",IF(Controls!$B$7="Normal",Controls!$B$8+Controls!$B$9*SQRT(-2*LN(E38/2147483647))*COS(2*PI()*O38/2147483647),Controls!$B$8+(Controls!$B$9-Controls!$B$8)*E38/2147483647))</f>
        <v/>
      </c>
      <c r="Z38" s="10" t="str">
        <f>IF(F38="","",IF(Controls!$B$7="Normal",Controls!$B$8+Controls!$B$9*SQRT(-2*LN(F38/2147483647))*COS(2*PI()*P38/2147483647),Controls!$B$8+(Controls!$B$9-Controls!$B$8)*F38/2147483647))</f>
        <v/>
      </c>
      <c r="AA38" s="10" t="str">
        <f>IF(G38="","",IF(Controls!$B$7="Normal",Controls!$B$8+Controls!$B$9*SQRT(-2*LN(G38/2147483647))*COS(2*PI()*Q38/2147483647),Controls!$B$8+(Controls!$B$9-Controls!$B$8)*G38/2147483647))</f>
        <v/>
      </c>
      <c r="AB38" s="10" t="str">
        <f>IF(H38="","",IF(Controls!$B$7="Normal",Controls!$B$8+Controls!$B$9*SQRT(-2*LN(H38/2147483647))*COS(2*PI()*R38/2147483647),Controls!$B$8+(Controls!$B$9-Controls!$B$8)*H38/2147483647))</f>
        <v/>
      </c>
      <c r="AC38" s="10" t="str">
        <f>IF(I38="","",IF(Controls!$B$7="Normal",Controls!$B$8+Controls!$B$9*SQRT(-2*LN(I38/2147483647))*COS(2*PI()*S38/2147483647),Controls!$B$8+(Controls!$B$9-Controls!$B$8)*I38/2147483647))</f>
        <v/>
      </c>
      <c r="AD38" s="10" t="str">
        <f>IF(J38="","",IF(Controls!$B$7="Normal",Controls!$B$8+Controls!$B$9*SQRT(-2*LN(J38/2147483647))*COS(2*PI()*T38/2147483647),Controls!$B$8+(Controls!$B$9-Controls!$B$8)*J38/2147483647))</f>
        <v/>
      </c>
      <c r="AE38" s="10" t="str">
        <f>IF(K38="","",IF(Controls!$B$7="Normal",Controls!$B$8+Controls!$B$9*SQRT(-2*LN(K38/2147483647))*COS(2*PI()*U38/2147483647),Controls!$B$8+(Controls!$B$9-Controls!$B$8)*K38/2147483647))</f>
        <v/>
      </c>
    </row>
    <row r="39" ht="21.0" customHeight="1">
      <c r="A39" s="7">
        <f>IF(38&lt;=Controls!$B$5,Controls!$B$4+37,"")</f>
        <v>73028</v>
      </c>
      <c r="B39" s="10">
        <f>IF(OR($A39="",1&gt;Controls!$B$6),"",MOD(L38*48271,2147483647))</f>
        <v>7505132</v>
      </c>
      <c r="C39" s="10">
        <f>IF(OR($A39="",2&gt;Controls!$B$6),"",MOD(M38*48271,2147483647))</f>
        <v>1926042711</v>
      </c>
      <c r="D39" s="10">
        <f>IF(OR($A39="",3&gt;Controls!$B$6),"",MOD(N38*48271,2147483647))</f>
        <v>1697096643</v>
      </c>
      <c r="E39" s="10" t="str">
        <f>IF(OR($A39="",4&gt;Controls!$B$6),"",MOD(O38*48271,2147483647))</f>
        <v/>
      </c>
      <c r="F39" s="10" t="str">
        <f>IF(OR($A39="",5&gt;Controls!$B$6),"",MOD(P38*48271,2147483647))</f>
        <v/>
      </c>
      <c r="G39" s="10" t="str">
        <f>IF(OR($A39="",6&gt;Controls!$B$6),"",MOD(Q38*48271,2147483647))</f>
        <v/>
      </c>
      <c r="H39" s="10" t="str">
        <f>IF(OR($A39="",7&gt;Controls!$B$6),"",MOD(R38*48271,2147483647))</f>
        <v/>
      </c>
      <c r="I39" s="10" t="str">
        <f>IF(OR($A39="",8&gt;Controls!$B$6),"",MOD(S38*48271,2147483647))</f>
        <v/>
      </c>
      <c r="J39" s="10" t="str">
        <f>IF(OR($A39="",9&gt;Controls!$B$6),"",MOD(T38*48271,2147483647))</f>
        <v/>
      </c>
      <c r="K39" s="10" t="str">
        <f>IF(OR($A39="",10&gt;Controls!$B$6),"",MOD(U38*48271,2147483647))</f>
        <v/>
      </c>
      <c r="L39" s="10">
        <f t="shared" ref="L39:U39" si="38">IF(B39="","",MOD(B39*48271,2147483647))</f>
        <v>1502974076</v>
      </c>
      <c r="M39" s="10">
        <f t="shared" si="38"/>
        <v>998173110</v>
      </c>
      <c r="N39" s="10">
        <f t="shared" si="38"/>
        <v>493372144</v>
      </c>
      <c r="O39" s="10" t="str">
        <f t="shared" si="38"/>
        <v/>
      </c>
      <c r="P39" s="10" t="str">
        <f t="shared" si="38"/>
        <v/>
      </c>
      <c r="Q39" s="10" t="str">
        <f t="shared" si="38"/>
        <v/>
      </c>
      <c r="R39" s="10" t="str">
        <f t="shared" si="38"/>
        <v/>
      </c>
      <c r="S39" s="10" t="str">
        <f t="shared" si="38"/>
        <v/>
      </c>
      <c r="T39" s="10" t="str">
        <f t="shared" si="38"/>
        <v/>
      </c>
      <c r="U39" s="10" t="str">
        <f t="shared" si="38"/>
        <v/>
      </c>
      <c r="V39" s="10">
        <f>IF(B39="","",IF(Controls!$B$7="Normal",Controls!$B$8+Controls!$B$9*SQRT(-2*LN(B39/2147483647))*COS(2*PI()*L39/2147483647),Controls!$B$8+(Controls!$B$9-Controls!$B$8)*B39/2147483647))</f>
        <v>39.58155621</v>
      </c>
      <c r="W39" s="10">
        <f>IF(C39="","",IF(Controls!$B$7="Normal",Controls!$B$8+Controls!$B$9*SQRT(-2*LN(C39/2147483647))*COS(2*PI()*M39/2147483647),Controls!$B$8+(Controls!$B$9-Controls!$B$8)*C39/2147483647))</f>
        <v>45.44818322</v>
      </c>
      <c r="X39" s="10">
        <f>IF(D39="","",IF(Controls!$B$7="Normal",Controls!$B$8+Controls!$B$9*SQRT(-2*LN(D39/2147483647))*COS(2*PI()*N39/2147483647),Controls!$B$8+(Controls!$B$9-Controls!$B$8)*D39/2147483647))</f>
        <v>50.87086666</v>
      </c>
      <c r="Y39" s="10" t="str">
        <f>IF(E39="","",IF(Controls!$B$7="Normal",Controls!$B$8+Controls!$B$9*SQRT(-2*LN(E39/2147483647))*COS(2*PI()*O39/2147483647),Controls!$B$8+(Controls!$B$9-Controls!$B$8)*E39/2147483647))</f>
        <v/>
      </c>
      <c r="Z39" s="10" t="str">
        <f>IF(F39="","",IF(Controls!$B$7="Normal",Controls!$B$8+Controls!$B$9*SQRT(-2*LN(F39/2147483647))*COS(2*PI()*P39/2147483647),Controls!$B$8+(Controls!$B$9-Controls!$B$8)*F39/2147483647))</f>
        <v/>
      </c>
      <c r="AA39" s="10" t="str">
        <f>IF(G39="","",IF(Controls!$B$7="Normal",Controls!$B$8+Controls!$B$9*SQRT(-2*LN(G39/2147483647))*COS(2*PI()*Q39/2147483647),Controls!$B$8+(Controls!$B$9-Controls!$B$8)*G39/2147483647))</f>
        <v/>
      </c>
      <c r="AB39" s="10" t="str">
        <f>IF(H39="","",IF(Controls!$B$7="Normal",Controls!$B$8+Controls!$B$9*SQRT(-2*LN(H39/2147483647))*COS(2*PI()*R39/2147483647),Controls!$B$8+(Controls!$B$9-Controls!$B$8)*H39/2147483647))</f>
        <v/>
      </c>
      <c r="AC39" s="10" t="str">
        <f>IF(I39="","",IF(Controls!$B$7="Normal",Controls!$B$8+Controls!$B$9*SQRT(-2*LN(I39/2147483647))*COS(2*PI()*S39/2147483647),Controls!$B$8+(Controls!$B$9-Controls!$B$8)*I39/2147483647))</f>
        <v/>
      </c>
      <c r="AD39" s="10" t="str">
        <f>IF(J39="","",IF(Controls!$B$7="Normal",Controls!$B$8+Controls!$B$9*SQRT(-2*LN(J39/2147483647))*COS(2*PI()*T39/2147483647),Controls!$B$8+(Controls!$B$9-Controls!$B$8)*J39/2147483647))</f>
        <v/>
      </c>
      <c r="AE39" s="10" t="str">
        <f>IF(K39="","",IF(Controls!$B$7="Normal",Controls!$B$8+Controls!$B$9*SQRT(-2*LN(K39/2147483647))*COS(2*PI()*U39/2147483647),Controls!$B$8+(Controls!$B$9-Controls!$B$8)*K39/2147483647))</f>
        <v/>
      </c>
    </row>
    <row r="40" ht="21.0" customHeight="1">
      <c r="A40" s="7">
        <f>IF(39&lt;=Controls!$B$5,Controls!$B$4+38,"")</f>
        <v>73029</v>
      </c>
      <c r="B40" s="10">
        <f>IF(OR($A40="",1&gt;Controls!$B$6),"",MOD(L39*48271,2147483647))</f>
        <v>1621575995</v>
      </c>
      <c r="C40" s="10">
        <f>IF(OR($A40="",2&gt;Controls!$B$6),"",MOD(M39*48271,2147483647))</f>
        <v>1871088718</v>
      </c>
      <c r="D40" s="10">
        <f>IF(OR($A40="",3&gt;Controls!$B$6),"",MOD(N39*48271,2147483647))</f>
        <v>2120601441</v>
      </c>
      <c r="E40" s="10" t="str">
        <f>IF(OR($A40="",4&gt;Controls!$B$6),"",MOD(O39*48271,2147483647))</f>
        <v/>
      </c>
      <c r="F40" s="10" t="str">
        <f>IF(OR($A40="",5&gt;Controls!$B$6),"",MOD(P39*48271,2147483647))</f>
        <v/>
      </c>
      <c r="G40" s="10" t="str">
        <f>IF(OR($A40="",6&gt;Controls!$B$6),"",MOD(Q39*48271,2147483647))</f>
        <v/>
      </c>
      <c r="H40" s="10" t="str">
        <f>IF(OR($A40="",7&gt;Controls!$B$6),"",MOD(R39*48271,2147483647))</f>
        <v/>
      </c>
      <c r="I40" s="10" t="str">
        <f>IF(OR($A40="",8&gt;Controls!$B$6),"",MOD(S39*48271,2147483647))</f>
        <v/>
      </c>
      <c r="J40" s="10" t="str">
        <f>IF(OR($A40="",9&gt;Controls!$B$6),"",MOD(T39*48271,2147483647))</f>
        <v/>
      </c>
      <c r="K40" s="10" t="str">
        <f>IF(OR($A40="",10&gt;Controls!$B$6),"",MOD(U39*48271,2147483647))</f>
        <v/>
      </c>
      <c r="L40" s="10">
        <f t="shared" ref="L40:U40" si="39">IF(B40="","",MOD(B40*48271,2147483647))</f>
        <v>1463405142</v>
      </c>
      <c r="M40" s="10">
        <f t="shared" si="39"/>
        <v>456281052</v>
      </c>
      <c r="N40" s="10">
        <f t="shared" si="39"/>
        <v>1596640609</v>
      </c>
      <c r="O40" s="10" t="str">
        <f t="shared" si="39"/>
        <v/>
      </c>
      <c r="P40" s="10" t="str">
        <f t="shared" si="39"/>
        <v/>
      </c>
      <c r="Q40" s="10" t="str">
        <f t="shared" si="39"/>
        <v/>
      </c>
      <c r="R40" s="10" t="str">
        <f t="shared" si="39"/>
        <v/>
      </c>
      <c r="S40" s="10" t="str">
        <f t="shared" si="39"/>
        <v/>
      </c>
      <c r="T40" s="10" t="str">
        <f t="shared" si="39"/>
        <v/>
      </c>
      <c r="U40" s="10" t="str">
        <f t="shared" si="39"/>
        <v/>
      </c>
      <c r="V40" s="10">
        <f>IF(B40="","",IF(Controls!$B$7="Normal",Controls!$B$8+Controls!$B$9*SQRT(-2*LN(B40/2147483647))*COS(2*PI()*L40/2147483647),Controls!$B$8+(Controls!$B$9-Controls!$B$8)*B40/2147483647))</f>
        <v>46.87062032</v>
      </c>
      <c r="W40" s="10">
        <f>IF(C40="","",IF(Controls!$B$7="Normal",Controls!$B$8+Controls!$B$9*SQRT(-2*LN(C40/2147483647))*COS(2*PI()*M40/2147483647),Controls!$B$8+(Controls!$B$9-Controls!$B$8)*C40/2147483647))</f>
        <v>51.2263116</v>
      </c>
      <c r="X40" s="10">
        <f>IF(D40="","",IF(Controls!$B$7="Normal",Controls!$B$8+Controls!$B$9*SQRT(-2*LN(D40/2147483647))*COS(2*PI()*N40/2147483647),Controls!$B$8+(Controls!$B$9-Controls!$B$8)*D40/2147483647))</f>
        <v>49.93513053</v>
      </c>
      <c r="Y40" s="10" t="str">
        <f>IF(E40="","",IF(Controls!$B$7="Normal",Controls!$B$8+Controls!$B$9*SQRT(-2*LN(E40/2147483647))*COS(2*PI()*O40/2147483647),Controls!$B$8+(Controls!$B$9-Controls!$B$8)*E40/2147483647))</f>
        <v/>
      </c>
      <c r="Z40" s="10" t="str">
        <f>IF(F40="","",IF(Controls!$B$7="Normal",Controls!$B$8+Controls!$B$9*SQRT(-2*LN(F40/2147483647))*COS(2*PI()*P40/2147483647),Controls!$B$8+(Controls!$B$9-Controls!$B$8)*F40/2147483647))</f>
        <v/>
      </c>
      <c r="AA40" s="10" t="str">
        <f>IF(G40="","",IF(Controls!$B$7="Normal",Controls!$B$8+Controls!$B$9*SQRT(-2*LN(G40/2147483647))*COS(2*PI()*Q40/2147483647),Controls!$B$8+(Controls!$B$9-Controls!$B$8)*G40/2147483647))</f>
        <v/>
      </c>
      <c r="AB40" s="10" t="str">
        <f>IF(H40="","",IF(Controls!$B$7="Normal",Controls!$B$8+Controls!$B$9*SQRT(-2*LN(H40/2147483647))*COS(2*PI()*R40/2147483647),Controls!$B$8+(Controls!$B$9-Controls!$B$8)*H40/2147483647))</f>
        <v/>
      </c>
      <c r="AC40" s="10" t="str">
        <f>IF(I40="","",IF(Controls!$B$7="Normal",Controls!$B$8+Controls!$B$9*SQRT(-2*LN(I40/2147483647))*COS(2*PI()*S40/2147483647),Controls!$B$8+(Controls!$B$9-Controls!$B$8)*I40/2147483647))</f>
        <v/>
      </c>
      <c r="AD40" s="10" t="str">
        <f>IF(J40="","",IF(Controls!$B$7="Normal",Controls!$B$8+Controls!$B$9*SQRT(-2*LN(J40/2147483647))*COS(2*PI()*T40/2147483647),Controls!$B$8+(Controls!$B$9-Controls!$B$8)*J40/2147483647))</f>
        <v/>
      </c>
      <c r="AE40" s="10" t="str">
        <f>IF(K40="","",IF(Controls!$B$7="Normal",Controls!$B$8+Controls!$B$9*SQRT(-2*LN(K40/2147483647))*COS(2*PI()*U40/2147483647),Controls!$B$8+(Controls!$B$9-Controls!$B$8)*K40/2147483647))</f>
        <v/>
      </c>
    </row>
    <row r="41" ht="21.0" customHeight="1">
      <c r="A41" s="7">
        <f>IF(40&lt;=Controls!$B$5,Controls!$B$4+39,"")</f>
        <v>73030</v>
      </c>
      <c r="B41" s="10">
        <f>IF(OR($A41="",1&gt;Controls!$B$6),"",MOD(L40*48271,2147483647))</f>
        <v>702525064</v>
      </c>
      <c r="C41" s="10">
        <f>IF(OR($A41="",2&gt;Controls!$B$6),"",MOD(M40*48271,2147483647))</f>
        <v>550377460</v>
      </c>
      <c r="D41" s="10">
        <f>IF(OR($A41="",3&gt;Controls!$B$6),"",MOD(N40*48271,2147483647))</f>
        <v>398229856</v>
      </c>
      <c r="E41" s="10" t="str">
        <f>IF(OR($A41="",4&gt;Controls!$B$6),"",MOD(O40*48271,2147483647))</f>
        <v/>
      </c>
      <c r="F41" s="10" t="str">
        <f>IF(OR($A41="",5&gt;Controls!$B$6),"",MOD(P40*48271,2147483647))</f>
        <v/>
      </c>
      <c r="G41" s="10" t="str">
        <f>IF(OR($A41="",6&gt;Controls!$B$6),"",MOD(Q40*48271,2147483647))</f>
        <v/>
      </c>
      <c r="H41" s="10" t="str">
        <f>IF(OR($A41="",7&gt;Controls!$B$6),"",MOD(R40*48271,2147483647))</f>
        <v/>
      </c>
      <c r="I41" s="10" t="str">
        <f>IF(OR($A41="",8&gt;Controls!$B$6),"",MOD(S40*48271,2147483647))</f>
        <v/>
      </c>
      <c r="J41" s="10" t="str">
        <f>IF(OR($A41="",9&gt;Controls!$B$6),"",MOD(T40*48271,2147483647))</f>
        <v/>
      </c>
      <c r="K41" s="10" t="str">
        <f>IF(OR($A41="",10&gt;Controls!$B$6),"",MOD(U40*48271,2147483647))</f>
        <v/>
      </c>
      <c r="L41" s="10">
        <f t="shared" ref="L41:U41" si="40">IF(B41="","",MOD(B41*48271,2147483647))</f>
        <v>673094567</v>
      </c>
      <c r="M41" s="10">
        <f t="shared" si="40"/>
        <v>750174623</v>
      </c>
      <c r="N41" s="10">
        <f t="shared" si="40"/>
        <v>827254679</v>
      </c>
      <c r="O41" s="10" t="str">
        <f t="shared" si="40"/>
        <v/>
      </c>
      <c r="P41" s="10" t="str">
        <f t="shared" si="40"/>
        <v/>
      </c>
      <c r="Q41" s="10" t="str">
        <f t="shared" si="40"/>
        <v/>
      </c>
      <c r="R41" s="10" t="str">
        <f t="shared" si="40"/>
        <v/>
      </c>
      <c r="S41" s="10" t="str">
        <f t="shared" si="40"/>
        <v/>
      </c>
      <c r="T41" s="10" t="str">
        <f t="shared" si="40"/>
        <v/>
      </c>
      <c r="U41" s="10" t="str">
        <f t="shared" si="40"/>
        <v/>
      </c>
      <c r="V41" s="10">
        <f>IF(B41="","",IF(Controls!$B$7="Normal",Controls!$B$8+Controls!$B$9*SQRT(-2*LN(B41/2147483647))*COS(2*PI()*L41/2147483647),Controls!$B$8+(Controls!$B$9-Controls!$B$8)*B41/2147483647))</f>
        <v>44.19828631</v>
      </c>
      <c r="W41" s="10">
        <f>IF(C41="","",IF(Controls!$B$7="Normal",Controls!$B$8+Controls!$B$9*SQRT(-2*LN(C41/2147483647))*COS(2*PI()*M41/2147483647),Controls!$B$8+(Controls!$B$9-Controls!$B$8)*C41/2147483647))</f>
        <v>40.35735253</v>
      </c>
      <c r="X41" s="10">
        <f>IF(D41="","",IF(Controls!$B$7="Normal",Controls!$B$8+Controls!$B$9*SQRT(-2*LN(D41/2147483647))*COS(2*PI()*N41/2147483647),Controls!$B$8+(Controls!$B$9-Controls!$B$8)*D41/2147483647))</f>
        <v>36.21289392</v>
      </c>
      <c r="Y41" s="10" t="str">
        <f>IF(E41="","",IF(Controls!$B$7="Normal",Controls!$B$8+Controls!$B$9*SQRT(-2*LN(E41/2147483647))*COS(2*PI()*O41/2147483647),Controls!$B$8+(Controls!$B$9-Controls!$B$8)*E41/2147483647))</f>
        <v/>
      </c>
      <c r="Z41" s="10" t="str">
        <f>IF(F41="","",IF(Controls!$B$7="Normal",Controls!$B$8+Controls!$B$9*SQRT(-2*LN(F41/2147483647))*COS(2*PI()*P41/2147483647),Controls!$B$8+(Controls!$B$9-Controls!$B$8)*F41/2147483647))</f>
        <v/>
      </c>
      <c r="AA41" s="10" t="str">
        <f>IF(G41="","",IF(Controls!$B$7="Normal",Controls!$B$8+Controls!$B$9*SQRT(-2*LN(G41/2147483647))*COS(2*PI()*Q41/2147483647),Controls!$B$8+(Controls!$B$9-Controls!$B$8)*G41/2147483647))</f>
        <v/>
      </c>
      <c r="AB41" s="10" t="str">
        <f>IF(H41="","",IF(Controls!$B$7="Normal",Controls!$B$8+Controls!$B$9*SQRT(-2*LN(H41/2147483647))*COS(2*PI()*R41/2147483647),Controls!$B$8+(Controls!$B$9-Controls!$B$8)*H41/2147483647))</f>
        <v/>
      </c>
      <c r="AC41" s="10" t="str">
        <f>IF(I41="","",IF(Controls!$B$7="Normal",Controls!$B$8+Controls!$B$9*SQRT(-2*LN(I41/2147483647))*COS(2*PI()*S41/2147483647),Controls!$B$8+(Controls!$B$9-Controls!$B$8)*I41/2147483647))</f>
        <v/>
      </c>
      <c r="AD41" s="10" t="str">
        <f>IF(J41="","",IF(Controls!$B$7="Normal",Controls!$B$8+Controls!$B$9*SQRT(-2*LN(J41/2147483647))*COS(2*PI()*T41/2147483647),Controls!$B$8+(Controls!$B$9-Controls!$B$8)*J41/2147483647))</f>
        <v/>
      </c>
      <c r="AE41" s="10" t="str">
        <f>IF(K41="","",IF(Controls!$B$7="Normal",Controls!$B$8+Controls!$B$9*SQRT(-2*LN(K41/2147483647))*COS(2*PI()*U41/2147483647),Controls!$B$8+(Controls!$B$9-Controls!$B$8)*K41/2147483647))</f>
        <v/>
      </c>
    </row>
    <row r="42" ht="21.0" customHeight="1">
      <c r="A42" s="7">
        <f>IF(41&lt;=Controls!$B$5,Controls!$B$4+40,"")</f>
        <v>73031</v>
      </c>
      <c r="B42" s="10">
        <f>IF(OR($A42="",1&gt;Controls!$B$6),"",MOD(L41*48271,2147483647))</f>
        <v>1667748194</v>
      </c>
      <c r="C42" s="10">
        <f>IF(OR($A42="",2&gt;Controls!$B$6),"",MOD(M41*48271,2147483647))</f>
        <v>809971119</v>
      </c>
      <c r="D42" s="10">
        <f>IF(OR($A42="",3&gt;Controls!$B$6),"",MOD(N41*48271,2147483647))</f>
        <v>2099677691</v>
      </c>
      <c r="E42" s="10" t="str">
        <f>IF(OR($A42="",4&gt;Controls!$B$6),"",MOD(O41*48271,2147483647))</f>
        <v/>
      </c>
      <c r="F42" s="10" t="str">
        <f>IF(OR($A42="",5&gt;Controls!$B$6),"",MOD(P41*48271,2147483647))</f>
        <v/>
      </c>
      <c r="G42" s="10" t="str">
        <f>IF(OR($A42="",6&gt;Controls!$B$6),"",MOD(Q41*48271,2147483647))</f>
        <v/>
      </c>
      <c r="H42" s="10" t="str">
        <f>IF(OR($A42="",7&gt;Controls!$B$6),"",MOD(R41*48271,2147483647))</f>
        <v/>
      </c>
      <c r="I42" s="10" t="str">
        <f>IF(OR($A42="",8&gt;Controls!$B$6),"",MOD(S41*48271,2147483647))</f>
        <v/>
      </c>
      <c r="J42" s="10" t="str">
        <f>IF(OR($A42="",9&gt;Controls!$B$6),"",MOD(T41*48271,2147483647))</f>
        <v/>
      </c>
      <c r="K42" s="10" t="str">
        <f>IF(OR($A42="",10&gt;Controls!$B$6),"",MOD(U41*48271,2147483647))</f>
        <v/>
      </c>
      <c r="L42" s="10">
        <f t="shared" ref="L42:U42" si="41">IF(B42="","",MOD(B42*48271,2147483647))</f>
        <v>1153597485</v>
      </c>
      <c r="M42" s="10">
        <f t="shared" si="41"/>
        <v>1028607967</v>
      </c>
      <c r="N42" s="10">
        <f t="shared" si="41"/>
        <v>903618449</v>
      </c>
      <c r="O42" s="10" t="str">
        <f t="shared" si="41"/>
        <v/>
      </c>
      <c r="P42" s="10" t="str">
        <f t="shared" si="41"/>
        <v/>
      </c>
      <c r="Q42" s="10" t="str">
        <f t="shared" si="41"/>
        <v/>
      </c>
      <c r="R42" s="10" t="str">
        <f t="shared" si="41"/>
        <v/>
      </c>
      <c r="S42" s="10" t="str">
        <f t="shared" si="41"/>
        <v/>
      </c>
      <c r="T42" s="10" t="str">
        <f t="shared" si="41"/>
        <v/>
      </c>
      <c r="U42" s="10" t="str">
        <f t="shared" si="41"/>
        <v/>
      </c>
      <c r="V42" s="10">
        <f>IF(B42="","",IF(Controls!$B$7="Normal",Controls!$B$8+Controls!$B$9*SQRT(-2*LN(B42/2147483647))*COS(2*PI()*L42/2147483647),Controls!$B$8+(Controls!$B$9-Controls!$B$8)*B42/2147483647))</f>
        <v>43.08233816</v>
      </c>
      <c r="W42" s="10">
        <f>IF(C42="","",IF(Controls!$B$7="Normal",Controls!$B$8+Controls!$B$9*SQRT(-2*LN(C42/2147483647))*COS(2*PI()*M42/2147483647),Controls!$B$8+(Controls!$B$9-Controls!$B$8)*C42/2147483647))</f>
        <v>36.15696023</v>
      </c>
      <c r="X42" s="10">
        <f>IF(D42="","",IF(Controls!$B$7="Normal",Controls!$B$8+Controls!$B$9*SQRT(-2*LN(D42/2147483647))*COS(2*PI()*N42/2147483647),Controls!$B$8+(Controls!$B$9-Controls!$B$8)*D42/2147483647))</f>
        <v>48.13555129</v>
      </c>
      <c r="Y42" s="10" t="str">
        <f>IF(E42="","",IF(Controls!$B$7="Normal",Controls!$B$8+Controls!$B$9*SQRT(-2*LN(E42/2147483647))*COS(2*PI()*O42/2147483647),Controls!$B$8+(Controls!$B$9-Controls!$B$8)*E42/2147483647))</f>
        <v/>
      </c>
      <c r="Z42" s="10" t="str">
        <f>IF(F42="","",IF(Controls!$B$7="Normal",Controls!$B$8+Controls!$B$9*SQRT(-2*LN(F42/2147483647))*COS(2*PI()*P42/2147483647),Controls!$B$8+(Controls!$B$9-Controls!$B$8)*F42/2147483647))</f>
        <v/>
      </c>
      <c r="AA42" s="10" t="str">
        <f>IF(G42="","",IF(Controls!$B$7="Normal",Controls!$B$8+Controls!$B$9*SQRT(-2*LN(G42/2147483647))*COS(2*PI()*Q42/2147483647),Controls!$B$8+(Controls!$B$9-Controls!$B$8)*G42/2147483647))</f>
        <v/>
      </c>
      <c r="AB42" s="10" t="str">
        <f>IF(H42="","",IF(Controls!$B$7="Normal",Controls!$B$8+Controls!$B$9*SQRT(-2*LN(H42/2147483647))*COS(2*PI()*R42/2147483647),Controls!$B$8+(Controls!$B$9-Controls!$B$8)*H42/2147483647))</f>
        <v/>
      </c>
      <c r="AC42" s="10" t="str">
        <f>IF(I42="","",IF(Controls!$B$7="Normal",Controls!$B$8+Controls!$B$9*SQRT(-2*LN(I42/2147483647))*COS(2*PI()*S42/2147483647),Controls!$B$8+(Controls!$B$9-Controls!$B$8)*I42/2147483647))</f>
        <v/>
      </c>
      <c r="AD42" s="10" t="str">
        <f>IF(J42="","",IF(Controls!$B$7="Normal",Controls!$B$8+Controls!$B$9*SQRT(-2*LN(J42/2147483647))*COS(2*PI()*T42/2147483647),Controls!$B$8+(Controls!$B$9-Controls!$B$8)*J42/2147483647))</f>
        <v/>
      </c>
      <c r="AE42" s="10" t="str">
        <f>IF(K42="","",IF(Controls!$B$7="Normal",Controls!$B$8+Controls!$B$9*SQRT(-2*LN(K42/2147483647))*COS(2*PI()*U42/2147483647),Controls!$B$8+(Controls!$B$9-Controls!$B$8)*K42/2147483647))</f>
        <v/>
      </c>
    </row>
    <row r="43" ht="21.0" customHeight="1">
      <c r="A43" s="7">
        <f>IF(42&lt;=Controls!$B$5,Controls!$B$4+41,"")</f>
        <v>73032</v>
      </c>
      <c r="B43" s="10">
        <f>IF(OR($A43="",1&gt;Controls!$B$6),"",MOD(L42*48271,2147483647))</f>
        <v>1053231725</v>
      </c>
      <c r="C43" s="10">
        <f>IF(OR($A43="",2&gt;Controls!$B$6),"",MOD(M42*48271,2147483647))</f>
        <v>2113256417</v>
      </c>
      <c r="D43" s="10">
        <f>IF(OR($A43="",3&gt;Controls!$B$6),"",MOD(N42*48271,2147483647))</f>
        <v>1025797462</v>
      </c>
      <c r="E43" s="10" t="str">
        <f>IF(OR($A43="",4&gt;Controls!$B$6),"",MOD(O42*48271,2147483647))</f>
        <v/>
      </c>
      <c r="F43" s="10" t="str">
        <f>IF(OR($A43="",5&gt;Controls!$B$6),"",MOD(P42*48271,2147483647))</f>
        <v/>
      </c>
      <c r="G43" s="10" t="str">
        <f>IF(OR($A43="",6&gt;Controls!$B$6),"",MOD(Q42*48271,2147483647))</f>
        <v/>
      </c>
      <c r="H43" s="10" t="str">
        <f>IF(OR($A43="",7&gt;Controls!$B$6),"",MOD(R42*48271,2147483647))</f>
        <v/>
      </c>
      <c r="I43" s="10" t="str">
        <f>IF(OR($A43="",8&gt;Controls!$B$6),"",MOD(S42*48271,2147483647))</f>
        <v/>
      </c>
      <c r="J43" s="10" t="str">
        <f>IF(OR($A43="",9&gt;Controls!$B$6),"",MOD(T42*48271,2147483647))</f>
        <v/>
      </c>
      <c r="K43" s="10" t="str">
        <f>IF(OR($A43="",10&gt;Controls!$B$6),"",MOD(U42*48271,2147483647))</f>
        <v/>
      </c>
      <c r="L43" s="10">
        <f t="shared" ref="L43:U43" si="42">IF(B43="","",MOD(B43*48271,2147483647))</f>
        <v>1020738397</v>
      </c>
      <c r="M43" s="10">
        <f t="shared" si="42"/>
        <v>1379788860</v>
      </c>
      <c r="N43" s="10">
        <f t="shared" si="42"/>
        <v>1738839323</v>
      </c>
      <c r="O43" s="10" t="str">
        <f t="shared" si="42"/>
        <v/>
      </c>
      <c r="P43" s="10" t="str">
        <f t="shared" si="42"/>
        <v/>
      </c>
      <c r="Q43" s="10" t="str">
        <f t="shared" si="42"/>
        <v/>
      </c>
      <c r="R43" s="10" t="str">
        <f t="shared" si="42"/>
        <v/>
      </c>
      <c r="S43" s="10" t="str">
        <f t="shared" si="42"/>
        <v/>
      </c>
      <c r="T43" s="10" t="str">
        <f t="shared" si="42"/>
        <v/>
      </c>
      <c r="U43" s="10" t="str">
        <f t="shared" si="42"/>
        <v/>
      </c>
      <c r="V43" s="10">
        <f>IF(B43="","",IF(Controls!$B$7="Normal",Controls!$B$8+Controls!$B$9*SQRT(-2*LN(B43/2147483647))*COS(2*PI()*L43/2147483647),Controls!$B$8+(Controls!$B$9-Controls!$B$8)*B43/2147483647))</f>
        <v>38.20647075</v>
      </c>
      <c r="W43" s="10">
        <f>IF(C43="","",IF(Controls!$B$7="Normal",Controls!$B$8+Controls!$B$9*SQRT(-2*LN(C43/2147483647))*COS(2*PI()*M43/2147483647),Controls!$B$8+(Controls!$B$9-Controls!$B$8)*C43/2147483647))</f>
        <v>48.87932919</v>
      </c>
      <c r="X43" s="10">
        <f>IF(D43="","",IF(Controls!$B$7="Normal",Controls!$B$8+Controls!$B$9*SQRT(-2*LN(D43/2147483647))*COS(2*PI()*N43/2147483647),Controls!$B$8+(Controls!$B$9-Controls!$B$8)*D43/2147483647))</f>
        <v>54.45428562</v>
      </c>
      <c r="Y43" s="10" t="str">
        <f>IF(E43="","",IF(Controls!$B$7="Normal",Controls!$B$8+Controls!$B$9*SQRT(-2*LN(E43/2147483647))*COS(2*PI()*O43/2147483647),Controls!$B$8+(Controls!$B$9-Controls!$B$8)*E43/2147483647))</f>
        <v/>
      </c>
      <c r="Z43" s="10" t="str">
        <f>IF(F43="","",IF(Controls!$B$7="Normal",Controls!$B$8+Controls!$B$9*SQRT(-2*LN(F43/2147483647))*COS(2*PI()*P43/2147483647),Controls!$B$8+(Controls!$B$9-Controls!$B$8)*F43/2147483647))</f>
        <v/>
      </c>
      <c r="AA43" s="10" t="str">
        <f>IF(G43="","",IF(Controls!$B$7="Normal",Controls!$B$8+Controls!$B$9*SQRT(-2*LN(G43/2147483647))*COS(2*PI()*Q43/2147483647),Controls!$B$8+(Controls!$B$9-Controls!$B$8)*G43/2147483647))</f>
        <v/>
      </c>
      <c r="AB43" s="10" t="str">
        <f>IF(H43="","",IF(Controls!$B$7="Normal",Controls!$B$8+Controls!$B$9*SQRT(-2*LN(H43/2147483647))*COS(2*PI()*R43/2147483647),Controls!$B$8+(Controls!$B$9-Controls!$B$8)*H43/2147483647))</f>
        <v/>
      </c>
      <c r="AC43" s="10" t="str">
        <f>IF(I43="","",IF(Controls!$B$7="Normal",Controls!$B$8+Controls!$B$9*SQRT(-2*LN(I43/2147483647))*COS(2*PI()*S43/2147483647),Controls!$B$8+(Controls!$B$9-Controls!$B$8)*I43/2147483647))</f>
        <v/>
      </c>
      <c r="AD43" s="10" t="str">
        <f>IF(J43="","",IF(Controls!$B$7="Normal",Controls!$B$8+Controls!$B$9*SQRT(-2*LN(J43/2147483647))*COS(2*PI()*T43/2147483647),Controls!$B$8+(Controls!$B$9-Controls!$B$8)*J43/2147483647))</f>
        <v/>
      </c>
      <c r="AE43" s="10" t="str">
        <f>IF(K43="","",IF(Controls!$B$7="Normal",Controls!$B$8+Controls!$B$9*SQRT(-2*LN(K43/2147483647))*COS(2*PI()*U43/2147483647),Controls!$B$8+(Controls!$B$9-Controls!$B$8)*K43/2147483647))</f>
        <v/>
      </c>
    </row>
    <row r="44" ht="21.0" customHeight="1">
      <c r="A44" s="7">
        <f>IF(43&lt;=Controls!$B$5,Controls!$B$4+42,"")</f>
        <v>73033</v>
      </c>
      <c r="B44" s="10">
        <f>IF(OR($A44="",1&gt;Controls!$B$6),"",MOD(L43*48271,2147483647))</f>
        <v>198364819</v>
      </c>
      <c r="C44" s="10">
        <f>IF(OR($A44="",2&gt;Controls!$B$6),"",MOD(M43*48271,2147483647))</f>
        <v>1730233002</v>
      </c>
      <c r="D44" s="10">
        <f>IF(OR($A44="",3&gt;Controls!$B$6),"",MOD(N43*48271,2147483647))</f>
        <v>1114617538</v>
      </c>
      <c r="E44" s="10" t="str">
        <f>IF(OR($A44="",4&gt;Controls!$B$6),"",MOD(O43*48271,2147483647))</f>
        <v/>
      </c>
      <c r="F44" s="10" t="str">
        <f>IF(OR($A44="",5&gt;Controls!$B$6),"",MOD(P43*48271,2147483647))</f>
        <v/>
      </c>
      <c r="G44" s="10" t="str">
        <f>IF(OR($A44="",6&gt;Controls!$B$6),"",MOD(Q43*48271,2147483647))</f>
        <v/>
      </c>
      <c r="H44" s="10" t="str">
        <f>IF(OR($A44="",7&gt;Controls!$B$6),"",MOD(R43*48271,2147483647))</f>
        <v/>
      </c>
      <c r="I44" s="10" t="str">
        <f>IF(OR($A44="",8&gt;Controls!$B$6),"",MOD(S43*48271,2147483647))</f>
        <v/>
      </c>
      <c r="J44" s="10" t="str">
        <f>IF(OR($A44="",9&gt;Controls!$B$6),"",MOD(T43*48271,2147483647))</f>
        <v/>
      </c>
      <c r="K44" s="10" t="str">
        <f>IF(OR($A44="",10&gt;Controls!$B$6),"",MOD(U43*48271,2147483647))</f>
        <v/>
      </c>
      <c r="L44" s="10">
        <f t="shared" ref="L44:U44" si="43">IF(B44="","",MOD(B44*48271,2147483647))</f>
        <v>1786079623</v>
      </c>
      <c r="M44" s="10">
        <f t="shared" si="43"/>
        <v>143240418</v>
      </c>
      <c r="N44" s="10">
        <f t="shared" si="43"/>
        <v>647884860</v>
      </c>
      <c r="O44" s="10" t="str">
        <f t="shared" si="43"/>
        <v/>
      </c>
      <c r="P44" s="10" t="str">
        <f t="shared" si="43"/>
        <v/>
      </c>
      <c r="Q44" s="10" t="str">
        <f t="shared" si="43"/>
        <v/>
      </c>
      <c r="R44" s="10" t="str">
        <f t="shared" si="43"/>
        <v/>
      </c>
      <c r="S44" s="10" t="str">
        <f t="shared" si="43"/>
        <v/>
      </c>
      <c r="T44" s="10" t="str">
        <f t="shared" si="43"/>
        <v/>
      </c>
      <c r="U44" s="10" t="str">
        <f t="shared" si="43"/>
        <v/>
      </c>
      <c r="V44" s="10">
        <f>IF(B44="","",IF(Controls!$B$7="Normal",Controls!$B$8+Controls!$B$9*SQRT(-2*LN(B44/2147483647))*COS(2*PI()*L44/2147483647),Controls!$B$8+(Controls!$B$9-Controls!$B$8)*B44/2147483647))</f>
        <v>60.71958346</v>
      </c>
      <c r="W44" s="10">
        <f>IF(C44="","",IF(Controls!$B$7="Normal",Controls!$B$8+Controls!$B$9*SQRT(-2*LN(C44/2147483647))*COS(2*PI()*M44/2147483647),Controls!$B$8+(Controls!$B$9-Controls!$B$8)*C44/2147483647))</f>
        <v>56.00441321</v>
      </c>
      <c r="X44" s="10">
        <f>IF(D44="","",IF(Controls!$B$7="Normal",Controls!$B$8+Controls!$B$9*SQRT(-2*LN(D44/2147483647))*COS(2*PI()*N44/2147483647),Controls!$B$8+(Controls!$B$9-Controls!$B$8)*D44/2147483647))</f>
        <v>46.3452304</v>
      </c>
      <c r="Y44" s="10" t="str">
        <f>IF(E44="","",IF(Controls!$B$7="Normal",Controls!$B$8+Controls!$B$9*SQRT(-2*LN(E44/2147483647))*COS(2*PI()*O44/2147483647),Controls!$B$8+(Controls!$B$9-Controls!$B$8)*E44/2147483647))</f>
        <v/>
      </c>
      <c r="Z44" s="10" t="str">
        <f>IF(F44="","",IF(Controls!$B$7="Normal",Controls!$B$8+Controls!$B$9*SQRT(-2*LN(F44/2147483647))*COS(2*PI()*P44/2147483647),Controls!$B$8+(Controls!$B$9-Controls!$B$8)*F44/2147483647))</f>
        <v/>
      </c>
      <c r="AA44" s="10" t="str">
        <f>IF(G44="","",IF(Controls!$B$7="Normal",Controls!$B$8+Controls!$B$9*SQRT(-2*LN(G44/2147483647))*COS(2*PI()*Q44/2147483647),Controls!$B$8+(Controls!$B$9-Controls!$B$8)*G44/2147483647))</f>
        <v/>
      </c>
      <c r="AB44" s="10" t="str">
        <f>IF(H44="","",IF(Controls!$B$7="Normal",Controls!$B$8+Controls!$B$9*SQRT(-2*LN(H44/2147483647))*COS(2*PI()*R44/2147483647),Controls!$B$8+(Controls!$B$9-Controls!$B$8)*H44/2147483647))</f>
        <v/>
      </c>
      <c r="AC44" s="10" t="str">
        <f>IF(I44="","",IF(Controls!$B$7="Normal",Controls!$B$8+Controls!$B$9*SQRT(-2*LN(I44/2147483647))*COS(2*PI()*S44/2147483647),Controls!$B$8+(Controls!$B$9-Controls!$B$8)*I44/2147483647))</f>
        <v/>
      </c>
      <c r="AD44" s="10" t="str">
        <f>IF(J44="","",IF(Controls!$B$7="Normal",Controls!$B$8+Controls!$B$9*SQRT(-2*LN(J44/2147483647))*COS(2*PI()*T44/2147483647),Controls!$B$8+(Controls!$B$9-Controls!$B$8)*J44/2147483647))</f>
        <v/>
      </c>
      <c r="AE44" s="10" t="str">
        <f>IF(K44="","",IF(Controls!$B$7="Normal",Controls!$B$8+Controls!$B$9*SQRT(-2*LN(K44/2147483647))*COS(2*PI()*U44/2147483647),Controls!$B$8+(Controls!$B$9-Controls!$B$8)*K44/2147483647))</f>
        <v/>
      </c>
    </row>
    <row r="45" ht="21.0" customHeight="1">
      <c r="A45" s="7">
        <f>IF(44&lt;=Controls!$B$5,Controls!$B$4+43,"")</f>
        <v>73034</v>
      </c>
      <c r="B45" s="10">
        <f>IF(OR($A45="",1&gt;Controls!$B$6),"",MOD(L44*48271,2147483647))</f>
        <v>823505724</v>
      </c>
      <c r="C45" s="10">
        <f>IF(OR($A45="",2&gt;Controls!$B$6),"",MOD(M44*48271,2147483647))</f>
        <v>1608357585</v>
      </c>
      <c r="D45" s="10">
        <f>IF(OR($A45="",3&gt;Controls!$B$6),"",MOD(N44*48271,2147483647))</f>
        <v>245725799</v>
      </c>
      <c r="E45" s="10" t="str">
        <f>IF(OR($A45="",4&gt;Controls!$B$6),"",MOD(O44*48271,2147483647))</f>
        <v/>
      </c>
      <c r="F45" s="10" t="str">
        <f>IF(OR($A45="",5&gt;Controls!$B$6),"",MOD(P44*48271,2147483647))</f>
        <v/>
      </c>
      <c r="G45" s="10" t="str">
        <f>IF(OR($A45="",6&gt;Controls!$B$6),"",MOD(Q44*48271,2147483647))</f>
        <v/>
      </c>
      <c r="H45" s="10" t="str">
        <f>IF(OR($A45="",7&gt;Controls!$B$6),"",MOD(R44*48271,2147483647))</f>
        <v/>
      </c>
      <c r="I45" s="10" t="str">
        <f>IF(OR($A45="",8&gt;Controls!$B$6),"",MOD(S44*48271,2147483647))</f>
        <v/>
      </c>
      <c r="J45" s="10" t="str">
        <f>IF(OR($A45="",9&gt;Controls!$B$6),"",MOD(T44*48271,2147483647))</f>
        <v/>
      </c>
      <c r="K45" s="10" t="str">
        <f>IF(OR($A45="",10&gt;Controls!$B$6),"",MOD(U44*48271,2147483647))</f>
        <v/>
      </c>
      <c r="L45" s="10">
        <f t="shared" ref="L45:U45" si="44">IF(B45="","",MOD(B45*48271,2147483647))</f>
        <v>1522497234</v>
      </c>
      <c r="M45" s="10">
        <f t="shared" si="44"/>
        <v>1200179191</v>
      </c>
      <c r="N45" s="10">
        <f t="shared" si="44"/>
        <v>877861148</v>
      </c>
      <c r="O45" s="10" t="str">
        <f t="shared" si="44"/>
        <v/>
      </c>
      <c r="P45" s="10" t="str">
        <f t="shared" si="44"/>
        <v/>
      </c>
      <c r="Q45" s="10" t="str">
        <f t="shared" si="44"/>
        <v/>
      </c>
      <c r="R45" s="10" t="str">
        <f t="shared" si="44"/>
        <v/>
      </c>
      <c r="S45" s="10" t="str">
        <f t="shared" si="44"/>
        <v/>
      </c>
      <c r="T45" s="10" t="str">
        <f t="shared" si="44"/>
        <v/>
      </c>
      <c r="U45" s="10" t="str">
        <f t="shared" si="44"/>
        <v/>
      </c>
      <c r="V45" s="10">
        <f>IF(B45="","",IF(Controls!$B$7="Normal",Controls!$B$8+Controls!$B$9*SQRT(-2*LN(B45/2147483647))*COS(2*PI()*L45/2147483647),Controls!$B$8+(Controls!$B$9-Controls!$B$8)*B45/2147483647))</f>
        <v>46.46989631</v>
      </c>
      <c r="W45" s="10">
        <f>IF(C45="","",IF(Controls!$B$7="Normal",Controls!$B$8+Controls!$B$9*SQRT(-2*LN(C45/2147483647))*COS(2*PI()*M45/2147483647),Controls!$B$8+(Controls!$B$9-Controls!$B$8)*C45/2147483647))</f>
        <v>42.9106598</v>
      </c>
      <c r="X45" s="10">
        <f>IF(D45="","",IF(Controls!$B$7="Normal",Controls!$B$8+Controls!$B$9*SQRT(-2*LN(D45/2147483647))*COS(2*PI()*N45/2147483647),Controls!$B$8+(Controls!$B$9-Controls!$B$8)*D45/2147483647))</f>
        <v>32.50478965</v>
      </c>
      <c r="Y45" s="10" t="str">
        <f>IF(E45="","",IF(Controls!$B$7="Normal",Controls!$B$8+Controls!$B$9*SQRT(-2*LN(E45/2147483647))*COS(2*PI()*O45/2147483647),Controls!$B$8+(Controls!$B$9-Controls!$B$8)*E45/2147483647))</f>
        <v/>
      </c>
      <c r="Z45" s="10" t="str">
        <f>IF(F45="","",IF(Controls!$B$7="Normal",Controls!$B$8+Controls!$B$9*SQRT(-2*LN(F45/2147483647))*COS(2*PI()*P45/2147483647),Controls!$B$8+(Controls!$B$9-Controls!$B$8)*F45/2147483647))</f>
        <v/>
      </c>
      <c r="AA45" s="10" t="str">
        <f>IF(G45="","",IF(Controls!$B$7="Normal",Controls!$B$8+Controls!$B$9*SQRT(-2*LN(G45/2147483647))*COS(2*PI()*Q45/2147483647),Controls!$B$8+(Controls!$B$9-Controls!$B$8)*G45/2147483647))</f>
        <v/>
      </c>
      <c r="AB45" s="10" t="str">
        <f>IF(H45="","",IF(Controls!$B$7="Normal",Controls!$B$8+Controls!$B$9*SQRT(-2*LN(H45/2147483647))*COS(2*PI()*R45/2147483647),Controls!$B$8+(Controls!$B$9-Controls!$B$8)*H45/2147483647))</f>
        <v/>
      </c>
      <c r="AC45" s="10" t="str">
        <f>IF(I45="","",IF(Controls!$B$7="Normal",Controls!$B$8+Controls!$B$9*SQRT(-2*LN(I45/2147483647))*COS(2*PI()*S45/2147483647),Controls!$B$8+(Controls!$B$9-Controls!$B$8)*I45/2147483647))</f>
        <v/>
      </c>
      <c r="AD45" s="10" t="str">
        <f>IF(J45="","",IF(Controls!$B$7="Normal",Controls!$B$8+Controls!$B$9*SQRT(-2*LN(J45/2147483647))*COS(2*PI()*T45/2147483647),Controls!$B$8+(Controls!$B$9-Controls!$B$8)*J45/2147483647))</f>
        <v/>
      </c>
      <c r="AE45" s="10" t="str">
        <f>IF(K45="","",IF(Controls!$B$7="Normal",Controls!$B$8+Controls!$B$9*SQRT(-2*LN(K45/2147483647))*COS(2*PI()*U45/2147483647),Controls!$B$8+(Controls!$B$9-Controls!$B$8)*K45/2147483647))</f>
        <v/>
      </c>
    </row>
    <row r="46" ht="21.0" customHeight="1">
      <c r="A46" s="7">
        <f>IF(45&lt;=Controls!$B$5,Controls!$B$4+44,"")</f>
        <v>73035</v>
      </c>
      <c r="B46" s="10">
        <f>IF(OR($A46="",1&gt;Controls!$B$6),"",MOD(L45*48271,2147483647))</f>
        <v>1278614780</v>
      </c>
      <c r="C46" s="10">
        <f>IF(OR($A46="",2&gt;Controls!$B$6),"",MOD(M45*48271,2147483647))</f>
        <v>1183383642</v>
      </c>
      <c r="D46" s="10">
        <f>IF(OR($A46="",3&gt;Controls!$B$6),"",MOD(N45*48271,2147483647))</f>
        <v>1088152504</v>
      </c>
      <c r="E46" s="10" t="str">
        <f>IF(OR($A46="",4&gt;Controls!$B$6),"",MOD(O45*48271,2147483647))</f>
        <v/>
      </c>
      <c r="F46" s="10" t="str">
        <f>IF(OR($A46="",5&gt;Controls!$B$6),"",MOD(P45*48271,2147483647))</f>
        <v/>
      </c>
      <c r="G46" s="10" t="str">
        <f>IF(OR($A46="",6&gt;Controls!$B$6),"",MOD(Q45*48271,2147483647))</f>
        <v/>
      </c>
      <c r="H46" s="10" t="str">
        <f>IF(OR($A46="",7&gt;Controls!$B$6),"",MOD(R45*48271,2147483647))</f>
        <v/>
      </c>
      <c r="I46" s="10" t="str">
        <f>IF(OR($A46="",8&gt;Controls!$B$6),"",MOD(S45*48271,2147483647))</f>
        <v/>
      </c>
      <c r="J46" s="10" t="str">
        <f>IF(OR($A46="",9&gt;Controls!$B$6),"",MOD(T45*48271,2147483647))</f>
        <v/>
      </c>
      <c r="K46" s="10" t="str">
        <f>IF(OR($A46="",10&gt;Controls!$B$6),"",MOD(U45*48271,2147483647))</f>
        <v/>
      </c>
      <c r="L46" s="10">
        <f t="shared" ref="L46:U46" si="45">IF(B46="","",MOD(B46*48271,2147483647))</f>
        <v>1334030600</v>
      </c>
      <c r="M46" s="10">
        <f t="shared" si="45"/>
        <v>46772782</v>
      </c>
      <c r="N46" s="10">
        <f t="shared" si="45"/>
        <v>906998611</v>
      </c>
      <c r="O46" s="10" t="str">
        <f t="shared" si="45"/>
        <v/>
      </c>
      <c r="P46" s="10" t="str">
        <f t="shared" si="45"/>
        <v/>
      </c>
      <c r="Q46" s="10" t="str">
        <f t="shared" si="45"/>
        <v/>
      </c>
      <c r="R46" s="10" t="str">
        <f t="shared" si="45"/>
        <v/>
      </c>
      <c r="S46" s="10" t="str">
        <f t="shared" si="45"/>
        <v/>
      </c>
      <c r="T46" s="10" t="str">
        <f t="shared" si="45"/>
        <v/>
      </c>
      <c r="U46" s="10" t="str">
        <f t="shared" si="45"/>
        <v/>
      </c>
      <c r="V46" s="10">
        <f>IF(B46="","",IF(Controls!$B$7="Normal",Controls!$B$8+Controls!$B$9*SQRT(-2*LN(B46/2147483647))*COS(2*PI()*L46/2147483647),Controls!$B$8+(Controls!$B$9-Controls!$B$8)*B46/2147483647))</f>
        <v>42.62959422</v>
      </c>
      <c r="W46" s="10">
        <f>IF(C46="","",IF(Controls!$B$7="Normal",Controls!$B$8+Controls!$B$9*SQRT(-2*LN(C46/2147483647))*COS(2*PI()*M46/2147483647),Controls!$B$8+(Controls!$B$9-Controls!$B$8)*C46/2147483647))</f>
        <v>60.81506528</v>
      </c>
      <c r="X46" s="10">
        <f>IF(D46="","",IF(Controls!$B$7="Normal",Controls!$B$8+Controls!$B$9*SQRT(-2*LN(D46/2147483647))*COS(2*PI()*N46/2147483647),Controls!$B$8+(Controls!$B$9-Controls!$B$8)*D46/2147483647))</f>
        <v>39.70001361</v>
      </c>
      <c r="Y46" s="10" t="str">
        <f>IF(E46="","",IF(Controls!$B$7="Normal",Controls!$B$8+Controls!$B$9*SQRT(-2*LN(E46/2147483647))*COS(2*PI()*O46/2147483647),Controls!$B$8+(Controls!$B$9-Controls!$B$8)*E46/2147483647))</f>
        <v/>
      </c>
      <c r="Z46" s="10" t="str">
        <f>IF(F46="","",IF(Controls!$B$7="Normal",Controls!$B$8+Controls!$B$9*SQRT(-2*LN(F46/2147483647))*COS(2*PI()*P46/2147483647),Controls!$B$8+(Controls!$B$9-Controls!$B$8)*F46/2147483647))</f>
        <v/>
      </c>
      <c r="AA46" s="10" t="str">
        <f>IF(G46="","",IF(Controls!$B$7="Normal",Controls!$B$8+Controls!$B$9*SQRT(-2*LN(G46/2147483647))*COS(2*PI()*Q46/2147483647),Controls!$B$8+(Controls!$B$9-Controls!$B$8)*G46/2147483647))</f>
        <v/>
      </c>
      <c r="AB46" s="10" t="str">
        <f>IF(H46="","",IF(Controls!$B$7="Normal",Controls!$B$8+Controls!$B$9*SQRT(-2*LN(H46/2147483647))*COS(2*PI()*R46/2147483647),Controls!$B$8+(Controls!$B$9-Controls!$B$8)*H46/2147483647))</f>
        <v/>
      </c>
      <c r="AC46" s="10" t="str">
        <f>IF(I46="","",IF(Controls!$B$7="Normal",Controls!$B$8+Controls!$B$9*SQRT(-2*LN(I46/2147483647))*COS(2*PI()*S46/2147483647),Controls!$B$8+(Controls!$B$9-Controls!$B$8)*I46/2147483647))</f>
        <v/>
      </c>
      <c r="AD46" s="10" t="str">
        <f>IF(J46="","",IF(Controls!$B$7="Normal",Controls!$B$8+Controls!$B$9*SQRT(-2*LN(J46/2147483647))*COS(2*PI()*T46/2147483647),Controls!$B$8+(Controls!$B$9-Controls!$B$8)*J46/2147483647))</f>
        <v/>
      </c>
      <c r="AE46" s="10" t="str">
        <f>IF(K46="","",IF(Controls!$B$7="Normal",Controls!$B$8+Controls!$B$9*SQRT(-2*LN(K46/2147483647))*COS(2*PI()*U46/2147483647),Controls!$B$8+(Controls!$B$9-Controls!$B$8)*K46/2147483647))</f>
        <v/>
      </c>
    </row>
    <row r="47" ht="21.0" customHeight="1">
      <c r="A47" s="7">
        <f>IF(46&lt;=Controls!$B$5,Controls!$B$4+45,"")</f>
        <v>73036</v>
      </c>
      <c r="B47" s="10">
        <f>IF(OR($A47="",1&gt;Controls!$B$6),"",MOD(L46*48271,2147483647))</f>
        <v>546453658</v>
      </c>
      <c r="C47" s="10">
        <f>IF(OR($A47="",2&gt;Controls!$B$6),"",MOD(M46*48271,2147483647))</f>
        <v>763646925</v>
      </c>
      <c r="D47" s="10">
        <f>IF(OR($A47="",3&gt;Controls!$B$6),"",MOD(N46*48271,2147483647))</f>
        <v>980840192</v>
      </c>
      <c r="E47" s="10" t="str">
        <f>IF(OR($A47="",4&gt;Controls!$B$6),"",MOD(O46*48271,2147483647))</f>
        <v/>
      </c>
      <c r="F47" s="10" t="str">
        <f>IF(OR($A47="",5&gt;Controls!$B$6),"",MOD(P46*48271,2147483647))</f>
        <v/>
      </c>
      <c r="G47" s="10" t="str">
        <f>IF(OR($A47="",6&gt;Controls!$B$6),"",MOD(Q46*48271,2147483647))</f>
        <v/>
      </c>
      <c r="H47" s="10" t="str">
        <f>IF(OR($A47="",7&gt;Controls!$B$6),"",MOD(R46*48271,2147483647))</f>
        <v/>
      </c>
      <c r="I47" s="10" t="str">
        <f>IF(OR($A47="",8&gt;Controls!$B$6),"",MOD(S46*48271,2147483647))</f>
        <v/>
      </c>
      <c r="J47" s="10" t="str">
        <f>IF(OR($A47="",9&gt;Controls!$B$6),"",MOD(T46*48271,2147483647))</f>
        <v/>
      </c>
      <c r="K47" s="10" t="str">
        <f>IF(OR($A47="",10&gt;Controls!$B$6),"",MOD(U46*48271,2147483647))</f>
        <v/>
      </c>
      <c r="L47" s="10">
        <f t="shared" ref="L47:U47" si="46">IF(B47="","",MOD(B47*48271,2147483647))</f>
        <v>322889217</v>
      </c>
      <c r="M47" s="10">
        <f t="shared" si="46"/>
        <v>443915920</v>
      </c>
      <c r="N47" s="10">
        <f t="shared" si="46"/>
        <v>564942623</v>
      </c>
      <c r="O47" s="10" t="str">
        <f t="shared" si="46"/>
        <v/>
      </c>
      <c r="P47" s="10" t="str">
        <f t="shared" si="46"/>
        <v/>
      </c>
      <c r="Q47" s="10" t="str">
        <f t="shared" si="46"/>
        <v/>
      </c>
      <c r="R47" s="10" t="str">
        <f t="shared" si="46"/>
        <v/>
      </c>
      <c r="S47" s="10" t="str">
        <f t="shared" si="46"/>
        <v/>
      </c>
      <c r="T47" s="10" t="str">
        <f t="shared" si="46"/>
        <v/>
      </c>
      <c r="U47" s="10" t="str">
        <f t="shared" si="46"/>
        <v/>
      </c>
      <c r="V47" s="10">
        <f>IF(B47="","",IF(Controls!$B$7="Normal",Controls!$B$8+Controls!$B$9*SQRT(-2*LN(B47/2147483647))*COS(2*PI()*L47/2147483647),Controls!$B$8+(Controls!$B$9-Controls!$B$8)*B47/2147483647))</f>
        <v>59.69456505</v>
      </c>
      <c r="W47" s="10">
        <f>IF(C47="","",IF(Controls!$B$7="Normal",Controls!$B$8+Controls!$B$9*SQRT(-2*LN(C47/2147483647))*COS(2*PI()*M47/2147483647),Controls!$B$8+(Controls!$B$9-Controls!$B$8)*C47/2147483647))</f>
        <v>53.86295355</v>
      </c>
      <c r="X47" s="10">
        <f>IF(D47="","",IF(Controls!$B$7="Normal",Controls!$B$8+Controls!$B$9*SQRT(-2*LN(D47/2147483647))*COS(2*PI()*N47/2147483647),Controls!$B$8+(Controls!$B$9-Controls!$B$8)*D47/2147483647))</f>
        <v>48.97291949</v>
      </c>
      <c r="Y47" s="10" t="str">
        <f>IF(E47="","",IF(Controls!$B$7="Normal",Controls!$B$8+Controls!$B$9*SQRT(-2*LN(E47/2147483647))*COS(2*PI()*O47/2147483647),Controls!$B$8+(Controls!$B$9-Controls!$B$8)*E47/2147483647))</f>
        <v/>
      </c>
      <c r="Z47" s="10" t="str">
        <f>IF(F47="","",IF(Controls!$B$7="Normal",Controls!$B$8+Controls!$B$9*SQRT(-2*LN(F47/2147483647))*COS(2*PI()*P47/2147483647),Controls!$B$8+(Controls!$B$9-Controls!$B$8)*F47/2147483647))</f>
        <v/>
      </c>
      <c r="AA47" s="10" t="str">
        <f>IF(G47="","",IF(Controls!$B$7="Normal",Controls!$B$8+Controls!$B$9*SQRT(-2*LN(G47/2147483647))*COS(2*PI()*Q47/2147483647),Controls!$B$8+(Controls!$B$9-Controls!$B$8)*G47/2147483647))</f>
        <v/>
      </c>
      <c r="AB47" s="10" t="str">
        <f>IF(H47="","",IF(Controls!$B$7="Normal",Controls!$B$8+Controls!$B$9*SQRT(-2*LN(H47/2147483647))*COS(2*PI()*R47/2147483647),Controls!$B$8+(Controls!$B$9-Controls!$B$8)*H47/2147483647))</f>
        <v/>
      </c>
      <c r="AC47" s="10" t="str">
        <f>IF(I47="","",IF(Controls!$B$7="Normal",Controls!$B$8+Controls!$B$9*SQRT(-2*LN(I47/2147483647))*COS(2*PI()*S47/2147483647),Controls!$B$8+(Controls!$B$9-Controls!$B$8)*I47/2147483647))</f>
        <v/>
      </c>
      <c r="AD47" s="10" t="str">
        <f>IF(J47="","",IF(Controls!$B$7="Normal",Controls!$B$8+Controls!$B$9*SQRT(-2*LN(J47/2147483647))*COS(2*PI()*T47/2147483647),Controls!$B$8+(Controls!$B$9-Controls!$B$8)*J47/2147483647))</f>
        <v/>
      </c>
      <c r="AE47" s="10" t="str">
        <f>IF(K47="","",IF(Controls!$B$7="Normal",Controls!$B$8+Controls!$B$9*SQRT(-2*LN(K47/2147483647))*COS(2*PI()*U47/2147483647),Controls!$B$8+(Controls!$B$9-Controls!$B$8)*K47/2147483647))</f>
        <v/>
      </c>
    </row>
    <row r="48" ht="21.0" customHeight="1">
      <c r="A48" s="7">
        <f>IF(47&lt;=Controls!$B$5,Controls!$B$4+46,"")</f>
        <v>73037</v>
      </c>
      <c r="B48" s="10">
        <f>IF(OR($A48="",1&gt;Controls!$B$6),"",MOD(L47*48271,2147483647))</f>
        <v>1896567528</v>
      </c>
      <c r="C48" s="10">
        <f>IF(OR($A48="",2&gt;Controls!$B$6),"",MOD(M47*48271,2147483647))</f>
        <v>673544554</v>
      </c>
      <c r="D48" s="10">
        <f>IF(OR($A48="",3&gt;Controls!$B$6),"",MOD(N47*48271,2147483647))</f>
        <v>1598005227</v>
      </c>
      <c r="E48" s="10" t="str">
        <f>IF(OR($A48="",4&gt;Controls!$B$6),"",MOD(O47*48271,2147483647))</f>
        <v/>
      </c>
      <c r="F48" s="10" t="str">
        <f>IF(OR($A48="",5&gt;Controls!$B$6),"",MOD(P47*48271,2147483647))</f>
        <v/>
      </c>
      <c r="G48" s="10" t="str">
        <f>IF(OR($A48="",6&gt;Controls!$B$6),"",MOD(Q47*48271,2147483647))</f>
        <v/>
      </c>
      <c r="H48" s="10" t="str">
        <f>IF(OR($A48="",7&gt;Controls!$B$6),"",MOD(R47*48271,2147483647))</f>
        <v/>
      </c>
      <c r="I48" s="10" t="str">
        <f>IF(OR($A48="",8&gt;Controls!$B$6),"",MOD(S47*48271,2147483647))</f>
        <v/>
      </c>
      <c r="J48" s="10" t="str">
        <f>IF(OR($A48="",9&gt;Controls!$B$6),"",MOD(T47*48271,2147483647))</f>
        <v/>
      </c>
      <c r="K48" s="10" t="str">
        <f>IF(OR($A48="",10&gt;Controls!$B$6),"",MOD(U47*48271,2147483647))</f>
        <v/>
      </c>
      <c r="L48" s="10">
        <f t="shared" ref="L48:U48" si="47">IF(B48="","",MOD(B48*48271,2147483647))</f>
        <v>1983272478</v>
      </c>
      <c r="M48" s="10">
        <f t="shared" si="47"/>
        <v>1914234201</v>
      </c>
      <c r="N48" s="10">
        <f t="shared" si="47"/>
        <v>1845195924</v>
      </c>
      <c r="O48" s="10" t="str">
        <f t="shared" si="47"/>
        <v/>
      </c>
      <c r="P48" s="10" t="str">
        <f t="shared" si="47"/>
        <v/>
      </c>
      <c r="Q48" s="10" t="str">
        <f t="shared" si="47"/>
        <v/>
      </c>
      <c r="R48" s="10" t="str">
        <f t="shared" si="47"/>
        <v/>
      </c>
      <c r="S48" s="10" t="str">
        <f t="shared" si="47"/>
        <v/>
      </c>
      <c r="T48" s="10" t="str">
        <f t="shared" si="47"/>
        <v/>
      </c>
      <c r="U48" s="10" t="str">
        <f t="shared" si="47"/>
        <v/>
      </c>
      <c r="V48" s="10">
        <f>IF(B48="","",IF(Controls!$B$7="Normal",Controls!$B$8+Controls!$B$9*SQRT(-2*LN(B48/2147483647))*COS(2*PI()*L48/2147483647),Controls!$B$8+(Controls!$B$9-Controls!$B$8)*B48/2147483647))</f>
        <v>54.42062094</v>
      </c>
      <c r="W48" s="10">
        <f>IF(C48="","",IF(Controls!$B$7="Normal",Controls!$B$8+Controls!$B$9*SQRT(-2*LN(C48/2147483647))*COS(2*PI()*M48/2147483647),Controls!$B$8+(Controls!$B$9-Controls!$B$8)*C48/2147483647))</f>
        <v>61.8175792</v>
      </c>
      <c r="X48" s="10">
        <f>IF(D48="","",IF(Controls!$B$7="Normal",Controls!$B$8+Controls!$B$9*SQRT(-2*LN(D48/2147483647))*COS(2*PI()*N48/2147483647),Controls!$B$8+(Controls!$B$9-Controls!$B$8)*D48/2147483647))</f>
        <v>54.87214972</v>
      </c>
      <c r="Y48" s="10" t="str">
        <f>IF(E48="","",IF(Controls!$B$7="Normal",Controls!$B$8+Controls!$B$9*SQRT(-2*LN(E48/2147483647))*COS(2*PI()*O48/2147483647),Controls!$B$8+(Controls!$B$9-Controls!$B$8)*E48/2147483647))</f>
        <v/>
      </c>
      <c r="Z48" s="10" t="str">
        <f>IF(F48="","",IF(Controls!$B$7="Normal",Controls!$B$8+Controls!$B$9*SQRT(-2*LN(F48/2147483647))*COS(2*PI()*P48/2147483647),Controls!$B$8+(Controls!$B$9-Controls!$B$8)*F48/2147483647))</f>
        <v/>
      </c>
      <c r="AA48" s="10" t="str">
        <f>IF(G48="","",IF(Controls!$B$7="Normal",Controls!$B$8+Controls!$B$9*SQRT(-2*LN(G48/2147483647))*COS(2*PI()*Q48/2147483647),Controls!$B$8+(Controls!$B$9-Controls!$B$8)*G48/2147483647))</f>
        <v/>
      </c>
      <c r="AB48" s="10" t="str">
        <f>IF(H48="","",IF(Controls!$B$7="Normal",Controls!$B$8+Controls!$B$9*SQRT(-2*LN(H48/2147483647))*COS(2*PI()*R48/2147483647),Controls!$B$8+(Controls!$B$9-Controls!$B$8)*H48/2147483647))</f>
        <v/>
      </c>
      <c r="AC48" s="10" t="str">
        <f>IF(I48="","",IF(Controls!$B$7="Normal",Controls!$B$8+Controls!$B$9*SQRT(-2*LN(I48/2147483647))*COS(2*PI()*S48/2147483647),Controls!$B$8+(Controls!$B$9-Controls!$B$8)*I48/2147483647))</f>
        <v/>
      </c>
      <c r="AD48" s="10" t="str">
        <f>IF(J48="","",IF(Controls!$B$7="Normal",Controls!$B$8+Controls!$B$9*SQRT(-2*LN(J48/2147483647))*COS(2*PI()*T48/2147483647),Controls!$B$8+(Controls!$B$9-Controls!$B$8)*J48/2147483647))</f>
        <v/>
      </c>
      <c r="AE48" s="10" t="str">
        <f>IF(K48="","",IF(Controls!$B$7="Normal",Controls!$B$8+Controls!$B$9*SQRT(-2*LN(K48/2147483647))*COS(2*PI()*U48/2147483647),Controls!$B$8+(Controls!$B$9-Controls!$B$8)*K48/2147483647))</f>
        <v/>
      </c>
    </row>
    <row r="49" ht="21.0" customHeight="1">
      <c r="A49" s="7">
        <f>IF(48&lt;=Controls!$B$5,Controls!$B$4+47,"")</f>
        <v>73038</v>
      </c>
      <c r="B49" s="10">
        <f>IF(OR($A49="",1&gt;Controls!$B$6),"",MOD(L48*48271,2147483647))</f>
        <v>1872285925</v>
      </c>
      <c r="C49" s="10">
        <f>IF(OR($A49="",2&gt;Controls!$B$6),"",MOD(M48*48271,2147483647))</f>
        <v>72753355</v>
      </c>
      <c r="D49" s="10">
        <f>IF(OR($A49="",3&gt;Controls!$B$6),"",MOD(N48*48271,2147483647))</f>
        <v>420704432</v>
      </c>
      <c r="E49" s="10" t="str">
        <f>IF(OR($A49="",4&gt;Controls!$B$6),"",MOD(O48*48271,2147483647))</f>
        <v/>
      </c>
      <c r="F49" s="10" t="str">
        <f>IF(OR($A49="",5&gt;Controls!$B$6),"",MOD(P48*48271,2147483647))</f>
        <v/>
      </c>
      <c r="G49" s="10" t="str">
        <f>IF(OR($A49="",6&gt;Controls!$B$6),"",MOD(Q48*48271,2147483647))</f>
        <v/>
      </c>
      <c r="H49" s="10" t="str">
        <f>IF(OR($A49="",7&gt;Controls!$B$6),"",MOD(R48*48271,2147483647))</f>
        <v/>
      </c>
      <c r="I49" s="10" t="str">
        <f>IF(OR($A49="",8&gt;Controls!$B$6),"",MOD(S48*48271,2147483647))</f>
        <v/>
      </c>
      <c r="J49" s="10" t="str">
        <f>IF(OR($A49="",9&gt;Controls!$B$6),"",MOD(T48*48271,2147483647))</f>
        <v/>
      </c>
      <c r="K49" s="10" t="str">
        <f>IF(OR($A49="",10&gt;Controls!$B$6),"",MOD(U48*48271,2147483647))</f>
        <v/>
      </c>
      <c r="L49" s="10">
        <f t="shared" ref="L49:U49" si="48">IF(B49="","",MOD(B49*48271,2147483647))</f>
        <v>264601680</v>
      </c>
      <c r="M49" s="10">
        <f t="shared" si="48"/>
        <v>741436360</v>
      </c>
      <c r="N49" s="10">
        <f t="shared" si="48"/>
        <v>1218271040</v>
      </c>
      <c r="O49" s="10" t="str">
        <f t="shared" si="48"/>
        <v/>
      </c>
      <c r="P49" s="10" t="str">
        <f t="shared" si="48"/>
        <v/>
      </c>
      <c r="Q49" s="10" t="str">
        <f t="shared" si="48"/>
        <v/>
      </c>
      <c r="R49" s="10" t="str">
        <f t="shared" si="48"/>
        <v/>
      </c>
      <c r="S49" s="10" t="str">
        <f t="shared" si="48"/>
        <v/>
      </c>
      <c r="T49" s="10" t="str">
        <f t="shared" si="48"/>
        <v/>
      </c>
      <c r="U49" s="10" t="str">
        <f t="shared" si="48"/>
        <v/>
      </c>
      <c r="V49" s="10">
        <f>IF(B49="","",IF(Controls!$B$7="Normal",Controls!$B$8+Controls!$B$9*SQRT(-2*LN(B49/2147483647))*COS(2*PI()*L49/2147483647),Controls!$B$8+(Controls!$B$9-Controls!$B$8)*B49/2147483647))</f>
        <v>53.74450159</v>
      </c>
      <c r="W49" s="10">
        <f>IF(C49="","",IF(Controls!$B$7="Normal",Controls!$B$8+Controls!$B$9*SQRT(-2*LN(C49/2147483647))*COS(2*PI()*M49/2147483647),Controls!$B$8+(Controls!$B$9-Controls!$B$8)*C49/2147483647))</f>
        <v>35.34018227</v>
      </c>
      <c r="X49" s="10">
        <f>IF(D49="","",IF(Controls!$B$7="Normal",Controls!$B$8+Controls!$B$9*SQRT(-2*LN(D49/2147483647))*COS(2*PI()*N49/2147483647),Controls!$B$8+(Controls!$B$9-Controls!$B$8)*D49/2147483647))</f>
        <v>33.5343251</v>
      </c>
      <c r="Y49" s="10" t="str">
        <f>IF(E49="","",IF(Controls!$B$7="Normal",Controls!$B$8+Controls!$B$9*SQRT(-2*LN(E49/2147483647))*COS(2*PI()*O49/2147483647),Controls!$B$8+(Controls!$B$9-Controls!$B$8)*E49/2147483647))</f>
        <v/>
      </c>
      <c r="Z49" s="10" t="str">
        <f>IF(F49="","",IF(Controls!$B$7="Normal",Controls!$B$8+Controls!$B$9*SQRT(-2*LN(F49/2147483647))*COS(2*PI()*P49/2147483647),Controls!$B$8+(Controls!$B$9-Controls!$B$8)*F49/2147483647))</f>
        <v/>
      </c>
      <c r="AA49" s="10" t="str">
        <f>IF(G49="","",IF(Controls!$B$7="Normal",Controls!$B$8+Controls!$B$9*SQRT(-2*LN(G49/2147483647))*COS(2*PI()*Q49/2147483647),Controls!$B$8+(Controls!$B$9-Controls!$B$8)*G49/2147483647))</f>
        <v/>
      </c>
      <c r="AB49" s="10" t="str">
        <f>IF(H49="","",IF(Controls!$B$7="Normal",Controls!$B$8+Controls!$B$9*SQRT(-2*LN(H49/2147483647))*COS(2*PI()*R49/2147483647),Controls!$B$8+(Controls!$B$9-Controls!$B$8)*H49/2147483647))</f>
        <v/>
      </c>
      <c r="AC49" s="10" t="str">
        <f>IF(I49="","",IF(Controls!$B$7="Normal",Controls!$B$8+Controls!$B$9*SQRT(-2*LN(I49/2147483647))*COS(2*PI()*S49/2147483647),Controls!$B$8+(Controls!$B$9-Controls!$B$8)*I49/2147483647))</f>
        <v/>
      </c>
      <c r="AD49" s="10" t="str">
        <f>IF(J49="","",IF(Controls!$B$7="Normal",Controls!$B$8+Controls!$B$9*SQRT(-2*LN(J49/2147483647))*COS(2*PI()*T49/2147483647),Controls!$B$8+(Controls!$B$9-Controls!$B$8)*J49/2147483647))</f>
        <v/>
      </c>
      <c r="AE49" s="10" t="str">
        <f>IF(K49="","",IF(Controls!$B$7="Normal",Controls!$B$8+Controls!$B$9*SQRT(-2*LN(K49/2147483647))*COS(2*PI()*U49/2147483647),Controls!$B$8+(Controls!$B$9-Controls!$B$8)*K49/2147483647))</f>
        <v/>
      </c>
    </row>
    <row r="50" ht="21.0" customHeight="1">
      <c r="A50" s="7">
        <f>IF(49&lt;=Controls!$B$5,Controls!$B$4+48,"")</f>
        <v>73039</v>
      </c>
      <c r="B50" s="10">
        <f>IF(OR($A50="",1&gt;Controls!$B$6),"",MOD(L49*48271,2147483647))</f>
        <v>1502446571</v>
      </c>
      <c r="C50" s="10">
        <f>IF(OR($A50="",2&gt;Controls!$B$6),"",MOD(M49*48271,2147483647))</f>
        <v>2059556305</v>
      </c>
      <c r="D50" s="10">
        <f>IF(OR($A50="",3&gt;Controls!$B$6),"",MOD(N49*48271,2147483647))</f>
        <v>469182392</v>
      </c>
      <c r="E50" s="10" t="str">
        <f>IF(OR($A50="",4&gt;Controls!$B$6),"",MOD(O49*48271,2147483647))</f>
        <v/>
      </c>
      <c r="F50" s="10" t="str">
        <f>IF(OR($A50="",5&gt;Controls!$B$6),"",MOD(P49*48271,2147483647))</f>
        <v/>
      </c>
      <c r="G50" s="10" t="str">
        <f>IF(OR($A50="",6&gt;Controls!$B$6),"",MOD(Q49*48271,2147483647))</f>
        <v/>
      </c>
      <c r="H50" s="10" t="str">
        <f>IF(OR($A50="",7&gt;Controls!$B$6),"",MOD(R49*48271,2147483647))</f>
        <v/>
      </c>
      <c r="I50" s="10" t="str">
        <f>IF(OR($A50="",8&gt;Controls!$B$6),"",MOD(S49*48271,2147483647))</f>
        <v/>
      </c>
      <c r="J50" s="10" t="str">
        <f>IF(OR($A50="",9&gt;Controls!$B$6),"",MOD(T49*48271,2147483647))</f>
        <v/>
      </c>
      <c r="K50" s="10" t="str">
        <f>IF(OR($A50="",10&gt;Controls!$B$6),"",MOD(U49*48271,2147483647))</f>
        <v/>
      </c>
      <c r="L50" s="10">
        <f t="shared" ref="L50:U50" si="49">IF(B50="","",MOD(B50*48271,2147483647))</f>
        <v>1928185904</v>
      </c>
      <c r="M50" s="10">
        <f t="shared" si="49"/>
        <v>1234444437</v>
      </c>
      <c r="N50" s="10">
        <f t="shared" si="49"/>
        <v>540702970</v>
      </c>
      <c r="O50" s="10" t="str">
        <f t="shared" si="49"/>
        <v/>
      </c>
      <c r="P50" s="10" t="str">
        <f t="shared" si="49"/>
        <v/>
      </c>
      <c r="Q50" s="10" t="str">
        <f t="shared" si="49"/>
        <v/>
      </c>
      <c r="R50" s="10" t="str">
        <f t="shared" si="49"/>
        <v/>
      </c>
      <c r="S50" s="10" t="str">
        <f t="shared" si="49"/>
        <v/>
      </c>
      <c r="T50" s="10" t="str">
        <f t="shared" si="49"/>
        <v/>
      </c>
      <c r="U50" s="10" t="str">
        <f t="shared" si="49"/>
        <v/>
      </c>
      <c r="V50" s="10">
        <f>IF(B50="","",IF(Controls!$B$7="Normal",Controls!$B$8+Controls!$B$9*SQRT(-2*LN(B50/2147483647))*COS(2*PI()*L50/2147483647),Controls!$B$8+(Controls!$B$9-Controls!$B$8)*B50/2147483647))</f>
        <v>56.77127412</v>
      </c>
      <c r="W50" s="10">
        <f>IF(C50="","",IF(Controls!$B$7="Normal",Controls!$B$8+Controls!$B$9*SQRT(-2*LN(C50/2147483647))*COS(2*PI()*M50/2147483647),Controls!$B$8+(Controls!$B$9-Controls!$B$8)*C50/2147483647))</f>
        <v>47.42220684</v>
      </c>
      <c r="X50" s="10">
        <f>IF(D50="","",IF(Controls!$B$7="Normal",Controls!$B$8+Controls!$B$9*SQRT(-2*LN(D50/2147483647))*COS(2*PI()*N50/2147483647),Controls!$B$8+(Controls!$B$9-Controls!$B$8)*D50/2147483647))</f>
        <v>49.80444846</v>
      </c>
      <c r="Y50" s="10" t="str">
        <f>IF(E50="","",IF(Controls!$B$7="Normal",Controls!$B$8+Controls!$B$9*SQRT(-2*LN(E50/2147483647))*COS(2*PI()*O50/2147483647),Controls!$B$8+(Controls!$B$9-Controls!$B$8)*E50/2147483647))</f>
        <v/>
      </c>
      <c r="Z50" s="10" t="str">
        <f>IF(F50="","",IF(Controls!$B$7="Normal",Controls!$B$8+Controls!$B$9*SQRT(-2*LN(F50/2147483647))*COS(2*PI()*P50/2147483647),Controls!$B$8+(Controls!$B$9-Controls!$B$8)*F50/2147483647))</f>
        <v/>
      </c>
      <c r="AA50" s="10" t="str">
        <f>IF(G50="","",IF(Controls!$B$7="Normal",Controls!$B$8+Controls!$B$9*SQRT(-2*LN(G50/2147483647))*COS(2*PI()*Q50/2147483647),Controls!$B$8+(Controls!$B$9-Controls!$B$8)*G50/2147483647))</f>
        <v/>
      </c>
      <c r="AB50" s="10" t="str">
        <f>IF(H50="","",IF(Controls!$B$7="Normal",Controls!$B$8+Controls!$B$9*SQRT(-2*LN(H50/2147483647))*COS(2*PI()*R50/2147483647),Controls!$B$8+(Controls!$B$9-Controls!$B$8)*H50/2147483647))</f>
        <v/>
      </c>
      <c r="AC50" s="10" t="str">
        <f>IF(I50="","",IF(Controls!$B$7="Normal",Controls!$B$8+Controls!$B$9*SQRT(-2*LN(I50/2147483647))*COS(2*PI()*S50/2147483647),Controls!$B$8+(Controls!$B$9-Controls!$B$8)*I50/2147483647))</f>
        <v/>
      </c>
      <c r="AD50" s="10" t="str">
        <f>IF(J50="","",IF(Controls!$B$7="Normal",Controls!$B$8+Controls!$B$9*SQRT(-2*LN(J50/2147483647))*COS(2*PI()*T50/2147483647),Controls!$B$8+(Controls!$B$9-Controls!$B$8)*J50/2147483647))</f>
        <v/>
      </c>
      <c r="AE50" s="10" t="str">
        <f>IF(K50="","",IF(Controls!$B$7="Normal",Controls!$B$8+Controls!$B$9*SQRT(-2*LN(K50/2147483647))*COS(2*PI()*U50/2147483647),Controls!$B$8+(Controls!$B$9-Controls!$B$8)*K50/2147483647))</f>
        <v/>
      </c>
    </row>
    <row r="51" ht="21.0" customHeight="1">
      <c r="A51" s="7">
        <f>IF(50&lt;=Controls!$B$5,Controls!$B$4+49,"")</f>
        <v>73040</v>
      </c>
      <c r="B51" s="10">
        <f>IF(OR($A51="",1&gt;Controls!$B$6),"",MOD(L50*48271,2147483647))</f>
        <v>1373027357</v>
      </c>
      <c r="C51" s="10">
        <f>IF(OR($A51="",2&gt;Controls!$B$6),"",MOD(M50*48271,2147483647))</f>
        <v>1638665118</v>
      </c>
      <c r="D51" s="10">
        <f>IF(OR($A51="",3&gt;Controls!$B$6),"",MOD(N50*48271,2147483647))</f>
        <v>1904302879</v>
      </c>
      <c r="E51" s="10" t="str">
        <f>IF(OR($A51="",4&gt;Controls!$B$6),"",MOD(O50*48271,2147483647))</f>
        <v/>
      </c>
      <c r="F51" s="10" t="str">
        <f>IF(OR($A51="",5&gt;Controls!$B$6),"",MOD(P50*48271,2147483647))</f>
        <v/>
      </c>
      <c r="G51" s="10" t="str">
        <f>IF(OR($A51="",6&gt;Controls!$B$6),"",MOD(Q50*48271,2147483647))</f>
        <v/>
      </c>
      <c r="H51" s="10" t="str">
        <f>IF(OR($A51="",7&gt;Controls!$B$6),"",MOD(R50*48271,2147483647))</f>
        <v/>
      </c>
      <c r="I51" s="10" t="str">
        <f>IF(OR($A51="",8&gt;Controls!$B$6),"",MOD(S50*48271,2147483647))</f>
        <v/>
      </c>
      <c r="J51" s="10" t="str">
        <f>IF(OR($A51="",9&gt;Controls!$B$6),"",MOD(T50*48271,2147483647))</f>
        <v/>
      </c>
      <c r="K51" s="10" t="str">
        <f>IF(OR($A51="",10&gt;Controls!$B$6),"",MOD(U50*48271,2147483647))</f>
        <v/>
      </c>
      <c r="L51" s="10">
        <f t="shared" ref="L51:U51" si="50">IF(B51="","",MOD(B51*48271,2147483647))</f>
        <v>1763236033</v>
      </c>
      <c r="M51" s="10">
        <f t="shared" si="50"/>
        <v>1738741027</v>
      </c>
      <c r="N51" s="10">
        <f t="shared" si="50"/>
        <v>1714246021</v>
      </c>
      <c r="O51" s="10" t="str">
        <f t="shared" si="50"/>
        <v/>
      </c>
      <c r="P51" s="10" t="str">
        <f t="shared" si="50"/>
        <v/>
      </c>
      <c r="Q51" s="10" t="str">
        <f t="shared" si="50"/>
        <v/>
      </c>
      <c r="R51" s="10" t="str">
        <f t="shared" si="50"/>
        <v/>
      </c>
      <c r="S51" s="10" t="str">
        <f t="shared" si="50"/>
        <v/>
      </c>
      <c r="T51" s="10" t="str">
        <f t="shared" si="50"/>
        <v/>
      </c>
      <c r="U51" s="10" t="str">
        <f t="shared" si="50"/>
        <v/>
      </c>
      <c r="V51" s="10">
        <f>IF(B51="","",IF(Controls!$B$7="Normal",Controls!$B$8+Controls!$B$9*SQRT(-2*LN(B51/2147483647))*COS(2*PI()*L51/2147483647),Controls!$B$8+(Controls!$B$9-Controls!$B$8)*B51/2147483647))</f>
        <v>54.08454958</v>
      </c>
      <c r="W51" s="10">
        <f>IF(C51="","",IF(Controls!$B$7="Normal",Controls!$B$8+Controls!$B$9*SQRT(-2*LN(C51/2147483647))*COS(2*PI()*M51/2147483647),Controls!$B$8+(Controls!$B$9-Controls!$B$8)*C51/2147483647))</f>
        <v>52.69280429</v>
      </c>
      <c r="X51" s="10">
        <f>IF(D51="","",IF(Controls!$B$7="Normal",Controls!$B$8+Controls!$B$9*SQRT(-2*LN(D51/2147483647))*COS(2*PI()*N51/2147483647),Controls!$B$8+(Controls!$B$9-Controls!$B$8)*D51/2147483647))</f>
        <v>51.46388339</v>
      </c>
      <c r="Y51" s="10" t="str">
        <f>IF(E51="","",IF(Controls!$B$7="Normal",Controls!$B$8+Controls!$B$9*SQRT(-2*LN(E51/2147483647))*COS(2*PI()*O51/2147483647),Controls!$B$8+(Controls!$B$9-Controls!$B$8)*E51/2147483647))</f>
        <v/>
      </c>
      <c r="Z51" s="10" t="str">
        <f>IF(F51="","",IF(Controls!$B$7="Normal",Controls!$B$8+Controls!$B$9*SQRT(-2*LN(F51/2147483647))*COS(2*PI()*P51/2147483647),Controls!$B$8+(Controls!$B$9-Controls!$B$8)*F51/2147483647))</f>
        <v/>
      </c>
      <c r="AA51" s="10" t="str">
        <f>IF(G51="","",IF(Controls!$B$7="Normal",Controls!$B$8+Controls!$B$9*SQRT(-2*LN(G51/2147483647))*COS(2*PI()*Q51/2147483647),Controls!$B$8+(Controls!$B$9-Controls!$B$8)*G51/2147483647))</f>
        <v/>
      </c>
      <c r="AB51" s="10" t="str">
        <f>IF(H51="","",IF(Controls!$B$7="Normal",Controls!$B$8+Controls!$B$9*SQRT(-2*LN(H51/2147483647))*COS(2*PI()*R51/2147483647),Controls!$B$8+(Controls!$B$9-Controls!$B$8)*H51/2147483647))</f>
        <v/>
      </c>
      <c r="AC51" s="10" t="str">
        <f>IF(I51="","",IF(Controls!$B$7="Normal",Controls!$B$8+Controls!$B$9*SQRT(-2*LN(I51/2147483647))*COS(2*PI()*S51/2147483647),Controls!$B$8+(Controls!$B$9-Controls!$B$8)*I51/2147483647))</f>
        <v/>
      </c>
      <c r="AD51" s="10" t="str">
        <f>IF(J51="","",IF(Controls!$B$7="Normal",Controls!$B$8+Controls!$B$9*SQRT(-2*LN(J51/2147483647))*COS(2*PI()*T51/2147483647),Controls!$B$8+(Controls!$B$9-Controls!$B$8)*J51/2147483647))</f>
        <v/>
      </c>
      <c r="AE51" s="10" t="str">
        <f>IF(K51="","",IF(Controls!$B$7="Normal",Controls!$B$8+Controls!$B$9*SQRT(-2*LN(K51/2147483647))*COS(2*PI()*U51/2147483647),Controls!$B$8+(Controls!$B$9-Controls!$B$8)*K51/2147483647))</f>
        <v/>
      </c>
    </row>
    <row r="52" ht="21.0" customHeight="1">
      <c r="A52" s="7">
        <f>IF(51&lt;=Controls!$B$5,Controls!$B$4+50,"")</f>
        <v>73041</v>
      </c>
      <c r="B52" s="10">
        <f>IF(OR($A52="",1&gt;Controls!$B$6),"",MOD(L51*48271,2147483647))</f>
        <v>1947167392</v>
      </c>
      <c r="C52" s="10">
        <f>IF(OR($A52="",2&gt;Controls!$B$6),"",MOD(M51*48271,2147483647))</f>
        <v>664738616</v>
      </c>
      <c r="D52" s="10">
        <f>IF(OR($A52="",3&gt;Controls!$B$6),"",MOD(N51*48271,2147483647))</f>
        <v>1529793487</v>
      </c>
      <c r="E52" s="10" t="str">
        <f>IF(OR($A52="",4&gt;Controls!$B$6),"",MOD(O51*48271,2147483647))</f>
        <v/>
      </c>
      <c r="F52" s="10" t="str">
        <f>IF(OR($A52="",5&gt;Controls!$B$6),"",MOD(P51*48271,2147483647))</f>
        <v/>
      </c>
      <c r="G52" s="10" t="str">
        <f>IF(OR($A52="",6&gt;Controls!$B$6),"",MOD(Q51*48271,2147483647))</f>
        <v/>
      </c>
      <c r="H52" s="10" t="str">
        <f>IF(OR($A52="",7&gt;Controls!$B$6),"",MOD(R51*48271,2147483647))</f>
        <v/>
      </c>
      <c r="I52" s="10" t="str">
        <f>IF(OR($A52="",8&gt;Controls!$B$6),"",MOD(S51*48271,2147483647))</f>
        <v/>
      </c>
      <c r="J52" s="10" t="str">
        <f>IF(OR($A52="",9&gt;Controls!$B$6),"",MOD(T51*48271,2147483647))</f>
        <v/>
      </c>
      <c r="K52" s="10" t="str">
        <f>IF(OR($A52="",10&gt;Controls!$B$6),"",MOD(U51*48271,2147483647))</f>
        <v/>
      </c>
      <c r="L52" s="10">
        <f t="shared" ref="L52:U52" si="51">IF(B52="","",MOD(B52*48271,2147483647))</f>
        <v>652917336</v>
      </c>
      <c r="M52" s="10">
        <f t="shared" si="51"/>
        <v>2044563109</v>
      </c>
      <c r="N52" s="10">
        <f t="shared" si="51"/>
        <v>1288725235</v>
      </c>
      <c r="O52" s="10" t="str">
        <f t="shared" si="51"/>
        <v/>
      </c>
      <c r="P52" s="10" t="str">
        <f t="shared" si="51"/>
        <v/>
      </c>
      <c r="Q52" s="10" t="str">
        <f t="shared" si="51"/>
        <v/>
      </c>
      <c r="R52" s="10" t="str">
        <f t="shared" si="51"/>
        <v/>
      </c>
      <c r="S52" s="10" t="str">
        <f t="shared" si="51"/>
        <v/>
      </c>
      <c r="T52" s="10" t="str">
        <f t="shared" si="51"/>
        <v/>
      </c>
      <c r="U52" s="10" t="str">
        <f t="shared" si="51"/>
        <v/>
      </c>
      <c r="V52" s="10">
        <f>IF(B52="","",IF(Controls!$B$7="Normal",Controls!$B$8+Controls!$B$9*SQRT(-2*LN(B52/2147483647))*COS(2*PI()*L52/2147483647),Controls!$B$8+(Controls!$B$9-Controls!$B$8)*B52/2147483647))</f>
        <v>48.52613369</v>
      </c>
      <c r="W52" s="10">
        <f>IF(C52="","",IF(Controls!$B$7="Normal",Controls!$B$8+Controls!$B$9*SQRT(-2*LN(C52/2147483647))*COS(2*PI()*M52/2147483647),Controls!$B$8+(Controls!$B$9-Controls!$B$8)*C52/2147483647))</f>
        <v>64.62531225</v>
      </c>
      <c r="X52" s="10">
        <f>IF(D52="","",IF(Controls!$B$7="Normal",Controls!$B$8+Controls!$B$9*SQRT(-2*LN(D52/2147483647))*COS(2*PI()*N52/2147483647),Controls!$B$8+(Controls!$B$9-Controls!$B$8)*D52/2147483647))</f>
        <v>43.34021252</v>
      </c>
      <c r="Y52" s="10" t="str">
        <f>IF(E52="","",IF(Controls!$B$7="Normal",Controls!$B$8+Controls!$B$9*SQRT(-2*LN(E52/2147483647))*COS(2*PI()*O52/2147483647),Controls!$B$8+(Controls!$B$9-Controls!$B$8)*E52/2147483647))</f>
        <v/>
      </c>
      <c r="Z52" s="10" t="str">
        <f>IF(F52="","",IF(Controls!$B$7="Normal",Controls!$B$8+Controls!$B$9*SQRT(-2*LN(F52/2147483647))*COS(2*PI()*P52/2147483647),Controls!$B$8+(Controls!$B$9-Controls!$B$8)*F52/2147483647))</f>
        <v/>
      </c>
      <c r="AA52" s="10" t="str">
        <f>IF(G52="","",IF(Controls!$B$7="Normal",Controls!$B$8+Controls!$B$9*SQRT(-2*LN(G52/2147483647))*COS(2*PI()*Q52/2147483647),Controls!$B$8+(Controls!$B$9-Controls!$B$8)*G52/2147483647))</f>
        <v/>
      </c>
      <c r="AB52" s="10" t="str">
        <f>IF(H52="","",IF(Controls!$B$7="Normal",Controls!$B$8+Controls!$B$9*SQRT(-2*LN(H52/2147483647))*COS(2*PI()*R52/2147483647),Controls!$B$8+(Controls!$B$9-Controls!$B$8)*H52/2147483647))</f>
        <v/>
      </c>
      <c r="AC52" s="10" t="str">
        <f>IF(I52="","",IF(Controls!$B$7="Normal",Controls!$B$8+Controls!$B$9*SQRT(-2*LN(I52/2147483647))*COS(2*PI()*S52/2147483647),Controls!$B$8+(Controls!$B$9-Controls!$B$8)*I52/2147483647))</f>
        <v/>
      </c>
      <c r="AD52" s="10" t="str">
        <f>IF(J52="","",IF(Controls!$B$7="Normal",Controls!$B$8+Controls!$B$9*SQRT(-2*LN(J52/2147483647))*COS(2*PI()*T52/2147483647),Controls!$B$8+(Controls!$B$9-Controls!$B$8)*J52/2147483647))</f>
        <v/>
      </c>
      <c r="AE52" s="10" t="str">
        <f>IF(K52="","",IF(Controls!$B$7="Normal",Controls!$B$8+Controls!$B$9*SQRT(-2*LN(K52/2147483647))*COS(2*PI()*U52/2147483647),Controls!$B$8+(Controls!$B$9-Controls!$B$8)*K52/2147483647))</f>
        <v/>
      </c>
    </row>
    <row r="53" ht="21.0" customHeight="1">
      <c r="A53" s="7">
        <f>IF(52&lt;=Controls!$B$5,Controls!$B$4+51,"")</f>
        <v>73042</v>
      </c>
      <c r="B53" s="10">
        <f>IF(OR($A53="",1&gt;Controls!$B$6),"",MOD(L52*48271,2147483647))</f>
        <v>502722684</v>
      </c>
      <c r="C53" s="10">
        <f>IF(OR($A53="",2&gt;Controls!$B$6),"",MOD(M52*48271,2147483647))</f>
        <v>1199869360</v>
      </c>
      <c r="D53" s="10">
        <f>IF(OR($A53="",3&gt;Controls!$B$6),"",MOD(N52*48271,2147483647))</f>
        <v>1897016036</v>
      </c>
      <c r="E53" s="10" t="str">
        <f>IF(OR($A53="",4&gt;Controls!$B$6),"",MOD(O52*48271,2147483647))</f>
        <v/>
      </c>
      <c r="F53" s="10" t="str">
        <f>IF(OR($A53="",5&gt;Controls!$B$6),"",MOD(P52*48271,2147483647))</f>
        <v/>
      </c>
      <c r="G53" s="10" t="str">
        <f>IF(OR($A53="",6&gt;Controls!$B$6),"",MOD(Q52*48271,2147483647))</f>
        <v/>
      </c>
      <c r="H53" s="10" t="str">
        <f>IF(OR($A53="",7&gt;Controls!$B$6),"",MOD(R52*48271,2147483647))</f>
        <v/>
      </c>
      <c r="I53" s="10" t="str">
        <f>IF(OR($A53="",8&gt;Controls!$B$6),"",MOD(S52*48271,2147483647))</f>
        <v/>
      </c>
      <c r="J53" s="10" t="str">
        <f>IF(OR($A53="",9&gt;Controls!$B$6),"",MOD(T52*48271,2147483647))</f>
        <v/>
      </c>
      <c r="K53" s="10" t="str">
        <f>IF(OR($A53="",10&gt;Controls!$B$6),"",MOD(U52*48271,2147483647))</f>
        <v/>
      </c>
      <c r="L53" s="10">
        <f t="shared" ref="L53:U53" si="52">IF(B53="","",MOD(B53*48271,2147483647))</f>
        <v>361468264</v>
      </c>
      <c r="M53" s="10">
        <f t="shared" si="52"/>
        <v>1259916970</v>
      </c>
      <c r="N53" s="10">
        <f t="shared" si="52"/>
        <v>10882029</v>
      </c>
      <c r="O53" s="10" t="str">
        <f t="shared" si="52"/>
        <v/>
      </c>
      <c r="P53" s="10" t="str">
        <f t="shared" si="52"/>
        <v/>
      </c>
      <c r="Q53" s="10" t="str">
        <f t="shared" si="52"/>
        <v/>
      </c>
      <c r="R53" s="10" t="str">
        <f t="shared" si="52"/>
        <v/>
      </c>
      <c r="S53" s="10" t="str">
        <f t="shared" si="52"/>
        <v/>
      </c>
      <c r="T53" s="10" t="str">
        <f t="shared" si="52"/>
        <v/>
      </c>
      <c r="U53" s="10" t="str">
        <f t="shared" si="52"/>
        <v/>
      </c>
      <c r="V53" s="10">
        <f>IF(B53="","",IF(Controls!$B$7="Normal",Controls!$B$8+Controls!$B$9*SQRT(-2*LN(B53/2147483647))*COS(2*PI()*L53/2147483647),Controls!$B$8+(Controls!$B$9-Controls!$B$8)*B53/2147483647))</f>
        <v>58.36666949</v>
      </c>
      <c r="W53" s="10">
        <f>IF(C53="","",IF(Controls!$B$7="Normal",Controls!$B$8+Controls!$B$9*SQRT(-2*LN(C53/2147483647))*COS(2*PI()*M53/2147483647),Controls!$B$8+(Controls!$B$9-Controls!$B$8)*C53/2147483647))</f>
        <v>40.77188805</v>
      </c>
      <c r="X53" s="10">
        <f>IF(D53="","",IF(Controls!$B$7="Normal",Controls!$B$8+Controls!$B$9*SQRT(-2*LN(D53/2147483647))*COS(2*PI()*N53/2147483647),Controls!$B$8+(Controls!$B$9-Controls!$B$8)*D53/2147483647))</f>
        <v>54.97772923</v>
      </c>
      <c r="Y53" s="10" t="str">
        <f>IF(E53="","",IF(Controls!$B$7="Normal",Controls!$B$8+Controls!$B$9*SQRT(-2*LN(E53/2147483647))*COS(2*PI()*O53/2147483647),Controls!$B$8+(Controls!$B$9-Controls!$B$8)*E53/2147483647))</f>
        <v/>
      </c>
      <c r="Z53" s="10" t="str">
        <f>IF(F53="","",IF(Controls!$B$7="Normal",Controls!$B$8+Controls!$B$9*SQRT(-2*LN(F53/2147483647))*COS(2*PI()*P53/2147483647),Controls!$B$8+(Controls!$B$9-Controls!$B$8)*F53/2147483647))</f>
        <v/>
      </c>
      <c r="AA53" s="10" t="str">
        <f>IF(G53="","",IF(Controls!$B$7="Normal",Controls!$B$8+Controls!$B$9*SQRT(-2*LN(G53/2147483647))*COS(2*PI()*Q53/2147483647),Controls!$B$8+(Controls!$B$9-Controls!$B$8)*G53/2147483647))</f>
        <v/>
      </c>
      <c r="AB53" s="10" t="str">
        <f>IF(H53="","",IF(Controls!$B$7="Normal",Controls!$B$8+Controls!$B$9*SQRT(-2*LN(H53/2147483647))*COS(2*PI()*R53/2147483647),Controls!$B$8+(Controls!$B$9-Controls!$B$8)*H53/2147483647))</f>
        <v/>
      </c>
      <c r="AC53" s="10" t="str">
        <f>IF(I53="","",IF(Controls!$B$7="Normal",Controls!$B$8+Controls!$B$9*SQRT(-2*LN(I53/2147483647))*COS(2*PI()*S53/2147483647),Controls!$B$8+(Controls!$B$9-Controls!$B$8)*I53/2147483647))</f>
        <v/>
      </c>
      <c r="AD53" s="10" t="str">
        <f>IF(J53="","",IF(Controls!$B$7="Normal",Controls!$B$8+Controls!$B$9*SQRT(-2*LN(J53/2147483647))*COS(2*PI()*T53/2147483647),Controls!$B$8+(Controls!$B$9-Controls!$B$8)*J53/2147483647))</f>
        <v/>
      </c>
      <c r="AE53" s="10" t="str">
        <f>IF(K53="","",IF(Controls!$B$7="Normal",Controls!$B$8+Controls!$B$9*SQRT(-2*LN(K53/2147483647))*COS(2*PI()*U53/2147483647),Controls!$B$8+(Controls!$B$9-Controls!$B$8)*K53/2147483647))</f>
        <v/>
      </c>
    </row>
    <row r="54" ht="21.0" customHeight="1">
      <c r="A54" s="7">
        <f>IF(53&lt;=Controls!$B$5,Controls!$B$4+52,"")</f>
        <v>73043</v>
      </c>
      <c r="B54" s="10">
        <f>IF(OR($A54="",1&gt;Controls!$B$6),"",MOD(L53*48271,2147483647))</f>
        <v>129939669</v>
      </c>
      <c r="C54" s="10">
        <f>IF(OR($A54="",2&gt;Controls!$B$6),"",MOD(M53*48271,2147483647))</f>
        <v>715175830</v>
      </c>
      <c r="D54" s="10">
        <f>IF(OR($A54="",3&gt;Controls!$B$6),"",MOD(N53*48271,2147483647))</f>
        <v>1300411991</v>
      </c>
      <c r="E54" s="10" t="str">
        <f>IF(OR($A54="",4&gt;Controls!$B$6),"",MOD(O53*48271,2147483647))</f>
        <v/>
      </c>
      <c r="F54" s="10" t="str">
        <f>IF(OR($A54="",5&gt;Controls!$B$6),"",MOD(P53*48271,2147483647))</f>
        <v/>
      </c>
      <c r="G54" s="10" t="str">
        <f>IF(OR($A54="",6&gt;Controls!$B$6),"",MOD(Q53*48271,2147483647))</f>
        <v/>
      </c>
      <c r="H54" s="10" t="str">
        <f>IF(OR($A54="",7&gt;Controls!$B$6),"",MOD(R53*48271,2147483647))</f>
        <v/>
      </c>
      <c r="I54" s="10" t="str">
        <f>IF(OR($A54="",8&gt;Controls!$B$6),"",MOD(S53*48271,2147483647))</f>
        <v/>
      </c>
      <c r="J54" s="10" t="str">
        <f>IF(OR($A54="",9&gt;Controls!$B$6),"",MOD(T53*48271,2147483647))</f>
        <v/>
      </c>
      <c r="K54" s="10" t="str">
        <f>IF(OR($A54="",10&gt;Controls!$B$6),"",MOD(U53*48271,2147483647))</f>
        <v/>
      </c>
      <c r="L54" s="10">
        <f t="shared" ref="L54:U54" si="53">IF(B54="","",MOD(B54*48271,2147483647))</f>
        <v>1665513059</v>
      </c>
      <c r="M54" s="10">
        <f t="shared" si="53"/>
        <v>1452864405</v>
      </c>
      <c r="N54" s="10">
        <f t="shared" si="53"/>
        <v>1240215751</v>
      </c>
      <c r="O54" s="10" t="str">
        <f t="shared" si="53"/>
        <v/>
      </c>
      <c r="P54" s="10" t="str">
        <f t="shared" si="53"/>
        <v/>
      </c>
      <c r="Q54" s="10" t="str">
        <f t="shared" si="53"/>
        <v/>
      </c>
      <c r="R54" s="10" t="str">
        <f t="shared" si="53"/>
        <v/>
      </c>
      <c r="S54" s="10" t="str">
        <f t="shared" si="53"/>
        <v/>
      </c>
      <c r="T54" s="10" t="str">
        <f t="shared" si="53"/>
        <v/>
      </c>
      <c r="U54" s="10" t="str">
        <f t="shared" si="53"/>
        <v/>
      </c>
      <c r="V54" s="10">
        <f>IF(B54="","",IF(Controls!$B$7="Normal",Controls!$B$8+Controls!$B$9*SQRT(-2*LN(B54/2147483647))*COS(2*PI()*L54/2147483647),Controls!$B$8+(Controls!$B$9-Controls!$B$8)*B54/2147483647))</f>
        <v>53.78822464</v>
      </c>
      <c r="W54" s="10">
        <f>IF(C54="","",IF(Controls!$B$7="Normal",Controls!$B$8+Controls!$B$9*SQRT(-2*LN(C54/2147483647))*COS(2*PI()*M54/2147483647),Controls!$B$8+(Controls!$B$9-Controls!$B$8)*C54/2147483647))</f>
        <v>43.39607959</v>
      </c>
      <c r="X54" s="10">
        <f>IF(D54="","",IF(Controls!$B$7="Normal",Controls!$B$8+Controls!$B$9*SQRT(-2*LN(D54/2147483647))*COS(2*PI()*N54/2147483647),Controls!$B$8+(Controls!$B$9-Controls!$B$8)*D54/2147483647))</f>
        <v>41.14867952</v>
      </c>
      <c r="Y54" s="10" t="str">
        <f>IF(E54="","",IF(Controls!$B$7="Normal",Controls!$B$8+Controls!$B$9*SQRT(-2*LN(E54/2147483647))*COS(2*PI()*O54/2147483647),Controls!$B$8+(Controls!$B$9-Controls!$B$8)*E54/2147483647))</f>
        <v/>
      </c>
      <c r="Z54" s="10" t="str">
        <f>IF(F54="","",IF(Controls!$B$7="Normal",Controls!$B$8+Controls!$B$9*SQRT(-2*LN(F54/2147483647))*COS(2*PI()*P54/2147483647),Controls!$B$8+(Controls!$B$9-Controls!$B$8)*F54/2147483647))</f>
        <v/>
      </c>
      <c r="AA54" s="10" t="str">
        <f>IF(G54="","",IF(Controls!$B$7="Normal",Controls!$B$8+Controls!$B$9*SQRT(-2*LN(G54/2147483647))*COS(2*PI()*Q54/2147483647),Controls!$B$8+(Controls!$B$9-Controls!$B$8)*G54/2147483647))</f>
        <v/>
      </c>
      <c r="AB54" s="10" t="str">
        <f>IF(H54="","",IF(Controls!$B$7="Normal",Controls!$B$8+Controls!$B$9*SQRT(-2*LN(H54/2147483647))*COS(2*PI()*R54/2147483647),Controls!$B$8+(Controls!$B$9-Controls!$B$8)*H54/2147483647))</f>
        <v/>
      </c>
      <c r="AC54" s="10" t="str">
        <f>IF(I54="","",IF(Controls!$B$7="Normal",Controls!$B$8+Controls!$B$9*SQRT(-2*LN(I54/2147483647))*COS(2*PI()*S54/2147483647),Controls!$B$8+(Controls!$B$9-Controls!$B$8)*I54/2147483647))</f>
        <v/>
      </c>
      <c r="AD54" s="10" t="str">
        <f>IF(J54="","",IF(Controls!$B$7="Normal",Controls!$B$8+Controls!$B$9*SQRT(-2*LN(J54/2147483647))*COS(2*PI()*T54/2147483647),Controls!$B$8+(Controls!$B$9-Controls!$B$8)*J54/2147483647))</f>
        <v/>
      </c>
      <c r="AE54" s="10" t="str">
        <f>IF(K54="","",IF(Controls!$B$7="Normal",Controls!$B$8+Controls!$B$9*SQRT(-2*LN(K54/2147483647))*COS(2*PI()*U54/2147483647),Controls!$B$8+(Controls!$B$9-Controls!$B$8)*K54/2147483647))</f>
        <v/>
      </c>
    </row>
    <row r="55" ht="21.0" customHeight="1">
      <c r="A55" s="7">
        <f>IF(54&lt;=Controls!$B$5,Controls!$B$4+53,"")</f>
        <v>73044</v>
      </c>
      <c r="B55" s="10">
        <f>IF(OR($A55="",1&gt;Controls!$B$6),"",MOD(L54*48271,2147483647))</f>
        <v>635578250</v>
      </c>
      <c r="C55" s="10">
        <f>IF(OR($A55="",2&gt;Controls!$B$6),"",MOD(M54*48271,2147483647))</f>
        <v>844233676</v>
      </c>
      <c r="D55" s="10">
        <f>IF(OR($A55="",3&gt;Controls!$B$6),"",MOD(N54*48271,2147483647))</f>
        <v>1052889102</v>
      </c>
      <c r="E55" s="10" t="str">
        <f>IF(OR($A55="",4&gt;Controls!$B$6),"",MOD(O54*48271,2147483647))</f>
        <v/>
      </c>
      <c r="F55" s="10" t="str">
        <f>IF(OR($A55="",5&gt;Controls!$B$6),"",MOD(P54*48271,2147483647))</f>
        <v/>
      </c>
      <c r="G55" s="10" t="str">
        <f>IF(OR($A55="",6&gt;Controls!$B$6),"",MOD(Q54*48271,2147483647))</f>
        <v/>
      </c>
      <c r="H55" s="10" t="str">
        <f>IF(OR($A55="",7&gt;Controls!$B$6),"",MOD(R54*48271,2147483647))</f>
        <v/>
      </c>
      <c r="I55" s="10" t="str">
        <f>IF(OR($A55="",8&gt;Controls!$B$6),"",MOD(S54*48271,2147483647))</f>
        <v/>
      </c>
      <c r="J55" s="10" t="str">
        <f>IF(OR($A55="",9&gt;Controls!$B$6),"",MOD(T54*48271,2147483647))</f>
        <v/>
      </c>
      <c r="K55" s="10" t="str">
        <f>IF(OR($A55="",10&gt;Controls!$B$6),"",MOD(U54*48271,2147483647))</f>
        <v/>
      </c>
      <c r="L55" s="10">
        <f t="shared" ref="L55:U55" si="54">IF(B55="","",MOD(B55*48271,2147483647))</f>
        <v>1046324708</v>
      </c>
      <c r="M55" s="10">
        <f t="shared" si="54"/>
        <v>1354088724</v>
      </c>
      <c r="N55" s="10">
        <f t="shared" si="54"/>
        <v>1661852740</v>
      </c>
      <c r="O55" s="10" t="str">
        <f t="shared" si="54"/>
        <v/>
      </c>
      <c r="P55" s="10" t="str">
        <f t="shared" si="54"/>
        <v/>
      </c>
      <c r="Q55" s="10" t="str">
        <f t="shared" si="54"/>
        <v/>
      </c>
      <c r="R55" s="10" t="str">
        <f t="shared" si="54"/>
        <v/>
      </c>
      <c r="S55" s="10" t="str">
        <f t="shared" si="54"/>
        <v/>
      </c>
      <c r="T55" s="10" t="str">
        <f t="shared" si="54"/>
        <v/>
      </c>
      <c r="U55" s="10" t="str">
        <f t="shared" si="54"/>
        <v/>
      </c>
      <c r="V55" s="10">
        <f>IF(B55="","",IF(Controls!$B$7="Normal",Controls!$B$8+Controls!$B$9*SQRT(-2*LN(B55/2147483647))*COS(2*PI()*L55/2147483647),Controls!$B$8+(Controls!$B$9-Controls!$B$8)*B55/2147483647))</f>
        <v>34.44558593</v>
      </c>
      <c r="W55" s="10">
        <f>IF(C55="","",IF(Controls!$B$7="Normal",Controls!$B$8+Controls!$B$9*SQRT(-2*LN(C55/2147483647))*COS(2*PI()*M55/2147483647),Controls!$B$8+(Controls!$B$9-Controls!$B$8)*C55/2147483647))</f>
        <v>40.68012797</v>
      </c>
      <c r="X55" s="10">
        <f>IF(D55="","",IF(Controls!$B$7="Normal",Controls!$B$8+Controls!$B$9*SQRT(-2*LN(D55/2147483647))*COS(2*PI()*N55/2147483647),Controls!$B$8+(Controls!$B$9-Controls!$B$8)*D55/2147483647))</f>
        <v>51.78327116</v>
      </c>
      <c r="Y55" s="10" t="str">
        <f>IF(E55="","",IF(Controls!$B$7="Normal",Controls!$B$8+Controls!$B$9*SQRT(-2*LN(E55/2147483647))*COS(2*PI()*O55/2147483647),Controls!$B$8+(Controls!$B$9-Controls!$B$8)*E55/2147483647))</f>
        <v/>
      </c>
      <c r="Z55" s="10" t="str">
        <f>IF(F55="","",IF(Controls!$B$7="Normal",Controls!$B$8+Controls!$B$9*SQRT(-2*LN(F55/2147483647))*COS(2*PI()*P55/2147483647),Controls!$B$8+(Controls!$B$9-Controls!$B$8)*F55/2147483647))</f>
        <v/>
      </c>
      <c r="AA55" s="10" t="str">
        <f>IF(G55="","",IF(Controls!$B$7="Normal",Controls!$B$8+Controls!$B$9*SQRT(-2*LN(G55/2147483647))*COS(2*PI()*Q55/2147483647),Controls!$B$8+(Controls!$B$9-Controls!$B$8)*G55/2147483647))</f>
        <v/>
      </c>
      <c r="AB55" s="10" t="str">
        <f>IF(H55="","",IF(Controls!$B$7="Normal",Controls!$B$8+Controls!$B$9*SQRT(-2*LN(H55/2147483647))*COS(2*PI()*R55/2147483647),Controls!$B$8+(Controls!$B$9-Controls!$B$8)*H55/2147483647))</f>
        <v/>
      </c>
      <c r="AC55" s="10" t="str">
        <f>IF(I55="","",IF(Controls!$B$7="Normal",Controls!$B$8+Controls!$B$9*SQRT(-2*LN(I55/2147483647))*COS(2*PI()*S55/2147483647),Controls!$B$8+(Controls!$B$9-Controls!$B$8)*I55/2147483647))</f>
        <v/>
      </c>
      <c r="AD55" s="10" t="str">
        <f>IF(J55="","",IF(Controls!$B$7="Normal",Controls!$B$8+Controls!$B$9*SQRT(-2*LN(J55/2147483647))*COS(2*PI()*T55/2147483647),Controls!$B$8+(Controls!$B$9-Controls!$B$8)*J55/2147483647))</f>
        <v/>
      </c>
      <c r="AE55" s="10" t="str">
        <f>IF(K55="","",IF(Controls!$B$7="Normal",Controls!$B$8+Controls!$B$9*SQRT(-2*LN(K55/2147483647))*COS(2*PI()*U55/2147483647),Controls!$B$8+(Controls!$B$9-Controls!$B$8)*K55/2147483647))</f>
        <v/>
      </c>
    </row>
    <row r="56" ht="21.0" customHeight="1">
      <c r="A56" s="7">
        <f>IF(55&lt;=Controls!$B$5,Controls!$B$4+54,"")</f>
        <v>73045</v>
      </c>
      <c r="B56" s="10">
        <f>IF(OR($A56="",1&gt;Controls!$B$6),"",MOD(L55*48271,2147483647))</f>
        <v>472086075</v>
      </c>
      <c r="C56" s="10">
        <f>IF(OR($A56="",2&gt;Controls!$B$6),"",MOD(M55*48271,2147483647))</f>
        <v>257032465</v>
      </c>
      <c r="D56" s="10">
        <f>IF(OR($A56="",3&gt;Controls!$B$6),"",MOD(N55*48271,2147483647))</f>
        <v>41978855</v>
      </c>
      <c r="E56" s="10" t="str">
        <f>IF(OR($A56="",4&gt;Controls!$B$6),"",MOD(O55*48271,2147483647))</f>
        <v/>
      </c>
      <c r="F56" s="10" t="str">
        <f>IF(OR($A56="",5&gt;Controls!$B$6),"",MOD(P55*48271,2147483647))</f>
        <v/>
      </c>
      <c r="G56" s="10" t="str">
        <f>IF(OR($A56="",6&gt;Controls!$B$6),"",MOD(Q55*48271,2147483647))</f>
        <v/>
      </c>
      <c r="H56" s="10" t="str">
        <f>IF(OR($A56="",7&gt;Controls!$B$6),"",MOD(R55*48271,2147483647))</f>
        <v/>
      </c>
      <c r="I56" s="10" t="str">
        <f>IF(OR($A56="",8&gt;Controls!$B$6),"",MOD(S55*48271,2147483647))</f>
        <v/>
      </c>
      <c r="J56" s="10" t="str">
        <f>IF(OR($A56="",9&gt;Controls!$B$6),"",MOD(T55*48271,2147483647))</f>
        <v/>
      </c>
      <c r="K56" s="10" t="str">
        <f>IF(OR($A56="",10&gt;Controls!$B$6),"",MOD(U55*48271,2147483647))</f>
        <v/>
      </c>
      <c r="L56" s="10">
        <f t="shared" ref="L56:U56" si="55">IF(B56="","",MOD(B56*48271,2147483647))</f>
        <v>1117948008</v>
      </c>
      <c r="M56" s="10">
        <f t="shared" si="55"/>
        <v>1201089296</v>
      </c>
      <c r="N56" s="10">
        <f t="shared" si="55"/>
        <v>1284230584</v>
      </c>
      <c r="O56" s="10" t="str">
        <f t="shared" si="55"/>
        <v/>
      </c>
      <c r="P56" s="10" t="str">
        <f t="shared" si="55"/>
        <v/>
      </c>
      <c r="Q56" s="10" t="str">
        <f t="shared" si="55"/>
        <v/>
      </c>
      <c r="R56" s="10" t="str">
        <f t="shared" si="55"/>
        <v/>
      </c>
      <c r="S56" s="10" t="str">
        <f t="shared" si="55"/>
        <v/>
      </c>
      <c r="T56" s="10" t="str">
        <f t="shared" si="55"/>
        <v/>
      </c>
      <c r="U56" s="10" t="str">
        <f t="shared" si="55"/>
        <v/>
      </c>
      <c r="V56" s="10">
        <f>IF(B56="","",IF(Controls!$B$7="Normal",Controls!$B$8+Controls!$B$9*SQRT(-2*LN(B56/2147483647))*COS(2*PI()*L56/2147483647),Controls!$B$8+(Controls!$B$9-Controls!$B$8)*B56/2147483647))</f>
        <v>32.73912325</v>
      </c>
      <c r="W56" s="10">
        <f>IF(C56="","",IF(Controls!$B$7="Normal",Controls!$B$8+Controls!$B$9*SQRT(-2*LN(C56/2147483647))*COS(2*PI()*M56/2147483647),Controls!$B$8+(Controls!$B$9-Controls!$B$8)*C56/2147483647))</f>
        <v>30.80872837</v>
      </c>
      <c r="X56" s="10">
        <f>IF(D56="","",IF(Controls!$B$7="Normal",Controls!$B$8+Controls!$B$9*SQRT(-2*LN(D56/2147483647))*COS(2*PI()*N56/2147483647),Controls!$B$8+(Controls!$B$9-Controls!$B$8)*D56/2147483647))</f>
        <v>27.10081857</v>
      </c>
      <c r="Y56" s="10" t="str">
        <f>IF(E56="","",IF(Controls!$B$7="Normal",Controls!$B$8+Controls!$B$9*SQRT(-2*LN(E56/2147483647))*COS(2*PI()*O56/2147483647),Controls!$B$8+(Controls!$B$9-Controls!$B$8)*E56/2147483647))</f>
        <v/>
      </c>
      <c r="Z56" s="10" t="str">
        <f>IF(F56="","",IF(Controls!$B$7="Normal",Controls!$B$8+Controls!$B$9*SQRT(-2*LN(F56/2147483647))*COS(2*PI()*P56/2147483647),Controls!$B$8+(Controls!$B$9-Controls!$B$8)*F56/2147483647))</f>
        <v/>
      </c>
      <c r="AA56" s="10" t="str">
        <f>IF(G56="","",IF(Controls!$B$7="Normal",Controls!$B$8+Controls!$B$9*SQRT(-2*LN(G56/2147483647))*COS(2*PI()*Q56/2147483647),Controls!$B$8+(Controls!$B$9-Controls!$B$8)*G56/2147483647))</f>
        <v/>
      </c>
      <c r="AB56" s="10" t="str">
        <f>IF(H56="","",IF(Controls!$B$7="Normal",Controls!$B$8+Controls!$B$9*SQRT(-2*LN(H56/2147483647))*COS(2*PI()*R56/2147483647),Controls!$B$8+(Controls!$B$9-Controls!$B$8)*H56/2147483647))</f>
        <v/>
      </c>
      <c r="AC56" s="10" t="str">
        <f>IF(I56="","",IF(Controls!$B$7="Normal",Controls!$B$8+Controls!$B$9*SQRT(-2*LN(I56/2147483647))*COS(2*PI()*S56/2147483647),Controls!$B$8+(Controls!$B$9-Controls!$B$8)*I56/2147483647))</f>
        <v/>
      </c>
      <c r="AD56" s="10" t="str">
        <f>IF(J56="","",IF(Controls!$B$7="Normal",Controls!$B$8+Controls!$B$9*SQRT(-2*LN(J56/2147483647))*COS(2*PI()*T56/2147483647),Controls!$B$8+(Controls!$B$9-Controls!$B$8)*J56/2147483647))</f>
        <v/>
      </c>
      <c r="AE56" s="10" t="str">
        <f>IF(K56="","",IF(Controls!$B$7="Normal",Controls!$B$8+Controls!$B$9*SQRT(-2*LN(K56/2147483647))*COS(2*PI()*U56/2147483647),Controls!$B$8+(Controls!$B$9-Controls!$B$8)*K56/2147483647))</f>
        <v/>
      </c>
    </row>
    <row r="57" ht="21.0" customHeight="1">
      <c r="A57" s="7">
        <f>IF(56&lt;=Controls!$B$5,Controls!$B$4+55,"")</f>
        <v>73046</v>
      </c>
      <c r="B57" s="10">
        <f>IF(OR($A57="",1&gt;Controls!$B$6),"",MOD(L56*48271,2147483647))</f>
        <v>351728705</v>
      </c>
      <c r="C57" s="10">
        <f>IF(OR($A57="",2&gt;Controls!$B$6),"",MOD(M56*48271,2147483647))</f>
        <v>17905510</v>
      </c>
      <c r="D57" s="10">
        <f>IF(OR($A57="",3&gt;Controls!$B$6),"",MOD(N56*48271,2147483647))</f>
        <v>1831565962</v>
      </c>
      <c r="E57" s="10" t="str">
        <f>IF(OR($A57="",4&gt;Controls!$B$6),"",MOD(O56*48271,2147483647))</f>
        <v/>
      </c>
      <c r="F57" s="10" t="str">
        <f>IF(OR($A57="",5&gt;Controls!$B$6),"",MOD(P56*48271,2147483647))</f>
        <v/>
      </c>
      <c r="G57" s="10" t="str">
        <f>IF(OR($A57="",6&gt;Controls!$B$6),"",MOD(Q56*48271,2147483647))</f>
        <v/>
      </c>
      <c r="H57" s="10" t="str">
        <f>IF(OR($A57="",7&gt;Controls!$B$6),"",MOD(R56*48271,2147483647))</f>
        <v/>
      </c>
      <c r="I57" s="10" t="str">
        <f>IF(OR($A57="",8&gt;Controls!$B$6),"",MOD(S56*48271,2147483647))</f>
        <v/>
      </c>
      <c r="J57" s="10" t="str">
        <f>IF(OR($A57="",9&gt;Controls!$B$6),"",MOD(T56*48271,2147483647))</f>
        <v/>
      </c>
      <c r="K57" s="10" t="str">
        <f>IF(OR($A57="",10&gt;Controls!$B$6),"",MOD(U56*48271,2147483647))</f>
        <v/>
      </c>
      <c r="L57" s="10">
        <f t="shared" ref="L57:U57" si="56">IF(B57="","",MOD(B57*48271,2147483647))</f>
        <v>290605873</v>
      </c>
      <c r="M57" s="10">
        <f t="shared" si="56"/>
        <v>1028447116</v>
      </c>
      <c r="N57" s="10">
        <f t="shared" si="56"/>
        <v>1766288359</v>
      </c>
      <c r="O57" s="10" t="str">
        <f t="shared" si="56"/>
        <v/>
      </c>
      <c r="P57" s="10" t="str">
        <f t="shared" si="56"/>
        <v/>
      </c>
      <c r="Q57" s="10" t="str">
        <f t="shared" si="56"/>
        <v/>
      </c>
      <c r="R57" s="10" t="str">
        <f t="shared" si="56"/>
        <v/>
      </c>
      <c r="S57" s="10" t="str">
        <f t="shared" si="56"/>
        <v/>
      </c>
      <c r="T57" s="10" t="str">
        <f t="shared" si="56"/>
        <v/>
      </c>
      <c r="U57" s="10" t="str">
        <f t="shared" si="56"/>
        <v/>
      </c>
      <c r="V57" s="10">
        <f>IF(B57="","",IF(Controls!$B$7="Normal",Controls!$B$8+Controls!$B$9*SQRT(-2*LN(B57/2147483647))*COS(2*PI()*L57/2147483647),Controls!$B$8+(Controls!$B$9-Controls!$B$8)*B57/2147483647))</f>
        <v>62.55044226</v>
      </c>
      <c r="W57" s="10">
        <f>IF(C57="","",IF(Controls!$B$7="Normal",Controls!$B$8+Controls!$B$9*SQRT(-2*LN(C57/2147483647))*COS(2*PI()*M57/2147483647),Controls!$B$8+(Controls!$B$9-Controls!$B$8)*C57/2147483647))</f>
        <v>19.32961616</v>
      </c>
      <c r="X57" s="10">
        <f>IF(D57="","",IF(Controls!$B$7="Normal",Controls!$B$8+Controls!$B$9*SQRT(-2*LN(D57/2147483647))*COS(2*PI()*N57/2147483647),Controls!$B$8+(Controls!$B$9-Controls!$B$8)*D57/2147483647))</f>
        <v>52.48160981</v>
      </c>
      <c r="Y57" s="10" t="str">
        <f>IF(E57="","",IF(Controls!$B$7="Normal",Controls!$B$8+Controls!$B$9*SQRT(-2*LN(E57/2147483647))*COS(2*PI()*O57/2147483647),Controls!$B$8+(Controls!$B$9-Controls!$B$8)*E57/2147483647))</f>
        <v/>
      </c>
      <c r="Z57" s="10" t="str">
        <f>IF(F57="","",IF(Controls!$B$7="Normal",Controls!$B$8+Controls!$B$9*SQRT(-2*LN(F57/2147483647))*COS(2*PI()*P57/2147483647),Controls!$B$8+(Controls!$B$9-Controls!$B$8)*F57/2147483647))</f>
        <v/>
      </c>
      <c r="AA57" s="10" t="str">
        <f>IF(G57="","",IF(Controls!$B$7="Normal",Controls!$B$8+Controls!$B$9*SQRT(-2*LN(G57/2147483647))*COS(2*PI()*Q57/2147483647),Controls!$B$8+(Controls!$B$9-Controls!$B$8)*G57/2147483647))</f>
        <v/>
      </c>
      <c r="AB57" s="10" t="str">
        <f>IF(H57="","",IF(Controls!$B$7="Normal",Controls!$B$8+Controls!$B$9*SQRT(-2*LN(H57/2147483647))*COS(2*PI()*R57/2147483647),Controls!$B$8+(Controls!$B$9-Controls!$B$8)*H57/2147483647))</f>
        <v/>
      </c>
      <c r="AC57" s="10" t="str">
        <f>IF(I57="","",IF(Controls!$B$7="Normal",Controls!$B$8+Controls!$B$9*SQRT(-2*LN(I57/2147483647))*COS(2*PI()*S57/2147483647),Controls!$B$8+(Controls!$B$9-Controls!$B$8)*I57/2147483647))</f>
        <v/>
      </c>
      <c r="AD57" s="10" t="str">
        <f>IF(J57="","",IF(Controls!$B$7="Normal",Controls!$B$8+Controls!$B$9*SQRT(-2*LN(J57/2147483647))*COS(2*PI()*T57/2147483647),Controls!$B$8+(Controls!$B$9-Controls!$B$8)*J57/2147483647))</f>
        <v/>
      </c>
      <c r="AE57" s="10" t="str">
        <f>IF(K57="","",IF(Controls!$B$7="Normal",Controls!$B$8+Controls!$B$9*SQRT(-2*LN(K57/2147483647))*COS(2*PI()*U57/2147483647),Controls!$B$8+(Controls!$B$9-Controls!$B$8)*K57/2147483647))</f>
        <v/>
      </c>
    </row>
    <row r="58" ht="21.0" customHeight="1">
      <c r="A58" s="7">
        <f>IF(57&lt;=Controls!$B$5,Controls!$B$4+56,"")</f>
        <v>73047</v>
      </c>
      <c r="B58" s="10">
        <f>IF(OR($A58="",1&gt;Controls!$B$6),"",MOD(L57*48271,2147483647))</f>
        <v>472913379</v>
      </c>
      <c r="C58" s="10">
        <f>IF(OR($A58="",2&gt;Controls!$B$6),"",MOD(M57*48271,2147483647))</f>
        <v>791268737</v>
      </c>
      <c r="D58" s="10">
        <f>IF(OR($A58="",3&gt;Controls!$B$6),"",MOD(N57*48271,2147483647))</f>
        <v>1109624095</v>
      </c>
      <c r="E58" s="10" t="str">
        <f>IF(OR($A58="",4&gt;Controls!$B$6),"",MOD(O57*48271,2147483647))</f>
        <v/>
      </c>
      <c r="F58" s="10" t="str">
        <f>IF(OR($A58="",5&gt;Controls!$B$6),"",MOD(P57*48271,2147483647))</f>
        <v/>
      </c>
      <c r="G58" s="10" t="str">
        <f>IF(OR($A58="",6&gt;Controls!$B$6),"",MOD(Q57*48271,2147483647))</f>
        <v/>
      </c>
      <c r="H58" s="10" t="str">
        <f>IF(OR($A58="",7&gt;Controls!$B$6),"",MOD(R57*48271,2147483647))</f>
        <v/>
      </c>
      <c r="I58" s="10" t="str">
        <f>IF(OR($A58="",8&gt;Controls!$B$6),"",MOD(S57*48271,2147483647))</f>
        <v/>
      </c>
      <c r="J58" s="10" t="str">
        <f>IF(OR($A58="",9&gt;Controls!$B$6),"",MOD(T57*48271,2147483647))</f>
        <v/>
      </c>
      <c r="K58" s="10" t="str">
        <f>IF(OR($A58="",10&gt;Controls!$B$6),"",MOD(U57*48271,2147483647))</f>
        <v/>
      </c>
      <c r="L58" s="10">
        <f t="shared" ref="L58:U58" si="57">IF(B58="","",MOD(B58*48271,2147483647))</f>
        <v>250550099</v>
      </c>
      <c r="M58" s="10">
        <f t="shared" si="57"/>
        <v>189058185</v>
      </c>
      <c r="N58" s="10">
        <f t="shared" si="57"/>
        <v>127566271</v>
      </c>
      <c r="O58" s="10" t="str">
        <f t="shared" si="57"/>
        <v/>
      </c>
      <c r="P58" s="10" t="str">
        <f t="shared" si="57"/>
        <v/>
      </c>
      <c r="Q58" s="10" t="str">
        <f t="shared" si="57"/>
        <v/>
      </c>
      <c r="R58" s="10" t="str">
        <f t="shared" si="57"/>
        <v/>
      </c>
      <c r="S58" s="10" t="str">
        <f t="shared" si="57"/>
        <v/>
      </c>
      <c r="T58" s="10" t="str">
        <f t="shared" si="57"/>
        <v/>
      </c>
      <c r="U58" s="10" t="str">
        <f t="shared" si="57"/>
        <v/>
      </c>
      <c r="V58" s="10">
        <f>IF(B58="","",IF(Controls!$B$7="Normal",Controls!$B$8+Controls!$B$9*SQRT(-2*LN(B58/2147483647))*COS(2*PI()*L58/2147483647),Controls!$B$8+(Controls!$B$9-Controls!$B$8)*B58/2147483647))</f>
        <v>62.9275478</v>
      </c>
      <c r="W58" s="10">
        <f>IF(C58="","",IF(Controls!$B$7="Normal",Controls!$B$8+Controls!$B$9*SQRT(-2*LN(C58/2147483647))*COS(2*PI()*M58/2147483647),Controls!$B$8+(Controls!$B$9-Controls!$B$8)*C58/2147483647))</f>
        <v>62.02360503</v>
      </c>
      <c r="X58" s="10">
        <f>IF(D58="","",IF(Controls!$B$7="Normal",Controls!$B$8+Controls!$B$9*SQRT(-2*LN(D58/2147483647))*COS(2*PI()*N58/2147483647),Controls!$B$8+(Controls!$B$9-Controls!$B$8)*D58/2147483647))</f>
        <v>60.70034901</v>
      </c>
      <c r="Y58" s="10" t="str">
        <f>IF(E58="","",IF(Controls!$B$7="Normal",Controls!$B$8+Controls!$B$9*SQRT(-2*LN(E58/2147483647))*COS(2*PI()*O58/2147483647),Controls!$B$8+(Controls!$B$9-Controls!$B$8)*E58/2147483647))</f>
        <v/>
      </c>
      <c r="Z58" s="10" t="str">
        <f>IF(F58="","",IF(Controls!$B$7="Normal",Controls!$B$8+Controls!$B$9*SQRT(-2*LN(F58/2147483647))*COS(2*PI()*P58/2147483647),Controls!$B$8+(Controls!$B$9-Controls!$B$8)*F58/2147483647))</f>
        <v/>
      </c>
      <c r="AA58" s="10" t="str">
        <f>IF(G58="","",IF(Controls!$B$7="Normal",Controls!$B$8+Controls!$B$9*SQRT(-2*LN(G58/2147483647))*COS(2*PI()*Q58/2147483647),Controls!$B$8+(Controls!$B$9-Controls!$B$8)*G58/2147483647))</f>
        <v/>
      </c>
      <c r="AB58" s="10" t="str">
        <f>IF(H58="","",IF(Controls!$B$7="Normal",Controls!$B$8+Controls!$B$9*SQRT(-2*LN(H58/2147483647))*COS(2*PI()*R58/2147483647),Controls!$B$8+(Controls!$B$9-Controls!$B$8)*H58/2147483647))</f>
        <v/>
      </c>
      <c r="AC58" s="10" t="str">
        <f>IF(I58="","",IF(Controls!$B$7="Normal",Controls!$B$8+Controls!$B$9*SQRT(-2*LN(I58/2147483647))*COS(2*PI()*S58/2147483647),Controls!$B$8+(Controls!$B$9-Controls!$B$8)*I58/2147483647))</f>
        <v/>
      </c>
      <c r="AD58" s="10" t="str">
        <f>IF(J58="","",IF(Controls!$B$7="Normal",Controls!$B$8+Controls!$B$9*SQRT(-2*LN(J58/2147483647))*COS(2*PI()*T58/2147483647),Controls!$B$8+(Controls!$B$9-Controls!$B$8)*J58/2147483647))</f>
        <v/>
      </c>
      <c r="AE58" s="10" t="str">
        <f>IF(K58="","",IF(Controls!$B$7="Normal",Controls!$B$8+Controls!$B$9*SQRT(-2*LN(K58/2147483647))*COS(2*PI()*U58/2147483647),Controls!$B$8+(Controls!$B$9-Controls!$B$8)*K58/2147483647))</f>
        <v/>
      </c>
    </row>
    <row r="59" ht="21.0" customHeight="1">
      <c r="A59" s="7">
        <f>IF(58&lt;=Controls!$B$5,Controls!$B$4+57,"")</f>
        <v>73048</v>
      </c>
      <c r="B59" s="10">
        <f>IF(OR($A59="",1&gt;Controls!$B$6),"",MOD(L58*48271,2147483647))</f>
        <v>1823412572</v>
      </c>
      <c r="C59" s="10">
        <f>IF(OR($A59="",2&gt;Controls!$B$6),"",MOD(M58*48271,2147483647))</f>
        <v>1369632032</v>
      </c>
      <c r="D59" s="10">
        <f>IF(OR($A59="",3&gt;Controls!$B$6),"",MOD(N58*48271,2147483647))</f>
        <v>915851492</v>
      </c>
      <c r="E59" s="10" t="str">
        <f>IF(OR($A59="",4&gt;Controls!$B$6),"",MOD(O58*48271,2147483647))</f>
        <v/>
      </c>
      <c r="F59" s="10" t="str">
        <f>IF(OR($A59="",5&gt;Controls!$B$6),"",MOD(P58*48271,2147483647))</f>
        <v/>
      </c>
      <c r="G59" s="10" t="str">
        <f>IF(OR($A59="",6&gt;Controls!$B$6),"",MOD(Q58*48271,2147483647))</f>
        <v/>
      </c>
      <c r="H59" s="10" t="str">
        <f>IF(OR($A59="",7&gt;Controls!$B$6),"",MOD(R58*48271,2147483647))</f>
        <v/>
      </c>
      <c r="I59" s="10" t="str">
        <f>IF(OR($A59="",8&gt;Controls!$B$6),"",MOD(S58*48271,2147483647))</f>
        <v/>
      </c>
      <c r="J59" s="10" t="str">
        <f>IF(OR($A59="",9&gt;Controls!$B$6),"",MOD(T58*48271,2147483647))</f>
        <v/>
      </c>
      <c r="K59" s="10" t="str">
        <f>IF(OR($A59="",10&gt;Controls!$B$6),"",MOD(U58*48271,2147483647))</f>
        <v/>
      </c>
      <c r="L59" s="10">
        <f t="shared" ref="L59:U59" si="58">IF(B59="","",MOD(B59*48271,2147483647))</f>
        <v>1183507070</v>
      </c>
      <c r="M59" s="10">
        <f t="shared" si="58"/>
        <v>1076260130</v>
      </c>
      <c r="N59" s="10">
        <f t="shared" si="58"/>
        <v>969013190</v>
      </c>
      <c r="O59" s="10" t="str">
        <f t="shared" si="58"/>
        <v/>
      </c>
      <c r="P59" s="10" t="str">
        <f t="shared" si="58"/>
        <v/>
      </c>
      <c r="Q59" s="10" t="str">
        <f t="shared" si="58"/>
        <v/>
      </c>
      <c r="R59" s="10" t="str">
        <f t="shared" si="58"/>
        <v/>
      </c>
      <c r="S59" s="10" t="str">
        <f t="shared" si="58"/>
        <v/>
      </c>
      <c r="T59" s="10" t="str">
        <f t="shared" si="58"/>
        <v/>
      </c>
      <c r="U59" s="10" t="str">
        <f t="shared" si="58"/>
        <v/>
      </c>
      <c r="V59" s="10">
        <f>IF(B59="","",IF(Controls!$B$7="Normal",Controls!$B$8+Controls!$B$9*SQRT(-2*LN(B59/2147483647))*COS(2*PI()*L59/2147483647),Controls!$B$8+(Controls!$B$9-Controls!$B$8)*B59/2147483647))</f>
        <v>44.57253883</v>
      </c>
      <c r="W59" s="10">
        <f>IF(C59="","",IF(Controls!$B$7="Normal",Controls!$B$8+Controls!$B$9*SQRT(-2*LN(C59/2147483647))*COS(2*PI()*M59/2147483647),Controls!$B$8+(Controls!$B$9-Controls!$B$8)*C59/2147483647))</f>
        <v>40.51601108</v>
      </c>
      <c r="X59" s="10">
        <f>IF(D59="","",IF(Controls!$B$7="Normal",Controls!$B$8+Controls!$B$9*SQRT(-2*LN(D59/2147483647))*COS(2*PI()*N59/2147483647),Controls!$B$8+(Controls!$B$9-Controls!$B$8)*D59/2147483647))</f>
        <v>37.55286409</v>
      </c>
      <c r="Y59" s="10" t="str">
        <f>IF(E59="","",IF(Controls!$B$7="Normal",Controls!$B$8+Controls!$B$9*SQRT(-2*LN(E59/2147483647))*COS(2*PI()*O59/2147483647),Controls!$B$8+(Controls!$B$9-Controls!$B$8)*E59/2147483647))</f>
        <v/>
      </c>
      <c r="Z59" s="10" t="str">
        <f>IF(F59="","",IF(Controls!$B$7="Normal",Controls!$B$8+Controls!$B$9*SQRT(-2*LN(F59/2147483647))*COS(2*PI()*P59/2147483647),Controls!$B$8+(Controls!$B$9-Controls!$B$8)*F59/2147483647))</f>
        <v/>
      </c>
      <c r="AA59" s="10" t="str">
        <f>IF(G59="","",IF(Controls!$B$7="Normal",Controls!$B$8+Controls!$B$9*SQRT(-2*LN(G59/2147483647))*COS(2*PI()*Q59/2147483647),Controls!$B$8+(Controls!$B$9-Controls!$B$8)*G59/2147483647))</f>
        <v/>
      </c>
      <c r="AB59" s="10" t="str">
        <f>IF(H59="","",IF(Controls!$B$7="Normal",Controls!$B$8+Controls!$B$9*SQRT(-2*LN(H59/2147483647))*COS(2*PI()*R59/2147483647),Controls!$B$8+(Controls!$B$9-Controls!$B$8)*H59/2147483647))</f>
        <v/>
      </c>
      <c r="AC59" s="10" t="str">
        <f>IF(I59="","",IF(Controls!$B$7="Normal",Controls!$B$8+Controls!$B$9*SQRT(-2*LN(I59/2147483647))*COS(2*PI()*S59/2147483647),Controls!$B$8+(Controls!$B$9-Controls!$B$8)*I59/2147483647))</f>
        <v/>
      </c>
      <c r="AD59" s="10" t="str">
        <f>IF(J59="","",IF(Controls!$B$7="Normal",Controls!$B$8+Controls!$B$9*SQRT(-2*LN(J59/2147483647))*COS(2*PI()*T59/2147483647),Controls!$B$8+(Controls!$B$9-Controls!$B$8)*J59/2147483647))</f>
        <v/>
      </c>
      <c r="AE59" s="10" t="str">
        <f>IF(K59="","",IF(Controls!$B$7="Normal",Controls!$B$8+Controls!$B$9*SQRT(-2*LN(K59/2147483647))*COS(2*PI()*U59/2147483647),Controls!$B$8+(Controls!$B$9-Controls!$B$8)*K59/2147483647))</f>
        <v/>
      </c>
    </row>
    <row r="60" ht="21.0" customHeight="1">
      <c r="A60" s="7">
        <f>IF(59&lt;=Controls!$B$5,Controls!$B$4+58,"")</f>
        <v>73049</v>
      </c>
      <c r="B60" s="10">
        <f>IF(OR($A60="",1&gt;Controls!$B$6),"",MOD(L59*48271,2147483647))</f>
        <v>1709798476</v>
      </c>
      <c r="C60" s="10">
        <f>IF(OR($A60="",2&gt;Controls!$B$6),"",MOD(M59*48271,2147483647))</f>
        <v>228347006</v>
      </c>
      <c r="D60" s="10">
        <f>IF(OR($A60="",3&gt;Controls!$B$6),"",MOD(N59*48271,2147483647))</f>
        <v>894379183</v>
      </c>
      <c r="E60" s="10" t="str">
        <f>IF(OR($A60="",4&gt;Controls!$B$6),"",MOD(O59*48271,2147483647))</f>
        <v/>
      </c>
      <c r="F60" s="10" t="str">
        <f>IF(OR($A60="",5&gt;Controls!$B$6),"",MOD(P59*48271,2147483647))</f>
        <v/>
      </c>
      <c r="G60" s="10" t="str">
        <f>IF(OR($A60="",6&gt;Controls!$B$6),"",MOD(Q59*48271,2147483647))</f>
        <v/>
      </c>
      <c r="H60" s="10" t="str">
        <f>IF(OR($A60="",7&gt;Controls!$B$6),"",MOD(R59*48271,2147483647))</f>
        <v/>
      </c>
      <c r="I60" s="10" t="str">
        <f>IF(OR($A60="",8&gt;Controls!$B$6),"",MOD(S59*48271,2147483647))</f>
        <v/>
      </c>
      <c r="J60" s="10" t="str">
        <f>IF(OR($A60="",9&gt;Controls!$B$6),"",MOD(T59*48271,2147483647))</f>
        <v/>
      </c>
      <c r="K60" s="10" t="str">
        <f>IF(OR($A60="",10&gt;Controls!$B$6),"",MOD(U59*48271,2147483647))</f>
        <v/>
      </c>
      <c r="L60" s="10">
        <f t="shared" ref="L60:U60" si="59">IF(B60="","",MOD(B60*48271,2147483647))</f>
        <v>1590713492</v>
      </c>
      <c r="M60" s="10">
        <f t="shared" si="59"/>
        <v>1652250222</v>
      </c>
      <c r="N60" s="10">
        <f t="shared" si="59"/>
        <v>1713786952</v>
      </c>
      <c r="O60" s="10" t="str">
        <f t="shared" si="59"/>
        <v/>
      </c>
      <c r="P60" s="10" t="str">
        <f t="shared" si="59"/>
        <v/>
      </c>
      <c r="Q60" s="10" t="str">
        <f t="shared" si="59"/>
        <v/>
      </c>
      <c r="R60" s="10" t="str">
        <f t="shared" si="59"/>
        <v/>
      </c>
      <c r="S60" s="10" t="str">
        <f t="shared" si="59"/>
        <v/>
      </c>
      <c r="T60" s="10" t="str">
        <f t="shared" si="59"/>
        <v/>
      </c>
      <c r="U60" s="10" t="str">
        <f t="shared" si="59"/>
        <v/>
      </c>
      <c r="V60" s="10">
        <f>IF(B60="","",IF(Controls!$B$7="Normal",Controls!$B$8+Controls!$B$9*SQRT(-2*LN(B60/2147483647))*COS(2*PI()*L60/2147483647),Controls!$B$8+(Controls!$B$9-Controls!$B$8)*B60/2147483647))</f>
        <v>49.60713026</v>
      </c>
      <c r="W60" s="10">
        <f>IF(C60="","",IF(Controls!$B$7="Normal",Controls!$B$8+Controls!$B$9*SQRT(-2*LN(C60/2147483647))*COS(2*PI()*M60/2147483647),Controls!$B$8+(Controls!$B$9-Controls!$B$8)*C60/2147483647))</f>
        <v>52.57284514</v>
      </c>
      <c r="X60" s="10">
        <f>IF(D60="","",IF(Controls!$B$7="Normal",Controls!$B$8+Controls!$B$9*SQRT(-2*LN(D60/2147483647))*COS(2*PI()*N60/2147483647),Controls!$B$8+(Controls!$B$9-Controls!$B$8)*D60/2147483647))</f>
        <v>53.93507377</v>
      </c>
      <c r="Y60" s="10" t="str">
        <f>IF(E60="","",IF(Controls!$B$7="Normal",Controls!$B$8+Controls!$B$9*SQRT(-2*LN(E60/2147483647))*COS(2*PI()*O60/2147483647),Controls!$B$8+(Controls!$B$9-Controls!$B$8)*E60/2147483647))</f>
        <v/>
      </c>
      <c r="Z60" s="10" t="str">
        <f>IF(F60="","",IF(Controls!$B$7="Normal",Controls!$B$8+Controls!$B$9*SQRT(-2*LN(F60/2147483647))*COS(2*PI()*P60/2147483647),Controls!$B$8+(Controls!$B$9-Controls!$B$8)*F60/2147483647))</f>
        <v/>
      </c>
      <c r="AA60" s="10" t="str">
        <f>IF(G60="","",IF(Controls!$B$7="Normal",Controls!$B$8+Controls!$B$9*SQRT(-2*LN(G60/2147483647))*COS(2*PI()*Q60/2147483647),Controls!$B$8+(Controls!$B$9-Controls!$B$8)*G60/2147483647))</f>
        <v/>
      </c>
      <c r="AB60" s="10" t="str">
        <f>IF(H60="","",IF(Controls!$B$7="Normal",Controls!$B$8+Controls!$B$9*SQRT(-2*LN(H60/2147483647))*COS(2*PI()*R60/2147483647),Controls!$B$8+(Controls!$B$9-Controls!$B$8)*H60/2147483647))</f>
        <v/>
      </c>
      <c r="AC60" s="10" t="str">
        <f>IF(I60="","",IF(Controls!$B$7="Normal",Controls!$B$8+Controls!$B$9*SQRT(-2*LN(I60/2147483647))*COS(2*PI()*S60/2147483647),Controls!$B$8+(Controls!$B$9-Controls!$B$8)*I60/2147483647))</f>
        <v/>
      </c>
      <c r="AD60" s="10" t="str">
        <f>IF(J60="","",IF(Controls!$B$7="Normal",Controls!$B$8+Controls!$B$9*SQRT(-2*LN(J60/2147483647))*COS(2*PI()*T60/2147483647),Controls!$B$8+(Controls!$B$9-Controls!$B$8)*J60/2147483647))</f>
        <v/>
      </c>
      <c r="AE60" s="10" t="str">
        <f>IF(K60="","",IF(Controls!$B$7="Normal",Controls!$B$8+Controls!$B$9*SQRT(-2*LN(K60/2147483647))*COS(2*PI()*U60/2147483647),Controls!$B$8+(Controls!$B$9-Controls!$B$8)*K60/2147483647))</f>
        <v/>
      </c>
    </row>
    <row r="61" ht="21.0" customHeight="1">
      <c r="A61" s="7">
        <f>IF(60&lt;=Controls!$B$5,Controls!$B$4+59,"")</f>
        <v>73050</v>
      </c>
      <c r="B61" s="10">
        <f>IF(OR($A61="",1&gt;Controls!$B$6),"",MOD(L60*48271,2147483647))</f>
        <v>2053173847</v>
      </c>
      <c r="C61" s="10">
        <f>IF(OR($A61="",2&gt;Controls!$B$6),"",MOD(M60*48271,2147483647))</f>
        <v>375300229</v>
      </c>
      <c r="D61" s="10">
        <f>IF(OR($A61="",3&gt;Controls!$B$6),"",MOD(N60*48271,2147483647))</f>
        <v>844910258</v>
      </c>
      <c r="E61" s="10" t="str">
        <f>IF(OR($A61="",4&gt;Controls!$B$6),"",MOD(O60*48271,2147483647))</f>
        <v/>
      </c>
      <c r="F61" s="10" t="str">
        <f>IF(OR($A61="",5&gt;Controls!$B$6),"",MOD(P60*48271,2147483647))</f>
        <v/>
      </c>
      <c r="G61" s="10" t="str">
        <f>IF(OR($A61="",6&gt;Controls!$B$6),"",MOD(Q60*48271,2147483647))</f>
        <v/>
      </c>
      <c r="H61" s="10" t="str">
        <f>IF(OR($A61="",7&gt;Controls!$B$6),"",MOD(R60*48271,2147483647))</f>
        <v/>
      </c>
      <c r="I61" s="10" t="str">
        <f>IF(OR($A61="",8&gt;Controls!$B$6),"",MOD(S60*48271,2147483647))</f>
        <v/>
      </c>
      <c r="J61" s="10" t="str">
        <f>IF(OR($A61="",9&gt;Controls!$B$6),"",MOD(T60*48271,2147483647))</f>
        <v/>
      </c>
      <c r="K61" s="10" t="str">
        <f>IF(OR($A61="",10&gt;Controls!$B$6),"",MOD(U60*48271,2147483647))</f>
        <v/>
      </c>
      <c r="L61" s="10">
        <f t="shared" ref="L61:U61" si="60">IF(B61="","",MOD(B61*48271,2147483647))</f>
        <v>236975840</v>
      </c>
      <c r="M61" s="10">
        <f t="shared" si="60"/>
        <v>2092791614</v>
      </c>
      <c r="N61" s="10">
        <f t="shared" si="60"/>
        <v>1801123741</v>
      </c>
      <c r="O61" s="10" t="str">
        <f t="shared" si="60"/>
        <v/>
      </c>
      <c r="P61" s="10" t="str">
        <f t="shared" si="60"/>
        <v/>
      </c>
      <c r="Q61" s="10" t="str">
        <f t="shared" si="60"/>
        <v/>
      </c>
      <c r="R61" s="10" t="str">
        <f t="shared" si="60"/>
        <v/>
      </c>
      <c r="S61" s="10" t="str">
        <f t="shared" si="60"/>
        <v/>
      </c>
      <c r="T61" s="10" t="str">
        <f t="shared" si="60"/>
        <v/>
      </c>
      <c r="U61" s="10" t="str">
        <f t="shared" si="60"/>
        <v/>
      </c>
      <c r="V61" s="10">
        <f>IF(B61="","",IF(Controls!$B$7="Normal",Controls!$B$8+Controls!$B$9*SQRT(-2*LN(B61/2147483647))*COS(2*PI()*L61/2147483647),Controls!$B$8+(Controls!$B$9-Controls!$B$8)*B61/2147483647))</f>
        <v>52.30501325</v>
      </c>
      <c r="W61" s="10">
        <f>IF(C61="","",IF(Controls!$B$7="Normal",Controls!$B$8+Controls!$B$9*SQRT(-2*LN(C61/2147483647))*COS(2*PI()*M61/2147483647),Controls!$B$8+(Controls!$B$9-Controls!$B$8)*C61/2147483647))</f>
        <v>68.43930478</v>
      </c>
      <c r="X61" s="10">
        <f>IF(D61="","",IF(Controls!$B$7="Normal",Controls!$B$8+Controls!$B$9*SQRT(-2*LN(D61/2147483647))*COS(2*PI()*N61/2147483647),Controls!$B$8+(Controls!$B$9-Controls!$B$8)*D61/2147483647))</f>
        <v>57.2253285</v>
      </c>
      <c r="Y61" s="10" t="str">
        <f>IF(E61="","",IF(Controls!$B$7="Normal",Controls!$B$8+Controls!$B$9*SQRT(-2*LN(E61/2147483647))*COS(2*PI()*O61/2147483647),Controls!$B$8+(Controls!$B$9-Controls!$B$8)*E61/2147483647))</f>
        <v/>
      </c>
      <c r="Z61" s="10" t="str">
        <f>IF(F61="","",IF(Controls!$B$7="Normal",Controls!$B$8+Controls!$B$9*SQRT(-2*LN(F61/2147483647))*COS(2*PI()*P61/2147483647),Controls!$B$8+(Controls!$B$9-Controls!$B$8)*F61/2147483647))</f>
        <v/>
      </c>
      <c r="AA61" s="10" t="str">
        <f>IF(G61="","",IF(Controls!$B$7="Normal",Controls!$B$8+Controls!$B$9*SQRT(-2*LN(G61/2147483647))*COS(2*PI()*Q61/2147483647),Controls!$B$8+(Controls!$B$9-Controls!$B$8)*G61/2147483647))</f>
        <v/>
      </c>
      <c r="AB61" s="10" t="str">
        <f>IF(H61="","",IF(Controls!$B$7="Normal",Controls!$B$8+Controls!$B$9*SQRT(-2*LN(H61/2147483647))*COS(2*PI()*R61/2147483647),Controls!$B$8+(Controls!$B$9-Controls!$B$8)*H61/2147483647))</f>
        <v/>
      </c>
      <c r="AC61" s="10" t="str">
        <f>IF(I61="","",IF(Controls!$B$7="Normal",Controls!$B$8+Controls!$B$9*SQRT(-2*LN(I61/2147483647))*COS(2*PI()*S61/2147483647),Controls!$B$8+(Controls!$B$9-Controls!$B$8)*I61/2147483647))</f>
        <v/>
      </c>
      <c r="AD61" s="10" t="str">
        <f>IF(J61="","",IF(Controls!$B$7="Normal",Controls!$B$8+Controls!$B$9*SQRT(-2*LN(J61/2147483647))*COS(2*PI()*T61/2147483647),Controls!$B$8+(Controls!$B$9-Controls!$B$8)*J61/2147483647))</f>
        <v/>
      </c>
      <c r="AE61" s="10" t="str">
        <f>IF(K61="","",IF(Controls!$B$7="Normal",Controls!$B$8+Controls!$B$9*SQRT(-2*LN(K61/2147483647))*COS(2*PI()*U61/2147483647),Controls!$B$8+(Controls!$B$9-Controls!$B$8)*K61/2147483647))</f>
        <v/>
      </c>
    </row>
    <row r="62" ht="21.0" customHeight="1">
      <c r="A62" s="7">
        <f>IF(61&lt;=Controls!$B$5,Controls!$B$4+60,"")</f>
        <v>73051</v>
      </c>
      <c r="B62" s="10">
        <f>IF(OR($A62="",1&gt;Controls!$B$6),"",MOD(L61*48271,2147483647))</f>
        <v>1562868718</v>
      </c>
      <c r="C62" s="10">
        <f>IF(OR($A62="",2&gt;Controls!$B$6),"",MOD(M61*48271,2147483647))</f>
        <v>1365760867</v>
      </c>
      <c r="D62" s="10">
        <f>IF(OR($A62="",3&gt;Controls!$B$6),"",MOD(N61*48271,2147483647))</f>
        <v>1168653016</v>
      </c>
      <c r="E62" s="10" t="str">
        <f>IF(OR($A62="",4&gt;Controls!$B$6),"",MOD(O61*48271,2147483647))</f>
        <v/>
      </c>
      <c r="F62" s="10" t="str">
        <f>IF(OR($A62="",5&gt;Controls!$B$6),"",MOD(P61*48271,2147483647))</f>
        <v/>
      </c>
      <c r="G62" s="10" t="str">
        <f>IF(OR($A62="",6&gt;Controls!$B$6),"",MOD(Q61*48271,2147483647))</f>
        <v/>
      </c>
      <c r="H62" s="10" t="str">
        <f>IF(OR($A62="",7&gt;Controls!$B$6),"",MOD(R61*48271,2147483647))</f>
        <v/>
      </c>
      <c r="I62" s="10" t="str">
        <f>IF(OR($A62="",8&gt;Controls!$B$6),"",MOD(S61*48271,2147483647))</f>
        <v/>
      </c>
      <c r="J62" s="10" t="str">
        <f>IF(OR($A62="",9&gt;Controls!$B$6),"",MOD(T61*48271,2147483647))</f>
        <v/>
      </c>
      <c r="K62" s="10" t="str">
        <f>IF(OR($A62="",10&gt;Controls!$B$6),"",MOD(U61*48271,2147483647))</f>
        <v/>
      </c>
      <c r="L62" s="10">
        <f t="shared" ref="L62:U62" si="61">IF(B62="","",MOD(B62*48271,2147483647))</f>
        <v>135367468</v>
      </c>
      <c r="M62" s="10">
        <f t="shared" si="61"/>
        <v>1042331704</v>
      </c>
      <c r="N62" s="10">
        <f t="shared" si="61"/>
        <v>1949295940</v>
      </c>
      <c r="O62" s="10" t="str">
        <f t="shared" si="61"/>
        <v/>
      </c>
      <c r="P62" s="10" t="str">
        <f t="shared" si="61"/>
        <v/>
      </c>
      <c r="Q62" s="10" t="str">
        <f t="shared" si="61"/>
        <v/>
      </c>
      <c r="R62" s="10" t="str">
        <f t="shared" si="61"/>
        <v/>
      </c>
      <c r="S62" s="10" t="str">
        <f t="shared" si="61"/>
        <v/>
      </c>
      <c r="T62" s="10" t="str">
        <f t="shared" si="61"/>
        <v/>
      </c>
      <c r="U62" s="10" t="str">
        <f t="shared" si="61"/>
        <v/>
      </c>
      <c r="V62" s="10">
        <f>IF(B62="","",IF(Controls!$B$7="Normal",Controls!$B$8+Controls!$B$9*SQRT(-2*LN(B62/2147483647))*COS(2*PI()*L62/2147483647),Controls!$B$8+(Controls!$B$9-Controls!$B$8)*B62/2147483647))</f>
        <v>57.35497665</v>
      </c>
      <c r="W62" s="10">
        <f>IF(C62="","",IF(Controls!$B$7="Normal",Controls!$B$8+Controls!$B$9*SQRT(-2*LN(C62/2147483647))*COS(2*PI()*M62/2147483647),Controls!$B$8+(Controls!$B$9-Controls!$B$8)*C62/2147483647))</f>
        <v>40.52610539</v>
      </c>
      <c r="X62" s="10">
        <f>IF(D62="","",IF(Controls!$B$7="Normal",Controls!$B$8+Controls!$B$9*SQRT(-2*LN(D62/2147483647))*COS(2*PI()*N62/2147483647),Controls!$B$8+(Controls!$B$9-Controls!$B$8)*D62/2147483647))</f>
        <v>59.22806552</v>
      </c>
      <c r="Y62" s="10" t="str">
        <f>IF(E62="","",IF(Controls!$B$7="Normal",Controls!$B$8+Controls!$B$9*SQRT(-2*LN(E62/2147483647))*COS(2*PI()*O62/2147483647),Controls!$B$8+(Controls!$B$9-Controls!$B$8)*E62/2147483647))</f>
        <v/>
      </c>
      <c r="Z62" s="10" t="str">
        <f>IF(F62="","",IF(Controls!$B$7="Normal",Controls!$B$8+Controls!$B$9*SQRT(-2*LN(F62/2147483647))*COS(2*PI()*P62/2147483647),Controls!$B$8+(Controls!$B$9-Controls!$B$8)*F62/2147483647))</f>
        <v/>
      </c>
      <c r="AA62" s="10" t="str">
        <f>IF(G62="","",IF(Controls!$B$7="Normal",Controls!$B$8+Controls!$B$9*SQRT(-2*LN(G62/2147483647))*COS(2*PI()*Q62/2147483647),Controls!$B$8+(Controls!$B$9-Controls!$B$8)*G62/2147483647))</f>
        <v/>
      </c>
      <c r="AB62" s="10" t="str">
        <f>IF(H62="","",IF(Controls!$B$7="Normal",Controls!$B$8+Controls!$B$9*SQRT(-2*LN(H62/2147483647))*COS(2*PI()*R62/2147483647),Controls!$B$8+(Controls!$B$9-Controls!$B$8)*H62/2147483647))</f>
        <v/>
      </c>
      <c r="AC62" s="10" t="str">
        <f>IF(I62="","",IF(Controls!$B$7="Normal",Controls!$B$8+Controls!$B$9*SQRT(-2*LN(I62/2147483647))*COS(2*PI()*S62/2147483647),Controls!$B$8+(Controls!$B$9-Controls!$B$8)*I62/2147483647))</f>
        <v/>
      </c>
      <c r="AD62" s="10" t="str">
        <f>IF(J62="","",IF(Controls!$B$7="Normal",Controls!$B$8+Controls!$B$9*SQRT(-2*LN(J62/2147483647))*COS(2*PI()*T62/2147483647),Controls!$B$8+(Controls!$B$9-Controls!$B$8)*J62/2147483647))</f>
        <v/>
      </c>
      <c r="AE62" s="10" t="str">
        <f>IF(K62="","",IF(Controls!$B$7="Normal",Controls!$B$8+Controls!$B$9*SQRT(-2*LN(K62/2147483647))*COS(2*PI()*U62/2147483647),Controls!$B$8+(Controls!$B$9-Controls!$B$8)*K62/2147483647))</f>
        <v/>
      </c>
    </row>
    <row r="63" ht="21.0" customHeight="1">
      <c r="A63" s="7">
        <f>IF(62&lt;=Controls!$B$5,Controls!$B$4+61,"")</f>
        <v>73052</v>
      </c>
      <c r="B63" s="10">
        <f>IF(OR($A63="",1&gt;Controls!$B$6),"",MOD(L62*48271,2147483647))</f>
        <v>1677793654</v>
      </c>
      <c r="C63" s="10">
        <f>IF(OR($A63="",2&gt;Controls!$B$6),"",MOD(M62*48271,2147483647))</f>
        <v>999318221</v>
      </c>
      <c r="D63" s="10">
        <f>IF(OR($A63="",3&gt;Controls!$B$6),"",MOD(N62*48271,2147483647))</f>
        <v>320842788</v>
      </c>
      <c r="E63" s="10" t="str">
        <f>IF(OR($A63="",4&gt;Controls!$B$6),"",MOD(O62*48271,2147483647))</f>
        <v/>
      </c>
      <c r="F63" s="10" t="str">
        <f>IF(OR($A63="",5&gt;Controls!$B$6),"",MOD(P62*48271,2147483647))</f>
        <v/>
      </c>
      <c r="G63" s="10" t="str">
        <f>IF(OR($A63="",6&gt;Controls!$B$6),"",MOD(Q62*48271,2147483647))</f>
        <v/>
      </c>
      <c r="H63" s="10" t="str">
        <f>IF(OR($A63="",7&gt;Controls!$B$6),"",MOD(R62*48271,2147483647))</f>
        <v/>
      </c>
      <c r="I63" s="10" t="str">
        <f>IF(OR($A63="",8&gt;Controls!$B$6),"",MOD(S62*48271,2147483647))</f>
        <v/>
      </c>
      <c r="J63" s="10" t="str">
        <f>IF(OR($A63="",9&gt;Controls!$B$6),"",MOD(T62*48271,2147483647))</f>
        <v/>
      </c>
      <c r="K63" s="10" t="str">
        <f>IF(OR($A63="",10&gt;Controls!$B$6),"",MOD(U62*48271,2147483647))</f>
        <v/>
      </c>
      <c r="L63" s="10">
        <f t="shared" ref="L63:U63" si="62">IF(B63="","",MOD(B63*48271,2147483647))</f>
        <v>726692923</v>
      </c>
      <c r="M63" s="10">
        <f t="shared" si="62"/>
        <v>1312166977</v>
      </c>
      <c r="N63" s="10">
        <f t="shared" si="62"/>
        <v>1897641031</v>
      </c>
      <c r="O63" s="10" t="str">
        <f t="shared" si="62"/>
        <v/>
      </c>
      <c r="P63" s="10" t="str">
        <f t="shared" si="62"/>
        <v/>
      </c>
      <c r="Q63" s="10" t="str">
        <f t="shared" si="62"/>
        <v/>
      </c>
      <c r="R63" s="10" t="str">
        <f t="shared" si="62"/>
        <v/>
      </c>
      <c r="S63" s="10" t="str">
        <f t="shared" si="62"/>
        <v/>
      </c>
      <c r="T63" s="10" t="str">
        <f t="shared" si="62"/>
        <v/>
      </c>
      <c r="U63" s="10" t="str">
        <f t="shared" si="62"/>
        <v/>
      </c>
      <c r="V63" s="10">
        <f>IF(B63="","",IF(Controls!$B$7="Normal",Controls!$B$8+Controls!$B$9*SQRT(-2*LN(B63/2147483647))*COS(2*PI()*L63/2147483647),Controls!$B$8+(Controls!$B$9-Controls!$B$8)*B63/2147483647))</f>
        <v>46.29542602</v>
      </c>
      <c r="W63" s="10">
        <f>IF(C63="","",IF(Controls!$B$7="Normal",Controls!$B$8+Controls!$B$9*SQRT(-2*LN(C63/2147483647))*COS(2*PI()*M63/2147483647),Controls!$B$8+(Controls!$B$9-Controls!$B$8)*C63/2147483647))</f>
        <v>40.52040281</v>
      </c>
      <c r="X63" s="10">
        <f>IF(D63="","",IF(Controls!$B$7="Normal",Controls!$B$8+Controls!$B$9*SQRT(-2*LN(D63/2147483647))*COS(2*PI()*N63/2147483647),Controls!$B$8+(Controls!$B$9-Controls!$B$8)*D63/2147483647))</f>
        <v>64.51733869</v>
      </c>
      <c r="Y63" s="10" t="str">
        <f>IF(E63="","",IF(Controls!$B$7="Normal",Controls!$B$8+Controls!$B$9*SQRT(-2*LN(E63/2147483647))*COS(2*PI()*O63/2147483647),Controls!$B$8+(Controls!$B$9-Controls!$B$8)*E63/2147483647))</f>
        <v/>
      </c>
      <c r="Z63" s="10" t="str">
        <f>IF(F63="","",IF(Controls!$B$7="Normal",Controls!$B$8+Controls!$B$9*SQRT(-2*LN(F63/2147483647))*COS(2*PI()*P63/2147483647),Controls!$B$8+(Controls!$B$9-Controls!$B$8)*F63/2147483647))</f>
        <v/>
      </c>
      <c r="AA63" s="10" t="str">
        <f>IF(G63="","",IF(Controls!$B$7="Normal",Controls!$B$8+Controls!$B$9*SQRT(-2*LN(G63/2147483647))*COS(2*PI()*Q63/2147483647),Controls!$B$8+(Controls!$B$9-Controls!$B$8)*G63/2147483647))</f>
        <v/>
      </c>
      <c r="AB63" s="10" t="str">
        <f>IF(H63="","",IF(Controls!$B$7="Normal",Controls!$B$8+Controls!$B$9*SQRT(-2*LN(H63/2147483647))*COS(2*PI()*R63/2147483647),Controls!$B$8+(Controls!$B$9-Controls!$B$8)*H63/2147483647))</f>
        <v/>
      </c>
      <c r="AC63" s="10" t="str">
        <f>IF(I63="","",IF(Controls!$B$7="Normal",Controls!$B$8+Controls!$B$9*SQRT(-2*LN(I63/2147483647))*COS(2*PI()*S63/2147483647),Controls!$B$8+(Controls!$B$9-Controls!$B$8)*I63/2147483647))</f>
        <v/>
      </c>
      <c r="AD63" s="10" t="str">
        <f>IF(J63="","",IF(Controls!$B$7="Normal",Controls!$B$8+Controls!$B$9*SQRT(-2*LN(J63/2147483647))*COS(2*PI()*T63/2147483647),Controls!$B$8+(Controls!$B$9-Controls!$B$8)*J63/2147483647))</f>
        <v/>
      </c>
      <c r="AE63" s="10" t="str">
        <f>IF(K63="","",IF(Controls!$B$7="Normal",Controls!$B$8+Controls!$B$9*SQRT(-2*LN(K63/2147483647))*COS(2*PI()*U63/2147483647),Controls!$B$8+(Controls!$B$9-Controls!$B$8)*K63/2147483647))</f>
        <v/>
      </c>
    </row>
    <row r="64" ht="21.0" customHeight="1">
      <c r="A64" s="7">
        <f>IF(63&lt;=Controls!$B$5,Controls!$B$4+62,"")</f>
        <v>73053</v>
      </c>
      <c r="B64" s="10">
        <f>IF(OR($A64="",1&gt;Controls!$B$6),"",MOD(L63*48271,2147483647))</f>
        <v>1196196035</v>
      </c>
      <c r="C64" s="10">
        <f>IF(OR($A64="",2&gt;Controls!$B$6),"",MOD(M63*48271,2147483647))</f>
        <v>1729462149</v>
      </c>
      <c r="D64" s="10">
        <f>IF(OR($A64="",3&gt;Controls!$B$6),"",MOD(N63*48271,2147483647))</f>
        <v>115244616</v>
      </c>
      <c r="E64" s="10" t="str">
        <f>IF(OR($A64="",4&gt;Controls!$B$6),"",MOD(O63*48271,2147483647))</f>
        <v/>
      </c>
      <c r="F64" s="10" t="str">
        <f>IF(OR($A64="",5&gt;Controls!$B$6),"",MOD(P63*48271,2147483647))</f>
        <v/>
      </c>
      <c r="G64" s="10" t="str">
        <f>IF(OR($A64="",6&gt;Controls!$B$6),"",MOD(Q63*48271,2147483647))</f>
        <v/>
      </c>
      <c r="H64" s="10" t="str">
        <f>IF(OR($A64="",7&gt;Controls!$B$6),"",MOD(R63*48271,2147483647))</f>
        <v/>
      </c>
      <c r="I64" s="10" t="str">
        <f>IF(OR($A64="",8&gt;Controls!$B$6),"",MOD(S63*48271,2147483647))</f>
        <v/>
      </c>
      <c r="J64" s="10" t="str">
        <f>IF(OR($A64="",9&gt;Controls!$B$6),"",MOD(T63*48271,2147483647))</f>
        <v/>
      </c>
      <c r="K64" s="10" t="str">
        <f>IF(OR($A64="",10&gt;Controls!$B$6),"",MOD(U63*48271,2147483647))</f>
        <v/>
      </c>
      <c r="L64" s="10">
        <f t="shared" ref="L64:U64" si="63">IF(B64="","",MOD(B64*48271,2147483647))</f>
        <v>38504949</v>
      </c>
      <c r="M64" s="10">
        <f t="shared" si="63"/>
        <v>1588100901</v>
      </c>
      <c r="N64" s="10">
        <f t="shared" si="63"/>
        <v>990213206</v>
      </c>
      <c r="O64" s="10" t="str">
        <f t="shared" si="63"/>
        <v/>
      </c>
      <c r="P64" s="10" t="str">
        <f t="shared" si="63"/>
        <v/>
      </c>
      <c r="Q64" s="10" t="str">
        <f t="shared" si="63"/>
        <v/>
      </c>
      <c r="R64" s="10" t="str">
        <f t="shared" si="63"/>
        <v/>
      </c>
      <c r="S64" s="10" t="str">
        <f t="shared" si="63"/>
        <v/>
      </c>
      <c r="T64" s="10" t="str">
        <f t="shared" si="63"/>
        <v/>
      </c>
      <c r="U64" s="10" t="str">
        <f t="shared" si="63"/>
        <v/>
      </c>
      <c r="V64" s="10">
        <f>IF(B64="","",IF(Controls!$B$7="Normal",Controls!$B$8+Controls!$B$9*SQRT(-2*LN(B64/2147483647))*COS(2*PI()*L64/2147483647),Controls!$B$8+(Controls!$B$9-Controls!$B$8)*B64/2147483647))</f>
        <v>60.74946322</v>
      </c>
      <c r="W64" s="10">
        <f>IF(C64="","",IF(Controls!$B$7="Normal",Controls!$B$8+Controls!$B$9*SQRT(-2*LN(C64/2147483647))*COS(2*PI()*M64/2147483647),Controls!$B$8+(Controls!$B$9-Controls!$B$8)*C64/2147483647))</f>
        <v>49.56691113</v>
      </c>
      <c r="X64" s="10">
        <f>IF(D64="","",IF(Controls!$B$7="Normal",Controls!$B$8+Controls!$B$9*SQRT(-2*LN(D64/2147483647))*COS(2*PI()*N64/2147483647),Controls!$B$8+(Controls!$B$9-Controls!$B$8)*D64/2147483647))</f>
        <v>26.53196011</v>
      </c>
      <c r="Y64" s="10" t="str">
        <f>IF(E64="","",IF(Controls!$B$7="Normal",Controls!$B$8+Controls!$B$9*SQRT(-2*LN(E64/2147483647))*COS(2*PI()*O64/2147483647),Controls!$B$8+(Controls!$B$9-Controls!$B$8)*E64/2147483647))</f>
        <v/>
      </c>
      <c r="Z64" s="10" t="str">
        <f>IF(F64="","",IF(Controls!$B$7="Normal",Controls!$B$8+Controls!$B$9*SQRT(-2*LN(F64/2147483647))*COS(2*PI()*P64/2147483647),Controls!$B$8+(Controls!$B$9-Controls!$B$8)*F64/2147483647))</f>
        <v/>
      </c>
      <c r="AA64" s="10" t="str">
        <f>IF(G64="","",IF(Controls!$B$7="Normal",Controls!$B$8+Controls!$B$9*SQRT(-2*LN(G64/2147483647))*COS(2*PI()*Q64/2147483647),Controls!$B$8+(Controls!$B$9-Controls!$B$8)*G64/2147483647))</f>
        <v/>
      </c>
      <c r="AB64" s="10" t="str">
        <f>IF(H64="","",IF(Controls!$B$7="Normal",Controls!$B$8+Controls!$B$9*SQRT(-2*LN(H64/2147483647))*COS(2*PI()*R64/2147483647),Controls!$B$8+(Controls!$B$9-Controls!$B$8)*H64/2147483647))</f>
        <v/>
      </c>
      <c r="AC64" s="10" t="str">
        <f>IF(I64="","",IF(Controls!$B$7="Normal",Controls!$B$8+Controls!$B$9*SQRT(-2*LN(I64/2147483647))*COS(2*PI()*S64/2147483647),Controls!$B$8+(Controls!$B$9-Controls!$B$8)*I64/2147483647))</f>
        <v/>
      </c>
      <c r="AD64" s="10" t="str">
        <f>IF(J64="","",IF(Controls!$B$7="Normal",Controls!$B$8+Controls!$B$9*SQRT(-2*LN(J64/2147483647))*COS(2*PI()*T64/2147483647),Controls!$B$8+(Controls!$B$9-Controls!$B$8)*J64/2147483647))</f>
        <v/>
      </c>
      <c r="AE64" s="10" t="str">
        <f>IF(K64="","",IF(Controls!$B$7="Normal",Controls!$B$8+Controls!$B$9*SQRT(-2*LN(K64/2147483647))*COS(2*PI()*U64/2147483647),Controls!$B$8+(Controls!$B$9-Controls!$B$8)*K64/2147483647))</f>
        <v/>
      </c>
    </row>
    <row r="65" ht="21.0" customHeight="1">
      <c r="A65" s="7">
        <f>IF(64&lt;=Controls!$B$5,Controls!$B$4+63,"")</f>
        <v>73054</v>
      </c>
      <c r="B65" s="10">
        <f>IF(OR($A65="",1&gt;Controls!$B$6),"",MOD(L64*48271,2147483647))</f>
        <v>1099038524</v>
      </c>
      <c r="C65" s="10">
        <f>IF(OR($A65="",2&gt;Controls!$B$6),"",MOD(M64*48271,2147483647))</f>
        <v>494845212</v>
      </c>
      <c r="D65" s="10">
        <f>IF(OR($A65="",3&gt;Controls!$B$6),"",MOD(N64*48271,2147483647))</f>
        <v>2038135547</v>
      </c>
      <c r="E65" s="10" t="str">
        <f>IF(OR($A65="",4&gt;Controls!$B$6),"",MOD(O64*48271,2147483647))</f>
        <v/>
      </c>
      <c r="F65" s="10" t="str">
        <f>IF(OR($A65="",5&gt;Controls!$B$6),"",MOD(P64*48271,2147483647))</f>
        <v/>
      </c>
      <c r="G65" s="10" t="str">
        <f>IF(OR($A65="",6&gt;Controls!$B$6),"",MOD(Q64*48271,2147483647))</f>
        <v/>
      </c>
      <c r="H65" s="10" t="str">
        <f>IF(OR($A65="",7&gt;Controls!$B$6),"",MOD(R64*48271,2147483647))</f>
        <v/>
      </c>
      <c r="I65" s="10" t="str">
        <f>IF(OR($A65="",8&gt;Controls!$B$6),"",MOD(S64*48271,2147483647))</f>
        <v/>
      </c>
      <c r="J65" s="10" t="str">
        <f>IF(OR($A65="",9&gt;Controls!$B$6),"",MOD(T64*48271,2147483647))</f>
        <v/>
      </c>
      <c r="K65" s="10" t="str">
        <f>IF(OR($A65="",10&gt;Controls!$B$6),"",MOD(U64*48271,2147483647))</f>
        <v/>
      </c>
      <c r="L65" s="10">
        <f t="shared" ref="L65:U65" si="64">IF(B65="","",MOD(B65*48271,2147483647))</f>
        <v>252576516</v>
      </c>
      <c r="M65" s="10">
        <f t="shared" si="64"/>
        <v>212622871</v>
      </c>
      <c r="N65" s="10">
        <f t="shared" si="64"/>
        <v>172669226</v>
      </c>
      <c r="O65" s="10" t="str">
        <f t="shared" si="64"/>
        <v/>
      </c>
      <c r="P65" s="10" t="str">
        <f t="shared" si="64"/>
        <v/>
      </c>
      <c r="Q65" s="10" t="str">
        <f t="shared" si="64"/>
        <v/>
      </c>
      <c r="R65" s="10" t="str">
        <f t="shared" si="64"/>
        <v/>
      </c>
      <c r="S65" s="10" t="str">
        <f t="shared" si="64"/>
        <v/>
      </c>
      <c r="T65" s="10" t="str">
        <f t="shared" si="64"/>
        <v/>
      </c>
      <c r="U65" s="10" t="str">
        <f t="shared" si="64"/>
        <v/>
      </c>
      <c r="V65" s="10">
        <f>IF(B65="","",IF(Controls!$B$7="Normal",Controls!$B$8+Controls!$B$9*SQRT(-2*LN(B65/2147483647))*COS(2*PI()*L65/2147483647),Controls!$B$8+(Controls!$B$9-Controls!$B$8)*B65/2147483647))</f>
        <v>58.55532484</v>
      </c>
      <c r="W65" s="10">
        <f>IF(C65="","",IF(Controls!$B$7="Normal",Controls!$B$8+Controls!$B$9*SQRT(-2*LN(C65/2147483647))*COS(2*PI()*M65/2147483647),Controls!$B$8+(Controls!$B$9-Controls!$B$8)*C65/2147483647))</f>
        <v>63.9237618</v>
      </c>
      <c r="X65" s="10">
        <f>IF(D65="","",IF(Controls!$B$7="Normal",Controls!$B$8+Controls!$B$9*SQRT(-2*LN(D65/2147483647))*COS(2*PI()*N65/2147483647),Controls!$B$8+(Controls!$B$9-Controls!$B$8)*D65/2147483647))</f>
        <v>52.82911982</v>
      </c>
      <c r="Y65" s="10" t="str">
        <f>IF(E65="","",IF(Controls!$B$7="Normal",Controls!$B$8+Controls!$B$9*SQRT(-2*LN(E65/2147483647))*COS(2*PI()*O65/2147483647),Controls!$B$8+(Controls!$B$9-Controls!$B$8)*E65/2147483647))</f>
        <v/>
      </c>
      <c r="Z65" s="10" t="str">
        <f>IF(F65="","",IF(Controls!$B$7="Normal",Controls!$B$8+Controls!$B$9*SQRT(-2*LN(F65/2147483647))*COS(2*PI()*P65/2147483647),Controls!$B$8+(Controls!$B$9-Controls!$B$8)*F65/2147483647))</f>
        <v/>
      </c>
      <c r="AA65" s="10" t="str">
        <f>IF(G65="","",IF(Controls!$B$7="Normal",Controls!$B$8+Controls!$B$9*SQRT(-2*LN(G65/2147483647))*COS(2*PI()*Q65/2147483647),Controls!$B$8+(Controls!$B$9-Controls!$B$8)*G65/2147483647))</f>
        <v/>
      </c>
      <c r="AB65" s="10" t="str">
        <f>IF(H65="","",IF(Controls!$B$7="Normal",Controls!$B$8+Controls!$B$9*SQRT(-2*LN(H65/2147483647))*COS(2*PI()*R65/2147483647),Controls!$B$8+(Controls!$B$9-Controls!$B$8)*H65/2147483647))</f>
        <v/>
      </c>
      <c r="AC65" s="10" t="str">
        <f>IF(I65="","",IF(Controls!$B$7="Normal",Controls!$B$8+Controls!$B$9*SQRT(-2*LN(I65/2147483647))*COS(2*PI()*S65/2147483647),Controls!$B$8+(Controls!$B$9-Controls!$B$8)*I65/2147483647))</f>
        <v/>
      </c>
      <c r="AD65" s="10" t="str">
        <f>IF(J65="","",IF(Controls!$B$7="Normal",Controls!$B$8+Controls!$B$9*SQRT(-2*LN(J65/2147483647))*COS(2*PI()*T65/2147483647),Controls!$B$8+(Controls!$B$9-Controls!$B$8)*J65/2147483647))</f>
        <v/>
      </c>
      <c r="AE65" s="10" t="str">
        <f>IF(K65="","",IF(Controls!$B$7="Normal",Controls!$B$8+Controls!$B$9*SQRT(-2*LN(K65/2147483647))*COS(2*PI()*U65/2147483647),Controls!$B$8+(Controls!$B$9-Controls!$B$8)*K65/2147483647))</f>
        <v/>
      </c>
    </row>
    <row r="66" ht="21.0" customHeight="1">
      <c r="A66" s="7">
        <f>IF(65&lt;=Controls!$B$5,Controls!$B$4+64,"")</f>
        <v>73055</v>
      </c>
      <c r="B66" s="10">
        <f>IF(OR($A66="",1&gt;Controls!$B$6),"",MOD(L65*48271,2147483647))</f>
        <v>856339817</v>
      </c>
      <c r="C66" s="10">
        <f>IF(OR($A66="",2&gt;Controls!$B$6),"",MOD(M65*48271,2147483647))</f>
        <v>694257028</v>
      </c>
      <c r="D66" s="10">
        <f>IF(OR($A66="",3&gt;Controls!$B$6),"",MOD(N65*48271,2147483647))</f>
        <v>532174239</v>
      </c>
      <c r="E66" s="10" t="str">
        <f>IF(OR($A66="",4&gt;Controls!$B$6),"",MOD(O65*48271,2147483647))</f>
        <v/>
      </c>
      <c r="F66" s="10" t="str">
        <f>IF(OR($A66="",5&gt;Controls!$B$6),"",MOD(P65*48271,2147483647))</f>
        <v/>
      </c>
      <c r="G66" s="10" t="str">
        <f>IF(OR($A66="",6&gt;Controls!$B$6),"",MOD(Q65*48271,2147483647))</f>
        <v/>
      </c>
      <c r="H66" s="10" t="str">
        <f>IF(OR($A66="",7&gt;Controls!$B$6),"",MOD(R65*48271,2147483647))</f>
        <v/>
      </c>
      <c r="I66" s="10" t="str">
        <f>IF(OR($A66="",8&gt;Controls!$B$6),"",MOD(S65*48271,2147483647))</f>
        <v/>
      </c>
      <c r="J66" s="10" t="str">
        <f>IF(OR($A66="",9&gt;Controls!$B$6),"",MOD(T65*48271,2147483647))</f>
        <v/>
      </c>
      <c r="K66" s="10" t="str">
        <f>IF(OR($A66="",10&gt;Controls!$B$6),"",MOD(U65*48271,2147483647))</f>
        <v/>
      </c>
      <c r="L66" s="10">
        <f t="shared" ref="L66:U66" si="65">IF(B66="","",MOD(B66*48271,2147483647))</f>
        <v>1614068951</v>
      </c>
      <c r="M66" s="10">
        <f t="shared" si="65"/>
        <v>998687153</v>
      </c>
      <c r="N66" s="10">
        <f t="shared" si="65"/>
        <v>383305355</v>
      </c>
      <c r="O66" s="10" t="str">
        <f t="shared" si="65"/>
        <v/>
      </c>
      <c r="P66" s="10" t="str">
        <f t="shared" si="65"/>
        <v/>
      </c>
      <c r="Q66" s="10" t="str">
        <f t="shared" si="65"/>
        <v/>
      </c>
      <c r="R66" s="10" t="str">
        <f t="shared" si="65"/>
        <v/>
      </c>
      <c r="S66" s="10" t="str">
        <f t="shared" si="65"/>
        <v/>
      </c>
      <c r="T66" s="10" t="str">
        <f t="shared" si="65"/>
        <v/>
      </c>
      <c r="U66" s="10" t="str">
        <f t="shared" si="65"/>
        <v/>
      </c>
      <c r="V66" s="10">
        <f>IF(B66="","",IF(Controls!$B$7="Normal",Controls!$B$8+Controls!$B$9*SQRT(-2*LN(B66/2147483647))*COS(2*PI()*L66/2147483647),Controls!$B$8+(Controls!$B$9-Controls!$B$8)*B66/2147483647))</f>
        <v>50.13712199</v>
      </c>
      <c r="W66" s="10">
        <f>IF(C66="","",IF(Controls!$B$7="Normal",Controls!$B$8+Controls!$B$9*SQRT(-2*LN(C66/2147483647))*COS(2*PI()*M66/2147483647),Controls!$B$8+(Controls!$B$9-Controls!$B$8)*C66/2147483647))</f>
        <v>35.33285673</v>
      </c>
      <c r="X66" s="10">
        <f>IF(D66="","",IF(Controls!$B$7="Normal",Controls!$B$8+Controls!$B$9*SQRT(-2*LN(D66/2147483647))*COS(2*PI()*N66/2147483647),Controls!$B$8+(Controls!$B$9-Controls!$B$8)*D66/2147483647))</f>
        <v>57.2551528</v>
      </c>
      <c r="Y66" s="10" t="str">
        <f>IF(E66="","",IF(Controls!$B$7="Normal",Controls!$B$8+Controls!$B$9*SQRT(-2*LN(E66/2147483647))*COS(2*PI()*O66/2147483647),Controls!$B$8+(Controls!$B$9-Controls!$B$8)*E66/2147483647))</f>
        <v/>
      </c>
      <c r="Z66" s="10" t="str">
        <f>IF(F66="","",IF(Controls!$B$7="Normal",Controls!$B$8+Controls!$B$9*SQRT(-2*LN(F66/2147483647))*COS(2*PI()*P66/2147483647),Controls!$B$8+(Controls!$B$9-Controls!$B$8)*F66/2147483647))</f>
        <v/>
      </c>
      <c r="AA66" s="10" t="str">
        <f>IF(G66="","",IF(Controls!$B$7="Normal",Controls!$B$8+Controls!$B$9*SQRT(-2*LN(G66/2147483647))*COS(2*PI()*Q66/2147483647),Controls!$B$8+(Controls!$B$9-Controls!$B$8)*G66/2147483647))</f>
        <v/>
      </c>
      <c r="AB66" s="10" t="str">
        <f>IF(H66="","",IF(Controls!$B$7="Normal",Controls!$B$8+Controls!$B$9*SQRT(-2*LN(H66/2147483647))*COS(2*PI()*R66/2147483647),Controls!$B$8+(Controls!$B$9-Controls!$B$8)*H66/2147483647))</f>
        <v/>
      </c>
      <c r="AC66" s="10" t="str">
        <f>IF(I66="","",IF(Controls!$B$7="Normal",Controls!$B$8+Controls!$B$9*SQRT(-2*LN(I66/2147483647))*COS(2*PI()*S66/2147483647),Controls!$B$8+(Controls!$B$9-Controls!$B$8)*I66/2147483647))</f>
        <v/>
      </c>
      <c r="AD66" s="10" t="str">
        <f>IF(J66="","",IF(Controls!$B$7="Normal",Controls!$B$8+Controls!$B$9*SQRT(-2*LN(J66/2147483647))*COS(2*PI()*T66/2147483647),Controls!$B$8+(Controls!$B$9-Controls!$B$8)*J66/2147483647))</f>
        <v/>
      </c>
      <c r="AE66" s="10" t="str">
        <f>IF(K66="","",IF(Controls!$B$7="Normal",Controls!$B$8+Controls!$B$9*SQRT(-2*LN(K66/2147483647))*COS(2*PI()*U66/2147483647),Controls!$B$8+(Controls!$B$9-Controls!$B$8)*K66/2147483647))</f>
        <v/>
      </c>
    </row>
    <row r="67" ht="21.0" customHeight="1">
      <c r="A67" s="7">
        <f>IF(66&lt;=Controls!$B$5,Controls!$B$4+65,"")</f>
        <v>73056</v>
      </c>
      <c r="B67" s="10">
        <f>IF(OR($A67="",1&gt;Controls!$B$6),"",MOD(L66*48271,2147483647))</f>
        <v>2015620561</v>
      </c>
      <c r="C67" s="10">
        <f>IF(OR($A67="",2&gt;Controls!$B$6),"",MOD(M66*48271,2147483647))</f>
        <v>914654607</v>
      </c>
      <c r="D67" s="10">
        <f>IF(OR($A67="",3&gt;Controls!$B$6),"",MOD(N66*48271,2147483647))</f>
        <v>1961172300</v>
      </c>
      <c r="E67" s="10" t="str">
        <f>IF(OR($A67="",4&gt;Controls!$B$6),"",MOD(O66*48271,2147483647))</f>
        <v/>
      </c>
      <c r="F67" s="10" t="str">
        <f>IF(OR($A67="",5&gt;Controls!$B$6),"",MOD(P66*48271,2147483647))</f>
        <v/>
      </c>
      <c r="G67" s="10" t="str">
        <f>IF(OR($A67="",6&gt;Controls!$B$6),"",MOD(Q66*48271,2147483647))</f>
        <v/>
      </c>
      <c r="H67" s="10" t="str">
        <f>IF(OR($A67="",7&gt;Controls!$B$6),"",MOD(R66*48271,2147483647))</f>
        <v/>
      </c>
      <c r="I67" s="10" t="str">
        <f>IF(OR($A67="",8&gt;Controls!$B$6),"",MOD(S66*48271,2147483647))</f>
        <v/>
      </c>
      <c r="J67" s="10" t="str">
        <f>IF(OR($A67="",9&gt;Controls!$B$6),"",MOD(T66*48271,2147483647))</f>
        <v/>
      </c>
      <c r="K67" s="10" t="str">
        <f>IF(OR($A67="",10&gt;Controls!$B$6),"",MOD(U66*48271,2147483647))</f>
        <v/>
      </c>
      <c r="L67" s="10">
        <f t="shared" ref="L67:U67" si="66">IF(B67="","",MOD(B67*48271,2147483647))</f>
        <v>2125989049</v>
      </c>
      <c r="M67" s="10">
        <f t="shared" si="66"/>
        <v>1176235824</v>
      </c>
      <c r="N67" s="10">
        <f t="shared" si="66"/>
        <v>226482599</v>
      </c>
      <c r="O67" s="10" t="str">
        <f t="shared" si="66"/>
        <v/>
      </c>
      <c r="P67" s="10" t="str">
        <f t="shared" si="66"/>
        <v/>
      </c>
      <c r="Q67" s="10" t="str">
        <f t="shared" si="66"/>
        <v/>
      </c>
      <c r="R67" s="10" t="str">
        <f t="shared" si="66"/>
        <v/>
      </c>
      <c r="S67" s="10" t="str">
        <f t="shared" si="66"/>
        <v/>
      </c>
      <c r="T67" s="10" t="str">
        <f t="shared" si="66"/>
        <v/>
      </c>
      <c r="U67" s="10" t="str">
        <f t="shared" si="66"/>
        <v/>
      </c>
      <c r="V67" s="10">
        <f>IF(B67="","",IF(Controls!$B$7="Normal",Controls!$B$8+Controls!$B$9*SQRT(-2*LN(B67/2147483647))*COS(2*PI()*L67/2147483647),Controls!$B$8+(Controls!$B$9-Controls!$B$8)*B67/2147483647))</f>
        <v>53.55300823</v>
      </c>
      <c r="W67" s="10">
        <f>IF(C67="","",IF(Controls!$B$7="Normal",Controls!$B$8+Controls!$B$9*SQRT(-2*LN(C67/2147483647))*COS(2*PI()*M67/2147483647),Controls!$B$8+(Controls!$B$9-Controls!$B$8)*C67/2147483647))</f>
        <v>37.51781653</v>
      </c>
      <c r="X67" s="10">
        <f>IF(D67="","",IF(Controls!$B$7="Normal",Controls!$B$8+Controls!$B$9*SQRT(-2*LN(D67/2147483647))*COS(2*PI()*N67/2147483647),Controls!$B$8+(Controls!$B$9-Controls!$B$8)*D67/2147483647))</f>
        <v>53.35873368</v>
      </c>
      <c r="Y67" s="10" t="str">
        <f>IF(E67="","",IF(Controls!$B$7="Normal",Controls!$B$8+Controls!$B$9*SQRT(-2*LN(E67/2147483647))*COS(2*PI()*O67/2147483647),Controls!$B$8+(Controls!$B$9-Controls!$B$8)*E67/2147483647))</f>
        <v/>
      </c>
      <c r="Z67" s="10" t="str">
        <f>IF(F67="","",IF(Controls!$B$7="Normal",Controls!$B$8+Controls!$B$9*SQRT(-2*LN(F67/2147483647))*COS(2*PI()*P67/2147483647),Controls!$B$8+(Controls!$B$9-Controls!$B$8)*F67/2147483647))</f>
        <v/>
      </c>
      <c r="AA67" s="10" t="str">
        <f>IF(G67="","",IF(Controls!$B$7="Normal",Controls!$B$8+Controls!$B$9*SQRT(-2*LN(G67/2147483647))*COS(2*PI()*Q67/2147483647),Controls!$B$8+(Controls!$B$9-Controls!$B$8)*G67/2147483647))</f>
        <v/>
      </c>
      <c r="AB67" s="10" t="str">
        <f>IF(H67="","",IF(Controls!$B$7="Normal",Controls!$B$8+Controls!$B$9*SQRT(-2*LN(H67/2147483647))*COS(2*PI()*R67/2147483647),Controls!$B$8+(Controls!$B$9-Controls!$B$8)*H67/2147483647))</f>
        <v/>
      </c>
      <c r="AC67" s="10" t="str">
        <f>IF(I67="","",IF(Controls!$B$7="Normal",Controls!$B$8+Controls!$B$9*SQRT(-2*LN(I67/2147483647))*COS(2*PI()*S67/2147483647),Controls!$B$8+(Controls!$B$9-Controls!$B$8)*I67/2147483647))</f>
        <v/>
      </c>
      <c r="AD67" s="10" t="str">
        <f>IF(J67="","",IF(Controls!$B$7="Normal",Controls!$B$8+Controls!$B$9*SQRT(-2*LN(J67/2147483647))*COS(2*PI()*T67/2147483647),Controls!$B$8+(Controls!$B$9-Controls!$B$8)*J67/2147483647))</f>
        <v/>
      </c>
      <c r="AE67" s="10" t="str">
        <f>IF(K67="","",IF(Controls!$B$7="Normal",Controls!$B$8+Controls!$B$9*SQRT(-2*LN(K67/2147483647))*COS(2*PI()*U67/2147483647),Controls!$B$8+(Controls!$B$9-Controls!$B$8)*K67/2147483647))</f>
        <v/>
      </c>
    </row>
    <row r="68" ht="21.0" customHeight="1">
      <c r="A68" s="7">
        <f>IF(67&lt;=Controls!$B$5,Controls!$B$4+66,"")</f>
        <v>73057</v>
      </c>
      <c r="B68" s="10">
        <f>IF(OR($A68="",1&gt;Controls!$B$6),"",MOD(L67*48271,2147483647))</f>
        <v>1816345090</v>
      </c>
      <c r="C68" s="10">
        <f>IF(OR($A68="",2&gt;Controls!$B$6),"",MOD(M67*48271,2147483647))</f>
        <v>759317271</v>
      </c>
      <c r="D68" s="10">
        <f>IF(OR($A68="",3&gt;Controls!$B$6),"",MOD(N67*48271,2147483647))</f>
        <v>1849773099</v>
      </c>
      <c r="E68" s="10" t="str">
        <f>IF(OR($A68="",4&gt;Controls!$B$6),"",MOD(O67*48271,2147483647))</f>
        <v/>
      </c>
      <c r="F68" s="10" t="str">
        <f>IF(OR($A68="",5&gt;Controls!$B$6),"",MOD(P67*48271,2147483647))</f>
        <v/>
      </c>
      <c r="G68" s="10" t="str">
        <f>IF(OR($A68="",6&gt;Controls!$B$6),"",MOD(Q67*48271,2147483647))</f>
        <v/>
      </c>
      <c r="H68" s="10" t="str">
        <f>IF(OR($A68="",7&gt;Controls!$B$6),"",MOD(R67*48271,2147483647))</f>
        <v/>
      </c>
      <c r="I68" s="10" t="str">
        <f>IF(OR($A68="",8&gt;Controls!$B$6),"",MOD(S67*48271,2147483647))</f>
        <v/>
      </c>
      <c r="J68" s="10" t="str">
        <f>IF(OR($A68="",9&gt;Controls!$B$6),"",MOD(T67*48271,2147483647))</f>
        <v/>
      </c>
      <c r="K68" s="10" t="str">
        <f>IF(OR($A68="",10&gt;Controls!$B$6),"",MOD(U67*48271,2147483647))</f>
        <v/>
      </c>
      <c r="L68" s="10">
        <f t="shared" ref="L68:U68" si="67">IF(B68="","",MOD(B68*48271,2147483647))</f>
        <v>1478983321</v>
      </c>
      <c r="M68" s="10">
        <f t="shared" si="67"/>
        <v>1900585092</v>
      </c>
      <c r="N68" s="10">
        <f t="shared" si="67"/>
        <v>174703216</v>
      </c>
      <c r="O68" s="10" t="str">
        <f t="shared" si="67"/>
        <v/>
      </c>
      <c r="P68" s="10" t="str">
        <f t="shared" si="67"/>
        <v/>
      </c>
      <c r="Q68" s="10" t="str">
        <f t="shared" si="67"/>
        <v/>
      </c>
      <c r="R68" s="10" t="str">
        <f t="shared" si="67"/>
        <v/>
      </c>
      <c r="S68" s="10" t="str">
        <f t="shared" si="67"/>
        <v/>
      </c>
      <c r="T68" s="10" t="str">
        <f t="shared" si="67"/>
        <v/>
      </c>
      <c r="U68" s="10" t="str">
        <f t="shared" si="67"/>
        <v/>
      </c>
      <c r="V68" s="10">
        <f>IF(B68="","",IF(Controls!$B$7="Normal",Controls!$B$8+Controls!$B$9*SQRT(-2*LN(B68/2147483647))*COS(2*PI()*L68/2147483647),Controls!$B$8+(Controls!$B$9-Controls!$B$8)*B68/2147483647))</f>
        <v>47.82580961</v>
      </c>
      <c r="W68" s="10">
        <f>IF(C68="","",IF(Controls!$B$7="Normal",Controls!$B$8+Controls!$B$9*SQRT(-2*LN(C68/2147483647))*COS(2*PI()*M68/2147483647),Controls!$B$8+(Controls!$B$9-Controls!$B$8)*C68/2147483647))</f>
        <v>60.81807473</v>
      </c>
      <c r="X68" s="10">
        <f>IF(D68="","",IF(Controls!$B$7="Normal",Controls!$B$8+Controls!$B$9*SQRT(-2*LN(D68/2147483647))*COS(2*PI()*N68/2147483647),Controls!$B$8+(Controls!$B$9-Controls!$B$8)*D68/2147483647))</f>
        <v>54.76491567</v>
      </c>
      <c r="Y68" s="10" t="str">
        <f>IF(E68="","",IF(Controls!$B$7="Normal",Controls!$B$8+Controls!$B$9*SQRT(-2*LN(E68/2147483647))*COS(2*PI()*O68/2147483647),Controls!$B$8+(Controls!$B$9-Controls!$B$8)*E68/2147483647))</f>
        <v/>
      </c>
      <c r="Z68" s="10" t="str">
        <f>IF(F68="","",IF(Controls!$B$7="Normal",Controls!$B$8+Controls!$B$9*SQRT(-2*LN(F68/2147483647))*COS(2*PI()*P68/2147483647),Controls!$B$8+(Controls!$B$9-Controls!$B$8)*F68/2147483647))</f>
        <v/>
      </c>
      <c r="AA68" s="10" t="str">
        <f>IF(G68="","",IF(Controls!$B$7="Normal",Controls!$B$8+Controls!$B$9*SQRT(-2*LN(G68/2147483647))*COS(2*PI()*Q68/2147483647),Controls!$B$8+(Controls!$B$9-Controls!$B$8)*G68/2147483647))</f>
        <v/>
      </c>
      <c r="AB68" s="10" t="str">
        <f>IF(H68="","",IF(Controls!$B$7="Normal",Controls!$B$8+Controls!$B$9*SQRT(-2*LN(H68/2147483647))*COS(2*PI()*R68/2147483647),Controls!$B$8+(Controls!$B$9-Controls!$B$8)*H68/2147483647))</f>
        <v/>
      </c>
      <c r="AC68" s="10" t="str">
        <f>IF(I68="","",IF(Controls!$B$7="Normal",Controls!$B$8+Controls!$B$9*SQRT(-2*LN(I68/2147483647))*COS(2*PI()*S68/2147483647),Controls!$B$8+(Controls!$B$9-Controls!$B$8)*I68/2147483647))</f>
        <v/>
      </c>
      <c r="AD68" s="10" t="str">
        <f>IF(J68="","",IF(Controls!$B$7="Normal",Controls!$B$8+Controls!$B$9*SQRT(-2*LN(J68/2147483647))*COS(2*PI()*T68/2147483647),Controls!$B$8+(Controls!$B$9-Controls!$B$8)*J68/2147483647))</f>
        <v/>
      </c>
      <c r="AE68" s="10" t="str">
        <f>IF(K68="","",IF(Controls!$B$7="Normal",Controls!$B$8+Controls!$B$9*SQRT(-2*LN(K68/2147483647))*COS(2*PI()*U68/2147483647),Controls!$B$8+(Controls!$B$9-Controls!$B$8)*K68/2147483647))</f>
        <v/>
      </c>
    </row>
    <row r="69" ht="21.0" customHeight="1">
      <c r="A69" s="7">
        <f>IF(68&lt;=Controls!$B$5,Controls!$B$4+67,"")</f>
        <v>73058</v>
      </c>
      <c r="B69" s="10">
        <f>IF(OR($A69="",1&gt;Controls!$B$6),"",MOD(L68*48271,2147483647))</f>
        <v>1057527123</v>
      </c>
      <c r="C69" s="10">
        <f>IF(OR($A69="",2&gt;Controls!$B$6),"",MOD(M68*48271,2147483647))</f>
        <v>494092445</v>
      </c>
      <c r="D69" s="10">
        <f>IF(OR($A69="",3&gt;Controls!$B$6),"",MOD(N68*48271,2147483647))</f>
        <v>2078141414</v>
      </c>
      <c r="E69" s="10" t="str">
        <f>IF(OR($A69="",4&gt;Controls!$B$6),"",MOD(O68*48271,2147483647))</f>
        <v/>
      </c>
      <c r="F69" s="10" t="str">
        <f>IF(OR($A69="",5&gt;Controls!$B$6),"",MOD(P68*48271,2147483647))</f>
        <v/>
      </c>
      <c r="G69" s="10" t="str">
        <f>IF(OR($A69="",6&gt;Controls!$B$6),"",MOD(Q68*48271,2147483647))</f>
        <v/>
      </c>
      <c r="H69" s="10" t="str">
        <f>IF(OR($A69="",7&gt;Controls!$B$6),"",MOD(R68*48271,2147483647))</f>
        <v/>
      </c>
      <c r="I69" s="10" t="str">
        <f>IF(OR($A69="",8&gt;Controls!$B$6),"",MOD(S68*48271,2147483647))</f>
        <v/>
      </c>
      <c r="J69" s="10" t="str">
        <f>IF(OR($A69="",9&gt;Controls!$B$6),"",MOD(T68*48271,2147483647))</f>
        <v/>
      </c>
      <c r="K69" s="10" t="str">
        <f>IF(OR($A69="",10&gt;Controls!$B$6),"",MOD(U68*48271,2147483647))</f>
        <v/>
      </c>
      <c r="L69" s="10">
        <f t="shared" ref="L69:U69" si="68">IF(B69="","",MOD(B69*48271,2147483647))</f>
        <v>57981496</v>
      </c>
      <c r="M69" s="10">
        <f t="shared" si="68"/>
        <v>383029013</v>
      </c>
      <c r="N69" s="10">
        <f t="shared" si="68"/>
        <v>708076530</v>
      </c>
      <c r="O69" s="10" t="str">
        <f t="shared" si="68"/>
        <v/>
      </c>
      <c r="P69" s="10" t="str">
        <f t="shared" si="68"/>
        <v/>
      </c>
      <c r="Q69" s="10" t="str">
        <f t="shared" si="68"/>
        <v/>
      </c>
      <c r="R69" s="10" t="str">
        <f t="shared" si="68"/>
        <v/>
      </c>
      <c r="S69" s="10" t="str">
        <f t="shared" si="68"/>
        <v/>
      </c>
      <c r="T69" s="10" t="str">
        <f t="shared" si="68"/>
        <v/>
      </c>
      <c r="U69" s="10" t="str">
        <f t="shared" si="68"/>
        <v/>
      </c>
      <c r="V69" s="10">
        <f>IF(B69="","",IF(Controls!$B$7="Normal",Controls!$B$8+Controls!$B$9*SQRT(-2*LN(B69/2147483647))*COS(2*PI()*L69/2147483647),Controls!$B$8+(Controls!$B$9-Controls!$B$8)*B69/2147483647))</f>
        <v>61.73177017</v>
      </c>
      <c r="W69" s="10">
        <f>IF(C69="","",IF(Controls!$B$7="Normal",Controls!$B$8+Controls!$B$9*SQRT(-2*LN(C69/2147483647))*COS(2*PI()*M69/2147483647),Controls!$B$8+(Controls!$B$9-Controls!$B$8)*C69/2147483647))</f>
        <v>57.45819741</v>
      </c>
      <c r="X69" s="10">
        <f>IF(D69="","",IF(Controls!$B$7="Normal",Controls!$B$8+Controls!$B$9*SQRT(-2*LN(D69/2147483647))*COS(2*PI()*N69/2147483647),Controls!$B$8+(Controls!$B$9-Controls!$B$8)*D69/2147483647))</f>
        <v>48.7695773</v>
      </c>
      <c r="Y69" s="10" t="str">
        <f>IF(E69="","",IF(Controls!$B$7="Normal",Controls!$B$8+Controls!$B$9*SQRT(-2*LN(E69/2147483647))*COS(2*PI()*O69/2147483647),Controls!$B$8+(Controls!$B$9-Controls!$B$8)*E69/2147483647))</f>
        <v/>
      </c>
      <c r="Z69" s="10" t="str">
        <f>IF(F69="","",IF(Controls!$B$7="Normal",Controls!$B$8+Controls!$B$9*SQRT(-2*LN(F69/2147483647))*COS(2*PI()*P69/2147483647),Controls!$B$8+(Controls!$B$9-Controls!$B$8)*F69/2147483647))</f>
        <v/>
      </c>
      <c r="AA69" s="10" t="str">
        <f>IF(G69="","",IF(Controls!$B$7="Normal",Controls!$B$8+Controls!$B$9*SQRT(-2*LN(G69/2147483647))*COS(2*PI()*Q69/2147483647),Controls!$B$8+(Controls!$B$9-Controls!$B$8)*G69/2147483647))</f>
        <v/>
      </c>
      <c r="AB69" s="10" t="str">
        <f>IF(H69="","",IF(Controls!$B$7="Normal",Controls!$B$8+Controls!$B$9*SQRT(-2*LN(H69/2147483647))*COS(2*PI()*R69/2147483647),Controls!$B$8+(Controls!$B$9-Controls!$B$8)*H69/2147483647))</f>
        <v/>
      </c>
      <c r="AC69" s="10" t="str">
        <f>IF(I69="","",IF(Controls!$B$7="Normal",Controls!$B$8+Controls!$B$9*SQRT(-2*LN(I69/2147483647))*COS(2*PI()*S69/2147483647),Controls!$B$8+(Controls!$B$9-Controls!$B$8)*I69/2147483647))</f>
        <v/>
      </c>
      <c r="AD69" s="10" t="str">
        <f>IF(J69="","",IF(Controls!$B$7="Normal",Controls!$B$8+Controls!$B$9*SQRT(-2*LN(J69/2147483647))*COS(2*PI()*T69/2147483647),Controls!$B$8+(Controls!$B$9-Controls!$B$8)*J69/2147483647))</f>
        <v/>
      </c>
      <c r="AE69" s="10" t="str">
        <f>IF(K69="","",IF(Controls!$B$7="Normal",Controls!$B$8+Controls!$B$9*SQRT(-2*LN(K69/2147483647))*COS(2*PI()*U69/2147483647),Controls!$B$8+(Controls!$B$9-Controls!$B$8)*K69/2147483647))</f>
        <v/>
      </c>
    </row>
    <row r="70" ht="21.0" customHeight="1">
      <c r="A70" s="7">
        <f>IF(69&lt;=Controls!$B$5,Controls!$B$4+68,"")</f>
        <v>73059</v>
      </c>
      <c r="B70" s="10">
        <f>IF(OR($A70="",1&gt;Controls!$B$6),"",MOD(L69*48271,2147483647))</f>
        <v>653601375</v>
      </c>
      <c r="C70" s="10">
        <f>IF(OR($A70="",2&gt;Controls!$B$6),"",MOD(M69*48271,2147483647))</f>
        <v>1506769500</v>
      </c>
      <c r="D70" s="10">
        <f>IF(OR($A70="",3&gt;Controls!$B$6),"",MOD(N69*48271,2147483647))</f>
        <v>212453978</v>
      </c>
      <c r="E70" s="10" t="str">
        <f>IF(OR($A70="",4&gt;Controls!$B$6),"",MOD(O69*48271,2147483647))</f>
        <v/>
      </c>
      <c r="F70" s="10" t="str">
        <f>IF(OR($A70="",5&gt;Controls!$B$6),"",MOD(P69*48271,2147483647))</f>
        <v/>
      </c>
      <c r="G70" s="10" t="str">
        <f>IF(OR($A70="",6&gt;Controls!$B$6),"",MOD(Q69*48271,2147483647))</f>
        <v/>
      </c>
      <c r="H70" s="10" t="str">
        <f>IF(OR($A70="",7&gt;Controls!$B$6),"",MOD(R69*48271,2147483647))</f>
        <v/>
      </c>
      <c r="I70" s="10" t="str">
        <f>IF(OR($A70="",8&gt;Controls!$B$6),"",MOD(S69*48271,2147483647))</f>
        <v/>
      </c>
      <c r="J70" s="10" t="str">
        <f>IF(OR($A70="",9&gt;Controls!$B$6),"",MOD(T69*48271,2147483647))</f>
        <v/>
      </c>
      <c r="K70" s="10" t="str">
        <f>IF(OR($A70="",10&gt;Controls!$B$6),"",MOD(U69*48271,2147483647))</f>
        <v/>
      </c>
      <c r="L70" s="10">
        <f t="shared" ref="L70:U70" si="69">IF(B70="","",MOD(B70*48271,2147483647))</f>
        <v>1309714548</v>
      </c>
      <c r="M70" s="10">
        <f t="shared" si="69"/>
        <v>146894257</v>
      </c>
      <c r="N70" s="10">
        <f t="shared" si="69"/>
        <v>1131557613</v>
      </c>
      <c r="O70" s="10" t="str">
        <f t="shared" si="69"/>
        <v/>
      </c>
      <c r="P70" s="10" t="str">
        <f t="shared" si="69"/>
        <v/>
      </c>
      <c r="Q70" s="10" t="str">
        <f t="shared" si="69"/>
        <v/>
      </c>
      <c r="R70" s="10" t="str">
        <f t="shared" si="69"/>
        <v/>
      </c>
      <c r="S70" s="10" t="str">
        <f t="shared" si="69"/>
        <v/>
      </c>
      <c r="T70" s="10" t="str">
        <f t="shared" si="69"/>
        <v/>
      </c>
      <c r="U70" s="10" t="str">
        <f t="shared" si="69"/>
        <v/>
      </c>
      <c r="V70" s="10">
        <f>IF(B70="","",IF(Controls!$B$7="Normal",Controls!$B$8+Controls!$B$9*SQRT(-2*LN(B70/2147483647))*COS(2*PI()*L70/2147483647),Controls!$B$8+(Controls!$B$9-Controls!$B$8)*B70/2147483647))</f>
        <v>38.10812431</v>
      </c>
      <c r="W70" s="10">
        <f>IF(C70="","",IF(Controls!$B$7="Normal",Controls!$B$8+Controls!$B$9*SQRT(-2*LN(C70/2147483647))*COS(2*PI()*M70/2147483647),Controls!$B$8+(Controls!$B$9-Controls!$B$8)*C70/2147483647))</f>
        <v>57.65257959</v>
      </c>
      <c r="X70" s="10">
        <f>IF(D70="","",IF(Controls!$B$7="Normal",Controls!$B$8+Controls!$B$9*SQRT(-2*LN(D70/2147483647))*COS(2*PI()*N70/2147483647),Controls!$B$8+(Controls!$B$9-Controls!$B$8)*D70/2147483647))</f>
        <v>28.79735902</v>
      </c>
      <c r="Y70" s="10" t="str">
        <f>IF(E70="","",IF(Controls!$B$7="Normal",Controls!$B$8+Controls!$B$9*SQRT(-2*LN(E70/2147483647))*COS(2*PI()*O70/2147483647),Controls!$B$8+(Controls!$B$9-Controls!$B$8)*E70/2147483647))</f>
        <v/>
      </c>
      <c r="Z70" s="10" t="str">
        <f>IF(F70="","",IF(Controls!$B$7="Normal",Controls!$B$8+Controls!$B$9*SQRT(-2*LN(F70/2147483647))*COS(2*PI()*P70/2147483647),Controls!$B$8+(Controls!$B$9-Controls!$B$8)*F70/2147483647))</f>
        <v/>
      </c>
      <c r="AA70" s="10" t="str">
        <f>IF(G70="","",IF(Controls!$B$7="Normal",Controls!$B$8+Controls!$B$9*SQRT(-2*LN(G70/2147483647))*COS(2*PI()*Q70/2147483647),Controls!$B$8+(Controls!$B$9-Controls!$B$8)*G70/2147483647))</f>
        <v/>
      </c>
      <c r="AB70" s="10" t="str">
        <f>IF(H70="","",IF(Controls!$B$7="Normal",Controls!$B$8+Controls!$B$9*SQRT(-2*LN(H70/2147483647))*COS(2*PI()*R70/2147483647),Controls!$B$8+(Controls!$B$9-Controls!$B$8)*H70/2147483647))</f>
        <v/>
      </c>
      <c r="AC70" s="10" t="str">
        <f>IF(I70="","",IF(Controls!$B$7="Normal",Controls!$B$8+Controls!$B$9*SQRT(-2*LN(I70/2147483647))*COS(2*PI()*S70/2147483647),Controls!$B$8+(Controls!$B$9-Controls!$B$8)*I70/2147483647))</f>
        <v/>
      </c>
      <c r="AD70" s="10" t="str">
        <f>IF(J70="","",IF(Controls!$B$7="Normal",Controls!$B$8+Controls!$B$9*SQRT(-2*LN(J70/2147483647))*COS(2*PI()*T70/2147483647),Controls!$B$8+(Controls!$B$9-Controls!$B$8)*J70/2147483647))</f>
        <v/>
      </c>
      <c r="AE70" s="10" t="str">
        <f>IF(K70="","",IF(Controls!$B$7="Normal",Controls!$B$8+Controls!$B$9*SQRT(-2*LN(K70/2147483647))*COS(2*PI()*U70/2147483647),Controls!$B$8+(Controls!$B$9-Controls!$B$8)*K70/2147483647))</f>
        <v/>
      </c>
    </row>
    <row r="71" ht="21.0" customHeight="1">
      <c r="A71" s="7">
        <f>IF(70&lt;=Controls!$B$5,Controls!$B$4+69,"")</f>
        <v>73060</v>
      </c>
      <c r="B71" s="10">
        <f>IF(OR($A71="",1&gt;Controls!$B$6),"",MOD(L70*48271,2147483647))</f>
        <v>1459862475</v>
      </c>
      <c r="C71" s="10">
        <f>IF(OR($A71="",2&gt;Controls!$B$6),"",MOD(M70*48271,2147483647))</f>
        <v>1889160900</v>
      </c>
      <c r="D71" s="10">
        <f>IF(OR($A71="",3&gt;Controls!$B$6),"",MOD(N70*48271,2147483647))</f>
        <v>170975678</v>
      </c>
      <c r="E71" s="10" t="str">
        <f>IF(OR($A71="",4&gt;Controls!$B$6),"",MOD(O70*48271,2147483647))</f>
        <v/>
      </c>
      <c r="F71" s="10" t="str">
        <f>IF(OR($A71="",5&gt;Controls!$B$6),"",MOD(P70*48271,2147483647))</f>
        <v/>
      </c>
      <c r="G71" s="10" t="str">
        <f>IF(OR($A71="",6&gt;Controls!$B$6),"",MOD(Q70*48271,2147483647))</f>
        <v/>
      </c>
      <c r="H71" s="10" t="str">
        <f>IF(OR($A71="",7&gt;Controls!$B$6),"",MOD(R70*48271,2147483647))</f>
        <v/>
      </c>
      <c r="I71" s="10" t="str">
        <f>IF(OR($A71="",8&gt;Controls!$B$6),"",MOD(S70*48271,2147483647))</f>
        <v/>
      </c>
      <c r="J71" s="10" t="str">
        <f>IF(OR($A71="",9&gt;Controls!$B$6),"",MOD(T70*48271,2147483647))</f>
        <v/>
      </c>
      <c r="K71" s="10" t="str">
        <f>IF(OR($A71="",10&gt;Controls!$B$6),"",MOD(U70*48271,2147483647))</f>
        <v/>
      </c>
      <c r="L71" s="10">
        <f t="shared" ref="L71:U71" si="70">IF(B71="","",MOD(B71*48271,2147483647))</f>
        <v>1493138067</v>
      </c>
      <c r="M71" s="10">
        <f t="shared" si="70"/>
        <v>940217692</v>
      </c>
      <c r="N71" s="10">
        <f t="shared" si="70"/>
        <v>387297317</v>
      </c>
      <c r="O71" s="10" t="str">
        <f t="shared" si="70"/>
        <v/>
      </c>
      <c r="P71" s="10" t="str">
        <f t="shared" si="70"/>
        <v/>
      </c>
      <c r="Q71" s="10" t="str">
        <f t="shared" si="70"/>
        <v/>
      </c>
      <c r="R71" s="10" t="str">
        <f t="shared" si="70"/>
        <v/>
      </c>
      <c r="S71" s="10" t="str">
        <f t="shared" si="70"/>
        <v/>
      </c>
      <c r="T71" s="10" t="str">
        <f t="shared" si="70"/>
        <v/>
      </c>
      <c r="U71" s="10" t="str">
        <f t="shared" si="70"/>
        <v/>
      </c>
      <c r="V71" s="10">
        <f>IF(B71="","",IF(Controls!$B$7="Normal",Controls!$B$8+Controls!$B$9*SQRT(-2*LN(B71/2147483647))*COS(2*PI()*L71/2147483647),Controls!$B$8+(Controls!$B$9-Controls!$B$8)*B71/2147483647))</f>
        <v>47.0393145</v>
      </c>
      <c r="W71" s="10">
        <f>IF(C71="","",IF(Controls!$B$7="Normal",Controls!$B$8+Controls!$B$9*SQRT(-2*LN(C71/2147483647))*COS(2*PI()*M71/2147483647),Controls!$B$8+(Controls!$B$9-Controls!$B$8)*C71/2147483647))</f>
        <v>45.31858243</v>
      </c>
      <c r="X71" s="10">
        <f>IF(D71="","",IF(Controls!$B$7="Normal",Controls!$B$8+Controls!$B$9*SQRT(-2*LN(D71/2147483647))*COS(2*PI()*N71/2147483647),Controls!$B$8+(Controls!$B$9-Controls!$B$8)*D71/2147483647))</f>
        <v>59.53396617</v>
      </c>
      <c r="Y71" s="10" t="str">
        <f>IF(E71="","",IF(Controls!$B$7="Normal",Controls!$B$8+Controls!$B$9*SQRT(-2*LN(E71/2147483647))*COS(2*PI()*O71/2147483647),Controls!$B$8+(Controls!$B$9-Controls!$B$8)*E71/2147483647))</f>
        <v/>
      </c>
      <c r="Z71" s="10" t="str">
        <f>IF(F71="","",IF(Controls!$B$7="Normal",Controls!$B$8+Controls!$B$9*SQRT(-2*LN(F71/2147483647))*COS(2*PI()*P71/2147483647),Controls!$B$8+(Controls!$B$9-Controls!$B$8)*F71/2147483647))</f>
        <v/>
      </c>
      <c r="AA71" s="10" t="str">
        <f>IF(G71="","",IF(Controls!$B$7="Normal",Controls!$B$8+Controls!$B$9*SQRT(-2*LN(G71/2147483647))*COS(2*PI()*Q71/2147483647),Controls!$B$8+(Controls!$B$9-Controls!$B$8)*G71/2147483647))</f>
        <v/>
      </c>
      <c r="AB71" s="10" t="str">
        <f>IF(H71="","",IF(Controls!$B$7="Normal",Controls!$B$8+Controls!$B$9*SQRT(-2*LN(H71/2147483647))*COS(2*PI()*R71/2147483647),Controls!$B$8+(Controls!$B$9-Controls!$B$8)*H71/2147483647))</f>
        <v/>
      </c>
      <c r="AC71" s="10" t="str">
        <f>IF(I71="","",IF(Controls!$B$7="Normal",Controls!$B$8+Controls!$B$9*SQRT(-2*LN(I71/2147483647))*COS(2*PI()*S71/2147483647),Controls!$B$8+(Controls!$B$9-Controls!$B$8)*I71/2147483647))</f>
        <v/>
      </c>
      <c r="AD71" s="10" t="str">
        <f>IF(J71="","",IF(Controls!$B$7="Normal",Controls!$B$8+Controls!$B$9*SQRT(-2*LN(J71/2147483647))*COS(2*PI()*T71/2147483647),Controls!$B$8+(Controls!$B$9-Controls!$B$8)*J71/2147483647))</f>
        <v/>
      </c>
      <c r="AE71" s="10" t="str">
        <f>IF(K71="","",IF(Controls!$B$7="Normal",Controls!$B$8+Controls!$B$9*SQRT(-2*LN(K71/2147483647))*COS(2*PI()*U71/2147483647),Controls!$B$8+(Controls!$B$9-Controls!$B$8)*K71/2147483647))</f>
        <v/>
      </c>
    </row>
    <row r="72" ht="21.0" customHeight="1">
      <c r="A72" s="7">
        <f>IF(71&lt;=Controls!$B$5,Controls!$B$4+70,"")</f>
        <v>73061</v>
      </c>
      <c r="B72" s="10">
        <f>IF(OR($A72="",1&gt;Controls!$B$6),"",MOD(L71*48271,2147483647))</f>
        <v>1421471543</v>
      </c>
      <c r="C72" s="10">
        <f>IF(OR($A72="",2&gt;Controls!$B$6),"",MOD(M71*48271,2147483647))</f>
        <v>328814834</v>
      </c>
      <c r="D72" s="10">
        <f>IF(OR($A72="",3&gt;Controls!$B$6),"",MOD(N71*48271,2147483647))</f>
        <v>1383641772</v>
      </c>
      <c r="E72" s="10" t="str">
        <f>IF(OR($A72="",4&gt;Controls!$B$6),"",MOD(O71*48271,2147483647))</f>
        <v/>
      </c>
      <c r="F72" s="10" t="str">
        <f>IF(OR($A72="",5&gt;Controls!$B$6),"",MOD(P71*48271,2147483647))</f>
        <v/>
      </c>
      <c r="G72" s="10" t="str">
        <f>IF(OR($A72="",6&gt;Controls!$B$6),"",MOD(Q71*48271,2147483647))</f>
        <v/>
      </c>
      <c r="H72" s="10" t="str">
        <f>IF(OR($A72="",7&gt;Controls!$B$6),"",MOD(R71*48271,2147483647))</f>
        <v/>
      </c>
      <c r="I72" s="10" t="str">
        <f>IF(OR($A72="",8&gt;Controls!$B$6),"",MOD(S71*48271,2147483647))</f>
        <v/>
      </c>
      <c r="J72" s="10" t="str">
        <f>IF(OR($A72="",9&gt;Controls!$B$6),"",MOD(T71*48271,2147483647))</f>
        <v/>
      </c>
      <c r="K72" s="10" t="str">
        <f>IF(OR($A72="",10&gt;Controls!$B$6),"",MOD(U71*48271,2147483647))</f>
        <v/>
      </c>
      <c r="L72" s="10">
        <f t="shared" ref="L72:U72" si="71">IF(B72="","",MOD(B72*48271,2147483647))</f>
        <v>1602846856</v>
      </c>
      <c r="M72" s="10">
        <f t="shared" si="71"/>
        <v>169217037</v>
      </c>
      <c r="N72" s="10">
        <f t="shared" si="71"/>
        <v>883070865</v>
      </c>
      <c r="O72" s="10" t="str">
        <f t="shared" si="71"/>
        <v/>
      </c>
      <c r="P72" s="10" t="str">
        <f t="shared" si="71"/>
        <v/>
      </c>
      <c r="Q72" s="10" t="str">
        <f t="shared" si="71"/>
        <v/>
      </c>
      <c r="R72" s="10" t="str">
        <f t="shared" si="71"/>
        <v/>
      </c>
      <c r="S72" s="10" t="str">
        <f t="shared" si="71"/>
        <v/>
      </c>
      <c r="T72" s="10" t="str">
        <f t="shared" si="71"/>
        <v/>
      </c>
      <c r="U72" s="10" t="str">
        <f t="shared" si="71"/>
        <v/>
      </c>
      <c r="V72" s="10">
        <f>IF(B72="","",IF(Controls!$B$7="Normal",Controls!$B$8+Controls!$B$9*SQRT(-2*LN(B72/2147483647))*COS(2*PI()*L72/2147483647),Controls!$B$8+(Controls!$B$9-Controls!$B$8)*B72/2147483647))</f>
        <v>49.79361171</v>
      </c>
      <c r="W72" s="10">
        <f>IF(C72="","",IF(Controls!$B$7="Normal",Controls!$B$8+Controls!$B$9*SQRT(-2*LN(C72/2147483647))*COS(2*PI()*M72/2147483647),Controls!$B$8+(Controls!$B$9-Controls!$B$8)*C72/2147483647))</f>
        <v>67.04666317</v>
      </c>
      <c r="X72" s="10">
        <f>IF(D72="","",IF(Controls!$B$7="Normal",Controls!$B$8+Controls!$B$9*SQRT(-2*LN(D72/2147483647))*COS(2*PI()*N72/2147483647),Controls!$B$8+(Controls!$B$9-Controls!$B$8)*D72/2147483647))</f>
        <v>42.04527619</v>
      </c>
      <c r="Y72" s="10" t="str">
        <f>IF(E72="","",IF(Controls!$B$7="Normal",Controls!$B$8+Controls!$B$9*SQRT(-2*LN(E72/2147483647))*COS(2*PI()*O72/2147483647),Controls!$B$8+(Controls!$B$9-Controls!$B$8)*E72/2147483647))</f>
        <v/>
      </c>
      <c r="Z72" s="10" t="str">
        <f>IF(F72="","",IF(Controls!$B$7="Normal",Controls!$B$8+Controls!$B$9*SQRT(-2*LN(F72/2147483647))*COS(2*PI()*P72/2147483647),Controls!$B$8+(Controls!$B$9-Controls!$B$8)*F72/2147483647))</f>
        <v/>
      </c>
      <c r="AA72" s="10" t="str">
        <f>IF(G72="","",IF(Controls!$B$7="Normal",Controls!$B$8+Controls!$B$9*SQRT(-2*LN(G72/2147483647))*COS(2*PI()*Q72/2147483647),Controls!$B$8+(Controls!$B$9-Controls!$B$8)*G72/2147483647))</f>
        <v/>
      </c>
      <c r="AB72" s="10" t="str">
        <f>IF(H72="","",IF(Controls!$B$7="Normal",Controls!$B$8+Controls!$B$9*SQRT(-2*LN(H72/2147483647))*COS(2*PI()*R72/2147483647),Controls!$B$8+(Controls!$B$9-Controls!$B$8)*H72/2147483647))</f>
        <v/>
      </c>
      <c r="AC72" s="10" t="str">
        <f>IF(I72="","",IF(Controls!$B$7="Normal",Controls!$B$8+Controls!$B$9*SQRT(-2*LN(I72/2147483647))*COS(2*PI()*S72/2147483647),Controls!$B$8+(Controls!$B$9-Controls!$B$8)*I72/2147483647))</f>
        <v/>
      </c>
      <c r="AD72" s="10" t="str">
        <f>IF(J72="","",IF(Controls!$B$7="Normal",Controls!$B$8+Controls!$B$9*SQRT(-2*LN(J72/2147483647))*COS(2*PI()*T72/2147483647),Controls!$B$8+(Controls!$B$9-Controls!$B$8)*J72/2147483647))</f>
        <v/>
      </c>
      <c r="AE72" s="10" t="str">
        <f>IF(K72="","",IF(Controls!$B$7="Normal",Controls!$B$8+Controls!$B$9*SQRT(-2*LN(K72/2147483647))*COS(2*PI()*U72/2147483647),Controls!$B$8+(Controls!$B$9-Controls!$B$8)*K72/2147483647))</f>
        <v/>
      </c>
    </row>
    <row r="73" ht="21.0" customHeight="1">
      <c r="A73" s="7">
        <f>IF(72&lt;=Controls!$B$5,Controls!$B$4+71,"")</f>
        <v>73062</v>
      </c>
      <c r="B73" s="10">
        <f>IF(OR($A73="",1&gt;Controls!$B$6),"",MOD(L72*48271,2147483647))</f>
        <v>1479751860</v>
      </c>
      <c r="C73" s="10">
        <f>IF(OR($A73="",2&gt;Controls!$B$6),"",MOD(M72*48271,2147483647))</f>
        <v>1395283486</v>
      </c>
      <c r="D73" s="10">
        <f>IF(OR($A73="",3&gt;Controls!$B$6),"",MOD(N72*48271,2147483647))</f>
        <v>1310815112</v>
      </c>
      <c r="E73" s="10" t="str">
        <f>IF(OR($A73="",4&gt;Controls!$B$6),"",MOD(O72*48271,2147483647))</f>
        <v/>
      </c>
      <c r="F73" s="10" t="str">
        <f>IF(OR($A73="",5&gt;Controls!$B$6),"",MOD(P72*48271,2147483647))</f>
        <v/>
      </c>
      <c r="G73" s="10" t="str">
        <f>IF(OR($A73="",6&gt;Controls!$B$6),"",MOD(Q72*48271,2147483647))</f>
        <v/>
      </c>
      <c r="H73" s="10" t="str">
        <f>IF(OR($A73="",7&gt;Controls!$B$6),"",MOD(R72*48271,2147483647))</f>
        <v/>
      </c>
      <c r="I73" s="10" t="str">
        <f>IF(OR($A73="",8&gt;Controls!$B$6),"",MOD(S72*48271,2147483647))</f>
        <v/>
      </c>
      <c r="J73" s="10" t="str">
        <f>IF(OR($A73="",9&gt;Controls!$B$6),"",MOD(T72*48271,2147483647))</f>
        <v/>
      </c>
      <c r="K73" s="10" t="str">
        <f>IF(OR($A73="",10&gt;Controls!$B$6),"",MOD(U72*48271,2147483647))</f>
        <v/>
      </c>
      <c r="L73" s="10">
        <f t="shared" ref="L73:U73" si="72">IF(B73="","",MOD(B73*48271,2147483647))</f>
        <v>1648451193</v>
      </c>
      <c r="M73" s="10">
        <f t="shared" si="72"/>
        <v>199531845</v>
      </c>
      <c r="N73" s="10">
        <f t="shared" si="72"/>
        <v>898096144</v>
      </c>
      <c r="O73" s="10" t="str">
        <f t="shared" si="72"/>
        <v/>
      </c>
      <c r="P73" s="10" t="str">
        <f t="shared" si="72"/>
        <v/>
      </c>
      <c r="Q73" s="10" t="str">
        <f t="shared" si="72"/>
        <v/>
      </c>
      <c r="R73" s="10" t="str">
        <f t="shared" si="72"/>
        <v/>
      </c>
      <c r="S73" s="10" t="str">
        <f t="shared" si="72"/>
        <v/>
      </c>
      <c r="T73" s="10" t="str">
        <f t="shared" si="72"/>
        <v/>
      </c>
      <c r="U73" s="10" t="str">
        <f t="shared" si="72"/>
        <v/>
      </c>
      <c r="V73" s="10">
        <f>IF(B73="","",IF(Controls!$B$7="Normal",Controls!$B$8+Controls!$B$9*SQRT(-2*LN(B73/2147483647))*COS(2*PI()*L73/2147483647),Controls!$B$8+(Controls!$B$9-Controls!$B$8)*B73/2147483647))</f>
        <v>50.95351774</v>
      </c>
      <c r="W73" s="10">
        <f>IF(C73="","",IF(Controls!$B$7="Normal",Controls!$B$8+Controls!$B$9*SQRT(-2*LN(C73/2147483647))*COS(2*PI()*M73/2147483647),Controls!$B$8+(Controls!$B$9-Controls!$B$8)*C73/2147483647))</f>
        <v>57.74846176</v>
      </c>
      <c r="X73" s="10">
        <f>IF(D73="","",IF(Controls!$B$7="Normal",Controls!$B$8+Controls!$B$9*SQRT(-2*LN(D73/2147483647))*COS(2*PI()*N73/2147483647),Controls!$B$8+(Controls!$B$9-Controls!$B$8)*D73/2147483647))</f>
        <v>41.3472071</v>
      </c>
      <c r="Y73" s="10" t="str">
        <f>IF(E73="","",IF(Controls!$B$7="Normal",Controls!$B$8+Controls!$B$9*SQRT(-2*LN(E73/2147483647))*COS(2*PI()*O73/2147483647),Controls!$B$8+(Controls!$B$9-Controls!$B$8)*E73/2147483647))</f>
        <v/>
      </c>
      <c r="Z73" s="10" t="str">
        <f>IF(F73="","",IF(Controls!$B$7="Normal",Controls!$B$8+Controls!$B$9*SQRT(-2*LN(F73/2147483647))*COS(2*PI()*P73/2147483647),Controls!$B$8+(Controls!$B$9-Controls!$B$8)*F73/2147483647))</f>
        <v/>
      </c>
      <c r="AA73" s="10" t="str">
        <f>IF(G73="","",IF(Controls!$B$7="Normal",Controls!$B$8+Controls!$B$9*SQRT(-2*LN(G73/2147483647))*COS(2*PI()*Q73/2147483647),Controls!$B$8+(Controls!$B$9-Controls!$B$8)*G73/2147483647))</f>
        <v/>
      </c>
      <c r="AB73" s="10" t="str">
        <f>IF(H73="","",IF(Controls!$B$7="Normal",Controls!$B$8+Controls!$B$9*SQRT(-2*LN(H73/2147483647))*COS(2*PI()*R73/2147483647),Controls!$B$8+(Controls!$B$9-Controls!$B$8)*H73/2147483647))</f>
        <v/>
      </c>
      <c r="AC73" s="10" t="str">
        <f>IF(I73="","",IF(Controls!$B$7="Normal",Controls!$B$8+Controls!$B$9*SQRT(-2*LN(I73/2147483647))*COS(2*PI()*S73/2147483647),Controls!$B$8+(Controls!$B$9-Controls!$B$8)*I73/2147483647))</f>
        <v/>
      </c>
      <c r="AD73" s="10" t="str">
        <f>IF(J73="","",IF(Controls!$B$7="Normal",Controls!$B$8+Controls!$B$9*SQRT(-2*LN(J73/2147483647))*COS(2*PI()*T73/2147483647),Controls!$B$8+(Controls!$B$9-Controls!$B$8)*J73/2147483647))</f>
        <v/>
      </c>
      <c r="AE73" s="10" t="str">
        <f>IF(K73="","",IF(Controls!$B$7="Normal",Controls!$B$8+Controls!$B$9*SQRT(-2*LN(K73/2147483647))*COS(2*PI()*U73/2147483647),Controls!$B$8+(Controls!$B$9-Controls!$B$8)*K73/2147483647))</f>
        <v/>
      </c>
    </row>
    <row r="74" ht="21.0" customHeight="1">
      <c r="A74" s="7">
        <f>IF(73&lt;=Controls!$B$5,Controls!$B$4+72,"")</f>
        <v>73063</v>
      </c>
      <c r="B74" s="10">
        <f>IF(OR($A74="",1&gt;Controls!$B$6),"",MOD(L73*48271,2147483647))</f>
        <v>1675965012</v>
      </c>
      <c r="C74" s="10">
        <f>IF(OR($A74="",2&gt;Controls!$B$6),"",MOD(M73*48271,2147483647))</f>
        <v>137533200</v>
      </c>
      <c r="D74" s="10">
        <f>IF(OR($A74="",3&gt;Controls!$B$6),"",MOD(N73*48271,2147483647))</f>
        <v>746585035</v>
      </c>
      <c r="E74" s="10" t="str">
        <f>IF(OR($A74="",4&gt;Controls!$B$6),"",MOD(O73*48271,2147483647))</f>
        <v/>
      </c>
      <c r="F74" s="10" t="str">
        <f>IF(OR($A74="",5&gt;Controls!$B$6),"",MOD(P73*48271,2147483647))</f>
        <v/>
      </c>
      <c r="G74" s="10" t="str">
        <f>IF(OR($A74="",6&gt;Controls!$B$6),"",MOD(Q73*48271,2147483647))</f>
        <v/>
      </c>
      <c r="H74" s="10" t="str">
        <f>IF(OR($A74="",7&gt;Controls!$B$6),"",MOD(R73*48271,2147483647))</f>
        <v/>
      </c>
      <c r="I74" s="10" t="str">
        <f>IF(OR($A74="",8&gt;Controls!$B$6),"",MOD(S73*48271,2147483647))</f>
        <v/>
      </c>
      <c r="J74" s="10" t="str">
        <f>IF(OR($A74="",9&gt;Controls!$B$6),"",MOD(T73*48271,2147483647))</f>
        <v/>
      </c>
      <c r="K74" s="10" t="str">
        <f>IF(OR($A74="",10&gt;Controls!$B$6),"",MOD(U73*48271,2147483647))</f>
        <v/>
      </c>
      <c r="L74" s="10">
        <f t="shared" ref="L74:U74" si="73">IF(B74="","",MOD(B74*48271,2147483647))</f>
        <v>503144468</v>
      </c>
      <c r="M74" s="10">
        <f t="shared" si="73"/>
        <v>993144323</v>
      </c>
      <c r="N74" s="10">
        <f t="shared" si="73"/>
        <v>1483144178</v>
      </c>
      <c r="O74" s="10" t="str">
        <f t="shared" si="73"/>
        <v/>
      </c>
      <c r="P74" s="10" t="str">
        <f t="shared" si="73"/>
        <v/>
      </c>
      <c r="Q74" s="10" t="str">
        <f t="shared" si="73"/>
        <v/>
      </c>
      <c r="R74" s="10" t="str">
        <f t="shared" si="73"/>
        <v/>
      </c>
      <c r="S74" s="10" t="str">
        <f t="shared" si="73"/>
        <v/>
      </c>
      <c r="T74" s="10" t="str">
        <f t="shared" si="73"/>
        <v/>
      </c>
      <c r="U74" s="10" t="str">
        <f t="shared" si="73"/>
        <v/>
      </c>
      <c r="V74" s="10">
        <f>IF(B74="","",IF(Controls!$B$7="Normal",Controls!$B$8+Controls!$B$9*SQRT(-2*LN(B74/2147483647))*COS(2*PI()*L74/2147483647),Controls!$B$8+(Controls!$B$9-Controls!$B$8)*B74/2147483647))</f>
        <v>50.69370601</v>
      </c>
      <c r="W74" s="10">
        <f>IF(C74="","",IF(Controls!$B$7="Normal",Controls!$B$8+Controls!$B$9*SQRT(-2*LN(C74/2147483647))*COS(2*PI()*M74/2147483647),Controls!$B$8+(Controls!$B$9-Controls!$B$8)*C74/2147483647))</f>
        <v>27.20449469</v>
      </c>
      <c r="X74" s="10">
        <f>IF(D74="","",IF(Controls!$B$7="Normal",Controls!$B$8+Controls!$B$9*SQRT(-2*LN(D74/2147483647))*COS(2*PI()*N74/2147483647),Controls!$B$8+(Controls!$B$9-Controls!$B$8)*D74/2147483647))</f>
        <v>44.70340755</v>
      </c>
      <c r="Y74" s="10" t="str">
        <f>IF(E74="","",IF(Controls!$B$7="Normal",Controls!$B$8+Controls!$B$9*SQRT(-2*LN(E74/2147483647))*COS(2*PI()*O74/2147483647),Controls!$B$8+(Controls!$B$9-Controls!$B$8)*E74/2147483647))</f>
        <v/>
      </c>
      <c r="Z74" s="10" t="str">
        <f>IF(F74="","",IF(Controls!$B$7="Normal",Controls!$B$8+Controls!$B$9*SQRT(-2*LN(F74/2147483647))*COS(2*PI()*P74/2147483647),Controls!$B$8+(Controls!$B$9-Controls!$B$8)*F74/2147483647))</f>
        <v/>
      </c>
      <c r="AA74" s="10" t="str">
        <f>IF(G74="","",IF(Controls!$B$7="Normal",Controls!$B$8+Controls!$B$9*SQRT(-2*LN(G74/2147483647))*COS(2*PI()*Q74/2147483647),Controls!$B$8+(Controls!$B$9-Controls!$B$8)*G74/2147483647))</f>
        <v/>
      </c>
      <c r="AB74" s="10" t="str">
        <f>IF(H74="","",IF(Controls!$B$7="Normal",Controls!$B$8+Controls!$B$9*SQRT(-2*LN(H74/2147483647))*COS(2*PI()*R74/2147483647),Controls!$B$8+(Controls!$B$9-Controls!$B$8)*H74/2147483647))</f>
        <v/>
      </c>
      <c r="AC74" s="10" t="str">
        <f>IF(I74="","",IF(Controls!$B$7="Normal",Controls!$B$8+Controls!$B$9*SQRT(-2*LN(I74/2147483647))*COS(2*PI()*S74/2147483647),Controls!$B$8+(Controls!$B$9-Controls!$B$8)*I74/2147483647))</f>
        <v/>
      </c>
      <c r="AD74" s="10" t="str">
        <f>IF(J74="","",IF(Controls!$B$7="Normal",Controls!$B$8+Controls!$B$9*SQRT(-2*LN(J74/2147483647))*COS(2*PI()*T74/2147483647),Controls!$B$8+(Controls!$B$9-Controls!$B$8)*J74/2147483647))</f>
        <v/>
      </c>
      <c r="AE74" s="10" t="str">
        <f>IF(K74="","",IF(Controls!$B$7="Normal",Controls!$B$8+Controls!$B$9*SQRT(-2*LN(K74/2147483647))*COS(2*PI()*U74/2147483647),Controls!$B$8+(Controls!$B$9-Controls!$B$8)*K74/2147483647))</f>
        <v/>
      </c>
    </row>
    <row r="75" ht="21.0" customHeight="1">
      <c r="A75" s="7">
        <f>IF(74&lt;=Controls!$B$5,Controls!$B$4+73,"")</f>
        <v>73064</v>
      </c>
      <c r="B75" s="10">
        <f>IF(OR($A75="",1&gt;Controls!$B$6),"",MOD(L74*48271,2147483647))</f>
        <v>1394050905</v>
      </c>
      <c r="C75" s="10">
        <f>IF(OR($A75="",2&gt;Controls!$B$6),"",MOD(M74*48271,2147483647))</f>
        <v>1792163552</v>
      </c>
      <c r="D75" s="10">
        <f>IF(OR($A75="",3&gt;Controls!$B$6),"",MOD(N74*48271,2147483647))</f>
        <v>42792552</v>
      </c>
      <c r="E75" s="10" t="str">
        <f>IF(OR($A75="",4&gt;Controls!$B$6),"",MOD(O74*48271,2147483647))</f>
        <v/>
      </c>
      <c r="F75" s="10" t="str">
        <f>IF(OR($A75="",5&gt;Controls!$B$6),"",MOD(P74*48271,2147483647))</f>
        <v/>
      </c>
      <c r="G75" s="10" t="str">
        <f>IF(OR($A75="",6&gt;Controls!$B$6),"",MOD(Q74*48271,2147483647))</f>
        <v/>
      </c>
      <c r="H75" s="10" t="str">
        <f>IF(OR($A75="",7&gt;Controls!$B$6),"",MOD(R74*48271,2147483647))</f>
        <v/>
      </c>
      <c r="I75" s="10" t="str">
        <f>IF(OR($A75="",8&gt;Controls!$B$6),"",MOD(S74*48271,2147483647))</f>
        <v/>
      </c>
      <c r="J75" s="10" t="str">
        <f>IF(OR($A75="",9&gt;Controls!$B$6),"",MOD(T74*48271,2147483647))</f>
        <v/>
      </c>
      <c r="K75" s="10" t="str">
        <f>IF(OR($A75="",10&gt;Controls!$B$6),"",MOD(U74*48271,2147483647))</f>
        <v/>
      </c>
      <c r="L75" s="10">
        <f t="shared" ref="L75:U75" si="74">IF(B75="","",MOD(B75*48271,2147483647))</f>
        <v>831156510</v>
      </c>
      <c r="M75" s="10">
        <f t="shared" si="74"/>
        <v>295582844</v>
      </c>
      <c r="N75" s="10">
        <f t="shared" si="74"/>
        <v>1907492825</v>
      </c>
      <c r="O75" s="10" t="str">
        <f t="shared" si="74"/>
        <v/>
      </c>
      <c r="P75" s="10" t="str">
        <f t="shared" si="74"/>
        <v/>
      </c>
      <c r="Q75" s="10" t="str">
        <f t="shared" si="74"/>
        <v/>
      </c>
      <c r="R75" s="10" t="str">
        <f t="shared" si="74"/>
        <v/>
      </c>
      <c r="S75" s="10" t="str">
        <f t="shared" si="74"/>
        <v/>
      </c>
      <c r="T75" s="10" t="str">
        <f t="shared" si="74"/>
        <v/>
      </c>
      <c r="U75" s="10" t="str">
        <f t="shared" si="74"/>
        <v/>
      </c>
      <c r="V75" s="10">
        <f>IF(B75="","",IF(Controls!$B$7="Normal",Controls!$B$8+Controls!$B$9*SQRT(-2*LN(B75/2147483647))*COS(2*PI()*L75/2147483647),Controls!$B$8+(Controls!$B$9-Controls!$B$8)*B75/2147483647))</f>
        <v>42.94880393</v>
      </c>
      <c r="W75" s="10">
        <f>IF(C75="","",IF(Controls!$B$7="Normal",Controls!$B$8+Controls!$B$9*SQRT(-2*LN(C75/2147483647))*COS(2*PI()*M75/2147483647),Controls!$B$8+(Controls!$B$9-Controls!$B$8)*C75/2147483647))</f>
        <v>53.90206095</v>
      </c>
      <c r="X75" s="10">
        <f>IF(D75="","",IF(Controls!$B$7="Normal",Controls!$B$8+Controls!$B$9*SQRT(-2*LN(D75/2147483647))*COS(2*PI()*N75/2147483647),Controls!$B$8+(Controls!$B$9-Controls!$B$8)*D75/2147483647))</f>
        <v>71.36455872</v>
      </c>
      <c r="Y75" s="10" t="str">
        <f>IF(E75="","",IF(Controls!$B$7="Normal",Controls!$B$8+Controls!$B$9*SQRT(-2*LN(E75/2147483647))*COS(2*PI()*O75/2147483647),Controls!$B$8+(Controls!$B$9-Controls!$B$8)*E75/2147483647))</f>
        <v/>
      </c>
      <c r="Z75" s="10" t="str">
        <f>IF(F75="","",IF(Controls!$B$7="Normal",Controls!$B$8+Controls!$B$9*SQRT(-2*LN(F75/2147483647))*COS(2*PI()*P75/2147483647),Controls!$B$8+(Controls!$B$9-Controls!$B$8)*F75/2147483647))</f>
        <v/>
      </c>
      <c r="AA75" s="10" t="str">
        <f>IF(G75="","",IF(Controls!$B$7="Normal",Controls!$B$8+Controls!$B$9*SQRT(-2*LN(G75/2147483647))*COS(2*PI()*Q75/2147483647),Controls!$B$8+(Controls!$B$9-Controls!$B$8)*G75/2147483647))</f>
        <v/>
      </c>
      <c r="AB75" s="10" t="str">
        <f>IF(H75="","",IF(Controls!$B$7="Normal",Controls!$B$8+Controls!$B$9*SQRT(-2*LN(H75/2147483647))*COS(2*PI()*R75/2147483647),Controls!$B$8+(Controls!$B$9-Controls!$B$8)*H75/2147483647))</f>
        <v/>
      </c>
      <c r="AC75" s="10" t="str">
        <f>IF(I75="","",IF(Controls!$B$7="Normal",Controls!$B$8+Controls!$B$9*SQRT(-2*LN(I75/2147483647))*COS(2*PI()*S75/2147483647),Controls!$B$8+(Controls!$B$9-Controls!$B$8)*I75/2147483647))</f>
        <v/>
      </c>
      <c r="AD75" s="10" t="str">
        <f>IF(J75="","",IF(Controls!$B$7="Normal",Controls!$B$8+Controls!$B$9*SQRT(-2*LN(J75/2147483647))*COS(2*PI()*T75/2147483647),Controls!$B$8+(Controls!$B$9-Controls!$B$8)*J75/2147483647))</f>
        <v/>
      </c>
      <c r="AE75" s="10" t="str">
        <f>IF(K75="","",IF(Controls!$B$7="Normal",Controls!$B$8+Controls!$B$9*SQRT(-2*LN(K75/2147483647))*COS(2*PI()*U75/2147483647),Controls!$B$8+(Controls!$B$9-Controls!$B$8)*K75/2147483647))</f>
        <v/>
      </c>
    </row>
    <row r="76" ht="21.0" customHeight="1">
      <c r="A76" s="7">
        <f>IF(75&lt;=Controls!$B$5,Controls!$B$4+74,"")</f>
        <v>73065</v>
      </c>
      <c r="B76" s="10">
        <f>IF(OR($A76="",1&gt;Controls!$B$6),"",MOD(L75*48271,2147483647))</f>
        <v>1466400956</v>
      </c>
      <c r="C76" s="10">
        <f>IF(OR($A76="",2&gt;Controls!$B$6),"",MOD(M75*48271,2147483647))</f>
        <v>198112056</v>
      </c>
      <c r="D76" s="10">
        <f>IF(OR($A76="",3&gt;Controls!$B$6),"",MOD(N75*48271,2147483647))</f>
        <v>1077306803</v>
      </c>
      <c r="E76" s="10" t="str">
        <f>IF(OR($A76="",4&gt;Controls!$B$6),"",MOD(O75*48271,2147483647))</f>
        <v/>
      </c>
      <c r="F76" s="10" t="str">
        <f>IF(OR($A76="",5&gt;Controls!$B$6),"",MOD(P75*48271,2147483647))</f>
        <v/>
      </c>
      <c r="G76" s="10" t="str">
        <f>IF(OR($A76="",6&gt;Controls!$B$6),"",MOD(Q75*48271,2147483647))</f>
        <v/>
      </c>
      <c r="H76" s="10" t="str">
        <f>IF(OR($A76="",7&gt;Controls!$B$6),"",MOD(R75*48271,2147483647))</f>
        <v/>
      </c>
      <c r="I76" s="10" t="str">
        <f>IF(OR($A76="",8&gt;Controls!$B$6),"",MOD(S75*48271,2147483647))</f>
        <v/>
      </c>
      <c r="J76" s="10" t="str">
        <f>IF(OR($A76="",9&gt;Controls!$B$6),"",MOD(T75*48271,2147483647))</f>
        <v/>
      </c>
      <c r="K76" s="10" t="str">
        <f>IF(OR($A76="",10&gt;Controls!$B$6),"",MOD(U75*48271,2147483647))</f>
        <v/>
      </c>
      <c r="L76" s="10">
        <f t="shared" ref="L76:U76" si="75">IF(B76="","",MOD(B76*48271,2147483647))</f>
        <v>1432058309</v>
      </c>
      <c r="M76" s="10">
        <f t="shared" si="75"/>
        <v>322375085</v>
      </c>
      <c r="N76" s="10">
        <f t="shared" si="75"/>
        <v>1360175508</v>
      </c>
      <c r="O76" s="10" t="str">
        <f t="shared" si="75"/>
        <v/>
      </c>
      <c r="P76" s="10" t="str">
        <f t="shared" si="75"/>
        <v/>
      </c>
      <c r="Q76" s="10" t="str">
        <f t="shared" si="75"/>
        <v/>
      </c>
      <c r="R76" s="10" t="str">
        <f t="shared" si="75"/>
        <v/>
      </c>
      <c r="S76" s="10" t="str">
        <f t="shared" si="75"/>
        <v/>
      </c>
      <c r="T76" s="10" t="str">
        <f t="shared" si="75"/>
        <v/>
      </c>
      <c r="U76" s="10" t="str">
        <f t="shared" si="75"/>
        <v/>
      </c>
      <c r="V76" s="10">
        <f>IF(B76="","",IF(Controls!$B$7="Normal",Controls!$B$8+Controls!$B$9*SQRT(-2*LN(B76/2147483647))*COS(2*PI()*L76/2147483647),Controls!$B$8+(Controls!$B$9-Controls!$B$8)*B76/2147483647))</f>
        <v>45.64150078</v>
      </c>
      <c r="W76" s="10">
        <f>IF(C76="","",IF(Controls!$B$7="Normal",Controls!$B$8+Controls!$B$9*SQRT(-2*LN(C76/2147483647))*COS(2*PI()*M76/2147483647),Controls!$B$8+(Controls!$B$9-Controls!$B$8)*C76/2147483647))</f>
        <v>62.8195761</v>
      </c>
      <c r="X76" s="10">
        <f>IF(D76="","",IF(Controls!$B$7="Normal",Controls!$B$8+Controls!$B$9*SQRT(-2*LN(D76/2147483647))*COS(2*PI()*N76/2147483647),Controls!$B$8+(Controls!$B$9-Controls!$B$8)*D76/2147483647))</f>
        <v>42.14306807</v>
      </c>
      <c r="Y76" s="10" t="str">
        <f>IF(E76="","",IF(Controls!$B$7="Normal",Controls!$B$8+Controls!$B$9*SQRT(-2*LN(E76/2147483647))*COS(2*PI()*O76/2147483647),Controls!$B$8+(Controls!$B$9-Controls!$B$8)*E76/2147483647))</f>
        <v/>
      </c>
      <c r="Z76" s="10" t="str">
        <f>IF(F76="","",IF(Controls!$B$7="Normal",Controls!$B$8+Controls!$B$9*SQRT(-2*LN(F76/2147483647))*COS(2*PI()*P76/2147483647),Controls!$B$8+(Controls!$B$9-Controls!$B$8)*F76/2147483647))</f>
        <v/>
      </c>
      <c r="AA76" s="10" t="str">
        <f>IF(G76="","",IF(Controls!$B$7="Normal",Controls!$B$8+Controls!$B$9*SQRT(-2*LN(G76/2147483647))*COS(2*PI()*Q76/2147483647),Controls!$B$8+(Controls!$B$9-Controls!$B$8)*G76/2147483647))</f>
        <v/>
      </c>
      <c r="AB76" s="10" t="str">
        <f>IF(H76="","",IF(Controls!$B$7="Normal",Controls!$B$8+Controls!$B$9*SQRT(-2*LN(H76/2147483647))*COS(2*PI()*R76/2147483647),Controls!$B$8+(Controls!$B$9-Controls!$B$8)*H76/2147483647))</f>
        <v/>
      </c>
      <c r="AC76" s="10" t="str">
        <f>IF(I76="","",IF(Controls!$B$7="Normal",Controls!$B$8+Controls!$B$9*SQRT(-2*LN(I76/2147483647))*COS(2*PI()*S76/2147483647),Controls!$B$8+(Controls!$B$9-Controls!$B$8)*I76/2147483647))</f>
        <v/>
      </c>
      <c r="AD76" s="10" t="str">
        <f>IF(J76="","",IF(Controls!$B$7="Normal",Controls!$B$8+Controls!$B$9*SQRT(-2*LN(J76/2147483647))*COS(2*PI()*T76/2147483647),Controls!$B$8+(Controls!$B$9-Controls!$B$8)*J76/2147483647))</f>
        <v/>
      </c>
      <c r="AE76" s="10" t="str">
        <f>IF(K76="","",IF(Controls!$B$7="Normal",Controls!$B$8+Controls!$B$9*SQRT(-2*LN(K76/2147483647))*COS(2*PI()*U76/2147483647),Controls!$B$8+(Controls!$B$9-Controls!$B$8)*K76/2147483647))</f>
        <v/>
      </c>
    </row>
    <row r="77" ht="21.0" customHeight="1">
      <c r="A77" s="7">
        <f>IF(76&lt;=Controls!$B$5,Controls!$B$4+75,"")</f>
        <v>73066</v>
      </c>
      <c r="B77" s="10">
        <f>IF(OR($A77="",1&gt;Controls!$B$6),"",MOD(L76*48271,2147483647))</f>
        <v>1535520456</v>
      </c>
      <c r="C77" s="10">
        <f>IF(OR($A77="",2&gt;Controls!$B$6),"",MOD(M76*48271,2147483647))</f>
        <v>701221873</v>
      </c>
      <c r="D77" s="10">
        <f>IF(OR($A77="",3&gt;Controls!$B$6),"",MOD(N76*48271,2147483647))</f>
        <v>2014406937</v>
      </c>
      <c r="E77" s="10" t="str">
        <f>IF(OR($A77="",4&gt;Controls!$B$6),"",MOD(O76*48271,2147483647))</f>
        <v/>
      </c>
      <c r="F77" s="10" t="str">
        <f>IF(OR($A77="",5&gt;Controls!$B$6),"",MOD(P76*48271,2147483647))</f>
        <v/>
      </c>
      <c r="G77" s="10" t="str">
        <f>IF(OR($A77="",6&gt;Controls!$B$6),"",MOD(Q76*48271,2147483647))</f>
        <v/>
      </c>
      <c r="H77" s="10" t="str">
        <f>IF(OR($A77="",7&gt;Controls!$B$6),"",MOD(R76*48271,2147483647))</f>
        <v/>
      </c>
      <c r="I77" s="10" t="str">
        <f>IF(OR($A77="",8&gt;Controls!$B$6),"",MOD(S76*48271,2147483647))</f>
        <v/>
      </c>
      <c r="J77" s="10" t="str">
        <f>IF(OR($A77="",9&gt;Controls!$B$6),"",MOD(T76*48271,2147483647))</f>
        <v/>
      </c>
      <c r="K77" s="10" t="str">
        <f>IF(OR($A77="",10&gt;Controls!$B$6),"",MOD(U76*48271,2147483647))</f>
        <v/>
      </c>
      <c r="L77" s="10">
        <f t="shared" ref="L77:U77" si="76">IF(B77="","",MOD(B77*48271,2147483647))</f>
        <v>709855371</v>
      </c>
      <c r="M77" s="10">
        <f t="shared" si="76"/>
        <v>43787569</v>
      </c>
      <c r="N77" s="10">
        <f t="shared" si="76"/>
        <v>1525203414</v>
      </c>
      <c r="O77" s="10" t="str">
        <f t="shared" si="76"/>
        <v/>
      </c>
      <c r="P77" s="10" t="str">
        <f t="shared" si="76"/>
        <v/>
      </c>
      <c r="Q77" s="10" t="str">
        <f t="shared" si="76"/>
        <v/>
      </c>
      <c r="R77" s="10" t="str">
        <f t="shared" si="76"/>
        <v/>
      </c>
      <c r="S77" s="10" t="str">
        <f t="shared" si="76"/>
        <v/>
      </c>
      <c r="T77" s="10" t="str">
        <f t="shared" si="76"/>
        <v/>
      </c>
      <c r="U77" s="10" t="str">
        <f t="shared" si="76"/>
        <v/>
      </c>
      <c r="V77" s="10">
        <f>IF(B77="","",IF(Controls!$B$7="Normal",Controls!$B$8+Controls!$B$9*SQRT(-2*LN(B77/2147483647))*COS(2*PI()*L77/2147483647),Controls!$B$8+(Controls!$B$9-Controls!$B$8)*B77/2147483647))</f>
        <v>46.0292843</v>
      </c>
      <c r="W77" s="10">
        <f>IF(C77="","",IF(Controls!$B$7="Normal",Controls!$B$8+Controls!$B$9*SQRT(-2*LN(C77/2147483647))*COS(2*PI()*M77/2147483647),Controls!$B$8+(Controls!$B$9-Controls!$B$8)*C77/2147483647))</f>
        <v>64.83885115</v>
      </c>
      <c r="X77" s="10">
        <f>IF(D77="","",IF(Controls!$B$7="Normal",Controls!$B$8+Controls!$B$9*SQRT(-2*LN(D77/2147483647))*COS(2*PI()*N77/2147483647),Controls!$B$8+(Controls!$B$9-Controls!$B$8)*D77/2147483647))</f>
        <v>49.11542328</v>
      </c>
      <c r="Y77" s="10" t="str">
        <f>IF(E77="","",IF(Controls!$B$7="Normal",Controls!$B$8+Controls!$B$9*SQRT(-2*LN(E77/2147483647))*COS(2*PI()*O77/2147483647),Controls!$B$8+(Controls!$B$9-Controls!$B$8)*E77/2147483647))</f>
        <v/>
      </c>
      <c r="Z77" s="10" t="str">
        <f>IF(F77="","",IF(Controls!$B$7="Normal",Controls!$B$8+Controls!$B$9*SQRT(-2*LN(F77/2147483647))*COS(2*PI()*P77/2147483647),Controls!$B$8+(Controls!$B$9-Controls!$B$8)*F77/2147483647))</f>
        <v/>
      </c>
      <c r="AA77" s="10" t="str">
        <f>IF(G77="","",IF(Controls!$B$7="Normal",Controls!$B$8+Controls!$B$9*SQRT(-2*LN(G77/2147483647))*COS(2*PI()*Q77/2147483647),Controls!$B$8+(Controls!$B$9-Controls!$B$8)*G77/2147483647))</f>
        <v/>
      </c>
      <c r="AB77" s="10" t="str">
        <f>IF(H77="","",IF(Controls!$B$7="Normal",Controls!$B$8+Controls!$B$9*SQRT(-2*LN(H77/2147483647))*COS(2*PI()*R77/2147483647),Controls!$B$8+(Controls!$B$9-Controls!$B$8)*H77/2147483647))</f>
        <v/>
      </c>
      <c r="AC77" s="10" t="str">
        <f>IF(I77="","",IF(Controls!$B$7="Normal",Controls!$B$8+Controls!$B$9*SQRT(-2*LN(I77/2147483647))*COS(2*PI()*S77/2147483647),Controls!$B$8+(Controls!$B$9-Controls!$B$8)*I77/2147483647))</f>
        <v/>
      </c>
      <c r="AD77" s="10" t="str">
        <f>IF(J77="","",IF(Controls!$B$7="Normal",Controls!$B$8+Controls!$B$9*SQRT(-2*LN(J77/2147483647))*COS(2*PI()*T77/2147483647),Controls!$B$8+(Controls!$B$9-Controls!$B$8)*J77/2147483647))</f>
        <v/>
      </c>
      <c r="AE77" s="10" t="str">
        <f>IF(K77="","",IF(Controls!$B$7="Normal",Controls!$B$8+Controls!$B$9*SQRT(-2*LN(K77/2147483647))*COS(2*PI()*U77/2147483647),Controls!$B$8+(Controls!$B$9-Controls!$B$8)*K77/2147483647))</f>
        <v/>
      </c>
    </row>
    <row r="78" ht="21.0" customHeight="1">
      <c r="A78" s="7">
        <f>IF(77&lt;=Controls!$B$5,Controls!$B$4+76,"")</f>
        <v>73067</v>
      </c>
      <c r="B78" s="10">
        <f>IF(OR($A78="",1&gt;Controls!$B$6),"",MOD(L77*48271,2147483647))</f>
        <v>179542009</v>
      </c>
      <c r="C78" s="10">
        <f>IF(OR($A78="",2&gt;Controls!$B$6),"",MOD(M77*48271,2147483647))</f>
        <v>545834551</v>
      </c>
      <c r="D78" s="10">
        <f>IF(OR($A78="",3&gt;Controls!$B$6),"",MOD(N77*48271,2147483647))</f>
        <v>912127093</v>
      </c>
      <c r="E78" s="10" t="str">
        <f>IF(OR($A78="",4&gt;Controls!$B$6),"",MOD(O77*48271,2147483647))</f>
        <v/>
      </c>
      <c r="F78" s="10" t="str">
        <f>IF(OR($A78="",5&gt;Controls!$B$6),"",MOD(P77*48271,2147483647))</f>
        <v/>
      </c>
      <c r="G78" s="10" t="str">
        <f>IF(OR($A78="",6&gt;Controls!$B$6),"",MOD(Q77*48271,2147483647))</f>
        <v/>
      </c>
      <c r="H78" s="10" t="str">
        <f>IF(OR($A78="",7&gt;Controls!$B$6),"",MOD(R77*48271,2147483647))</f>
        <v/>
      </c>
      <c r="I78" s="10" t="str">
        <f>IF(OR($A78="",8&gt;Controls!$B$6),"",MOD(S77*48271,2147483647))</f>
        <v/>
      </c>
      <c r="J78" s="10" t="str">
        <f>IF(OR($A78="",9&gt;Controls!$B$6),"",MOD(T77*48271,2147483647))</f>
        <v/>
      </c>
      <c r="K78" s="10" t="str">
        <f>IF(OR($A78="",10&gt;Controls!$B$6),"",MOD(U77*48271,2147483647))</f>
        <v/>
      </c>
      <c r="L78" s="10">
        <f t="shared" ref="L78:U78" si="77">IF(B78="","",MOD(B78*48271,2147483647))</f>
        <v>1575800794</v>
      </c>
      <c r="M78" s="10">
        <f t="shared" si="77"/>
        <v>502746278</v>
      </c>
      <c r="N78" s="10">
        <f t="shared" si="77"/>
        <v>1577175409</v>
      </c>
      <c r="O78" s="10" t="str">
        <f t="shared" si="77"/>
        <v/>
      </c>
      <c r="P78" s="10" t="str">
        <f t="shared" si="77"/>
        <v/>
      </c>
      <c r="Q78" s="10" t="str">
        <f t="shared" si="77"/>
        <v/>
      </c>
      <c r="R78" s="10" t="str">
        <f t="shared" si="77"/>
        <v/>
      </c>
      <c r="S78" s="10" t="str">
        <f t="shared" si="77"/>
        <v/>
      </c>
      <c r="T78" s="10" t="str">
        <f t="shared" si="77"/>
        <v/>
      </c>
      <c r="U78" s="10" t="str">
        <f t="shared" si="77"/>
        <v/>
      </c>
      <c r="V78" s="10">
        <f>IF(B78="","",IF(Controls!$B$7="Normal",Controls!$B$8+Controls!$B$9*SQRT(-2*LN(B78/2147483647))*COS(2*PI()*L78/2147483647),Controls!$B$8+(Controls!$B$9-Controls!$B$8)*B78/2147483647))</f>
        <v>47.73477311</v>
      </c>
      <c r="W78" s="10">
        <f>IF(C78="","",IF(Controls!$B$7="Normal",Controls!$B$8+Controls!$B$9*SQRT(-2*LN(C78/2147483647))*COS(2*PI()*M78/2147483647),Controls!$B$8+(Controls!$B$9-Controls!$B$8)*C78/2147483647))</f>
        <v>51.64979378</v>
      </c>
      <c r="X78" s="10">
        <f>IF(D78="","",IF(Controls!$B$7="Normal",Controls!$B$8+Controls!$B$9*SQRT(-2*LN(D78/2147483647))*COS(2*PI()*N78/2147483647),Controls!$B$8+(Controls!$B$9-Controls!$B$8)*D78/2147483647))</f>
        <v>48.72176828</v>
      </c>
      <c r="Y78" s="10" t="str">
        <f>IF(E78="","",IF(Controls!$B$7="Normal",Controls!$B$8+Controls!$B$9*SQRT(-2*LN(E78/2147483647))*COS(2*PI()*O78/2147483647),Controls!$B$8+(Controls!$B$9-Controls!$B$8)*E78/2147483647))</f>
        <v/>
      </c>
      <c r="Z78" s="10" t="str">
        <f>IF(F78="","",IF(Controls!$B$7="Normal",Controls!$B$8+Controls!$B$9*SQRT(-2*LN(F78/2147483647))*COS(2*PI()*P78/2147483647),Controls!$B$8+(Controls!$B$9-Controls!$B$8)*F78/2147483647))</f>
        <v/>
      </c>
      <c r="AA78" s="10" t="str">
        <f>IF(G78="","",IF(Controls!$B$7="Normal",Controls!$B$8+Controls!$B$9*SQRT(-2*LN(G78/2147483647))*COS(2*PI()*Q78/2147483647),Controls!$B$8+(Controls!$B$9-Controls!$B$8)*G78/2147483647))</f>
        <v/>
      </c>
      <c r="AB78" s="10" t="str">
        <f>IF(H78="","",IF(Controls!$B$7="Normal",Controls!$B$8+Controls!$B$9*SQRT(-2*LN(H78/2147483647))*COS(2*PI()*R78/2147483647),Controls!$B$8+(Controls!$B$9-Controls!$B$8)*H78/2147483647))</f>
        <v/>
      </c>
      <c r="AC78" s="10" t="str">
        <f>IF(I78="","",IF(Controls!$B$7="Normal",Controls!$B$8+Controls!$B$9*SQRT(-2*LN(I78/2147483647))*COS(2*PI()*S78/2147483647),Controls!$B$8+(Controls!$B$9-Controls!$B$8)*I78/2147483647))</f>
        <v/>
      </c>
      <c r="AD78" s="10" t="str">
        <f>IF(J78="","",IF(Controls!$B$7="Normal",Controls!$B$8+Controls!$B$9*SQRT(-2*LN(J78/2147483647))*COS(2*PI()*T78/2147483647),Controls!$B$8+(Controls!$B$9-Controls!$B$8)*J78/2147483647))</f>
        <v/>
      </c>
      <c r="AE78" s="10" t="str">
        <f>IF(K78="","",IF(Controls!$B$7="Normal",Controls!$B$8+Controls!$B$9*SQRT(-2*LN(K78/2147483647))*COS(2*PI()*U78/2147483647),Controls!$B$8+(Controls!$B$9-Controls!$B$8)*K78/2147483647))</f>
        <v/>
      </c>
    </row>
    <row r="79" ht="21.0" customHeight="1">
      <c r="A79" s="7">
        <f>IF(78&lt;=Controls!$B$5,Controls!$B$4+77,"")</f>
        <v>73068</v>
      </c>
      <c r="B79" s="10">
        <f>IF(OR($A79="",1&gt;Controls!$B$6),"",MOD(L78*48271,2147483647))</f>
        <v>1609350434</v>
      </c>
      <c r="C79" s="10">
        <f>IF(OR($A79="",2&gt;Controls!$B$6),"",MOD(M78*48271,2147483647))</f>
        <v>1500374238</v>
      </c>
      <c r="D79" s="10">
        <f>IF(OR($A79="",3&gt;Controls!$B$6),"",MOD(N78*48271,2147483647))</f>
        <v>1391398042</v>
      </c>
      <c r="E79" s="10" t="str">
        <f>IF(OR($A79="",4&gt;Controls!$B$6),"",MOD(O78*48271,2147483647))</f>
        <v/>
      </c>
      <c r="F79" s="10" t="str">
        <f>IF(OR($A79="",5&gt;Controls!$B$6),"",MOD(P78*48271,2147483647))</f>
        <v/>
      </c>
      <c r="G79" s="10" t="str">
        <f>IF(OR($A79="",6&gt;Controls!$B$6),"",MOD(Q78*48271,2147483647))</f>
        <v/>
      </c>
      <c r="H79" s="10" t="str">
        <f>IF(OR($A79="",7&gt;Controls!$B$6),"",MOD(R78*48271,2147483647))</f>
        <v/>
      </c>
      <c r="I79" s="10" t="str">
        <f>IF(OR($A79="",8&gt;Controls!$B$6),"",MOD(S78*48271,2147483647))</f>
        <v/>
      </c>
      <c r="J79" s="10" t="str">
        <f>IF(OR($A79="",9&gt;Controls!$B$6),"",MOD(T78*48271,2147483647))</f>
        <v/>
      </c>
      <c r="K79" s="10" t="str">
        <f>IF(OR($A79="",10&gt;Controls!$B$6),"",MOD(U78*48271,2147483647))</f>
        <v/>
      </c>
      <c r="L79" s="10">
        <f t="shared" ref="L79:U79" si="78">IF(B79="","",MOD(B79*48271,2147483647))</f>
        <v>1881353036</v>
      </c>
      <c r="M79" s="10">
        <f t="shared" si="78"/>
        <v>678847423</v>
      </c>
      <c r="N79" s="10">
        <f t="shared" si="78"/>
        <v>1623825457</v>
      </c>
      <c r="O79" s="10" t="str">
        <f t="shared" si="78"/>
        <v/>
      </c>
      <c r="P79" s="10" t="str">
        <f t="shared" si="78"/>
        <v/>
      </c>
      <c r="Q79" s="10" t="str">
        <f t="shared" si="78"/>
        <v/>
      </c>
      <c r="R79" s="10" t="str">
        <f t="shared" si="78"/>
        <v/>
      </c>
      <c r="S79" s="10" t="str">
        <f t="shared" si="78"/>
        <v/>
      </c>
      <c r="T79" s="10" t="str">
        <f t="shared" si="78"/>
        <v/>
      </c>
      <c r="U79" s="10" t="str">
        <f t="shared" si="78"/>
        <v/>
      </c>
      <c r="V79" s="10">
        <f>IF(B79="","",IF(Controls!$B$7="Normal",Controls!$B$8+Controls!$B$9*SQRT(-2*LN(B79/2147483647))*COS(2*PI()*L79/2147483647),Controls!$B$8+(Controls!$B$9-Controls!$B$8)*B79/2147483647))</f>
        <v>55.40700103</v>
      </c>
      <c r="W79" s="10">
        <f>IF(C79="","",IF(Controls!$B$7="Normal",Controls!$B$8+Controls!$B$9*SQRT(-2*LN(C79/2147483647))*COS(2*PI()*M79/2147483647),Controls!$B$8+(Controls!$B$9-Controls!$B$8)*C79/2147483647))</f>
        <v>46.58246386</v>
      </c>
      <c r="X79" s="10">
        <f>IF(D79="","",IF(Controls!$B$7="Normal",Controls!$B$8+Controls!$B$9*SQRT(-2*LN(D79/2147483647))*COS(2*PI()*N79/2147483647),Controls!$B$8+(Controls!$B$9-Controls!$B$8)*D79/2147483647))</f>
        <v>50.36007075</v>
      </c>
      <c r="Y79" s="10" t="str">
        <f>IF(E79="","",IF(Controls!$B$7="Normal",Controls!$B$8+Controls!$B$9*SQRT(-2*LN(E79/2147483647))*COS(2*PI()*O79/2147483647),Controls!$B$8+(Controls!$B$9-Controls!$B$8)*E79/2147483647))</f>
        <v/>
      </c>
      <c r="Z79" s="10" t="str">
        <f>IF(F79="","",IF(Controls!$B$7="Normal",Controls!$B$8+Controls!$B$9*SQRT(-2*LN(F79/2147483647))*COS(2*PI()*P79/2147483647),Controls!$B$8+(Controls!$B$9-Controls!$B$8)*F79/2147483647))</f>
        <v/>
      </c>
      <c r="AA79" s="10" t="str">
        <f>IF(G79="","",IF(Controls!$B$7="Normal",Controls!$B$8+Controls!$B$9*SQRT(-2*LN(G79/2147483647))*COS(2*PI()*Q79/2147483647),Controls!$B$8+(Controls!$B$9-Controls!$B$8)*G79/2147483647))</f>
        <v/>
      </c>
      <c r="AB79" s="10" t="str">
        <f>IF(H79="","",IF(Controls!$B$7="Normal",Controls!$B$8+Controls!$B$9*SQRT(-2*LN(H79/2147483647))*COS(2*PI()*R79/2147483647),Controls!$B$8+(Controls!$B$9-Controls!$B$8)*H79/2147483647))</f>
        <v/>
      </c>
      <c r="AC79" s="10" t="str">
        <f>IF(I79="","",IF(Controls!$B$7="Normal",Controls!$B$8+Controls!$B$9*SQRT(-2*LN(I79/2147483647))*COS(2*PI()*S79/2147483647),Controls!$B$8+(Controls!$B$9-Controls!$B$8)*I79/2147483647))</f>
        <v/>
      </c>
      <c r="AD79" s="10" t="str">
        <f>IF(J79="","",IF(Controls!$B$7="Normal",Controls!$B$8+Controls!$B$9*SQRT(-2*LN(J79/2147483647))*COS(2*PI()*T79/2147483647),Controls!$B$8+(Controls!$B$9-Controls!$B$8)*J79/2147483647))</f>
        <v/>
      </c>
      <c r="AE79" s="10" t="str">
        <f>IF(K79="","",IF(Controls!$B$7="Normal",Controls!$B$8+Controls!$B$9*SQRT(-2*LN(K79/2147483647))*COS(2*PI()*U79/2147483647),Controls!$B$8+(Controls!$B$9-Controls!$B$8)*K79/2147483647))</f>
        <v/>
      </c>
    </row>
    <row r="80" ht="21.0" customHeight="1">
      <c r="A80" s="7">
        <f>IF(79&lt;=Controls!$B$5,Controls!$B$4+78,"")</f>
        <v>73069</v>
      </c>
      <c r="B80" s="10">
        <f>IF(OR($A80="",1&gt;Controls!$B$6),"",MOD(L79*48271,2147483647))</f>
        <v>2003936420</v>
      </c>
      <c r="C80" s="10">
        <f>IF(OR($A80="",2&gt;Controls!$B$6),"",MOD(M79*48271,2147483647))</f>
        <v>190986060</v>
      </c>
      <c r="D80" s="10">
        <f>IF(OR($A80="",3&gt;Controls!$B$6),"",MOD(N79*48271,2147483647))</f>
        <v>525519347</v>
      </c>
      <c r="E80" s="10" t="str">
        <f>IF(OR($A80="",4&gt;Controls!$B$6),"",MOD(O79*48271,2147483647))</f>
        <v/>
      </c>
      <c r="F80" s="10" t="str">
        <f>IF(OR($A80="",5&gt;Controls!$B$6),"",MOD(P79*48271,2147483647))</f>
        <v/>
      </c>
      <c r="G80" s="10" t="str">
        <f>IF(OR($A80="",6&gt;Controls!$B$6),"",MOD(Q79*48271,2147483647))</f>
        <v/>
      </c>
      <c r="H80" s="10" t="str">
        <f>IF(OR($A80="",7&gt;Controls!$B$6),"",MOD(R79*48271,2147483647))</f>
        <v/>
      </c>
      <c r="I80" s="10" t="str">
        <f>IF(OR($A80="",8&gt;Controls!$B$6),"",MOD(S79*48271,2147483647))</f>
        <v/>
      </c>
      <c r="J80" s="10" t="str">
        <f>IF(OR($A80="",9&gt;Controls!$B$6),"",MOD(T79*48271,2147483647))</f>
        <v/>
      </c>
      <c r="K80" s="10" t="str">
        <f>IF(OR($A80="",10&gt;Controls!$B$6),"",MOD(U79*48271,2147483647))</f>
        <v/>
      </c>
      <c r="L80" s="10">
        <f t="shared" ref="L80:U80" si="79">IF(B80="","",MOD(B80*48271,2147483647))</f>
        <v>761534352</v>
      </c>
      <c r="M80" s="10">
        <f t="shared" si="79"/>
        <v>2088289336</v>
      </c>
      <c r="N80" s="10">
        <f t="shared" si="79"/>
        <v>1267560673</v>
      </c>
      <c r="O80" s="10" t="str">
        <f t="shared" si="79"/>
        <v/>
      </c>
      <c r="P80" s="10" t="str">
        <f t="shared" si="79"/>
        <v/>
      </c>
      <c r="Q80" s="10" t="str">
        <f t="shared" si="79"/>
        <v/>
      </c>
      <c r="R80" s="10" t="str">
        <f t="shared" si="79"/>
        <v/>
      </c>
      <c r="S80" s="10" t="str">
        <f t="shared" si="79"/>
        <v/>
      </c>
      <c r="T80" s="10" t="str">
        <f t="shared" si="79"/>
        <v/>
      </c>
      <c r="U80" s="10" t="str">
        <f t="shared" si="79"/>
        <v/>
      </c>
      <c r="V80" s="10">
        <f>IF(B80="","",IF(Controls!$B$7="Normal",Controls!$B$8+Controls!$B$9*SQRT(-2*LN(B80/2147483647))*COS(2*PI()*L80/2147483647),Controls!$B$8+(Controls!$B$9-Controls!$B$8)*B80/2147483647))</f>
        <v>47.72720745</v>
      </c>
      <c r="W80" s="10">
        <f>IF(C80="","",IF(Controls!$B$7="Normal",Controls!$B$8+Controls!$B$9*SQRT(-2*LN(C80/2147483647))*COS(2*PI()*M80/2147483647),Controls!$B$8+(Controls!$B$9-Controls!$B$8)*C80/2147483647))</f>
        <v>71.67020605</v>
      </c>
      <c r="X80" s="10">
        <f>IF(D80="","",IF(Controls!$B$7="Normal",Controls!$B$8+Controls!$B$9*SQRT(-2*LN(D80/2147483647))*COS(2*PI()*N80/2147483647),Controls!$B$8+(Controls!$B$9-Controls!$B$8)*D80/2147483647))</f>
        <v>35.84743062</v>
      </c>
      <c r="Y80" s="10" t="str">
        <f>IF(E80="","",IF(Controls!$B$7="Normal",Controls!$B$8+Controls!$B$9*SQRT(-2*LN(E80/2147483647))*COS(2*PI()*O80/2147483647),Controls!$B$8+(Controls!$B$9-Controls!$B$8)*E80/2147483647))</f>
        <v/>
      </c>
      <c r="Z80" s="10" t="str">
        <f>IF(F80="","",IF(Controls!$B$7="Normal",Controls!$B$8+Controls!$B$9*SQRT(-2*LN(F80/2147483647))*COS(2*PI()*P80/2147483647),Controls!$B$8+(Controls!$B$9-Controls!$B$8)*F80/2147483647))</f>
        <v/>
      </c>
      <c r="AA80" s="10" t="str">
        <f>IF(G80="","",IF(Controls!$B$7="Normal",Controls!$B$8+Controls!$B$9*SQRT(-2*LN(G80/2147483647))*COS(2*PI()*Q80/2147483647),Controls!$B$8+(Controls!$B$9-Controls!$B$8)*G80/2147483647))</f>
        <v/>
      </c>
      <c r="AB80" s="10" t="str">
        <f>IF(H80="","",IF(Controls!$B$7="Normal",Controls!$B$8+Controls!$B$9*SQRT(-2*LN(H80/2147483647))*COS(2*PI()*R80/2147483647),Controls!$B$8+(Controls!$B$9-Controls!$B$8)*H80/2147483647))</f>
        <v/>
      </c>
      <c r="AC80" s="10" t="str">
        <f>IF(I80="","",IF(Controls!$B$7="Normal",Controls!$B$8+Controls!$B$9*SQRT(-2*LN(I80/2147483647))*COS(2*PI()*S80/2147483647),Controls!$B$8+(Controls!$B$9-Controls!$B$8)*I80/2147483647))</f>
        <v/>
      </c>
      <c r="AD80" s="10" t="str">
        <f>IF(J80="","",IF(Controls!$B$7="Normal",Controls!$B$8+Controls!$B$9*SQRT(-2*LN(J80/2147483647))*COS(2*PI()*T80/2147483647),Controls!$B$8+(Controls!$B$9-Controls!$B$8)*J80/2147483647))</f>
        <v/>
      </c>
      <c r="AE80" s="10" t="str">
        <f>IF(K80="","",IF(Controls!$B$7="Normal",Controls!$B$8+Controls!$B$9*SQRT(-2*LN(K80/2147483647))*COS(2*PI()*U80/2147483647),Controls!$B$8+(Controls!$B$9-Controls!$B$8)*K80/2147483647))</f>
        <v/>
      </c>
    </row>
    <row r="81" ht="21.0" customHeight="1">
      <c r="A81" s="7">
        <f>IF(80&lt;=Controls!$B$5,Controls!$B$4+79,"")</f>
        <v>73070</v>
      </c>
      <c r="B81" s="10">
        <f>IF(OR($A81="",1&gt;Controls!$B$6),"",MOD(L80*48271,2147483647))</f>
        <v>1547119693</v>
      </c>
      <c r="C81" s="10">
        <f>IF(OR($A81="",2&gt;Controls!$B$6),"",MOD(M80*48271,2147483647))</f>
        <v>932147876</v>
      </c>
      <c r="D81" s="10">
        <f>IF(OR($A81="",3&gt;Controls!$B$6),"",MOD(N80*48271,2147483647))</f>
        <v>317176059</v>
      </c>
      <c r="E81" s="10" t="str">
        <f>IF(OR($A81="",4&gt;Controls!$B$6),"",MOD(O80*48271,2147483647))</f>
        <v/>
      </c>
      <c r="F81" s="10" t="str">
        <f>IF(OR($A81="",5&gt;Controls!$B$6),"",MOD(P80*48271,2147483647))</f>
        <v/>
      </c>
      <c r="G81" s="10" t="str">
        <f>IF(OR($A81="",6&gt;Controls!$B$6),"",MOD(Q80*48271,2147483647))</f>
        <v/>
      </c>
      <c r="H81" s="10" t="str">
        <f>IF(OR($A81="",7&gt;Controls!$B$6),"",MOD(R80*48271,2147483647))</f>
        <v/>
      </c>
      <c r="I81" s="10" t="str">
        <f>IF(OR($A81="",8&gt;Controls!$B$6),"",MOD(S80*48271,2147483647))</f>
        <v/>
      </c>
      <c r="J81" s="10" t="str">
        <f>IF(OR($A81="",9&gt;Controls!$B$6),"",MOD(T80*48271,2147483647))</f>
        <v/>
      </c>
      <c r="K81" s="10" t="str">
        <f>IF(OR($A81="",10&gt;Controls!$B$6),"",MOD(U80*48271,2147483647))</f>
        <v/>
      </c>
      <c r="L81" s="10">
        <f t="shared" ref="L81:U81" si="80">IF(B81="","",MOD(B81*48271,2147483647))</f>
        <v>123392731</v>
      </c>
      <c r="M81" s="10">
        <f t="shared" si="80"/>
        <v>1632750452</v>
      </c>
      <c r="N81" s="10">
        <f t="shared" si="80"/>
        <v>994624526</v>
      </c>
      <c r="O81" s="10" t="str">
        <f t="shared" si="80"/>
        <v/>
      </c>
      <c r="P81" s="10" t="str">
        <f t="shared" si="80"/>
        <v/>
      </c>
      <c r="Q81" s="10" t="str">
        <f t="shared" si="80"/>
        <v/>
      </c>
      <c r="R81" s="10" t="str">
        <f t="shared" si="80"/>
        <v/>
      </c>
      <c r="S81" s="10" t="str">
        <f t="shared" si="80"/>
        <v/>
      </c>
      <c r="T81" s="10" t="str">
        <f t="shared" si="80"/>
        <v/>
      </c>
      <c r="U81" s="10" t="str">
        <f t="shared" si="80"/>
        <v/>
      </c>
      <c r="V81" s="10">
        <f>IF(B81="","",IF(Controls!$B$7="Normal",Controls!$B$8+Controls!$B$9*SQRT(-2*LN(B81/2147483647))*COS(2*PI()*L81/2147483647),Controls!$B$8+(Controls!$B$9-Controls!$B$8)*B81/2147483647))</f>
        <v>57.57611842</v>
      </c>
      <c r="W81" s="10">
        <f>IF(C81="","",IF(Controls!$B$7="Normal",Controls!$B$8+Controls!$B$9*SQRT(-2*LN(C81/2147483647))*COS(2*PI()*M81/2147483647),Controls!$B$8+(Controls!$B$9-Controls!$B$8)*C81/2147483647))</f>
        <v>50.83622481</v>
      </c>
      <c r="X81" s="10">
        <f>IF(D81="","",IF(Controls!$B$7="Normal",Controls!$B$8+Controls!$B$9*SQRT(-2*LN(D81/2147483647))*COS(2*PI()*N81/2147483647),Controls!$B$8+(Controls!$B$9-Controls!$B$8)*D81/2147483647))</f>
        <v>30.96358096</v>
      </c>
      <c r="Y81" s="10" t="str">
        <f>IF(E81="","",IF(Controls!$B$7="Normal",Controls!$B$8+Controls!$B$9*SQRT(-2*LN(E81/2147483647))*COS(2*PI()*O81/2147483647),Controls!$B$8+(Controls!$B$9-Controls!$B$8)*E81/2147483647))</f>
        <v/>
      </c>
      <c r="Z81" s="10" t="str">
        <f>IF(F81="","",IF(Controls!$B$7="Normal",Controls!$B$8+Controls!$B$9*SQRT(-2*LN(F81/2147483647))*COS(2*PI()*P81/2147483647),Controls!$B$8+(Controls!$B$9-Controls!$B$8)*F81/2147483647))</f>
        <v/>
      </c>
      <c r="AA81" s="10" t="str">
        <f>IF(G81="","",IF(Controls!$B$7="Normal",Controls!$B$8+Controls!$B$9*SQRT(-2*LN(G81/2147483647))*COS(2*PI()*Q81/2147483647),Controls!$B$8+(Controls!$B$9-Controls!$B$8)*G81/2147483647))</f>
        <v/>
      </c>
      <c r="AB81" s="10" t="str">
        <f>IF(H81="","",IF(Controls!$B$7="Normal",Controls!$B$8+Controls!$B$9*SQRT(-2*LN(H81/2147483647))*COS(2*PI()*R81/2147483647),Controls!$B$8+(Controls!$B$9-Controls!$B$8)*H81/2147483647))</f>
        <v/>
      </c>
      <c r="AC81" s="10" t="str">
        <f>IF(I81="","",IF(Controls!$B$7="Normal",Controls!$B$8+Controls!$B$9*SQRT(-2*LN(I81/2147483647))*COS(2*PI()*S81/2147483647),Controls!$B$8+(Controls!$B$9-Controls!$B$8)*I81/2147483647))</f>
        <v/>
      </c>
      <c r="AD81" s="10" t="str">
        <f>IF(J81="","",IF(Controls!$B$7="Normal",Controls!$B$8+Controls!$B$9*SQRT(-2*LN(J81/2147483647))*COS(2*PI()*T81/2147483647),Controls!$B$8+(Controls!$B$9-Controls!$B$8)*J81/2147483647))</f>
        <v/>
      </c>
      <c r="AE81" s="10" t="str">
        <f>IF(K81="","",IF(Controls!$B$7="Normal",Controls!$B$8+Controls!$B$9*SQRT(-2*LN(K81/2147483647))*COS(2*PI()*U81/2147483647),Controls!$B$8+(Controls!$B$9-Controls!$B$8)*K81/2147483647))</f>
        <v/>
      </c>
    </row>
    <row r="82" ht="21.0" customHeight="1">
      <c r="A82" s="7">
        <f>IF(81&lt;=Controls!$B$5,Controls!$B$4+80,"")</f>
        <v>73071</v>
      </c>
      <c r="B82" s="10">
        <f>IF(OR($A82="",1&gt;Controls!$B$6),"",MOD(L81*48271,2147483647))</f>
        <v>1318364970</v>
      </c>
      <c r="C82" s="10">
        <f>IF(OR($A82="",2&gt;Controls!$B$6),"",MOD(M81*48271,2147483647))</f>
        <v>1847223592</v>
      </c>
      <c r="D82" s="10">
        <f>IF(OR($A82="",3&gt;Controls!$B$6),"",MOD(N81*48271,2147483647))</f>
        <v>228598567</v>
      </c>
      <c r="E82" s="10" t="str">
        <f>IF(OR($A82="",4&gt;Controls!$B$6),"",MOD(O81*48271,2147483647))</f>
        <v/>
      </c>
      <c r="F82" s="10" t="str">
        <f>IF(OR($A82="",5&gt;Controls!$B$6),"",MOD(P81*48271,2147483647))</f>
        <v/>
      </c>
      <c r="G82" s="10" t="str">
        <f>IF(OR($A82="",6&gt;Controls!$B$6),"",MOD(Q81*48271,2147483647))</f>
        <v/>
      </c>
      <c r="H82" s="10" t="str">
        <f>IF(OR($A82="",7&gt;Controls!$B$6),"",MOD(R81*48271,2147483647))</f>
        <v/>
      </c>
      <c r="I82" s="10" t="str">
        <f>IF(OR($A82="",8&gt;Controls!$B$6),"",MOD(S81*48271,2147483647))</f>
        <v/>
      </c>
      <c r="J82" s="10" t="str">
        <f>IF(OR($A82="",9&gt;Controls!$B$6),"",MOD(T81*48271,2147483647))</f>
        <v/>
      </c>
      <c r="K82" s="10" t="str">
        <f>IF(OR($A82="",10&gt;Controls!$B$6),"",MOD(U81*48271,2147483647))</f>
        <v/>
      </c>
      <c r="L82" s="10">
        <f t="shared" ref="L82:U82" si="81">IF(B82="","",MOD(B82*48271,2147483647))</f>
        <v>265071672</v>
      </c>
      <c r="M82" s="10">
        <f t="shared" si="81"/>
        <v>1661502345</v>
      </c>
      <c r="N82" s="10">
        <f t="shared" si="81"/>
        <v>910449371</v>
      </c>
      <c r="O82" s="10" t="str">
        <f t="shared" si="81"/>
        <v/>
      </c>
      <c r="P82" s="10" t="str">
        <f t="shared" si="81"/>
        <v/>
      </c>
      <c r="Q82" s="10" t="str">
        <f t="shared" si="81"/>
        <v/>
      </c>
      <c r="R82" s="10" t="str">
        <f t="shared" si="81"/>
        <v/>
      </c>
      <c r="S82" s="10" t="str">
        <f t="shared" si="81"/>
        <v/>
      </c>
      <c r="T82" s="10" t="str">
        <f t="shared" si="81"/>
        <v/>
      </c>
      <c r="U82" s="10" t="str">
        <f t="shared" si="81"/>
        <v/>
      </c>
      <c r="V82" s="10">
        <f>IF(B82="","",IF(Controls!$B$7="Normal",Controls!$B$8+Controls!$B$9*SQRT(-2*LN(B82/2147483647))*COS(2*PI()*L82/2147483647),Controls!$B$8+(Controls!$B$9-Controls!$B$8)*B82/2147483647))</f>
        <v>57.05342204</v>
      </c>
      <c r="W82" s="10">
        <f>IF(C82="","",IF(Controls!$B$7="Normal",Controls!$B$8+Controls!$B$9*SQRT(-2*LN(C82/2147483647))*COS(2*PI()*M82/2147483647),Controls!$B$8+(Controls!$B$9-Controls!$B$8)*C82/2147483647))</f>
        <v>50.81417823</v>
      </c>
      <c r="X82" s="10">
        <f>IF(D82="","",IF(Controls!$B$7="Normal",Controls!$B$8+Controls!$B$9*SQRT(-2*LN(D82/2147483647))*COS(2*PI()*N82/2147483647),Controls!$B$8+(Controls!$B$9-Controls!$B$8)*D82/2147483647))</f>
        <v>31.20372247</v>
      </c>
      <c r="Y82" s="10" t="str">
        <f>IF(E82="","",IF(Controls!$B$7="Normal",Controls!$B$8+Controls!$B$9*SQRT(-2*LN(E82/2147483647))*COS(2*PI()*O82/2147483647),Controls!$B$8+(Controls!$B$9-Controls!$B$8)*E82/2147483647))</f>
        <v/>
      </c>
      <c r="Z82" s="10" t="str">
        <f>IF(F82="","",IF(Controls!$B$7="Normal",Controls!$B$8+Controls!$B$9*SQRT(-2*LN(F82/2147483647))*COS(2*PI()*P82/2147483647),Controls!$B$8+(Controls!$B$9-Controls!$B$8)*F82/2147483647))</f>
        <v/>
      </c>
      <c r="AA82" s="10" t="str">
        <f>IF(G82="","",IF(Controls!$B$7="Normal",Controls!$B$8+Controls!$B$9*SQRT(-2*LN(G82/2147483647))*COS(2*PI()*Q82/2147483647),Controls!$B$8+(Controls!$B$9-Controls!$B$8)*G82/2147483647))</f>
        <v/>
      </c>
      <c r="AB82" s="10" t="str">
        <f>IF(H82="","",IF(Controls!$B$7="Normal",Controls!$B$8+Controls!$B$9*SQRT(-2*LN(H82/2147483647))*COS(2*PI()*R82/2147483647),Controls!$B$8+(Controls!$B$9-Controls!$B$8)*H82/2147483647))</f>
        <v/>
      </c>
      <c r="AC82" s="10" t="str">
        <f>IF(I82="","",IF(Controls!$B$7="Normal",Controls!$B$8+Controls!$B$9*SQRT(-2*LN(I82/2147483647))*COS(2*PI()*S82/2147483647),Controls!$B$8+(Controls!$B$9-Controls!$B$8)*I82/2147483647))</f>
        <v/>
      </c>
      <c r="AD82" s="10" t="str">
        <f>IF(J82="","",IF(Controls!$B$7="Normal",Controls!$B$8+Controls!$B$9*SQRT(-2*LN(J82/2147483647))*COS(2*PI()*T82/2147483647),Controls!$B$8+(Controls!$B$9-Controls!$B$8)*J82/2147483647))</f>
        <v/>
      </c>
      <c r="AE82" s="10" t="str">
        <f>IF(K82="","",IF(Controls!$B$7="Normal",Controls!$B$8+Controls!$B$9*SQRT(-2*LN(K82/2147483647))*COS(2*PI()*U82/2147483647),Controls!$B$8+(Controls!$B$9-Controls!$B$8)*K82/2147483647))</f>
        <v/>
      </c>
    </row>
    <row r="83" ht="21.0" customHeight="1">
      <c r="A83" s="7">
        <f>IF(82&lt;=Controls!$B$5,Controls!$B$4+81,"")</f>
        <v>73072</v>
      </c>
      <c r="B83" s="10">
        <f>IF(OR($A83="",1&gt;Controls!$B$6),"",MOD(L82*48271,2147483647))</f>
        <v>567110286</v>
      </c>
      <c r="C83" s="10">
        <f>IF(OR($A83="",2&gt;Controls!$B$6),"",MOD(M82*48271,2147483647))</f>
        <v>307930986</v>
      </c>
      <c r="D83" s="10">
        <f>IF(OR($A83="",3&gt;Controls!$B$6),"",MOD(N82*48271,2147483647))</f>
        <v>48751686</v>
      </c>
      <c r="E83" s="10" t="str">
        <f>IF(OR($A83="",4&gt;Controls!$B$6),"",MOD(O82*48271,2147483647))</f>
        <v/>
      </c>
      <c r="F83" s="10" t="str">
        <f>IF(OR($A83="",5&gt;Controls!$B$6),"",MOD(P82*48271,2147483647))</f>
        <v/>
      </c>
      <c r="G83" s="10" t="str">
        <f>IF(OR($A83="",6&gt;Controls!$B$6),"",MOD(Q82*48271,2147483647))</f>
        <v/>
      </c>
      <c r="H83" s="10" t="str">
        <f>IF(OR($A83="",7&gt;Controls!$B$6),"",MOD(R82*48271,2147483647))</f>
        <v/>
      </c>
      <c r="I83" s="10" t="str">
        <f>IF(OR($A83="",8&gt;Controls!$B$6),"",MOD(S82*48271,2147483647))</f>
        <v/>
      </c>
      <c r="J83" s="10" t="str">
        <f>IF(OR($A83="",9&gt;Controls!$B$6),"",MOD(T82*48271,2147483647))</f>
        <v/>
      </c>
      <c r="K83" s="10" t="str">
        <f>IF(OR($A83="",10&gt;Controls!$B$6),"",MOD(U82*48271,2147483647))</f>
        <v/>
      </c>
      <c r="L83" s="10">
        <f t="shared" ref="L83:U83" si="82">IF(B83="","",MOD(B83*48271,2147483647))</f>
        <v>1006567197</v>
      </c>
      <c r="M83" s="10">
        <f t="shared" si="82"/>
        <v>1402304319</v>
      </c>
      <c r="N83" s="10">
        <f t="shared" si="82"/>
        <v>1798041441</v>
      </c>
      <c r="O83" s="10" t="str">
        <f t="shared" si="82"/>
        <v/>
      </c>
      <c r="P83" s="10" t="str">
        <f t="shared" si="82"/>
        <v/>
      </c>
      <c r="Q83" s="10" t="str">
        <f t="shared" si="82"/>
        <v/>
      </c>
      <c r="R83" s="10" t="str">
        <f t="shared" si="82"/>
        <v/>
      </c>
      <c r="S83" s="10" t="str">
        <f t="shared" si="82"/>
        <v/>
      </c>
      <c r="T83" s="10" t="str">
        <f t="shared" si="82"/>
        <v/>
      </c>
      <c r="U83" s="10" t="str">
        <f t="shared" si="82"/>
        <v/>
      </c>
      <c r="V83" s="10">
        <f>IF(B83="","",IF(Controls!$B$7="Normal",Controls!$B$8+Controls!$B$9*SQRT(-2*LN(B83/2147483647))*COS(2*PI()*L83/2147483647),Controls!$B$8+(Controls!$B$9-Controls!$B$8)*B83/2147483647))</f>
        <v>33.99548173</v>
      </c>
      <c r="W83" s="10">
        <f>IF(C83="","",IF(Controls!$B$7="Normal",Controls!$B$8+Controls!$B$9*SQRT(-2*LN(C83/2147483647))*COS(2*PI()*M83/2147483647),Controls!$B$8+(Controls!$B$9-Controls!$B$8)*C83/2147483647))</f>
        <v>38.71795357</v>
      </c>
      <c r="X83" s="10">
        <f>IF(D83="","",IF(Controls!$B$7="Normal",Controls!$B$8+Controls!$B$9*SQRT(-2*LN(D83/2147483647))*COS(2*PI()*N83/2147483647),Controls!$B$8+(Controls!$B$9-Controls!$B$8)*D83/2147483647))</f>
        <v>64.34373204</v>
      </c>
      <c r="Y83" s="10" t="str">
        <f>IF(E83="","",IF(Controls!$B$7="Normal",Controls!$B$8+Controls!$B$9*SQRT(-2*LN(E83/2147483647))*COS(2*PI()*O83/2147483647),Controls!$B$8+(Controls!$B$9-Controls!$B$8)*E83/2147483647))</f>
        <v/>
      </c>
      <c r="Z83" s="10" t="str">
        <f>IF(F83="","",IF(Controls!$B$7="Normal",Controls!$B$8+Controls!$B$9*SQRT(-2*LN(F83/2147483647))*COS(2*PI()*P83/2147483647),Controls!$B$8+(Controls!$B$9-Controls!$B$8)*F83/2147483647))</f>
        <v/>
      </c>
      <c r="AA83" s="10" t="str">
        <f>IF(G83="","",IF(Controls!$B$7="Normal",Controls!$B$8+Controls!$B$9*SQRT(-2*LN(G83/2147483647))*COS(2*PI()*Q83/2147483647),Controls!$B$8+(Controls!$B$9-Controls!$B$8)*G83/2147483647))</f>
        <v/>
      </c>
      <c r="AB83" s="10" t="str">
        <f>IF(H83="","",IF(Controls!$B$7="Normal",Controls!$B$8+Controls!$B$9*SQRT(-2*LN(H83/2147483647))*COS(2*PI()*R83/2147483647),Controls!$B$8+(Controls!$B$9-Controls!$B$8)*H83/2147483647))</f>
        <v/>
      </c>
      <c r="AC83" s="10" t="str">
        <f>IF(I83="","",IF(Controls!$B$7="Normal",Controls!$B$8+Controls!$B$9*SQRT(-2*LN(I83/2147483647))*COS(2*PI()*S83/2147483647),Controls!$B$8+(Controls!$B$9-Controls!$B$8)*I83/2147483647))</f>
        <v/>
      </c>
      <c r="AD83" s="10" t="str">
        <f>IF(J83="","",IF(Controls!$B$7="Normal",Controls!$B$8+Controls!$B$9*SQRT(-2*LN(J83/2147483647))*COS(2*PI()*T83/2147483647),Controls!$B$8+(Controls!$B$9-Controls!$B$8)*J83/2147483647))</f>
        <v/>
      </c>
      <c r="AE83" s="10" t="str">
        <f>IF(K83="","",IF(Controls!$B$7="Normal",Controls!$B$8+Controls!$B$9*SQRT(-2*LN(K83/2147483647))*COS(2*PI()*U83/2147483647),Controls!$B$8+(Controls!$B$9-Controls!$B$8)*K83/2147483647))</f>
        <v/>
      </c>
    </row>
    <row r="84" ht="21.0" customHeight="1">
      <c r="A84" s="7">
        <f>IF(83&lt;=Controls!$B$5,Controls!$B$4+82,"")</f>
        <v>73073</v>
      </c>
      <c r="B84" s="10">
        <f>IF(OR($A84="",1&gt;Controls!$B$6),"",MOD(L83*48271,2147483647))</f>
        <v>1187653012</v>
      </c>
      <c r="C84" s="10">
        <f>IF(OR($A84="",2&gt;Controls!$B$6),"",MOD(M83*48271,2147483647))</f>
        <v>1947229009</v>
      </c>
      <c r="D84" s="10">
        <f>IF(OR($A84="",3&gt;Controls!$B$6),"",MOD(N83*48271,2147483647))</f>
        <v>559321359</v>
      </c>
      <c r="E84" s="10" t="str">
        <f>IF(OR($A84="",4&gt;Controls!$B$6),"",MOD(O83*48271,2147483647))</f>
        <v/>
      </c>
      <c r="F84" s="10" t="str">
        <f>IF(OR($A84="",5&gt;Controls!$B$6),"",MOD(P83*48271,2147483647))</f>
        <v/>
      </c>
      <c r="G84" s="10" t="str">
        <f>IF(OR($A84="",6&gt;Controls!$B$6),"",MOD(Q83*48271,2147483647))</f>
        <v/>
      </c>
      <c r="H84" s="10" t="str">
        <f>IF(OR($A84="",7&gt;Controls!$B$6),"",MOD(R83*48271,2147483647))</f>
        <v/>
      </c>
      <c r="I84" s="10" t="str">
        <f>IF(OR($A84="",8&gt;Controls!$B$6),"",MOD(S83*48271,2147483647))</f>
        <v/>
      </c>
      <c r="J84" s="10" t="str">
        <f>IF(OR($A84="",9&gt;Controls!$B$6),"",MOD(T83*48271,2147483647))</f>
        <v/>
      </c>
      <c r="K84" s="10" t="str">
        <f>IF(OR($A84="",10&gt;Controls!$B$6),"",MOD(U83*48271,2147483647))</f>
        <v/>
      </c>
      <c r="L84" s="10">
        <f t="shared" ref="L84:U84" si="83">IF(B84="","",MOD(B84*48271,2147483647))</f>
        <v>2122585587</v>
      </c>
      <c r="M84" s="10">
        <f t="shared" si="83"/>
        <v>1479747896</v>
      </c>
      <c r="N84" s="10">
        <f t="shared" si="83"/>
        <v>836910205</v>
      </c>
      <c r="O84" s="10" t="str">
        <f t="shared" si="83"/>
        <v/>
      </c>
      <c r="P84" s="10" t="str">
        <f t="shared" si="83"/>
        <v/>
      </c>
      <c r="Q84" s="10" t="str">
        <f t="shared" si="83"/>
        <v/>
      </c>
      <c r="R84" s="10" t="str">
        <f t="shared" si="83"/>
        <v/>
      </c>
      <c r="S84" s="10" t="str">
        <f t="shared" si="83"/>
        <v/>
      </c>
      <c r="T84" s="10" t="str">
        <f t="shared" si="83"/>
        <v/>
      </c>
      <c r="U84" s="10" t="str">
        <f t="shared" si="83"/>
        <v/>
      </c>
      <c r="V84" s="10">
        <f>IF(B84="","",IF(Controls!$B$7="Normal",Controls!$B$8+Controls!$B$9*SQRT(-2*LN(B84/2147483647))*COS(2*PI()*L84/2147483647),Controls!$B$8+(Controls!$B$9-Controls!$B$8)*B84/2147483647))</f>
        <v>60.85522838</v>
      </c>
      <c r="W84" s="10">
        <f>IF(C84="","",IF(Controls!$B$7="Normal",Controls!$B$8+Controls!$B$9*SQRT(-2*LN(C84/2147483647))*COS(2*PI()*M84/2147483647),Controls!$B$8+(Controls!$B$9-Controls!$B$8)*C84/2147483647))</f>
        <v>48.3469273</v>
      </c>
      <c r="X84" s="10">
        <f>IF(D84="","",IF(Controls!$B$7="Normal",Controls!$B$8+Controls!$B$9*SQRT(-2*LN(D84/2147483647))*COS(2*PI()*N84/2147483647),Controls!$B$8+(Controls!$B$9-Controls!$B$8)*D84/2147483647))</f>
        <v>37.3797358</v>
      </c>
      <c r="Y84" s="10" t="str">
        <f>IF(E84="","",IF(Controls!$B$7="Normal",Controls!$B$8+Controls!$B$9*SQRT(-2*LN(E84/2147483647))*COS(2*PI()*O84/2147483647),Controls!$B$8+(Controls!$B$9-Controls!$B$8)*E84/2147483647))</f>
        <v/>
      </c>
      <c r="Z84" s="10" t="str">
        <f>IF(F84="","",IF(Controls!$B$7="Normal",Controls!$B$8+Controls!$B$9*SQRT(-2*LN(F84/2147483647))*COS(2*PI()*P84/2147483647),Controls!$B$8+(Controls!$B$9-Controls!$B$8)*F84/2147483647))</f>
        <v/>
      </c>
      <c r="AA84" s="10" t="str">
        <f>IF(G84="","",IF(Controls!$B$7="Normal",Controls!$B$8+Controls!$B$9*SQRT(-2*LN(G84/2147483647))*COS(2*PI()*Q84/2147483647),Controls!$B$8+(Controls!$B$9-Controls!$B$8)*G84/2147483647))</f>
        <v/>
      </c>
      <c r="AB84" s="10" t="str">
        <f>IF(H84="","",IF(Controls!$B$7="Normal",Controls!$B$8+Controls!$B$9*SQRT(-2*LN(H84/2147483647))*COS(2*PI()*R84/2147483647),Controls!$B$8+(Controls!$B$9-Controls!$B$8)*H84/2147483647))</f>
        <v/>
      </c>
      <c r="AC84" s="10" t="str">
        <f>IF(I84="","",IF(Controls!$B$7="Normal",Controls!$B$8+Controls!$B$9*SQRT(-2*LN(I84/2147483647))*COS(2*PI()*S84/2147483647),Controls!$B$8+(Controls!$B$9-Controls!$B$8)*I84/2147483647))</f>
        <v/>
      </c>
      <c r="AD84" s="10" t="str">
        <f>IF(J84="","",IF(Controls!$B$7="Normal",Controls!$B$8+Controls!$B$9*SQRT(-2*LN(J84/2147483647))*COS(2*PI()*T84/2147483647),Controls!$B$8+(Controls!$B$9-Controls!$B$8)*J84/2147483647))</f>
        <v/>
      </c>
      <c r="AE84" s="10" t="str">
        <f>IF(K84="","",IF(Controls!$B$7="Normal",Controls!$B$8+Controls!$B$9*SQRT(-2*LN(K84/2147483647))*COS(2*PI()*U84/2147483647),Controls!$B$8+(Controls!$B$9-Controls!$B$8)*K84/2147483647))</f>
        <v/>
      </c>
    </row>
    <row r="85" ht="21.0" customHeight="1">
      <c r="A85" s="7">
        <f>IF(84&lt;=Controls!$B$5,Controls!$B$4+83,"")</f>
        <v>73074</v>
      </c>
      <c r="B85" s="10">
        <f>IF(OR($A85="",1&gt;Controls!$B$6),"",MOD(L84*48271,2147483647))</f>
        <v>736588060</v>
      </c>
      <c r="C85" s="10">
        <f>IF(OR($A85="",2&gt;Controls!$B$6),"",MOD(M84*48271,2147483647))</f>
        <v>1457104949</v>
      </c>
      <c r="D85" s="10">
        <f>IF(OR($A85="",3&gt;Controls!$B$6),"",MOD(N84*48271,2147483647))</f>
        <v>30138191</v>
      </c>
      <c r="E85" s="10" t="str">
        <f>IF(OR($A85="",4&gt;Controls!$B$6),"",MOD(O84*48271,2147483647))</f>
        <v/>
      </c>
      <c r="F85" s="10" t="str">
        <f>IF(OR($A85="",5&gt;Controls!$B$6),"",MOD(P84*48271,2147483647))</f>
        <v/>
      </c>
      <c r="G85" s="10" t="str">
        <f>IF(OR($A85="",6&gt;Controls!$B$6),"",MOD(Q84*48271,2147483647))</f>
        <v/>
      </c>
      <c r="H85" s="10" t="str">
        <f>IF(OR($A85="",7&gt;Controls!$B$6),"",MOD(R84*48271,2147483647))</f>
        <v/>
      </c>
      <c r="I85" s="10" t="str">
        <f>IF(OR($A85="",8&gt;Controls!$B$6),"",MOD(S84*48271,2147483647))</f>
        <v/>
      </c>
      <c r="J85" s="10" t="str">
        <f>IF(OR($A85="",9&gt;Controls!$B$6),"",MOD(T84*48271,2147483647))</f>
        <v/>
      </c>
      <c r="K85" s="10" t="str">
        <f>IF(OR($A85="",10&gt;Controls!$B$6),"",MOD(U84*48271,2147483647))</f>
        <v/>
      </c>
      <c r="L85" s="10">
        <f t="shared" ref="L85:U85" si="84">IF(B85="","",MOD(B85*48271,2147483647))</f>
        <v>2102984528</v>
      </c>
      <c r="M85" s="10">
        <f t="shared" si="84"/>
        <v>1528586635</v>
      </c>
      <c r="N85" s="10">
        <f t="shared" si="84"/>
        <v>954188742</v>
      </c>
      <c r="O85" s="10" t="str">
        <f t="shared" si="84"/>
        <v/>
      </c>
      <c r="P85" s="10" t="str">
        <f t="shared" si="84"/>
        <v/>
      </c>
      <c r="Q85" s="10" t="str">
        <f t="shared" si="84"/>
        <v/>
      </c>
      <c r="R85" s="10" t="str">
        <f t="shared" si="84"/>
        <v/>
      </c>
      <c r="S85" s="10" t="str">
        <f t="shared" si="84"/>
        <v/>
      </c>
      <c r="T85" s="10" t="str">
        <f t="shared" si="84"/>
        <v/>
      </c>
      <c r="U85" s="10" t="str">
        <f t="shared" si="84"/>
        <v/>
      </c>
      <c r="V85" s="10">
        <f>IF(B85="","",IF(Controls!$B$7="Normal",Controls!$B$8+Controls!$B$9*SQRT(-2*LN(B85/2147483647))*COS(2*PI()*L85/2147483647),Controls!$B$8+(Controls!$B$9-Controls!$B$8)*B85/2147483647))</f>
        <v>64.50508342</v>
      </c>
      <c r="W85" s="10">
        <f>IF(C85="","",IF(Controls!$B$7="Normal",Controls!$B$8+Controls!$B$9*SQRT(-2*LN(C85/2147483647))*COS(2*PI()*M85/2147483647),Controls!$B$8+(Controls!$B$9-Controls!$B$8)*C85/2147483647))</f>
        <v>47.90651818</v>
      </c>
      <c r="X85" s="10">
        <f>IF(D85="","",IF(Controls!$B$7="Normal",Controls!$B$8+Controls!$B$9*SQRT(-2*LN(D85/2147483647))*COS(2*PI()*N85/2147483647),Controls!$B$8+(Controls!$B$9-Controls!$B$8)*D85/2147483647))</f>
        <v>22.5584026</v>
      </c>
      <c r="Y85" s="10" t="str">
        <f>IF(E85="","",IF(Controls!$B$7="Normal",Controls!$B$8+Controls!$B$9*SQRT(-2*LN(E85/2147483647))*COS(2*PI()*O85/2147483647),Controls!$B$8+(Controls!$B$9-Controls!$B$8)*E85/2147483647))</f>
        <v/>
      </c>
      <c r="Z85" s="10" t="str">
        <f>IF(F85="","",IF(Controls!$B$7="Normal",Controls!$B$8+Controls!$B$9*SQRT(-2*LN(F85/2147483647))*COS(2*PI()*P85/2147483647),Controls!$B$8+(Controls!$B$9-Controls!$B$8)*F85/2147483647))</f>
        <v/>
      </c>
      <c r="AA85" s="10" t="str">
        <f>IF(G85="","",IF(Controls!$B$7="Normal",Controls!$B$8+Controls!$B$9*SQRT(-2*LN(G85/2147483647))*COS(2*PI()*Q85/2147483647),Controls!$B$8+(Controls!$B$9-Controls!$B$8)*G85/2147483647))</f>
        <v/>
      </c>
      <c r="AB85" s="10" t="str">
        <f>IF(H85="","",IF(Controls!$B$7="Normal",Controls!$B$8+Controls!$B$9*SQRT(-2*LN(H85/2147483647))*COS(2*PI()*R85/2147483647),Controls!$B$8+(Controls!$B$9-Controls!$B$8)*H85/2147483647))</f>
        <v/>
      </c>
      <c r="AC85" s="10" t="str">
        <f>IF(I85="","",IF(Controls!$B$7="Normal",Controls!$B$8+Controls!$B$9*SQRT(-2*LN(I85/2147483647))*COS(2*PI()*S85/2147483647),Controls!$B$8+(Controls!$B$9-Controls!$B$8)*I85/2147483647))</f>
        <v/>
      </c>
      <c r="AD85" s="10" t="str">
        <f>IF(J85="","",IF(Controls!$B$7="Normal",Controls!$B$8+Controls!$B$9*SQRT(-2*LN(J85/2147483647))*COS(2*PI()*T85/2147483647),Controls!$B$8+(Controls!$B$9-Controls!$B$8)*J85/2147483647))</f>
        <v/>
      </c>
      <c r="AE85" s="10" t="str">
        <f>IF(K85="","",IF(Controls!$B$7="Normal",Controls!$B$8+Controls!$B$9*SQRT(-2*LN(K85/2147483647))*COS(2*PI()*U85/2147483647),Controls!$B$8+(Controls!$B$9-Controls!$B$8)*K85/2147483647))</f>
        <v/>
      </c>
    </row>
    <row r="86" ht="21.0" customHeight="1">
      <c r="A86" s="7">
        <f>IF(85&lt;=Controls!$B$5,Controls!$B$4+84,"")</f>
        <v>73075</v>
      </c>
      <c r="B86" s="10">
        <f>IF(OR($A86="",1&gt;Controls!$B$6),"",MOD(L85*48271,2147483647))</f>
        <v>1614157398</v>
      </c>
      <c r="C86" s="10">
        <f>IF(OR($A86="",2&gt;Controls!$B$6),"",MOD(M85*48271,2147483647))</f>
        <v>1014830812</v>
      </c>
      <c r="D86" s="10">
        <f>IF(OR($A86="",3&gt;Controls!$B$6),"",MOD(N85*48271,2147483647))</f>
        <v>415504226</v>
      </c>
      <c r="E86" s="10" t="str">
        <f>IF(OR($A86="",4&gt;Controls!$B$6),"",MOD(O85*48271,2147483647))</f>
        <v/>
      </c>
      <c r="F86" s="10" t="str">
        <f>IF(OR($A86="",5&gt;Controls!$B$6),"",MOD(P85*48271,2147483647))</f>
        <v/>
      </c>
      <c r="G86" s="10" t="str">
        <f>IF(OR($A86="",6&gt;Controls!$B$6),"",MOD(Q85*48271,2147483647))</f>
        <v/>
      </c>
      <c r="H86" s="10" t="str">
        <f>IF(OR($A86="",7&gt;Controls!$B$6),"",MOD(R85*48271,2147483647))</f>
        <v/>
      </c>
      <c r="I86" s="10" t="str">
        <f>IF(OR($A86="",8&gt;Controls!$B$6),"",MOD(S85*48271,2147483647))</f>
        <v/>
      </c>
      <c r="J86" s="10" t="str">
        <f>IF(OR($A86="",9&gt;Controls!$B$6),"",MOD(T85*48271,2147483647))</f>
        <v/>
      </c>
      <c r="K86" s="10" t="str">
        <f>IF(OR($A86="",10&gt;Controls!$B$6),"",MOD(U85*48271,2147483647))</f>
        <v/>
      </c>
      <c r="L86" s="10">
        <f t="shared" ref="L86:U86" si="85">IF(B86="","",MOD(B86*48271,2147483647))</f>
        <v>1990078404</v>
      </c>
      <c r="M86" s="10">
        <f t="shared" si="85"/>
        <v>648654335</v>
      </c>
      <c r="N86" s="10">
        <f t="shared" si="85"/>
        <v>1454713913</v>
      </c>
      <c r="O86" s="10" t="str">
        <f t="shared" si="85"/>
        <v/>
      </c>
      <c r="P86" s="10" t="str">
        <f t="shared" si="85"/>
        <v/>
      </c>
      <c r="Q86" s="10" t="str">
        <f t="shared" si="85"/>
        <v/>
      </c>
      <c r="R86" s="10" t="str">
        <f t="shared" si="85"/>
        <v/>
      </c>
      <c r="S86" s="10" t="str">
        <f t="shared" si="85"/>
        <v/>
      </c>
      <c r="T86" s="10" t="str">
        <f t="shared" si="85"/>
        <v/>
      </c>
      <c r="U86" s="10" t="str">
        <f t="shared" si="85"/>
        <v/>
      </c>
      <c r="V86" s="10">
        <f>IF(B86="","",IF(Controls!$B$7="Normal",Controls!$B$8+Controls!$B$9*SQRT(-2*LN(B86/2147483647))*COS(2*PI()*L86/2147483647),Controls!$B$8+(Controls!$B$9-Controls!$B$8)*B86/2147483647))</f>
        <v>56.76896705</v>
      </c>
      <c r="W86" s="10">
        <f>IF(C86="","",IF(Controls!$B$7="Normal",Controls!$B$8+Controls!$B$9*SQRT(-2*LN(C86/2147483647))*COS(2*PI()*M86/2147483647),Controls!$B$8+(Controls!$B$9-Controls!$B$8)*C86/2147483647))</f>
        <v>46.06649692</v>
      </c>
      <c r="X86" s="10">
        <f>IF(D86="","",IF(Controls!$B$7="Normal",Controls!$B$8+Controls!$B$9*SQRT(-2*LN(D86/2147483647))*COS(2*PI()*N86/2147483647),Controls!$B$8+(Controls!$B$9-Controls!$B$8)*D86/2147483647))</f>
        <v>42.01632722</v>
      </c>
      <c r="Y86" s="10" t="str">
        <f>IF(E86="","",IF(Controls!$B$7="Normal",Controls!$B$8+Controls!$B$9*SQRT(-2*LN(E86/2147483647))*COS(2*PI()*O86/2147483647),Controls!$B$8+(Controls!$B$9-Controls!$B$8)*E86/2147483647))</f>
        <v/>
      </c>
      <c r="Z86" s="10" t="str">
        <f>IF(F86="","",IF(Controls!$B$7="Normal",Controls!$B$8+Controls!$B$9*SQRT(-2*LN(F86/2147483647))*COS(2*PI()*P86/2147483647),Controls!$B$8+(Controls!$B$9-Controls!$B$8)*F86/2147483647))</f>
        <v/>
      </c>
      <c r="AA86" s="10" t="str">
        <f>IF(G86="","",IF(Controls!$B$7="Normal",Controls!$B$8+Controls!$B$9*SQRT(-2*LN(G86/2147483647))*COS(2*PI()*Q86/2147483647),Controls!$B$8+(Controls!$B$9-Controls!$B$8)*G86/2147483647))</f>
        <v/>
      </c>
      <c r="AB86" s="10" t="str">
        <f>IF(H86="","",IF(Controls!$B$7="Normal",Controls!$B$8+Controls!$B$9*SQRT(-2*LN(H86/2147483647))*COS(2*PI()*R86/2147483647),Controls!$B$8+(Controls!$B$9-Controls!$B$8)*H86/2147483647))</f>
        <v/>
      </c>
      <c r="AC86" s="10" t="str">
        <f>IF(I86="","",IF(Controls!$B$7="Normal",Controls!$B$8+Controls!$B$9*SQRT(-2*LN(I86/2147483647))*COS(2*PI()*S86/2147483647),Controls!$B$8+(Controls!$B$9-Controls!$B$8)*I86/2147483647))</f>
        <v/>
      </c>
      <c r="AD86" s="10" t="str">
        <f>IF(J86="","",IF(Controls!$B$7="Normal",Controls!$B$8+Controls!$B$9*SQRT(-2*LN(J86/2147483647))*COS(2*PI()*T86/2147483647),Controls!$B$8+(Controls!$B$9-Controls!$B$8)*J86/2147483647))</f>
        <v/>
      </c>
      <c r="AE86" s="10" t="str">
        <f>IF(K86="","",IF(Controls!$B$7="Normal",Controls!$B$8+Controls!$B$9*SQRT(-2*LN(K86/2147483647))*COS(2*PI()*U86/2147483647),Controls!$B$8+(Controls!$B$9-Controls!$B$8)*K86/2147483647))</f>
        <v/>
      </c>
    </row>
    <row r="87" ht="21.0" customHeight="1">
      <c r="A87" s="7">
        <f>IF(86&lt;=Controls!$B$5,Controls!$B$4+85,"")</f>
        <v>73076</v>
      </c>
      <c r="B87" s="10">
        <f>IF(OR($A87="",1&gt;Controls!$B$6),"",MOD(L86*48271,2147483647))</f>
        <v>1836141880</v>
      </c>
      <c r="C87" s="10">
        <f>IF(OR($A87="",2&gt;Controls!$B$6),"",MOD(M86*48271,2147483647))</f>
        <v>881831525</v>
      </c>
      <c r="D87" s="10">
        <f>IF(OR($A87="",3&gt;Controls!$B$6),"",MOD(N86*48271,2147483647))</f>
        <v>2075004817</v>
      </c>
      <c r="E87" s="10" t="str">
        <f>IF(OR($A87="",4&gt;Controls!$B$6),"",MOD(O86*48271,2147483647))</f>
        <v/>
      </c>
      <c r="F87" s="10" t="str">
        <f>IF(OR($A87="",5&gt;Controls!$B$6),"",MOD(P86*48271,2147483647))</f>
        <v/>
      </c>
      <c r="G87" s="10" t="str">
        <f>IF(OR($A87="",6&gt;Controls!$B$6),"",MOD(Q86*48271,2147483647))</f>
        <v/>
      </c>
      <c r="H87" s="10" t="str">
        <f>IF(OR($A87="",7&gt;Controls!$B$6),"",MOD(R86*48271,2147483647))</f>
        <v/>
      </c>
      <c r="I87" s="10" t="str">
        <f>IF(OR($A87="",8&gt;Controls!$B$6),"",MOD(S86*48271,2147483647))</f>
        <v/>
      </c>
      <c r="J87" s="10" t="str">
        <f>IF(OR($A87="",9&gt;Controls!$B$6),"",MOD(T86*48271,2147483647))</f>
        <v/>
      </c>
      <c r="K87" s="10" t="str">
        <f>IF(OR($A87="",10&gt;Controls!$B$6),"",MOD(U86*48271,2147483647))</f>
        <v/>
      </c>
      <c r="L87" s="10">
        <f t="shared" ref="L87:U87" si="86">IF(B87="","",MOD(B87*48271,2147483647))</f>
        <v>1459610496</v>
      </c>
      <c r="M87" s="10">
        <f t="shared" si="86"/>
        <v>1616176088</v>
      </c>
      <c r="N87" s="10">
        <f t="shared" si="86"/>
        <v>1772741680</v>
      </c>
      <c r="O87" s="10" t="str">
        <f t="shared" si="86"/>
        <v/>
      </c>
      <c r="P87" s="10" t="str">
        <f t="shared" si="86"/>
        <v/>
      </c>
      <c r="Q87" s="10" t="str">
        <f t="shared" si="86"/>
        <v/>
      </c>
      <c r="R87" s="10" t="str">
        <f t="shared" si="86"/>
        <v/>
      </c>
      <c r="S87" s="10" t="str">
        <f t="shared" si="86"/>
        <v/>
      </c>
      <c r="T87" s="10" t="str">
        <f t="shared" si="86"/>
        <v/>
      </c>
      <c r="U87" s="10" t="str">
        <f t="shared" si="86"/>
        <v/>
      </c>
      <c r="V87" s="10">
        <f>IF(B87="","",IF(Controls!$B$7="Normal",Controls!$B$8+Controls!$B$9*SQRT(-2*LN(B87/2147483647))*COS(2*PI()*L87/2147483647),Controls!$B$8+(Controls!$B$9-Controls!$B$8)*B87/2147483647))</f>
        <v>47.60688029</v>
      </c>
      <c r="W87" s="10">
        <f>IF(C87="","",IF(Controls!$B$7="Normal",Controls!$B$8+Controls!$B$9*SQRT(-2*LN(C87/2147483647))*COS(2*PI()*M87/2147483647),Controls!$B$8+(Controls!$B$9-Controls!$B$8)*C87/2147483647))</f>
        <v>50.21716502</v>
      </c>
      <c r="X87" s="10">
        <f>IF(D87="","",IF(Controls!$B$7="Normal",Controls!$B$8+Controls!$B$9*SQRT(-2*LN(D87/2147483647))*COS(2*PI()*N87/2147483647),Controls!$B$8+(Controls!$B$9-Controls!$B$8)*D87/2147483647))</f>
        <v>51.1969384</v>
      </c>
      <c r="Y87" s="10" t="str">
        <f>IF(E87="","",IF(Controls!$B$7="Normal",Controls!$B$8+Controls!$B$9*SQRT(-2*LN(E87/2147483647))*COS(2*PI()*O87/2147483647),Controls!$B$8+(Controls!$B$9-Controls!$B$8)*E87/2147483647))</f>
        <v/>
      </c>
      <c r="Z87" s="10" t="str">
        <f>IF(F87="","",IF(Controls!$B$7="Normal",Controls!$B$8+Controls!$B$9*SQRT(-2*LN(F87/2147483647))*COS(2*PI()*P87/2147483647),Controls!$B$8+(Controls!$B$9-Controls!$B$8)*F87/2147483647))</f>
        <v/>
      </c>
      <c r="AA87" s="10" t="str">
        <f>IF(G87="","",IF(Controls!$B$7="Normal",Controls!$B$8+Controls!$B$9*SQRT(-2*LN(G87/2147483647))*COS(2*PI()*Q87/2147483647),Controls!$B$8+(Controls!$B$9-Controls!$B$8)*G87/2147483647))</f>
        <v/>
      </c>
      <c r="AB87" s="10" t="str">
        <f>IF(H87="","",IF(Controls!$B$7="Normal",Controls!$B$8+Controls!$B$9*SQRT(-2*LN(H87/2147483647))*COS(2*PI()*R87/2147483647),Controls!$B$8+(Controls!$B$9-Controls!$B$8)*H87/2147483647))</f>
        <v/>
      </c>
      <c r="AC87" s="10" t="str">
        <f>IF(I87="","",IF(Controls!$B$7="Normal",Controls!$B$8+Controls!$B$9*SQRT(-2*LN(I87/2147483647))*COS(2*PI()*S87/2147483647),Controls!$B$8+(Controls!$B$9-Controls!$B$8)*I87/2147483647))</f>
        <v/>
      </c>
      <c r="AD87" s="10" t="str">
        <f>IF(J87="","",IF(Controls!$B$7="Normal",Controls!$B$8+Controls!$B$9*SQRT(-2*LN(J87/2147483647))*COS(2*PI()*T87/2147483647),Controls!$B$8+(Controls!$B$9-Controls!$B$8)*J87/2147483647))</f>
        <v/>
      </c>
      <c r="AE87" s="10" t="str">
        <f>IF(K87="","",IF(Controls!$B$7="Normal",Controls!$B$8+Controls!$B$9*SQRT(-2*LN(K87/2147483647))*COS(2*PI()*U87/2147483647),Controls!$B$8+(Controls!$B$9-Controls!$B$8)*K87/2147483647))</f>
        <v/>
      </c>
    </row>
    <row r="88" ht="21.0" customHeight="1">
      <c r="A88" s="7">
        <f>IF(87&lt;=Controls!$B$5,Controls!$B$4+86,"")</f>
        <v>73077</v>
      </c>
      <c r="B88" s="10">
        <f>IF(OR($A88="",1&gt;Controls!$B$6),"",MOD(L87*48271,2147483647))</f>
        <v>67277993</v>
      </c>
      <c r="C88" s="10">
        <f>IF(OR($A88="",2&gt;Controls!$B$6),"",MOD(M87*48271,2147483647))</f>
        <v>650015632</v>
      </c>
      <c r="D88" s="10">
        <f>IF(OR($A88="",3&gt;Controls!$B$6),"",MOD(N87*48271,2147483647))</f>
        <v>1232753271</v>
      </c>
      <c r="E88" s="10" t="str">
        <f>IF(OR($A88="",4&gt;Controls!$B$6),"",MOD(O87*48271,2147483647))</f>
        <v/>
      </c>
      <c r="F88" s="10" t="str">
        <f>IF(OR($A88="",5&gt;Controls!$B$6),"",MOD(P87*48271,2147483647))</f>
        <v/>
      </c>
      <c r="G88" s="10" t="str">
        <f>IF(OR($A88="",6&gt;Controls!$B$6),"",MOD(Q87*48271,2147483647))</f>
        <v/>
      </c>
      <c r="H88" s="10" t="str">
        <f>IF(OR($A88="",7&gt;Controls!$B$6),"",MOD(R87*48271,2147483647))</f>
        <v/>
      </c>
      <c r="I88" s="10" t="str">
        <f>IF(OR($A88="",8&gt;Controls!$B$6),"",MOD(S87*48271,2147483647))</f>
        <v/>
      </c>
      <c r="J88" s="10" t="str">
        <f>IF(OR($A88="",9&gt;Controls!$B$6),"",MOD(T87*48271,2147483647))</f>
        <v/>
      </c>
      <c r="K88" s="10" t="str">
        <f>IF(OR($A88="",10&gt;Controls!$B$6),"",MOD(U87*48271,2147483647))</f>
        <v/>
      </c>
      <c r="L88" s="10">
        <f t="shared" ref="L88:U88" si="87">IF(B88="","",MOD(B88*48271,2147483647))</f>
        <v>580725839</v>
      </c>
      <c r="M88" s="10">
        <f t="shared" si="87"/>
        <v>21005955</v>
      </c>
      <c r="N88" s="10">
        <f t="shared" si="87"/>
        <v>1608769718</v>
      </c>
      <c r="O88" s="10" t="str">
        <f t="shared" si="87"/>
        <v/>
      </c>
      <c r="P88" s="10" t="str">
        <f t="shared" si="87"/>
        <v/>
      </c>
      <c r="Q88" s="10" t="str">
        <f t="shared" si="87"/>
        <v/>
      </c>
      <c r="R88" s="10" t="str">
        <f t="shared" si="87"/>
        <v/>
      </c>
      <c r="S88" s="10" t="str">
        <f t="shared" si="87"/>
        <v/>
      </c>
      <c r="T88" s="10" t="str">
        <f t="shared" si="87"/>
        <v/>
      </c>
      <c r="U88" s="10" t="str">
        <f t="shared" si="87"/>
        <v/>
      </c>
      <c r="V88" s="10">
        <f>IF(B88="","",IF(Controls!$B$7="Normal",Controls!$B$8+Controls!$B$9*SQRT(-2*LN(B88/2147483647))*COS(2*PI()*L88/2147483647),Controls!$B$8+(Controls!$B$9-Controls!$B$8)*B88/2147483647))</f>
        <v>46.63231857</v>
      </c>
      <c r="W88" s="10">
        <f>IF(C88="","",IF(Controls!$B$7="Normal",Controls!$B$8+Controls!$B$9*SQRT(-2*LN(C88/2147483647))*COS(2*PI()*M88/2147483647),Controls!$B$8+(Controls!$B$9-Controls!$B$8)*C88/2147483647))</f>
        <v>65.43079511</v>
      </c>
      <c r="X88" s="10">
        <f>IF(D88="","",IF(Controls!$B$7="Normal",Controls!$B$8+Controls!$B$9*SQRT(-2*LN(D88/2147483647))*COS(2*PI()*N88/2147483647),Controls!$B$8+(Controls!$B$9-Controls!$B$8)*D88/2147483647))</f>
        <v>49.94318578</v>
      </c>
      <c r="Y88" s="10" t="str">
        <f>IF(E88="","",IF(Controls!$B$7="Normal",Controls!$B$8+Controls!$B$9*SQRT(-2*LN(E88/2147483647))*COS(2*PI()*O88/2147483647),Controls!$B$8+(Controls!$B$9-Controls!$B$8)*E88/2147483647))</f>
        <v/>
      </c>
      <c r="Z88" s="10" t="str">
        <f>IF(F88="","",IF(Controls!$B$7="Normal",Controls!$B$8+Controls!$B$9*SQRT(-2*LN(F88/2147483647))*COS(2*PI()*P88/2147483647),Controls!$B$8+(Controls!$B$9-Controls!$B$8)*F88/2147483647))</f>
        <v/>
      </c>
      <c r="AA88" s="10" t="str">
        <f>IF(G88="","",IF(Controls!$B$7="Normal",Controls!$B$8+Controls!$B$9*SQRT(-2*LN(G88/2147483647))*COS(2*PI()*Q88/2147483647),Controls!$B$8+(Controls!$B$9-Controls!$B$8)*G88/2147483647))</f>
        <v/>
      </c>
      <c r="AB88" s="10" t="str">
        <f>IF(H88="","",IF(Controls!$B$7="Normal",Controls!$B$8+Controls!$B$9*SQRT(-2*LN(H88/2147483647))*COS(2*PI()*R88/2147483647),Controls!$B$8+(Controls!$B$9-Controls!$B$8)*H88/2147483647))</f>
        <v/>
      </c>
      <c r="AC88" s="10" t="str">
        <f>IF(I88="","",IF(Controls!$B$7="Normal",Controls!$B$8+Controls!$B$9*SQRT(-2*LN(I88/2147483647))*COS(2*PI()*S88/2147483647),Controls!$B$8+(Controls!$B$9-Controls!$B$8)*I88/2147483647))</f>
        <v/>
      </c>
      <c r="AD88" s="10" t="str">
        <f>IF(J88="","",IF(Controls!$B$7="Normal",Controls!$B$8+Controls!$B$9*SQRT(-2*LN(J88/2147483647))*COS(2*PI()*T88/2147483647),Controls!$B$8+(Controls!$B$9-Controls!$B$8)*J88/2147483647))</f>
        <v/>
      </c>
      <c r="AE88" s="10" t="str">
        <f>IF(K88="","",IF(Controls!$B$7="Normal",Controls!$B$8+Controls!$B$9*SQRT(-2*LN(K88/2147483647))*COS(2*PI()*U88/2147483647),Controls!$B$8+(Controls!$B$9-Controls!$B$8)*K88/2147483647))</f>
        <v/>
      </c>
    </row>
    <row r="89" ht="21.0" customHeight="1">
      <c r="A89" s="7">
        <f>IF(88&lt;=Controls!$B$5,Controls!$B$4+87,"")</f>
        <v>73078</v>
      </c>
      <c r="B89" s="10">
        <f>IF(OR($A89="",1&gt;Controls!$B$6),"",MOD(L88*48271,2147483647))</f>
        <v>1112930078</v>
      </c>
      <c r="C89" s="10">
        <f>IF(OR($A89="",2&gt;Controls!$B$6),"",MOD(M88*48271,2147483647))</f>
        <v>366172421</v>
      </c>
      <c r="D89" s="10">
        <f>IF(OR($A89="",3&gt;Controls!$B$6),"",MOD(N88*48271,2147483647))</f>
        <v>1766898411</v>
      </c>
      <c r="E89" s="10" t="str">
        <f>IF(OR($A89="",4&gt;Controls!$B$6),"",MOD(O88*48271,2147483647))</f>
        <v/>
      </c>
      <c r="F89" s="10" t="str">
        <f>IF(OR($A89="",5&gt;Controls!$B$6),"",MOD(P88*48271,2147483647))</f>
        <v/>
      </c>
      <c r="G89" s="10" t="str">
        <f>IF(OR($A89="",6&gt;Controls!$B$6),"",MOD(Q88*48271,2147483647))</f>
        <v/>
      </c>
      <c r="H89" s="10" t="str">
        <f>IF(OR($A89="",7&gt;Controls!$B$6),"",MOD(R88*48271,2147483647))</f>
        <v/>
      </c>
      <c r="I89" s="10" t="str">
        <f>IF(OR($A89="",8&gt;Controls!$B$6),"",MOD(S88*48271,2147483647))</f>
        <v/>
      </c>
      <c r="J89" s="10" t="str">
        <f>IF(OR($A89="",9&gt;Controls!$B$6),"",MOD(T88*48271,2147483647))</f>
        <v/>
      </c>
      <c r="K89" s="10" t="str">
        <f>IF(OR($A89="",10&gt;Controls!$B$6),"",MOD(U88*48271,2147483647))</f>
        <v/>
      </c>
      <c r="L89" s="10">
        <f t="shared" ref="L89:U89" si="88">IF(B89="","",MOD(B89*48271,2147483647))</f>
        <v>796881786</v>
      </c>
      <c r="M89" s="10">
        <f t="shared" si="88"/>
        <v>1718519281</v>
      </c>
      <c r="N89" s="10">
        <f t="shared" si="88"/>
        <v>492673129</v>
      </c>
      <c r="O89" s="10" t="str">
        <f t="shared" si="88"/>
        <v/>
      </c>
      <c r="P89" s="10" t="str">
        <f t="shared" si="88"/>
        <v/>
      </c>
      <c r="Q89" s="10" t="str">
        <f t="shared" si="88"/>
        <v/>
      </c>
      <c r="R89" s="10" t="str">
        <f t="shared" si="88"/>
        <v/>
      </c>
      <c r="S89" s="10" t="str">
        <f t="shared" si="88"/>
        <v/>
      </c>
      <c r="T89" s="10" t="str">
        <f t="shared" si="88"/>
        <v/>
      </c>
      <c r="U89" s="10" t="str">
        <f t="shared" si="88"/>
        <v/>
      </c>
      <c r="V89" s="10">
        <f>IF(B89="","",IF(Controls!$B$7="Normal",Controls!$B$8+Controls!$B$9*SQRT(-2*LN(B89/2147483647))*COS(2*PI()*L89/2147483647),Controls!$B$8+(Controls!$B$9-Controls!$B$8)*B89/2147483647))</f>
        <v>42.0948744</v>
      </c>
      <c r="W89" s="10">
        <f>IF(C89="","",IF(Controls!$B$7="Normal",Controls!$B$8+Controls!$B$9*SQRT(-2*LN(C89/2147483647))*COS(2*PI()*M89/2147483647),Controls!$B$8+(Controls!$B$9-Controls!$B$8)*C89/2147483647))</f>
        <v>55.84024805</v>
      </c>
      <c r="X89" s="10">
        <f>IF(D89="","",IF(Controls!$B$7="Normal",Controls!$B$8+Controls!$B$9*SQRT(-2*LN(D89/2147483647))*COS(2*PI()*N89/2147483647),Controls!$B$8+(Controls!$B$9-Controls!$B$8)*D89/2147483647))</f>
        <v>50.80547268</v>
      </c>
      <c r="Y89" s="10" t="str">
        <f>IF(E89="","",IF(Controls!$B$7="Normal",Controls!$B$8+Controls!$B$9*SQRT(-2*LN(E89/2147483647))*COS(2*PI()*O89/2147483647),Controls!$B$8+(Controls!$B$9-Controls!$B$8)*E89/2147483647))</f>
        <v/>
      </c>
      <c r="Z89" s="10" t="str">
        <f>IF(F89="","",IF(Controls!$B$7="Normal",Controls!$B$8+Controls!$B$9*SQRT(-2*LN(F89/2147483647))*COS(2*PI()*P89/2147483647),Controls!$B$8+(Controls!$B$9-Controls!$B$8)*F89/2147483647))</f>
        <v/>
      </c>
      <c r="AA89" s="10" t="str">
        <f>IF(G89="","",IF(Controls!$B$7="Normal",Controls!$B$8+Controls!$B$9*SQRT(-2*LN(G89/2147483647))*COS(2*PI()*Q89/2147483647),Controls!$B$8+(Controls!$B$9-Controls!$B$8)*G89/2147483647))</f>
        <v/>
      </c>
      <c r="AB89" s="10" t="str">
        <f>IF(H89="","",IF(Controls!$B$7="Normal",Controls!$B$8+Controls!$B$9*SQRT(-2*LN(H89/2147483647))*COS(2*PI()*R89/2147483647),Controls!$B$8+(Controls!$B$9-Controls!$B$8)*H89/2147483647))</f>
        <v/>
      </c>
      <c r="AC89" s="10" t="str">
        <f>IF(I89="","",IF(Controls!$B$7="Normal",Controls!$B$8+Controls!$B$9*SQRT(-2*LN(I89/2147483647))*COS(2*PI()*S89/2147483647),Controls!$B$8+(Controls!$B$9-Controls!$B$8)*I89/2147483647))</f>
        <v/>
      </c>
      <c r="AD89" s="10" t="str">
        <f>IF(J89="","",IF(Controls!$B$7="Normal",Controls!$B$8+Controls!$B$9*SQRT(-2*LN(J89/2147483647))*COS(2*PI()*T89/2147483647),Controls!$B$8+(Controls!$B$9-Controls!$B$8)*J89/2147483647))</f>
        <v/>
      </c>
      <c r="AE89" s="10" t="str">
        <f>IF(K89="","",IF(Controls!$B$7="Normal",Controls!$B$8+Controls!$B$9*SQRT(-2*LN(K89/2147483647))*COS(2*PI()*U89/2147483647),Controls!$B$8+(Controls!$B$9-Controls!$B$8)*K89/2147483647))</f>
        <v/>
      </c>
    </row>
    <row r="90" ht="21.0" customHeight="1">
      <c r="A90" s="7">
        <f>IF(89&lt;=Controls!$B$5,Controls!$B$4+88,"")</f>
        <v>73079</v>
      </c>
      <c r="B90" s="10">
        <f>IF(OR($A90="",1&gt;Controls!$B$6),"",MOD(L89*48271,2147483647))</f>
        <v>553606942</v>
      </c>
      <c r="C90" s="10">
        <f>IF(OR($A90="",2&gt;Controls!$B$6),"",MOD(M89*48271,2147483647))</f>
        <v>1645896835</v>
      </c>
      <c r="D90" s="10">
        <f>IF(OR($A90="",3&gt;Controls!$B$6),"",MOD(N89*48271,2147483647))</f>
        <v>590703081</v>
      </c>
      <c r="E90" s="10" t="str">
        <f>IF(OR($A90="",4&gt;Controls!$B$6),"",MOD(O89*48271,2147483647))</f>
        <v/>
      </c>
      <c r="F90" s="10" t="str">
        <f>IF(OR($A90="",5&gt;Controls!$B$6),"",MOD(P89*48271,2147483647))</f>
        <v/>
      </c>
      <c r="G90" s="10" t="str">
        <f>IF(OR($A90="",6&gt;Controls!$B$6),"",MOD(Q89*48271,2147483647))</f>
        <v/>
      </c>
      <c r="H90" s="10" t="str">
        <f>IF(OR($A90="",7&gt;Controls!$B$6),"",MOD(R89*48271,2147483647))</f>
        <v/>
      </c>
      <c r="I90" s="10" t="str">
        <f>IF(OR($A90="",8&gt;Controls!$B$6),"",MOD(S89*48271,2147483647))</f>
        <v/>
      </c>
      <c r="J90" s="10" t="str">
        <f>IF(OR($A90="",9&gt;Controls!$B$6),"",MOD(T89*48271,2147483647))</f>
        <v/>
      </c>
      <c r="K90" s="10" t="str">
        <f>IF(OR($A90="",10&gt;Controls!$B$6),"",MOD(U89*48271,2147483647))</f>
        <v/>
      </c>
      <c r="L90" s="10">
        <f t="shared" ref="L90:U90" si="89">IF(B90="","",MOD(B90*48271,2147483647))</f>
        <v>2021677661</v>
      </c>
      <c r="M90" s="10">
        <f t="shared" si="89"/>
        <v>781117873</v>
      </c>
      <c r="N90" s="10">
        <f t="shared" si="89"/>
        <v>1688041732</v>
      </c>
      <c r="O90" s="10" t="str">
        <f t="shared" si="89"/>
        <v/>
      </c>
      <c r="P90" s="10" t="str">
        <f t="shared" si="89"/>
        <v/>
      </c>
      <c r="Q90" s="10" t="str">
        <f t="shared" si="89"/>
        <v/>
      </c>
      <c r="R90" s="10" t="str">
        <f t="shared" si="89"/>
        <v/>
      </c>
      <c r="S90" s="10" t="str">
        <f t="shared" si="89"/>
        <v/>
      </c>
      <c r="T90" s="10" t="str">
        <f t="shared" si="89"/>
        <v/>
      </c>
      <c r="U90" s="10" t="str">
        <f t="shared" si="89"/>
        <v/>
      </c>
      <c r="V90" s="10">
        <f>IF(B90="","",IF(Controls!$B$7="Normal",Controls!$B$8+Controls!$B$9*SQRT(-2*LN(B90/2147483647))*COS(2*PI()*L90/2147483647),Controls!$B$8+(Controls!$B$9-Controls!$B$8)*B90/2147483647))</f>
        <v>65.36278463</v>
      </c>
      <c r="W90" s="10">
        <f>IF(C90="","",IF(Controls!$B$7="Normal",Controls!$B$8+Controls!$B$9*SQRT(-2*LN(C90/2147483647))*COS(2*PI()*M90/2147483647),Controls!$B$8+(Controls!$B$9-Controls!$B$8)*C90/2147483647))</f>
        <v>45.21999109</v>
      </c>
      <c r="X90" s="10">
        <f>IF(D90="","",IF(Controls!$B$7="Normal",Controls!$B$8+Controls!$B$9*SQRT(-2*LN(D90/2147483647))*COS(2*PI()*N90/2147483647),Controls!$B$8+(Controls!$B$9-Controls!$B$8)*D90/2147483647))</f>
        <v>53.60883109</v>
      </c>
      <c r="Y90" s="10" t="str">
        <f>IF(E90="","",IF(Controls!$B$7="Normal",Controls!$B$8+Controls!$B$9*SQRT(-2*LN(E90/2147483647))*COS(2*PI()*O90/2147483647),Controls!$B$8+(Controls!$B$9-Controls!$B$8)*E90/2147483647))</f>
        <v/>
      </c>
      <c r="Z90" s="10" t="str">
        <f>IF(F90="","",IF(Controls!$B$7="Normal",Controls!$B$8+Controls!$B$9*SQRT(-2*LN(F90/2147483647))*COS(2*PI()*P90/2147483647),Controls!$B$8+(Controls!$B$9-Controls!$B$8)*F90/2147483647))</f>
        <v/>
      </c>
      <c r="AA90" s="10" t="str">
        <f>IF(G90="","",IF(Controls!$B$7="Normal",Controls!$B$8+Controls!$B$9*SQRT(-2*LN(G90/2147483647))*COS(2*PI()*Q90/2147483647),Controls!$B$8+(Controls!$B$9-Controls!$B$8)*G90/2147483647))</f>
        <v/>
      </c>
      <c r="AB90" s="10" t="str">
        <f>IF(H90="","",IF(Controls!$B$7="Normal",Controls!$B$8+Controls!$B$9*SQRT(-2*LN(H90/2147483647))*COS(2*PI()*R90/2147483647),Controls!$B$8+(Controls!$B$9-Controls!$B$8)*H90/2147483647))</f>
        <v/>
      </c>
      <c r="AC90" s="10" t="str">
        <f>IF(I90="","",IF(Controls!$B$7="Normal",Controls!$B$8+Controls!$B$9*SQRT(-2*LN(I90/2147483647))*COS(2*PI()*S90/2147483647),Controls!$B$8+(Controls!$B$9-Controls!$B$8)*I90/2147483647))</f>
        <v/>
      </c>
      <c r="AD90" s="10" t="str">
        <f>IF(J90="","",IF(Controls!$B$7="Normal",Controls!$B$8+Controls!$B$9*SQRT(-2*LN(J90/2147483647))*COS(2*PI()*T90/2147483647),Controls!$B$8+(Controls!$B$9-Controls!$B$8)*J90/2147483647))</f>
        <v/>
      </c>
      <c r="AE90" s="10" t="str">
        <f>IF(K90="","",IF(Controls!$B$7="Normal",Controls!$B$8+Controls!$B$9*SQRT(-2*LN(K90/2147483647))*COS(2*PI()*U90/2147483647),Controls!$B$8+(Controls!$B$9-Controls!$B$8)*K90/2147483647))</f>
        <v/>
      </c>
    </row>
    <row r="91" ht="21.0" customHeight="1">
      <c r="A91" s="7">
        <f>IF(90&lt;=Controls!$B$5,Controls!$B$4+89,"")</f>
        <v>73080</v>
      </c>
      <c r="B91" s="10">
        <f>IF(OR($A91="",1&gt;Controls!$B$6),"",MOD(L90*48271,2147483647))</f>
        <v>303003510</v>
      </c>
      <c r="C91" s="10">
        <f>IF(OR($A91="",2&gt;Controls!$B$6),"",MOD(M90*48271,2147483647))</f>
        <v>1970457204</v>
      </c>
      <c r="D91" s="10">
        <f>IF(OR($A91="",3&gt;Controls!$B$6),"",MOD(N90*48271,2147483647))</f>
        <v>1490427251</v>
      </c>
      <c r="E91" s="10" t="str">
        <f>IF(OR($A91="",4&gt;Controls!$B$6),"",MOD(O90*48271,2147483647))</f>
        <v/>
      </c>
      <c r="F91" s="10" t="str">
        <f>IF(OR($A91="",5&gt;Controls!$B$6),"",MOD(P90*48271,2147483647))</f>
        <v/>
      </c>
      <c r="G91" s="10" t="str">
        <f>IF(OR($A91="",6&gt;Controls!$B$6),"",MOD(Q90*48271,2147483647))</f>
        <v/>
      </c>
      <c r="H91" s="10" t="str">
        <f>IF(OR($A91="",7&gt;Controls!$B$6),"",MOD(R90*48271,2147483647))</f>
        <v/>
      </c>
      <c r="I91" s="10" t="str">
        <f>IF(OR($A91="",8&gt;Controls!$B$6),"",MOD(S90*48271,2147483647))</f>
        <v/>
      </c>
      <c r="J91" s="10" t="str">
        <f>IF(OR($A91="",9&gt;Controls!$B$6),"",MOD(T90*48271,2147483647))</f>
        <v/>
      </c>
      <c r="K91" s="10" t="str">
        <f>IF(OR($A91="",10&gt;Controls!$B$6),"",MOD(U90*48271,2147483647))</f>
        <v/>
      </c>
      <c r="L91" s="10">
        <f t="shared" ref="L91:U91" si="90">IF(B91="","",MOD(B91*48271,2147483647))</f>
        <v>1918795140</v>
      </c>
      <c r="M91" s="10">
        <f t="shared" si="90"/>
        <v>1741485007</v>
      </c>
      <c r="N91" s="10">
        <f t="shared" si="90"/>
        <v>1564174874</v>
      </c>
      <c r="O91" s="10" t="str">
        <f t="shared" si="90"/>
        <v/>
      </c>
      <c r="P91" s="10" t="str">
        <f t="shared" si="90"/>
        <v/>
      </c>
      <c r="Q91" s="10" t="str">
        <f t="shared" si="90"/>
        <v/>
      </c>
      <c r="R91" s="10" t="str">
        <f t="shared" si="90"/>
        <v/>
      </c>
      <c r="S91" s="10" t="str">
        <f t="shared" si="90"/>
        <v/>
      </c>
      <c r="T91" s="10" t="str">
        <f t="shared" si="90"/>
        <v/>
      </c>
      <c r="U91" s="10" t="str">
        <f t="shared" si="90"/>
        <v/>
      </c>
      <c r="V91" s="10">
        <f>IF(B91="","",IF(Controls!$B$7="Normal",Controls!$B$8+Controls!$B$9*SQRT(-2*LN(B91/2147483647))*COS(2*PI()*L91/2147483647),Controls!$B$8+(Controls!$B$9-Controls!$B$8)*B91/2147483647))</f>
        <v>65.52316764</v>
      </c>
      <c r="W91" s="10">
        <f>IF(C91="","",IF(Controls!$B$7="Normal",Controls!$B$8+Controls!$B$9*SQRT(-2*LN(C91/2147483647))*COS(2*PI()*M91/2147483647),Controls!$B$8+(Controls!$B$9-Controls!$B$8)*C91/2147483647))</f>
        <v>51.54979914</v>
      </c>
      <c r="X91" s="10">
        <f>IF(D91="","",IF(Controls!$B$7="Normal",Controls!$B$8+Controls!$B$9*SQRT(-2*LN(D91/2147483647))*COS(2*PI()*N91/2147483647),Controls!$B$8+(Controls!$B$9-Controls!$B$8)*D91/2147483647))</f>
        <v>48.84232746</v>
      </c>
      <c r="Y91" s="10" t="str">
        <f>IF(E91="","",IF(Controls!$B$7="Normal",Controls!$B$8+Controls!$B$9*SQRT(-2*LN(E91/2147483647))*COS(2*PI()*O91/2147483647),Controls!$B$8+(Controls!$B$9-Controls!$B$8)*E91/2147483647))</f>
        <v/>
      </c>
      <c r="Z91" s="10" t="str">
        <f>IF(F91="","",IF(Controls!$B$7="Normal",Controls!$B$8+Controls!$B$9*SQRT(-2*LN(F91/2147483647))*COS(2*PI()*P91/2147483647),Controls!$B$8+(Controls!$B$9-Controls!$B$8)*F91/2147483647))</f>
        <v/>
      </c>
      <c r="AA91" s="10" t="str">
        <f>IF(G91="","",IF(Controls!$B$7="Normal",Controls!$B$8+Controls!$B$9*SQRT(-2*LN(G91/2147483647))*COS(2*PI()*Q91/2147483647),Controls!$B$8+(Controls!$B$9-Controls!$B$8)*G91/2147483647))</f>
        <v/>
      </c>
      <c r="AB91" s="10" t="str">
        <f>IF(H91="","",IF(Controls!$B$7="Normal",Controls!$B$8+Controls!$B$9*SQRT(-2*LN(H91/2147483647))*COS(2*PI()*R91/2147483647),Controls!$B$8+(Controls!$B$9-Controls!$B$8)*H91/2147483647))</f>
        <v/>
      </c>
      <c r="AC91" s="10" t="str">
        <f>IF(I91="","",IF(Controls!$B$7="Normal",Controls!$B$8+Controls!$B$9*SQRT(-2*LN(I91/2147483647))*COS(2*PI()*S91/2147483647),Controls!$B$8+(Controls!$B$9-Controls!$B$8)*I91/2147483647))</f>
        <v/>
      </c>
      <c r="AD91" s="10" t="str">
        <f>IF(J91="","",IF(Controls!$B$7="Normal",Controls!$B$8+Controls!$B$9*SQRT(-2*LN(J91/2147483647))*COS(2*PI()*T91/2147483647),Controls!$B$8+(Controls!$B$9-Controls!$B$8)*J91/2147483647))</f>
        <v/>
      </c>
      <c r="AE91" s="10" t="str">
        <f>IF(K91="","",IF(Controls!$B$7="Normal",Controls!$B$8+Controls!$B$9*SQRT(-2*LN(K91/2147483647))*COS(2*PI()*U91/2147483647),Controls!$B$8+(Controls!$B$9-Controls!$B$8)*K91/2147483647))</f>
        <v/>
      </c>
    </row>
    <row r="92" ht="21.0" customHeight="1">
      <c r="A92" s="7" t="str">
        <f>IF(91&lt;=Controls!$B$5,Controls!$B$4+90,"")</f>
        <v/>
      </c>
      <c r="B92" s="10" t="str">
        <f>IF(OR($A92="",1&gt;Controls!$B$6),"",MOD(L91*48271,2147483647))</f>
        <v/>
      </c>
      <c r="C92" s="10" t="str">
        <f>IF(OR($A92="",2&gt;Controls!$B$6),"",MOD(M91*48271,2147483647))</f>
        <v/>
      </c>
      <c r="D92" s="10" t="str">
        <f>IF(OR($A92="",3&gt;Controls!$B$6),"",MOD(N91*48271,2147483647))</f>
        <v/>
      </c>
      <c r="E92" s="10" t="str">
        <f>IF(OR($A92="",4&gt;Controls!$B$6),"",MOD(O91*48271,2147483647))</f>
        <v/>
      </c>
      <c r="F92" s="10" t="str">
        <f>IF(OR($A92="",5&gt;Controls!$B$6),"",MOD(P91*48271,2147483647))</f>
        <v/>
      </c>
      <c r="G92" s="10" t="str">
        <f>IF(OR($A92="",6&gt;Controls!$B$6),"",MOD(Q91*48271,2147483647))</f>
        <v/>
      </c>
      <c r="H92" s="10" t="str">
        <f>IF(OR($A92="",7&gt;Controls!$B$6),"",MOD(R91*48271,2147483647))</f>
        <v/>
      </c>
      <c r="I92" s="10" t="str">
        <f>IF(OR($A92="",8&gt;Controls!$B$6),"",MOD(S91*48271,2147483647))</f>
        <v/>
      </c>
      <c r="J92" s="10" t="str">
        <f>IF(OR($A92="",9&gt;Controls!$B$6),"",MOD(T91*48271,2147483647))</f>
        <v/>
      </c>
      <c r="K92" s="10" t="str">
        <f>IF(OR($A92="",10&gt;Controls!$B$6),"",MOD(U91*48271,2147483647))</f>
        <v/>
      </c>
      <c r="L92" s="10" t="str">
        <f t="shared" ref="L92:U92" si="91">IF(B92="","",MOD(B92*48271,2147483647))</f>
        <v/>
      </c>
      <c r="M92" s="10" t="str">
        <f t="shared" si="91"/>
        <v/>
      </c>
      <c r="N92" s="10" t="str">
        <f t="shared" si="91"/>
        <v/>
      </c>
      <c r="O92" s="10" t="str">
        <f t="shared" si="91"/>
        <v/>
      </c>
      <c r="P92" s="10" t="str">
        <f t="shared" si="91"/>
        <v/>
      </c>
      <c r="Q92" s="10" t="str">
        <f t="shared" si="91"/>
        <v/>
      </c>
      <c r="R92" s="10" t="str">
        <f t="shared" si="91"/>
        <v/>
      </c>
      <c r="S92" s="10" t="str">
        <f t="shared" si="91"/>
        <v/>
      </c>
      <c r="T92" s="10" t="str">
        <f t="shared" si="91"/>
        <v/>
      </c>
      <c r="U92" s="10" t="str">
        <f t="shared" si="91"/>
        <v/>
      </c>
      <c r="V92" s="10" t="str">
        <f>IF(B92="","",IF(Controls!$B$7="Normal",Controls!$B$8+Controls!$B$9*SQRT(-2*LN(B92/2147483647))*COS(2*PI()*L92/2147483647),Controls!$B$8+(Controls!$B$9-Controls!$B$8)*B92/2147483647))</f>
        <v/>
      </c>
      <c r="W92" s="10" t="str">
        <f>IF(C92="","",IF(Controls!$B$7="Normal",Controls!$B$8+Controls!$B$9*SQRT(-2*LN(C92/2147483647))*COS(2*PI()*M92/2147483647),Controls!$B$8+(Controls!$B$9-Controls!$B$8)*C92/2147483647))</f>
        <v/>
      </c>
      <c r="X92" s="10" t="str">
        <f>IF(D92="","",IF(Controls!$B$7="Normal",Controls!$B$8+Controls!$B$9*SQRT(-2*LN(D92/2147483647))*COS(2*PI()*N92/2147483647),Controls!$B$8+(Controls!$B$9-Controls!$B$8)*D92/2147483647))</f>
        <v/>
      </c>
      <c r="Y92" s="10" t="str">
        <f>IF(E92="","",IF(Controls!$B$7="Normal",Controls!$B$8+Controls!$B$9*SQRT(-2*LN(E92/2147483647))*COS(2*PI()*O92/2147483647),Controls!$B$8+(Controls!$B$9-Controls!$B$8)*E92/2147483647))</f>
        <v/>
      </c>
      <c r="Z92" s="10" t="str">
        <f>IF(F92="","",IF(Controls!$B$7="Normal",Controls!$B$8+Controls!$B$9*SQRT(-2*LN(F92/2147483647))*COS(2*PI()*P92/2147483647),Controls!$B$8+(Controls!$B$9-Controls!$B$8)*F92/2147483647))</f>
        <v/>
      </c>
      <c r="AA92" s="10" t="str">
        <f>IF(G92="","",IF(Controls!$B$7="Normal",Controls!$B$8+Controls!$B$9*SQRT(-2*LN(G92/2147483647))*COS(2*PI()*Q92/2147483647),Controls!$B$8+(Controls!$B$9-Controls!$B$8)*G92/2147483647))</f>
        <v/>
      </c>
      <c r="AB92" s="10" t="str">
        <f>IF(H92="","",IF(Controls!$B$7="Normal",Controls!$B$8+Controls!$B$9*SQRT(-2*LN(H92/2147483647))*COS(2*PI()*R92/2147483647),Controls!$B$8+(Controls!$B$9-Controls!$B$8)*H92/2147483647))</f>
        <v/>
      </c>
      <c r="AC92" s="10" t="str">
        <f>IF(I92="","",IF(Controls!$B$7="Normal",Controls!$B$8+Controls!$B$9*SQRT(-2*LN(I92/2147483647))*COS(2*PI()*S92/2147483647),Controls!$B$8+(Controls!$B$9-Controls!$B$8)*I92/2147483647))</f>
        <v/>
      </c>
      <c r="AD92" s="10" t="str">
        <f>IF(J92="","",IF(Controls!$B$7="Normal",Controls!$B$8+Controls!$B$9*SQRT(-2*LN(J92/2147483647))*COS(2*PI()*T92/2147483647),Controls!$B$8+(Controls!$B$9-Controls!$B$8)*J92/2147483647))</f>
        <v/>
      </c>
      <c r="AE92" s="10" t="str">
        <f>IF(K92="","",IF(Controls!$B$7="Normal",Controls!$B$8+Controls!$B$9*SQRT(-2*LN(K92/2147483647))*COS(2*PI()*U92/2147483647),Controls!$B$8+(Controls!$B$9-Controls!$B$8)*K92/2147483647))</f>
        <v/>
      </c>
    </row>
    <row r="93" ht="21.0" customHeight="1">
      <c r="A93" s="7" t="str">
        <f>IF(92&lt;=Controls!$B$5,Controls!$B$4+91,"")</f>
        <v/>
      </c>
      <c r="B93" s="10" t="str">
        <f>IF(OR($A93="",1&gt;Controls!$B$6),"",MOD(L92*48271,2147483647))</f>
        <v/>
      </c>
      <c r="C93" s="10" t="str">
        <f>IF(OR($A93="",2&gt;Controls!$B$6),"",MOD(M92*48271,2147483647))</f>
        <v/>
      </c>
      <c r="D93" s="10" t="str">
        <f>IF(OR($A93="",3&gt;Controls!$B$6),"",MOD(N92*48271,2147483647))</f>
        <v/>
      </c>
      <c r="E93" s="10" t="str">
        <f>IF(OR($A93="",4&gt;Controls!$B$6),"",MOD(O92*48271,2147483647))</f>
        <v/>
      </c>
      <c r="F93" s="10" t="str">
        <f>IF(OR($A93="",5&gt;Controls!$B$6),"",MOD(P92*48271,2147483647))</f>
        <v/>
      </c>
      <c r="G93" s="10" t="str">
        <f>IF(OR($A93="",6&gt;Controls!$B$6),"",MOD(Q92*48271,2147483647))</f>
        <v/>
      </c>
      <c r="H93" s="10" t="str">
        <f>IF(OR($A93="",7&gt;Controls!$B$6),"",MOD(R92*48271,2147483647))</f>
        <v/>
      </c>
      <c r="I93" s="10" t="str">
        <f>IF(OR($A93="",8&gt;Controls!$B$6),"",MOD(S92*48271,2147483647))</f>
        <v/>
      </c>
      <c r="J93" s="10" t="str">
        <f>IF(OR($A93="",9&gt;Controls!$B$6),"",MOD(T92*48271,2147483647))</f>
        <v/>
      </c>
      <c r="K93" s="10" t="str">
        <f>IF(OR($A93="",10&gt;Controls!$B$6),"",MOD(U92*48271,2147483647))</f>
        <v/>
      </c>
      <c r="L93" s="10" t="str">
        <f t="shared" ref="L93:U93" si="92">IF(B93="","",MOD(B93*48271,2147483647))</f>
        <v/>
      </c>
      <c r="M93" s="10" t="str">
        <f t="shared" si="92"/>
        <v/>
      </c>
      <c r="N93" s="10" t="str">
        <f t="shared" si="92"/>
        <v/>
      </c>
      <c r="O93" s="10" t="str">
        <f t="shared" si="92"/>
        <v/>
      </c>
      <c r="P93" s="10" t="str">
        <f t="shared" si="92"/>
        <v/>
      </c>
      <c r="Q93" s="10" t="str">
        <f t="shared" si="92"/>
        <v/>
      </c>
      <c r="R93" s="10" t="str">
        <f t="shared" si="92"/>
        <v/>
      </c>
      <c r="S93" s="10" t="str">
        <f t="shared" si="92"/>
        <v/>
      </c>
      <c r="T93" s="10" t="str">
        <f t="shared" si="92"/>
        <v/>
      </c>
      <c r="U93" s="10" t="str">
        <f t="shared" si="92"/>
        <v/>
      </c>
      <c r="V93" s="10" t="str">
        <f>IF(B93="","",IF(Controls!$B$7="Normal",Controls!$B$8+Controls!$B$9*SQRT(-2*LN(B93/2147483647))*COS(2*PI()*L93/2147483647),Controls!$B$8+(Controls!$B$9-Controls!$B$8)*B93/2147483647))</f>
        <v/>
      </c>
      <c r="W93" s="10" t="str">
        <f>IF(C93="","",IF(Controls!$B$7="Normal",Controls!$B$8+Controls!$B$9*SQRT(-2*LN(C93/2147483647))*COS(2*PI()*M93/2147483647),Controls!$B$8+(Controls!$B$9-Controls!$B$8)*C93/2147483647))</f>
        <v/>
      </c>
      <c r="X93" s="10" t="str">
        <f>IF(D93="","",IF(Controls!$B$7="Normal",Controls!$B$8+Controls!$B$9*SQRT(-2*LN(D93/2147483647))*COS(2*PI()*N93/2147483647),Controls!$B$8+(Controls!$B$9-Controls!$B$8)*D93/2147483647))</f>
        <v/>
      </c>
      <c r="Y93" s="10" t="str">
        <f>IF(E93="","",IF(Controls!$B$7="Normal",Controls!$B$8+Controls!$B$9*SQRT(-2*LN(E93/2147483647))*COS(2*PI()*O93/2147483647),Controls!$B$8+(Controls!$B$9-Controls!$B$8)*E93/2147483647))</f>
        <v/>
      </c>
      <c r="Z93" s="10" t="str">
        <f>IF(F93="","",IF(Controls!$B$7="Normal",Controls!$B$8+Controls!$B$9*SQRT(-2*LN(F93/2147483647))*COS(2*PI()*P93/2147483647),Controls!$B$8+(Controls!$B$9-Controls!$B$8)*F93/2147483647))</f>
        <v/>
      </c>
      <c r="AA93" s="10" t="str">
        <f>IF(G93="","",IF(Controls!$B$7="Normal",Controls!$B$8+Controls!$B$9*SQRT(-2*LN(G93/2147483647))*COS(2*PI()*Q93/2147483647),Controls!$B$8+(Controls!$B$9-Controls!$B$8)*G93/2147483647))</f>
        <v/>
      </c>
      <c r="AB93" s="10" t="str">
        <f>IF(H93="","",IF(Controls!$B$7="Normal",Controls!$B$8+Controls!$B$9*SQRT(-2*LN(H93/2147483647))*COS(2*PI()*R93/2147483647),Controls!$B$8+(Controls!$B$9-Controls!$B$8)*H93/2147483647))</f>
        <v/>
      </c>
      <c r="AC93" s="10" t="str">
        <f>IF(I93="","",IF(Controls!$B$7="Normal",Controls!$B$8+Controls!$B$9*SQRT(-2*LN(I93/2147483647))*COS(2*PI()*S93/2147483647),Controls!$B$8+(Controls!$B$9-Controls!$B$8)*I93/2147483647))</f>
        <v/>
      </c>
      <c r="AD93" s="10" t="str">
        <f>IF(J93="","",IF(Controls!$B$7="Normal",Controls!$B$8+Controls!$B$9*SQRT(-2*LN(J93/2147483647))*COS(2*PI()*T93/2147483647),Controls!$B$8+(Controls!$B$9-Controls!$B$8)*J93/2147483647))</f>
        <v/>
      </c>
      <c r="AE93" s="10" t="str">
        <f>IF(K93="","",IF(Controls!$B$7="Normal",Controls!$B$8+Controls!$B$9*SQRT(-2*LN(K93/2147483647))*COS(2*PI()*U93/2147483647),Controls!$B$8+(Controls!$B$9-Controls!$B$8)*K93/2147483647))</f>
        <v/>
      </c>
    </row>
    <row r="94" ht="21.0" customHeight="1">
      <c r="A94" s="7" t="str">
        <f>IF(93&lt;=Controls!$B$5,Controls!$B$4+92,"")</f>
        <v/>
      </c>
      <c r="B94" s="10" t="str">
        <f>IF(OR($A94="",1&gt;Controls!$B$6),"",MOD(L93*48271,2147483647))</f>
        <v/>
      </c>
      <c r="C94" s="10" t="str">
        <f>IF(OR($A94="",2&gt;Controls!$B$6),"",MOD(M93*48271,2147483647))</f>
        <v/>
      </c>
      <c r="D94" s="10" t="str">
        <f>IF(OR($A94="",3&gt;Controls!$B$6),"",MOD(N93*48271,2147483647))</f>
        <v/>
      </c>
      <c r="E94" s="10" t="str">
        <f>IF(OR($A94="",4&gt;Controls!$B$6),"",MOD(O93*48271,2147483647))</f>
        <v/>
      </c>
      <c r="F94" s="10" t="str">
        <f>IF(OR($A94="",5&gt;Controls!$B$6),"",MOD(P93*48271,2147483647))</f>
        <v/>
      </c>
      <c r="G94" s="10" t="str">
        <f>IF(OR($A94="",6&gt;Controls!$B$6),"",MOD(Q93*48271,2147483647))</f>
        <v/>
      </c>
      <c r="H94" s="10" t="str">
        <f>IF(OR($A94="",7&gt;Controls!$B$6),"",MOD(R93*48271,2147483647))</f>
        <v/>
      </c>
      <c r="I94" s="10" t="str">
        <f>IF(OR($A94="",8&gt;Controls!$B$6),"",MOD(S93*48271,2147483647))</f>
        <v/>
      </c>
      <c r="J94" s="10" t="str">
        <f>IF(OR($A94="",9&gt;Controls!$B$6),"",MOD(T93*48271,2147483647))</f>
        <v/>
      </c>
      <c r="K94" s="10" t="str">
        <f>IF(OR($A94="",10&gt;Controls!$B$6),"",MOD(U93*48271,2147483647))</f>
        <v/>
      </c>
      <c r="L94" s="10" t="str">
        <f t="shared" ref="L94:U94" si="93">IF(B94="","",MOD(B94*48271,2147483647))</f>
        <v/>
      </c>
      <c r="M94" s="10" t="str">
        <f t="shared" si="93"/>
        <v/>
      </c>
      <c r="N94" s="10" t="str">
        <f t="shared" si="93"/>
        <v/>
      </c>
      <c r="O94" s="10" t="str">
        <f t="shared" si="93"/>
        <v/>
      </c>
      <c r="P94" s="10" t="str">
        <f t="shared" si="93"/>
        <v/>
      </c>
      <c r="Q94" s="10" t="str">
        <f t="shared" si="93"/>
        <v/>
      </c>
      <c r="R94" s="10" t="str">
        <f t="shared" si="93"/>
        <v/>
      </c>
      <c r="S94" s="10" t="str">
        <f t="shared" si="93"/>
        <v/>
      </c>
      <c r="T94" s="10" t="str">
        <f t="shared" si="93"/>
        <v/>
      </c>
      <c r="U94" s="10" t="str">
        <f t="shared" si="93"/>
        <v/>
      </c>
      <c r="V94" s="10" t="str">
        <f>IF(B94="","",IF(Controls!$B$7="Normal",Controls!$B$8+Controls!$B$9*SQRT(-2*LN(B94/2147483647))*COS(2*PI()*L94/2147483647),Controls!$B$8+(Controls!$B$9-Controls!$B$8)*B94/2147483647))</f>
        <v/>
      </c>
      <c r="W94" s="10" t="str">
        <f>IF(C94="","",IF(Controls!$B$7="Normal",Controls!$B$8+Controls!$B$9*SQRT(-2*LN(C94/2147483647))*COS(2*PI()*M94/2147483647),Controls!$B$8+(Controls!$B$9-Controls!$B$8)*C94/2147483647))</f>
        <v/>
      </c>
      <c r="X94" s="10" t="str">
        <f>IF(D94="","",IF(Controls!$B$7="Normal",Controls!$B$8+Controls!$B$9*SQRT(-2*LN(D94/2147483647))*COS(2*PI()*N94/2147483647),Controls!$B$8+(Controls!$B$9-Controls!$B$8)*D94/2147483647))</f>
        <v/>
      </c>
      <c r="Y94" s="10" t="str">
        <f>IF(E94="","",IF(Controls!$B$7="Normal",Controls!$B$8+Controls!$B$9*SQRT(-2*LN(E94/2147483647))*COS(2*PI()*O94/2147483647),Controls!$B$8+(Controls!$B$9-Controls!$B$8)*E94/2147483647))</f>
        <v/>
      </c>
      <c r="Z94" s="10" t="str">
        <f>IF(F94="","",IF(Controls!$B$7="Normal",Controls!$B$8+Controls!$B$9*SQRT(-2*LN(F94/2147483647))*COS(2*PI()*P94/2147483647),Controls!$B$8+(Controls!$B$9-Controls!$B$8)*F94/2147483647))</f>
        <v/>
      </c>
      <c r="AA94" s="10" t="str">
        <f>IF(G94="","",IF(Controls!$B$7="Normal",Controls!$B$8+Controls!$B$9*SQRT(-2*LN(G94/2147483647))*COS(2*PI()*Q94/2147483647),Controls!$B$8+(Controls!$B$9-Controls!$B$8)*G94/2147483647))</f>
        <v/>
      </c>
      <c r="AB94" s="10" t="str">
        <f>IF(H94="","",IF(Controls!$B$7="Normal",Controls!$B$8+Controls!$B$9*SQRT(-2*LN(H94/2147483647))*COS(2*PI()*R94/2147483647),Controls!$B$8+(Controls!$B$9-Controls!$B$8)*H94/2147483647))</f>
        <v/>
      </c>
      <c r="AC94" s="10" t="str">
        <f>IF(I94="","",IF(Controls!$B$7="Normal",Controls!$B$8+Controls!$B$9*SQRT(-2*LN(I94/2147483647))*COS(2*PI()*S94/2147483647),Controls!$B$8+(Controls!$B$9-Controls!$B$8)*I94/2147483647))</f>
        <v/>
      </c>
      <c r="AD94" s="10" t="str">
        <f>IF(J94="","",IF(Controls!$B$7="Normal",Controls!$B$8+Controls!$B$9*SQRT(-2*LN(J94/2147483647))*COS(2*PI()*T94/2147483647),Controls!$B$8+(Controls!$B$9-Controls!$B$8)*J94/2147483647))</f>
        <v/>
      </c>
      <c r="AE94" s="10" t="str">
        <f>IF(K94="","",IF(Controls!$B$7="Normal",Controls!$B$8+Controls!$B$9*SQRT(-2*LN(K94/2147483647))*COS(2*PI()*U94/2147483647),Controls!$B$8+(Controls!$B$9-Controls!$B$8)*K94/2147483647))</f>
        <v/>
      </c>
    </row>
    <row r="95" ht="21.0" customHeight="1">
      <c r="A95" s="7" t="str">
        <f>IF(94&lt;=Controls!$B$5,Controls!$B$4+93,"")</f>
        <v/>
      </c>
      <c r="B95" s="10" t="str">
        <f>IF(OR($A95="",1&gt;Controls!$B$6),"",MOD(L94*48271,2147483647))</f>
        <v/>
      </c>
      <c r="C95" s="10" t="str">
        <f>IF(OR($A95="",2&gt;Controls!$B$6),"",MOD(M94*48271,2147483647))</f>
        <v/>
      </c>
      <c r="D95" s="10" t="str">
        <f>IF(OR($A95="",3&gt;Controls!$B$6),"",MOD(N94*48271,2147483647))</f>
        <v/>
      </c>
      <c r="E95" s="10" t="str">
        <f>IF(OR($A95="",4&gt;Controls!$B$6),"",MOD(O94*48271,2147483647))</f>
        <v/>
      </c>
      <c r="F95" s="10" t="str">
        <f>IF(OR($A95="",5&gt;Controls!$B$6),"",MOD(P94*48271,2147483647))</f>
        <v/>
      </c>
      <c r="G95" s="10" t="str">
        <f>IF(OR($A95="",6&gt;Controls!$B$6),"",MOD(Q94*48271,2147483647))</f>
        <v/>
      </c>
      <c r="H95" s="10" t="str">
        <f>IF(OR($A95="",7&gt;Controls!$B$6),"",MOD(R94*48271,2147483647))</f>
        <v/>
      </c>
      <c r="I95" s="10" t="str">
        <f>IF(OR($A95="",8&gt;Controls!$B$6),"",MOD(S94*48271,2147483647))</f>
        <v/>
      </c>
      <c r="J95" s="10" t="str">
        <f>IF(OR($A95="",9&gt;Controls!$B$6),"",MOD(T94*48271,2147483647))</f>
        <v/>
      </c>
      <c r="K95" s="10" t="str">
        <f>IF(OR($A95="",10&gt;Controls!$B$6),"",MOD(U94*48271,2147483647))</f>
        <v/>
      </c>
      <c r="L95" s="10" t="str">
        <f t="shared" ref="L95:U95" si="94">IF(B95="","",MOD(B95*48271,2147483647))</f>
        <v/>
      </c>
      <c r="M95" s="10" t="str">
        <f t="shared" si="94"/>
        <v/>
      </c>
      <c r="N95" s="10" t="str">
        <f t="shared" si="94"/>
        <v/>
      </c>
      <c r="O95" s="10" t="str">
        <f t="shared" si="94"/>
        <v/>
      </c>
      <c r="P95" s="10" t="str">
        <f t="shared" si="94"/>
        <v/>
      </c>
      <c r="Q95" s="10" t="str">
        <f t="shared" si="94"/>
        <v/>
      </c>
      <c r="R95" s="10" t="str">
        <f t="shared" si="94"/>
        <v/>
      </c>
      <c r="S95" s="10" t="str">
        <f t="shared" si="94"/>
        <v/>
      </c>
      <c r="T95" s="10" t="str">
        <f t="shared" si="94"/>
        <v/>
      </c>
      <c r="U95" s="10" t="str">
        <f t="shared" si="94"/>
        <v/>
      </c>
      <c r="V95" s="10" t="str">
        <f>IF(B95="","",IF(Controls!$B$7="Normal",Controls!$B$8+Controls!$B$9*SQRT(-2*LN(B95/2147483647))*COS(2*PI()*L95/2147483647),Controls!$B$8+(Controls!$B$9-Controls!$B$8)*B95/2147483647))</f>
        <v/>
      </c>
      <c r="W95" s="10" t="str">
        <f>IF(C95="","",IF(Controls!$B$7="Normal",Controls!$B$8+Controls!$B$9*SQRT(-2*LN(C95/2147483647))*COS(2*PI()*M95/2147483647),Controls!$B$8+(Controls!$B$9-Controls!$B$8)*C95/2147483647))</f>
        <v/>
      </c>
      <c r="X95" s="10" t="str">
        <f>IF(D95="","",IF(Controls!$B$7="Normal",Controls!$B$8+Controls!$B$9*SQRT(-2*LN(D95/2147483647))*COS(2*PI()*N95/2147483647),Controls!$B$8+(Controls!$B$9-Controls!$B$8)*D95/2147483647))</f>
        <v/>
      </c>
      <c r="Y95" s="10" t="str">
        <f>IF(E95="","",IF(Controls!$B$7="Normal",Controls!$B$8+Controls!$B$9*SQRT(-2*LN(E95/2147483647))*COS(2*PI()*O95/2147483647),Controls!$B$8+(Controls!$B$9-Controls!$B$8)*E95/2147483647))</f>
        <v/>
      </c>
      <c r="Z95" s="10" t="str">
        <f>IF(F95="","",IF(Controls!$B$7="Normal",Controls!$B$8+Controls!$B$9*SQRT(-2*LN(F95/2147483647))*COS(2*PI()*P95/2147483647),Controls!$B$8+(Controls!$B$9-Controls!$B$8)*F95/2147483647))</f>
        <v/>
      </c>
      <c r="AA95" s="10" t="str">
        <f>IF(G95="","",IF(Controls!$B$7="Normal",Controls!$B$8+Controls!$B$9*SQRT(-2*LN(G95/2147483647))*COS(2*PI()*Q95/2147483647),Controls!$B$8+(Controls!$B$9-Controls!$B$8)*G95/2147483647))</f>
        <v/>
      </c>
      <c r="AB95" s="10" t="str">
        <f>IF(H95="","",IF(Controls!$B$7="Normal",Controls!$B$8+Controls!$B$9*SQRT(-2*LN(H95/2147483647))*COS(2*PI()*R95/2147483647),Controls!$B$8+(Controls!$B$9-Controls!$B$8)*H95/2147483647))</f>
        <v/>
      </c>
      <c r="AC95" s="10" t="str">
        <f>IF(I95="","",IF(Controls!$B$7="Normal",Controls!$B$8+Controls!$B$9*SQRT(-2*LN(I95/2147483647))*COS(2*PI()*S95/2147483647),Controls!$B$8+(Controls!$B$9-Controls!$B$8)*I95/2147483647))</f>
        <v/>
      </c>
      <c r="AD95" s="10" t="str">
        <f>IF(J95="","",IF(Controls!$B$7="Normal",Controls!$B$8+Controls!$B$9*SQRT(-2*LN(J95/2147483647))*COS(2*PI()*T95/2147483647),Controls!$B$8+(Controls!$B$9-Controls!$B$8)*J95/2147483647))</f>
        <v/>
      </c>
      <c r="AE95" s="10" t="str">
        <f>IF(K95="","",IF(Controls!$B$7="Normal",Controls!$B$8+Controls!$B$9*SQRT(-2*LN(K95/2147483647))*COS(2*PI()*U95/2147483647),Controls!$B$8+(Controls!$B$9-Controls!$B$8)*K95/2147483647))</f>
        <v/>
      </c>
    </row>
    <row r="96" ht="21.0" customHeight="1">
      <c r="A96" s="7" t="str">
        <f>IF(95&lt;=Controls!$B$5,Controls!$B$4+94,"")</f>
        <v/>
      </c>
      <c r="B96" s="10" t="str">
        <f>IF(OR($A96="",1&gt;Controls!$B$6),"",MOD(L95*48271,2147483647))</f>
        <v/>
      </c>
      <c r="C96" s="10" t="str">
        <f>IF(OR($A96="",2&gt;Controls!$B$6),"",MOD(M95*48271,2147483647))</f>
        <v/>
      </c>
      <c r="D96" s="10" t="str">
        <f>IF(OR($A96="",3&gt;Controls!$B$6),"",MOD(N95*48271,2147483647))</f>
        <v/>
      </c>
      <c r="E96" s="10" t="str">
        <f>IF(OR($A96="",4&gt;Controls!$B$6),"",MOD(O95*48271,2147483647))</f>
        <v/>
      </c>
      <c r="F96" s="10" t="str">
        <f>IF(OR($A96="",5&gt;Controls!$B$6),"",MOD(P95*48271,2147483647))</f>
        <v/>
      </c>
      <c r="G96" s="10" t="str">
        <f>IF(OR($A96="",6&gt;Controls!$B$6),"",MOD(Q95*48271,2147483647))</f>
        <v/>
      </c>
      <c r="H96" s="10" t="str">
        <f>IF(OR($A96="",7&gt;Controls!$B$6),"",MOD(R95*48271,2147483647))</f>
        <v/>
      </c>
      <c r="I96" s="10" t="str">
        <f>IF(OR($A96="",8&gt;Controls!$B$6),"",MOD(S95*48271,2147483647))</f>
        <v/>
      </c>
      <c r="J96" s="10" t="str">
        <f>IF(OR($A96="",9&gt;Controls!$B$6),"",MOD(T95*48271,2147483647))</f>
        <v/>
      </c>
      <c r="K96" s="10" t="str">
        <f>IF(OR($A96="",10&gt;Controls!$B$6),"",MOD(U95*48271,2147483647))</f>
        <v/>
      </c>
      <c r="L96" s="10" t="str">
        <f t="shared" ref="L96:U96" si="95">IF(B96="","",MOD(B96*48271,2147483647))</f>
        <v/>
      </c>
      <c r="M96" s="10" t="str">
        <f t="shared" si="95"/>
        <v/>
      </c>
      <c r="N96" s="10" t="str">
        <f t="shared" si="95"/>
        <v/>
      </c>
      <c r="O96" s="10" t="str">
        <f t="shared" si="95"/>
        <v/>
      </c>
      <c r="P96" s="10" t="str">
        <f t="shared" si="95"/>
        <v/>
      </c>
      <c r="Q96" s="10" t="str">
        <f t="shared" si="95"/>
        <v/>
      </c>
      <c r="R96" s="10" t="str">
        <f t="shared" si="95"/>
        <v/>
      </c>
      <c r="S96" s="10" t="str">
        <f t="shared" si="95"/>
        <v/>
      </c>
      <c r="T96" s="10" t="str">
        <f t="shared" si="95"/>
        <v/>
      </c>
      <c r="U96" s="10" t="str">
        <f t="shared" si="95"/>
        <v/>
      </c>
      <c r="V96" s="10" t="str">
        <f>IF(B96="","",IF(Controls!$B$7="Normal",Controls!$B$8+Controls!$B$9*SQRT(-2*LN(B96/2147483647))*COS(2*PI()*L96/2147483647),Controls!$B$8+(Controls!$B$9-Controls!$B$8)*B96/2147483647))</f>
        <v/>
      </c>
      <c r="W96" s="10" t="str">
        <f>IF(C96="","",IF(Controls!$B$7="Normal",Controls!$B$8+Controls!$B$9*SQRT(-2*LN(C96/2147483647))*COS(2*PI()*M96/2147483647),Controls!$B$8+(Controls!$B$9-Controls!$B$8)*C96/2147483647))</f>
        <v/>
      </c>
      <c r="X96" s="10" t="str">
        <f>IF(D96="","",IF(Controls!$B$7="Normal",Controls!$B$8+Controls!$B$9*SQRT(-2*LN(D96/2147483647))*COS(2*PI()*N96/2147483647),Controls!$B$8+(Controls!$B$9-Controls!$B$8)*D96/2147483647))</f>
        <v/>
      </c>
      <c r="Y96" s="10" t="str">
        <f>IF(E96="","",IF(Controls!$B$7="Normal",Controls!$B$8+Controls!$B$9*SQRT(-2*LN(E96/2147483647))*COS(2*PI()*O96/2147483647),Controls!$B$8+(Controls!$B$9-Controls!$B$8)*E96/2147483647))</f>
        <v/>
      </c>
      <c r="Z96" s="10" t="str">
        <f>IF(F96="","",IF(Controls!$B$7="Normal",Controls!$B$8+Controls!$B$9*SQRT(-2*LN(F96/2147483647))*COS(2*PI()*P96/2147483647),Controls!$B$8+(Controls!$B$9-Controls!$B$8)*F96/2147483647))</f>
        <v/>
      </c>
      <c r="AA96" s="10" t="str">
        <f>IF(G96="","",IF(Controls!$B$7="Normal",Controls!$B$8+Controls!$B$9*SQRT(-2*LN(G96/2147483647))*COS(2*PI()*Q96/2147483647),Controls!$B$8+(Controls!$B$9-Controls!$B$8)*G96/2147483647))</f>
        <v/>
      </c>
      <c r="AB96" s="10" t="str">
        <f>IF(H96="","",IF(Controls!$B$7="Normal",Controls!$B$8+Controls!$B$9*SQRT(-2*LN(H96/2147483647))*COS(2*PI()*R96/2147483647),Controls!$B$8+(Controls!$B$9-Controls!$B$8)*H96/2147483647))</f>
        <v/>
      </c>
      <c r="AC96" s="10" t="str">
        <f>IF(I96="","",IF(Controls!$B$7="Normal",Controls!$B$8+Controls!$B$9*SQRT(-2*LN(I96/2147483647))*COS(2*PI()*S96/2147483647),Controls!$B$8+(Controls!$B$9-Controls!$B$8)*I96/2147483647))</f>
        <v/>
      </c>
      <c r="AD96" s="10" t="str">
        <f>IF(J96="","",IF(Controls!$B$7="Normal",Controls!$B$8+Controls!$B$9*SQRT(-2*LN(J96/2147483647))*COS(2*PI()*T96/2147483647),Controls!$B$8+(Controls!$B$9-Controls!$B$8)*J96/2147483647))</f>
        <v/>
      </c>
      <c r="AE96" s="10" t="str">
        <f>IF(K96="","",IF(Controls!$B$7="Normal",Controls!$B$8+Controls!$B$9*SQRT(-2*LN(K96/2147483647))*COS(2*PI()*U96/2147483647),Controls!$B$8+(Controls!$B$9-Controls!$B$8)*K96/2147483647))</f>
        <v/>
      </c>
    </row>
    <row r="97" ht="21.0" customHeight="1">
      <c r="A97" s="7" t="str">
        <f>IF(96&lt;=Controls!$B$5,Controls!$B$4+95,"")</f>
        <v/>
      </c>
      <c r="B97" s="10" t="str">
        <f>IF(OR($A97="",1&gt;Controls!$B$6),"",MOD(L96*48271,2147483647))</f>
        <v/>
      </c>
      <c r="C97" s="10" t="str">
        <f>IF(OR($A97="",2&gt;Controls!$B$6),"",MOD(M96*48271,2147483647))</f>
        <v/>
      </c>
      <c r="D97" s="10" t="str">
        <f>IF(OR($A97="",3&gt;Controls!$B$6),"",MOD(N96*48271,2147483647))</f>
        <v/>
      </c>
      <c r="E97" s="10" t="str">
        <f>IF(OR($A97="",4&gt;Controls!$B$6),"",MOD(O96*48271,2147483647))</f>
        <v/>
      </c>
      <c r="F97" s="10" t="str">
        <f>IF(OR($A97="",5&gt;Controls!$B$6),"",MOD(P96*48271,2147483647))</f>
        <v/>
      </c>
      <c r="G97" s="10" t="str">
        <f>IF(OR($A97="",6&gt;Controls!$B$6),"",MOD(Q96*48271,2147483647))</f>
        <v/>
      </c>
      <c r="H97" s="10" t="str">
        <f>IF(OR($A97="",7&gt;Controls!$B$6),"",MOD(R96*48271,2147483647))</f>
        <v/>
      </c>
      <c r="I97" s="10" t="str">
        <f>IF(OR($A97="",8&gt;Controls!$B$6),"",MOD(S96*48271,2147483647))</f>
        <v/>
      </c>
      <c r="J97" s="10" t="str">
        <f>IF(OR($A97="",9&gt;Controls!$B$6),"",MOD(T96*48271,2147483647))</f>
        <v/>
      </c>
      <c r="K97" s="10" t="str">
        <f>IF(OR($A97="",10&gt;Controls!$B$6),"",MOD(U96*48271,2147483647))</f>
        <v/>
      </c>
      <c r="L97" s="10" t="str">
        <f t="shared" ref="L97:U97" si="96">IF(B97="","",MOD(B97*48271,2147483647))</f>
        <v/>
      </c>
      <c r="M97" s="10" t="str">
        <f t="shared" si="96"/>
        <v/>
      </c>
      <c r="N97" s="10" t="str">
        <f t="shared" si="96"/>
        <v/>
      </c>
      <c r="O97" s="10" t="str">
        <f t="shared" si="96"/>
        <v/>
      </c>
      <c r="P97" s="10" t="str">
        <f t="shared" si="96"/>
        <v/>
      </c>
      <c r="Q97" s="10" t="str">
        <f t="shared" si="96"/>
        <v/>
      </c>
      <c r="R97" s="10" t="str">
        <f t="shared" si="96"/>
        <v/>
      </c>
      <c r="S97" s="10" t="str">
        <f t="shared" si="96"/>
        <v/>
      </c>
      <c r="T97" s="10" t="str">
        <f t="shared" si="96"/>
        <v/>
      </c>
      <c r="U97" s="10" t="str">
        <f t="shared" si="96"/>
        <v/>
      </c>
      <c r="V97" s="10" t="str">
        <f>IF(B97="","",IF(Controls!$B$7="Normal",Controls!$B$8+Controls!$B$9*SQRT(-2*LN(B97/2147483647))*COS(2*PI()*L97/2147483647),Controls!$B$8+(Controls!$B$9-Controls!$B$8)*B97/2147483647))</f>
        <v/>
      </c>
      <c r="W97" s="10" t="str">
        <f>IF(C97="","",IF(Controls!$B$7="Normal",Controls!$B$8+Controls!$B$9*SQRT(-2*LN(C97/2147483647))*COS(2*PI()*M97/2147483647),Controls!$B$8+(Controls!$B$9-Controls!$B$8)*C97/2147483647))</f>
        <v/>
      </c>
      <c r="X97" s="10" t="str">
        <f>IF(D97="","",IF(Controls!$B$7="Normal",Controls!$B$8+Controls!$B$9*SQRT(-2*LN(D97/2147483647))*COS(2*PI()*N97/2147483647),Controls!$B$8+(Controls!$B$9-Controls!$B$8)*D97/2147483647))</f>
        <v/>
      </c>
      <c r="Y97" s="10" t="str">
        <f>IF(E97="","",IF(Controls!$B$7="Normal",Controls!$B$8+Controls!$B$9*SQRT(-2*LN(E97/2147483647))*COS(2*PI()*O97/2147483647),Controls!$B$8+(Controls!$B$9-Controls!$B$8)*E97/2147483647))</f>
        <v/>
      </c>
      <c r="Z97" s="10" t="str">
        <f>IF(F97="","",IF(Controls!$B$7="Normal",Controls!$B$8+Controls!$B$9*SQRT(-2*LN(F97/2147483647))*COS(2*PI()*P97/2147483647),Controls!$B$8+(Controls!$B$9-Controls!$B$8)*F97/2147483647))</f>
        <v/>
      </c>
      <c r="AA97" s="10" t="str">
        <f>IF(G97="","",IF(Controls!$B$7="Normal",Controls!$B$8+Controls!$B$9*SQRT(-2*LN(G97/2147483647))*COS(2*PI()*Q97/2147483647),Controls!$B$8+(Controls!$B$9-Controls!$B$8)*G97/2147483647))</f>
        <v/>
      </c>
      <c r="AB97" s="10" t="str">
        <f>IF(H97="","",IF(Controls!$B$7="Normal",Controls!$B$8+Controls!$B$9*SQRT(-2*LN(H97/2147483647))*COS(2*PI()*R97/2147483647),Controls!$B$8+(Controls!$B$9-Controls!$B$8)*H97/2147483647))</f>
        <v/>
      </c>
      <c r="AC97" s="10" t="str">
        <f>IF(I97="","",IF(Controls!$B$7="Normal",Controls!$B$8+Controls!$B$9*SQRT(-2*LN(I97/2147483647))*COS(2*PI()*S97/2147483647),Controls!$B$8+(Controls!$B$9-Controls!$B$8)*I97/2147483647))</f>
        <v/>
      </c>
      <c r="AD97" s="10" t="str">
        <f>IF(J97="","",IF(Controls!$B$7="Normal",Controls!$B$8+Controls!$B$9*SQRT(-2*LN(J97/2147483647))*COS(2*PI()*T97/2147483647),Controls!$B$8+(Controls!$B$9-Controls!$B$8)*J97/2147483647))</f>
        <v/>
      </c>
      <c r="AE97" s="10" t="str">
        <f>IF(K97="","",IF(Controls!$B$7="Normal",Controls!$B$8+Controls!$B$9*SQRT(-2*LN(K97/2147483647))*COS(2*PI()*U97/2147483647),Controls!$B$8+(Controls!$B$9-Controls!$B$8)*K97/2147483647))</f>
        <v/>
      </c>
    </row>
    <row r="98" ht="21.0" customHeight="1">
      <c r="A98" s="7" t="str">
        <f>IF(97&lt;=Controls!$B$5,Controls!$B$4+96,"")</f>
        <v/>
      </c>
      <c r="B98" s="10" t="str">
        <f>IF(OR($A98="",1&gt;Controls!$B$6),"",MOD(L97*48271,2147483647))</f>
        <v/>
      </c>
      <c r="C98" s="10" t="str">
        <f>IF(OR($A98="",2&gt;Controls!$B$6),"",MOD(M97*48271,2147483647))</f>
        <v/>
      </c>
      <c r="D98" s="10" t="str">
        <f>IF(OR($A98="",3&gt;Controls!$B$6),"",MOD(N97*48271,2147483647))</f>
        <v/>
      </c>
      <c r="E98" s="10" t="str">
        <f>IF(OR($A98="",4&gt;Controls!$B$6),"",MOD(O97*48271,2147483647))</f>
        <v/>
      </c>
      <c r="F98" s="10" t="str">
        <f>IF(OR($A98="",5&gt;Controls!$B$6),"",MOD(P97*48271,2147483647))</f>
        <v/>
      </c>
      <c r="G98" s="10" t="str">
        <f>IF(OR($A98="",6&gt;Controls!$B$6),"",MOD(Q97*48271,2147483647))</f>
        <v/>
      </c>
      <c r="H98" s="10" t="str">
        <f>IF(OR($A98="",7&gt;Controls!$B$6),"",MOD(R97*48271,2147483647))</f>
        <v/>
      </c>
      <c r="I98" s="10" t="str">
        <f>IF(OR($A98="",8&gt;Controls!$B$6),"",MOD(S97*48271,2147483647))</f>
        <v/>
      </c>
      <c r="J98" s="10" t="str">
        <f>IF(OR($A98="",9&gt;Controls!$B$6),"",MOD(T97*48271,2147483647))</f>
        <v/>
      </c>
      <c r="K98" s="10" t="str">
        <f>IF(OR($A98="",10&gt;Controls!$B$6),"",MOD(U97*48271,2147483647))</f>
        <v/>
      </c>
      <c r="L98" s="10" t="str">
        <f t="shared" ref="L98:U98" si="97">IF(B98="","",MOD(B98*48271,2147483647))</f>
        <v/>
      </c>
      <c r="M98" s="10" t="str">
        <f t="shared" si="97"/>
        <v/>
      </c>
      <c r="N98" s="10" t="str">
        <f t="shared" si="97"/>
        <v/>
      </c>
      <c r="O98" s="10" t="str">
        <f t="shared" si="97"/>
        <v/>
      </c>
      <c r="P98" s="10" t="str">
        <f t="shared" si="97"/>
        <v/>
      </c>
      <c r="Q98" s="10" t="str">
        <f t="shared" si="97"/>
        <v/>
      </c>
      <c r="R98" s="10" t="str">
        <f t="shared" si="97"/>
        <v/>
      </c>
      <c r="S98" s="10" t="str">
        <f t="shared" si="97"/>
        <v/>
      </c>
      <c r="T98" s="10" t="str">
        <f t="shared" si="97"/>
        <v/>
      </c>
      <c r="U98" s="10" t="str">
        <f t="shared" si="97"/>
        <v/>
      </c>
      <c r="V98" s="10" t="str">
        <f>IF(B98="","",IF(Controls!$B$7="Normal",Controls!$B$8+Controls!$B$9*SQRT(-2*LN(B98/2147483647))*COS(2*PI()*L98/2147483647),Controls!$B$8+(Controls!$B$9-Controls!$B$8)*B98/2147483647))</f>
        <v/>
      </c>
      <c r="W98" s="10" t="str">
        <f>IF(C98="","",IF(Controls!$B$7="Normal",Controls!$B$8+Controls!$B$9*SQRT(-2*LN(C98/2147483647))*COS(2*PI()*M98/2147483647),Controls!$B$8+(Controls!$B$9-Controls!$B$8)*C98/2147483647))</f>
        <v/>
      </c>
      <c r="X98" s="10" t="str">
        <f>IF(D98="","",IF(Controls!$B$7="Normal",Controls!$B$8+Controls!$B$9*SQRT(-2*LN(D98/2147483647))*COS(2*PI()*N98/2147483647),Controls!$B$8+(Controls!$B$9-Controls!$B$8)*D98/2147483647))</f>
        <v/>
      </c>
      <c r="Y98" s="10" t="str">
        <f>IF(E98="","",IF(Controls!$B$7="Normal",Controls!$B$8+Controls!$B$9*SQRT(-2*LN(E98/2147483647))*COS(2*PI()*O98/2147483647),Controls!$B$8+(Controls!$B$9-Controls!$B$8)*E98/2147483647))</f>
        <v/>
      </c>
      <c r="Z98" s="10" t="str">
        <f>IF(F98="","",IF(Controls!$B$7="Normal",Controls!$B$8+Controls!$B$9*SQRT(-2*LN(F98/2147483647))*COS(2*PI()*P98/2147483647),Controls!$B$8+(Controls!$B$9-Controls!$B$8)*F98/2147483647))</f>
        <v/>
      </c>
      <c r="AA98" s="10" t="str">
        <f>IF(G98="","",IF(Controls!$B$7="Normal",Controls!$B$8+Controls!$B$9*SQRT(-2*LN(G98/2147483647))*COS(2*PI()*Q98/2147483647),Controls!$B$8+(Controls!$B$9-Controls!$B$8)*G98/2147483647))</f>
        <v/>
      </c>
      <c r="AB98" s="10" t="str">
        <f>IF(H98="","",IF(Controls!$B$7="Normal",Controls!$B$8+Controls!$B$9*SQRT(-2*LN(H98/2147483647))*COS(2*PI()*R98/2147483647),Controls!$B$8+(Controls!$B$9-Controls!$B$8)*H98/2147483647))</f>
        <v/>
      </c>
      <c r="AC98" s="10" t="str">
        <f>IF(I98="","",IF(Controls!$B$7="Normal",Controls!$B$8+Controls!$B$9*SQRT(-2*LN(I98/2147483647))*COS(2*PI()*S98/2147483647),Controls!$B$8+(Controls!$B$9-Controls!$B$8)*I98/2147483647))</f>
        <v/>
      </c>
      <c r="AD98" s="10" t="str">
        <f>IF(J98="","",IF(Controls!$B$7="Normal",Controls!$B$8+Controls!$B$9*SQRT(-2*LN(J98/2147483647))*COS(2*PI()*T98/2147483647),Controls!$B$8+(Controls!$B$9-Controls!$B$8)*J98/2147483647))</f>
        <v/>
      </c>
      <c r="AE98" s="10" t="str">
        <f>IF(K98="","",IF(Controls!$B$7="Normal",Controls!$B$8+Controls!$B$9*SQRT(-2*LN(K98/2147483647))*COS(2*PI()*U98/2147483647),Controls!$B$8+(Controls!$B$9-Controls!$B$8)*K98/2147483647))</f>
        <v/>
      </c>
    </row>
    <row r="99" ht="21.0" customHeight="1">
      <c r="A99" s="7" t="str">
        <f>IF(98&lt;=Controls!$B$5,Controls!$B$4+97,"")</f>
        <v/>
      </c>
      <c r="B99" s="10" t="str">
        <f>IF(OR($A99="",1&gt;Controls!$B$6),"",MOD(L98*48271,2147483647))</f>
        <v/>
      </c>
      <c r="C99" s="10" t="str">
        <f>IF(OR($A99="",2&gt;Controls!$B$6),"",MOD(M98*48271,2147483647))</f>
        <v/>
      </c>
      <c r="D99" s="10" t="str">
        <f>IF(OR($A99="",3&gt;Controls!$B$6),"",MOD(N98*48271,2147483647))</f>
        <v/>
      </c>
      <c r="E99" s="10" t="str">
        <f>IF(OR($A99="",4&gt;Controls!$B$6),"",MOD(O98*48271,2147483647))</f>
        <v/>
      </c>
      <c r="F99" s="10" t="str">
        <f>IF(OR($A99="",5&gt;Controls!$B$6),"",MOD(P98*48271,2147483647))</f>
        <v/>
      </c>
      <c r="G99" s="10" t="str">
        <f>IF(OR($A99="",6&gt;Controls!$B$6),"",MOD(Q98*48271,2147483647))</f>
        <v/>
      </c>
      <c r="H99" s="10" t="str">
        <f>IF(OR($A99="",7&gt;Controls!$B$6),"",MOD(R98*48271,2147483647))</f>
        <v/>
      </c>
      <c r="I99" s="10" t="str">
        <f>IF(OR($A99="",8&gt;Controls!$B$6),"",MOD(S98*48271,2147483647))</f>
        <v/>
      </c>
      <c r="J99" s="10" t="str">
        <f>IF(OR($A99="",9&gt;Controls!$B$6),"",MOD(T98*48271,2147483647))</f>
        <v/>
      </c>
      <c r="K99" s="10" t="str">
        <f>IF(OR($A99="",10&gt;Controls!$B$6),"",MOD(U98*48271,2147483647))</f>
        <v/>
      </c>
      <c r="L99" s="10" t="str">
        <f t="shared" ref="L99:U99" si="98">IF(B99="","",MOD(B99*48271,2147483647))</f>
        <v/>
      </c>
      <c r="M99" s="10" t="str">
        <f t="shared" si="98"/>
        <v/>
      </c>
      <c r="N99" s="10" t="str">
        <f t="shared" si="98"/>
        <v/>
      </c>
      <c r="O99" s="10" t="str">
        <f t="shared" si="98"/>
        <v/>
      </c>
      <c r="P99" s="10" t="str">
        <f t="shared" si="98"/>
        <v/>
      </c>
      <c r="Q99" s="10" t="str">
        <f t="shared" si="98"/>
        <v/>
      </c>
      <c r="R99" s="10" t="str">
        <f t="shared" si="98"/>
        <v/>
      </c>
      <c r="S99" s="10" t="str">
        <f t="shared" si="98"/>
        <v/>
      </c>
      <c r="T99" s="10" t="str">
        <f t="shared" si="98"/>
        <v/>
      </c>
      <c r="U99" s="10" t="str">
        <f t="shared" si="98"/>
        <v/>
      </c>
      <c r="V99" s="10" t="str">
        <f>IF(B99="","",IF(Controls!$B$7="Normal",Controls!$B$8+Controls!$B$9*SQRT(-2*LN(B99/2147483647))*COS(2*PI()*L99/2147483647),Controls!$B$8+(Controls!$B$9-Controls!$B$8)*B99/2147483647))</f>
        <v/>
      </c>
      <c r="W99" s="10" t="str">
        <f>IF(C99="","",IF(Controls!$B$7="Normal",Controls!$B$8+Controls!$B$9*SQRT(-2*LN(C99/2147483647))*COS(2*PI()*M99/2147483647),Controls!$B$8+(Controls!$B$9-Controls!$B$8)*C99/2147483647))</f>
        <v/>
      </c>
      <c r="X99" s="10" t="str">
        <f>IF(D99="","",IF(Controls!$B$7="Normal",Controls!$B$8+Controls!$B$9*SQRT(-2*LN(D99/2147483647))*COS(2*PI()*N99/2147483647),Controls!$B$8+(Controls!$B$9-Controls!$B$8)*D99/2147483647))</f>
        <v/>
      </c>
      <c r="Y99" s="10" t="str">
        <f>IF(E99="","",IF(Controls!$B$7="Normal",Controls!$B$8+Controls!$B$9*SQRT(-2*LN(E99/2147483647))*COS(2*PI()*O99/2147483647),Controls!$B$8+(Controls!$B$9-Controls!$B$8)*E99/2147483647))</f>
        <v/>
      </c>
      <c r="Z99" s="10" t="str">
        <f>IF(F99="","",IF(Controls!$B$7="Normal",Controls!$B$8+Controls!$B$9*SQRT(-2*LN(F99/2147483647))*COS(2*PI()*P99/2147483647),Controls!$B$8+(Controls!$B$9-Controls!$B$8)*F99/2147483647))</f>
        <v/>
      </c>
      <c r="AA99" s="10" t="str">
        <f>IF(G99="","",IF(Controls!$B$7="Normal",Controls!$B$8+Controls!$B$9*SQRT(-2*LN(G99/2147483647))*COS(2*PI()*Q99/2147483647),Controls!$B$8+(Controls!$B$9-Controls!$B$8)*G99/2147483647))</f>
        <v/>
      </c>
      <c r="AB99" s="10" t="str">
        <f>IF(H99="","",IF(Controls!$B$7="Normal",Controls!$B$8+Controls!$B$9*SQRT(-2*LN(H99/2147483647))*COS(2*PI()*R99/2147483647),Controls!$B$8+(Controls!$B$9-Controls!$B$8)*H99/2147483647))</f>
        <v/>
      </c>
      <c r="AC99" s="10" t="str">
        <f>IF(I99="","",IF(Controls!$B$7="Normal",Controls!$B$8+Controls!$B$9*SQRT(-2*LN(I99/2147483647))*COS(2*PI()*S99/2147483647),Controls!$B$8+(Controls!$B$9-Controls!$B$8)*I99/2147483647))</f>
        <v/>
      </c>
      <c r="AD99" s="10" t="str">
        <f>IF(J99="","",IF(Controls!$B$7="Normal",Controls!$B$8+Controls!$B$9*SQRT(-2*LN(J99/2147483647))*COS(2*PI()*T99/2147483647),Controls!$B$8+(Controls!$B$9-Controls!$B$8)*J99/2147483647))</f>
        <v/>
      </c>
      <c r="AE99" s="10" t="str">
        <f>IF(K99="","",IF(Controls!$B$7="Normal",Controls!$B$8+Controls!$B$9*SQRT(-2*LN(K99/2147483647))*COS(2*PI()*U99/2147483647),Controls!$B$8+(Controls!$B$9-Controls!$B$8)*K99/2147483647))</f>
        <v/>
      </c>
    </row>
    <row r="100" ht="21.0" customHeight="1">
      <c r="A100" s="7" t="str">
        <f>IF(99&lt;=Controls!$B$5,Controls!$B$4+98,"")</f>
        <v/>
      </c>
      <c r="B100" s="10" t="str">
        <f>IF(OR($A100="",1&gt;Controls!$B$6),"",MOD(L99*48271,2147483647))</f>
        <v/>
      </c>
      <c r="C100" s="10" t="str">
        <f>IF(OR($A100="",2&gt;Controls!$B$6),"",MOD(M99*48271,2147483647))</f>
        <v/>
      </c>
      <c r="D100" s="10" t="str">
        <f>IF(OR($A100="",3&gt;Controls!$B$6),"",MOD(N99*48271,2147483647))</f>
        <v/>
      </c>
      <c r="E100" s="10" t="str">
        <f>IF(OR($A100="",4&gt;Controls!$B$6),"",MOD(O99*48271,2147483647))</f>
        <v/>
      </c>
      <c r="F100" s="10" t="str">
        <f>IF(OR($A100="",5&gt;Controls!$B$6),"",MOD(P99*48271,2147483647))</f>
        <v/>
      </c>
      <c r="G100" s="10" t="str">
        <f>IF(OR($A100="",6&gt;Controls!$B$6),"",MOD(Q99*48271,2147483647))</f>
        <v/>
      </c>
      <c r="H100" s="10" t="str">
        <f>IF(OR($A100="",7&gt;Controls!$B$6),"",MOD(R99*48271,2147483647))</f>
        <v/>
      </c>
      <c r="I100" s="10" t="str">
        <f>IF(OR($A100="",8&gt;Controls!$B$6),"",MOD(S99*48271,2147483647))</f>
        <v/>
      </c>
      <c r="J100" s="10" t="str">
        <f>IF(OR($A100="",9&gt;Controls!$B$6),"",MOD(T99*48271,2147483647))</f>
        <v/>
      </c>
      <c r="K100" s="10" t="str">
        <f>IF(OR($A100="",10&gt;Controls!$B$6),"",MOD(U99*48271,2147483647))</f>
        <v/>
      </c>
      <c r="L100" s="10" t="str">
        <f t="shared" ref="L100:U100" si="99">IF(B100="","",MOD(B100*48271,2147483647))</f>
        <v/>
      </c>
      <c r="M100" s="10" t="str">
        <f t="shared" si="99"/>
        <v/>
      </c>
      <c r="N100" s="10" t="str">
        <f t="shared" si="99"/>
        <v/>
      </c>
      <c r="O100" s="10" t="str">
        <f t="shared" si="99"/>
        <v/>
      </c>
      <c r="P100" s="10" t="str">
        <f t="shared" si="99"/>
        <v/>
      </c>
      <c r="Q100" s="10" t="str">
        <f t="shared" si="99"/>
        <v/>
      </c>
      <c r="R100" s="10" t="str">
        <f t="shared" si="99"/>
        <v/>
      </c>
      <c r="S100" s="10" t="str">
        <f t="shared" si="99"/>
        <v/>
      </c>
      <c r="T100" s="10" t="str">
        <f t="shared" si="99"/>
        <v/>
      </c>
      <c r="U100" s="10" t="str">
        <f t="shared" si="99"/>
        <v/>
      </c>
      <c r="V100" s="10" t="str">
        <f>IF(B100="","",IF(Controls!$B$7="Normal",Controls!$B$8+Controls!$B$9*SQRT(-2*LN(B100/2147483647))*COS(2*PI()*L100/2147483647),Controls!$B$8+(Controls!$B$9-Controls!$B$8)*B100/2147483647))</f>
        <v/>
      </c>
      <c r="W100" s="10" t="str">
        <f>IF(C100="","",IF(Controls!$B$7="Normal",Controls!$B$8+Controls!$B$9*SQRT(-2*LN(C100/2147483647))*COS(2*PI()*M100/2147483647),Controls!$B$8+(Controls!$B$9-Controls!$B$8)*C100/2147483647))</f>
        <v/>
      </c>
      <c r="X100" s="10" t="str">
        <f>IF(D100="","",IF(Controls!$B$7="Normal",Controls!$B$8+Controls!$B$9*SQRT(-2*LN(D100/2147483647))*COS(2*PI()*N100/2147483647),Controls!$B$8+(Controls!$B$9-Controls!$B$8)*D100/2147483647))</f>
        <v/>
      </c>
      <c r="Y100" s="10" t="str">
        <f>IF(E100="","",IF(Controls!$B$7="Normal",Controls!$B$8+Controls!$B$9*SQRT(-2*LN(E100/2147483647))*COS(2*PI()*O100/2147483647),Controls!$B$8+(Controls!$B$9-Controls!$B$8)*E100/2147483647))</f>
        <v/>
      </c>
      <c r="Z100" s="10" t="str">
        <f>IF(F100="","",IF(Controls!$B$7="Normal",Controls!$B$8+Controls!$B$9*SQRT(-2*LN(F100/2147483647))*COS(2*PI()*P100/2147483647),Controls!$B$8+(Controls!$B$9-Controls!$B$8)*F100/2147483647))</f>
        <v/>
      </c>
      <c r="AA100" s="10" t="str">
        <f>IF(G100="","",IF(Controls!$B$7="Normal",Controls!$B$8+Controls!$B$9*SQRT(-2*LN(G100/2147483647))*COS(2*PI()*Q100/2147483647),Controls!$B$8+(Controls!$B$9-Controls!$B$8)*G100/2147483647))</f>
        <v/>
      </c>
      <c r="AB100" s="10" t="str">
        <f>IF(H100="","",IF(Controls!$B$7="Normal",Controls!$B$8+Controls!$B$9*SQRT(-2*LN(H100/2147483647))*COS(2*PI()*R100/2147483647),Controls!$B$8+(Controls!$B$9-Controls!$B$8)*H100/2147483647))</f>
        <v/>
      </c>
      <c r="AC100" s="10" t="str">
        <f>IF(I100="","",IF(Controls!$B$7="Normal",Controls!$B$8+Controls!$B$9*SQRT(-2*LN(I100/2147483647))*COS(2*PI()*S100/2147483647),Controls!$B$8+(Controls!$B$9-Controls!$B$8)*I100/2147483647))</f>
        <v/>
      </c>
      <c r="AD100" s="10" t="str">
        <f>IF(J100="","",IF(Controls!$B$7="Normal",Controls!$B$8+Controls!$B$9*SQRT(-2*LN(J100/2147483647))*COS(2*PI()*T100/2147483647),Controls!$B$8+(Controls!$B$9-Controls!$B$8)*J100/2147483647))</f>
        <v/>
      </c>
      <c r="AE100" s="10" t="str">
        <f>IF(K100="","",IF(Controls!$B$7="Normal",Controls!$B$8+Controls!$B$9*SQRT(-2*LN(K100/2147483647))*COS(2*PI()*U100/2147483647),Controls!$B$8+(Controls!$B$9-Controls!$B$8)*K100/2147483647))</f>
        <v/>
      </c>
    </row>
    <row r="101" ht="21.0" customHeight="1">
      <c r="A101" s="7" t="str">
        <f>IF(100&lt;=Controls!$B$5,Controls!$B$4+99,"")</f>
        <v/>
      </c>
      <c r="B101" s="10" t="str">
        <f>IF(OR($A101="",1&gt;Controls!$B$6),"",MOD(L100*48271,2147483647))</f>
        <v/>
      </c>
      <c r="C101" s="10" t="str">
        <f>IF(OR($A101="",2&gt;Controls!$B$6),"",MOD(M100*48271,2147483647))</f>
        <v/>
      </c>
      <c r="D101" s="10" t="str">
        <f>IF(OR($A101="",3&gt;Controls!$B$6),"",MOD(N100*48271,2147483647))</f>
        <v/>
      </c>
      <c r="E101" s="10" t="str">
        <f>IF(OR($A101="",4&gt;Controls!$B$6),"",MOD(O100*48271,2147483647))</f>
        <v/>
      </c>
      <c r="F101" s="10" t="str">
        <f>IF(OR($A101="",5&gt;Controls!$B$6),"",MOD(P100*48271,2147483647))</f>
        <v/>
      </c>
      <c r="G101" s="10" t="str">
        <f>IF(OR($A101="",6&gt;Controls!$B$6),"",MOD(Q100*48271,2147483647))</f>
        <v/>
      </c>
      <c r="H101" s="10" t="str">
        <f>IF(OR($A101="",7&gt;Controls!$B$6),"",MOD(R100*48271,2147483647))</f>
        <v/>
      </c>
      <c r="I101" s="10" t="str">
        <f>IF(OR($A101="",8&gt;Controls!$B$6),"",MOD(S100*48271,2147483647))</f>
        <v/>
      </c>
      <c r="J101" s="10" t="str">
        <f>IF(OR($A101="",9&gt;Controls!$B$6),"",MOD(T100*48271,2147483647))</f>
        <v/>
      </c>
      <c r="K101" s="10" t="str">
        <f>IF(OR($A101="",10&gt;Controls!$B$6),"",MOD(U100*48271,2147483647))</f>
        <v/>
      </c>
      <c r="L101" s="10" t="str">
        <f t="shared" ref="L101:U101" si="100">IF(B101="","",MOD(B101*48271,2147483647))</f>
        <v/>
      </c>
      <c r="M101" s="10" t="str">
        <f t="shared" si="100"/>
        <v/>
      </c>
      <c r="N101" s="10" t="str">
        <f t="shared" si="100"/>
        <v/>
      </c>
      <c r="O101" s="10" t="str">
        <f t="shared" si="100"/>
        <v/>
      </c>
      <c r="P101" s="10" t="str">
        <f t="shared" si="100"/>
        <v/>
      </c>
      <c r="Q101" s="10" t="str">
        <f t="shared" si="100"/>
        <v/>
      </c>
      <c r="R101" s="10" t="str">
        <f t="shared" si="100"/>
        <v/>
      </c>
      <c r="S101" s="10" t="str">
        <f t="shared" si="100"/>
        <v/>
      </c>
      <c r="T101" s="10" t="str">
        <f t="shared" si="100"/>
        <v/>
      </c>
      <c r="U101" s="10" t="str">
        <f t="shared" si="100"/>
        <v/>
      </c>
      <c r="V101" s="10" t="str">
        <f>IF(B101="","",IF(Controls!$B$7="Normal",Controls!$B$8+Controls!$B$9*SQRT(-2*LN(B101/2147483647))*COS(2*PI()*L101/2147483647),Controls!$B$8+(Controls!$B$9-Controls!$B$8)*B101/2147483647))</f>
        <v/>
      </c>
      <c r="W101" s="10" t="str">
        <f>IF(C101="","",IF(Controls!$B$7="Normal",Controls!$B$8+Controls!$B$9*SQRT(-2*LN(C101/2147483647))*COS(2*PI()*M101/2147483647),Controls!$B$8+(Controls!$B$9-Controls!$B$8)*C101/2147483647))</f>
        <v/>
      </c>
      <c r="X101" s="10" t="str">
        <f>IF(D101="","",IF(Controls!$B$7="Normal",Controls!$B$8+Controls!$B$9*SQRT(-2*LN(D101/2147483647))*COS(2*PI()*N101/2147483647),Controls!$B$8+(Controls!$B$9-Controls!$B$8)*D101/2147483647))</f>
        <v/>
      </c>
      <c r="Y101" s="10" t="str">
        <f>IF(E101="","",IF(Controls!$B$7="Normal",Controls!$B$8+Controls!$B$9*SQRT(-2*LN(E101/2147483647))*COS(2*PI()*O101/2147483647),Controls!$B$8+(Controls!$B$9-Controls!$B$8)*E101/2147483647))</f>
        <v/>
      </c>
      <c r="Z101" s="10" t="str">
        <f>IF(F101="","",IF(Controls!$B$7="Normal",Controls!$B$8+Controls!$B$9*SQRT(-2*LN(F101/2147483647))*COS(2*PI()*P101/2147483647),Controls!$B$8+(Controls!$B$9-Controls!$B$8)*F101/2147483647))</f>
        <v/>
      </c>
      <c r="AA101" s="10" t="str">
        <f>IF(G101="","",IF(Controls!$B$7="Normal",Controls!$B$8+Controls!$B$9*SQRT(-2*LN(G101/2147483647))*COS(2*PI()*Q101/2147483647),Controls!$B$8+(Controls!$B$9-Controls!$B$8)*G101/2147483647))</f>
        <v/>
      </c>
      <c r="AB101" s="10" t="str">
        <f>IF(H101="","",IF(Controls!$B$7="Normal",Controls!$B$8+Controls!$B$9*SQRT(-2*LN(H101/2147483647))*COS(2*PI()*R101/2147483647),Controls!$B$8+(Controls!$B$9-Controls!$B$8)*H101/2147483647))</f>
        <v/>
      </c>
      <c r="AC101" s="10" t="str">
        <f>IF(I101="","",IF(Controls!$B$7="Normal",Controls!$B$8+Controls!$B$9*SQRT(-2*LN(I101/2147483647))*COS(2*PI()*S101/2147483647),Controls!$B$8+(Controls!$B$9-Controls!$B$8)*I101/2147483647))</f>
        <v/>
      </c>
      <c r="AD101" s="10" t="str">
        <f>IF(J101="","",IF(Controls!$B$7="Normal",Controls!$B$8+Controls!$B$9*SQRT(-2*LN(J101/2147483647))*COS(2*PI()*T101/2147483647),Controls!$B$8+(Controls!$B$9-Controls!$B$8)*J101/2147483647))</f>
        <v/>
      </c>
      <c r="AE101" s="10" t="str">
        <f>IF(K101="","",IF(Controls!$B$7="Normal",Controls!$B$8+Controls!$B$9*SQRT(-2*LN(K101/2147483647))*COS(2*PI()*U101/2147483647),Controls!$B$8+(Controls!$B$9-Controls!$B$8)*K101/2147483647))</f>
        <v/>
      </c>
    </row>
    <row r="102" ht="21.0" customHeight="1">
      <c r="A102" s="7" t="str">
        <f>IF(101&lt;=Controls!$B$5,Controls!$B$4+100,"")</f>
        <v/>
      </c>
      <c r="B102" s="10" t="str">
        <f>IF(OR($A102="",1&gt;Controls!$B$6),"",MOD(L101*48271,2147483647))</f>
        <v/>
      </c>
      <c r="C102" s="10" t="str">
        <f>IF(OR($A102="",2&gt;Controls!$B$6),"",MOD(M101*48271,2147483647))</f>
        <v/>
      </c>
      <c r="D102" s="10" t="str">
        <f>IF(OR($A102="",3&gt;Controls!$B$6),"",MOD(N101*48271,2147483647))</f>
        <v/>
      </c>
      <c r="E102" s="10" t="str">
        <f>IF(OR($A102="",4&gt;Controls!$B$6),"",MOD(O101*48271,2147483647))</f>
        <v/>
      </c>
      <c r="F102" s="10" t="str">
        <f>IF(OR($A102="",5&gt;Controls!$B$6),"",MOD(P101*48271,2147483647))</f>
        <v/>
      </c>
      <c r="G102" s="10" t="str">
        <f>IF(OR($A102="",6&gt;Controls!$B$6),"",MOD(Q101*48271,2147483647))</f>
        <v/>
      </c>
      <c r="H102" s="10" t="str">
        <f>IF(OR($A102="",7&gt;Controls!$B$6),"",MOD(R101*48271,2147483647))</f>
        <v/>
      </c>
      <c r="I102" s="10" t="str">
        <f>IF(OR($A102="",8&gt;Controls!$B$6),"",MOD(S101*48271,2147483647))</f>
        <v/>
      </c>
      <c r="J102" s="10" t="str">
        <f>IF(OR($A102="",9&gt;Controls!$B$6),"",MOD(T101*48271,2147483647))</f>
        <v/>
      </c>
      <c r="K102" s="10" t="str">
        <f>IF(OR($A102="",10&gt;Controls!$B$6),"",MOD(U101*48271,2147483647))</f>
        <v/>
      </c>
      <c r="L102" s="10" t="str">
        <f t="shared" ref="L102:U102" si="101">IF(B102="","",MOD(B102*48271,2147483647))</f>
        <v/>
      </c>
      <c r="M102" s="10" t="str">
        <f t="shared" si="101"/>
        <v/>
      </c>
      <c r="N102" s="10" t="str">
        <f t="shared" si="101"/>
        <v/>
      </c>
      <c r="O102" s="10" t="str">
        <f t="shared" si="101"/>
        <v/>
      </c>
      <c r="P102" s="10" t="str">
        <f t="shared" si="101"/>
        <v/>
      </c>
      <c r="Q102" s="10" t="str">
        <f t="shared" si="101"/>
        <v/>
      </c>
      <c r="R102" s="10" t="str">
        <f t="shared" si="101"/>
        <v/>
      </c>
      <c r="S102" s="10" t="str">
        <f t="shared" si="101"/>
        <v/>
      </c>
      <c r="T102" s="10" t="str">
        <f t="shared" si="101"/>
        <v/>
      </c>
      <c r="U102" s="10" t="str">
        <f t="shared" si="101"/>
        <v/>
      </c>
      <c r="V102" s="10" t="str">
        <f>IF(B102="","",IF(Controls!$B$7="Normal",Controls!$B$8+Controls!$B$9*SQRT(-2*LN(B102/2147483647))*COS(2*PI()*L102/2147483647),Controls!$B$8+(Controls!$B$9-Controls!$B$8)*B102/2147483647))</f>
        <v/>
      </c>
      <c r="W102" s="10" t="str">
        <f>IF(C102="","",IF(Controls!$B$7="Normal",Controls!$B$8+Controls!$B$9*SQRT(-2*LN(C102/2147483647))*COS(2*PI()*M102/2147483647),Controls!$B$8+(Controls!$B$9-Controls!$B$8)*C102/2147483647))</f>
        <v/>
      </c>
      <c r="X102" s="10" t="str">
        <f>IF(D102="","",IF(Controls!$B$7="Normal",Controls!$B$8+Controls!$B$9*SQRT(-2*LN(D102/2147483647))*COS(2*PI()*N102/2147483647),Controls!$B$8+(Controls!$B$9-Controls!$B$8)*D102/2147483647))</f>
        <v/>
      </c>
      <c r="Y102" s="10" t="str">
        <f>IF(E102="","",IF(Controls!$B$7="Normal",Controls!$B$8+Controls!$B$9*SQRT(-2*LN(E102/2147483647))*COS(2*PI()*O102/2147483647),Controls!$B$8+(Controls!$B$9-Controls!$B$8)*E102/2147483647))</f>
        <v/>
      </c>
      <c r="Z102" s="10" t="str">
        <f>IF(F102="","",IF(Controls!$B$7="Normal",Controls!$B$8+Controls!$B$9*SQRT(-2*LN(F102/2147483647))*COS(2*PI()*P102/2147483647),Controls!$B$8+(Controls!$B$9-Controls!$B$8)*F102/2147483647))</f>
        <v/>
      </c>
      <c r="AA102" s="10" t="str">
        <f>IF(G102="","",IF(Controls!$B$7="Normal",Controls!$B$8+Controls!$B$9*SQRT(-2*LN(G102/2147483647))*COS(2*PI()*Q102/2147483647),Controls!$B$8+(Controls!$B$9-Controls!$B$8)*G102/2147483647))</f>
        <v/>
      </c>
      <c r="AB102" s="10" t="str">
        <f>IF(H102="","",IF(Controls!$B$7="Normal",Controls!$B$8+Controls!$B$9*SQRT(-2*LN(H102/2147483647))*COS(2*PI()*R102/2147483647),Controls!$B$8+(Controls!$B$9-Controls!$B$8)*H102/2147483647))</f>
        <v/>
      </c>
      <c r="AC102" s="10" t="str">
        <f>IF(I102="","",IF(Controls!$B$7="Normal",Controls!$B$8+Controls!$B$9*SQRT(-2*LN(I102/2147483647))*COS(2*PI()*S102/2147483647),Controls!$B$8+(Controls!$B$9-Controls!$B$8)*I102/2147483647))</f>
        <v/>
      </c>
      <c r="AD102" s="10" t="str">
        <f>IF(J102="","",IF(Controls!$B$7="Normal",Controls!$B$8+Controls!$B$9*SQRT(-2*LN(J102/2147483647))*COS(2*PI()*T102/2147483647),Controls!$B$8+(Controls!$B$9-Controls!$B$8)*J102/2147483647))</f>
        <v/>
      </c>
      <c r="AE102" s="10" t="str">
        <f>IF(K102="","",IF(Controls!$B$7="Normal",Controls!$B$8+Controls!$B$9*SQRT(-2*LN(K102/2147483647))*COS(2*PI()*U102/2147483647),Controls!$B$8+(Controls!$B$9-Controls!$B$8)*K102/2147483647))</f>
        <v/>
      </c>
    </row>
    <row r="103" ht="21.0" customHeight="1">
      <c r="A103" s="7" t="str">
        <f>IF(102&lt;=Controls!$B$5,Controls!$B$4+101,"")</f>
        <v/>
      </c>
      <c r="B103" s="10" t="str">
        <f>IF(OR($A103="",1&gt;Controls!$B$6),"",MOD(L102*48271,2147483647))</f>
        <v/>
      </c>
      <c r="C103" s="10" t="str">
        <f>IF(OR($A103="",2&gt;Controls!$B$6),"",MOD(M102*48271,2147483647))</f>
        <v/>
      </c>
      <c r="D103" s="10" t="str">
        <f>IF(OR($A103="",3&gt;Controls!$B$6),"",MOD(N102*48271,2147483647))</f>
        <v/>
      </c>
      <c r="E103" s="10" t="str">
        <f>IF(OR($A103="",4&gt;Controls!$B$6),"",MOD(O102*48271,2147483647))</f>
        <v/>
      </c>
      <c r="F103" s="10" t="str">
        <f>IF(OR($A103="",5&gt;Controls!$B$6),"",MOD(P102*48271,2147483647))</f>
        <v/>
      </c>
      <c r="G103" s="10" t="str">
        <f>IF(OR($A103="",6&gt;Controls!$B$6),"",MOD(Q102*48271,2147483647))</f>
        <v/>
      </c>
      <c r="H103" s="10" t="str">
        <f>IF(OR($A103="",7&gt;Controls!$B$6),"",MOD(R102*48271,2147483647))</f>
        <v/>
      </c>
      <c r="I103" s="10" t="str">
        <f>IF(OR($A103="",8&gt;Controls!$B$6),"",MOD(S102*48271,2147483647))</f>
        <v/>
      </c>
      <c r="J103" s="10" t="str">
        <f>IF(OR($A103="",9&gt;Controls!$B$6),"",MOD(T102*48271,2147483647))</f>
        <v/>
      </c>
      <c r="K103" s="10" t="str">
        <f>IF(OR($A103="",10&gt;Controls!$B$6),"",MOD(U102*48271,2147483647))</f>
        <v/>
      </c>
      <c r="L103" s="10" t="str">
        <f t="shared" ref="L103:U103" si="102">IF(B103="","",MOD(B103*48271,2147483647))</f>
        <v/>
      </c>
      <c r="M103" s="10" t="str">
        <f t="shared" si="102"/>
        <v/>
      </c>
      <c r="N103" s="10" t="str">
        <f t="shared" si="102"/>
        <v/>
      </c>
      <c r="O103" s="10" t="str">
        <f t="shared" si="102"/>
        <v/>
      </c>
      <c r="P103" s="10" t="str">
        <f t="shared" si="102"/>
        <v/>
      </c>
      <c r="Q103" s="10" t="str">
        <f t="shared" si="102"/>
        <v/>
      </c>
      <c r="R103" s="10" t="str">
        <f t="shared" si="102"/>
        <v/>
      </c>
      <c r="S103" s="10" t="str">
        <f t="shared" si="102"/>
        <v/>
      </c>
      <c r="T103" s="10" t="str">
        <f t="shared" si="102"/>
        <v/>
      </c>
      <c r="U103" s="10" t="str">
        <f t="shared" si="102"/>
        <v/>
      </c>
      <c r="V103" s="10" t="str">
        <f>IF(B103="","",IF(Controls!$B$7="Normal",Controls!$B$8+Controls!$B$9*SQRT(-2*LN(B103/2147483647))*COS(2*PI()*L103/2147483647),Controls!$B$8+(Controls!$B$9-Controls!$B$8)*B103/2147483647))</f>
        <v/>
      </c>
      <c r="W103" s="10" t="str">
        <f>IF(C103="","",IF(Controls!$B$7="Normal",Controls!$B$8+Controls!$B$9*SQRT(-2*LN(C103/2147483647))*COS(2*PI()*M103/2147483647),Controls!$B$8+(Controls!$B$9-Controls!$B$8)*C103/2147483647))</f>
        <v/>
      </c>
      <c r="X103" s="10" t="str">
        <f>IF(D103="","",IF(Controls!$B$7="Normal",Controls!$B$8+Controls!$B$9*SQRT(-2*LN(D103/2147483647))*COS(2*PI()*N103/2147483647),Controls!$B$8+(Controls!$B$9-Controls!$B$8)*D103/2147483647))</f>
        <v/>
      </c>
      <c r="Y103" s="10" t="str">
        <f>IF(E103="","",IF(Controls!$B$7="Normal",Controls!$B$8+Controls!$B$9*SQRT(-2*LN(E103/2147483647))*COS(2*PI()*O103/2147483647),Controls!$B$8+(Controls!$B$9-Controls!$B$8)*E103/2147483647))</f>
        <v/>
      </c>
      <c r="Z103" s="10" t="str">
        <f>IF(F103="","",IF(Controls!$B$7="Normal",Controls!$B$8+Controls!$B$9*SQRT(-2*LN(F103/2147483647))*COS(2*PI()*P103/2147483647),Controls!$B$8+(Controls!$B$9-Controls!$B$8)*F103/2147483647))</f>
        <v/>
      </c>
      <c r="AA103" s="10" t="str">
        <f>IF(G103="","",IF(Controls!$B$7="Normal",Controls!$B$8+Controls!$B$9*SQRT(-2*LN(G103/2147483647))*COS(2*PI()*Q103/2147483647),Controls!$B$8+(Controls!$B$9-Controls!$B$8)*G103/2147483647))</f>
        <v/>
      </c>
      <c r="AB103" s="10" t="str">
        <f>IF(H103="","",IF(Controls!$B$7="Normal",Controls!$B$8+Controls!$B$9*SQRT(-2*LN(H103/2147483647))*COS(2*PI()*R103/2147483647),Controls!$B$8+(Controls!$B$9-Controls!$B$8)*H103/2147483647))</f>
        <v/>
      </c>
      <c r="AC103" s="10" t="str">
        <f>IF(I103="","",IF(Controls!$B$7="Normal",Controls!$B$8+Controls!$B$9*SQRT(-2*LN(I103/2147483647))*COS(2*PI()*S103/2147483647),Controls!$B$8+(Controls!$B$9-Controls!$B$8)*I103/2147483647))</f>
        <v/>
      </c>
      <c r="AD103" s="10" t="str">
        <f>IF(J103="","",IF(Controls!$B$7="Normal",Controls!$B$8+Controls!$B$9*SQRT(-2*LN(J103/2147483647))*COS(2*PI()*T103/2147483647),Controls!$B$8+(Controls!$B$9-Controls!$B$8)*J103/2147483647))</f>
        <v/>
      </c>
      <c r="AE103" s="10" t="str">
        <f>IF(K103="","",IF(Controls!$B$7="Normal",Controls!$B$8+Controls!$B$9*SQRT(-2*LN(K103/2147483647))*COS(2*PI()*U103/2147483647),Controls!$B$8+(Controls!$B$9-Controls!$B$8)*K103/2147483647))</f>
        <v/>
      </c>
    </row>
    <row r="104" ht="21.0" customHeight="1">
      <c r="A104" s="7" t="str">
        <f>IF(103&lt;=Controls!$B$5,Controls!$B$4+102,"")</f>
        <v/>
      </c>
      <c r="B104" s="10" t="str">
        <f>IF(OR($A104="",1&gt;Controls!$B$6),"",MOD(L103*48271,2147483647))</f>
        <v/>
      </c>
      <c r="C104" s="10" t="str">
        <f>IF(OR($A104="",2&gt;Controls!$B$6),"",MOD(M103*48271,2147483647))</f>
        <v/>
      </c>
      <c r="D104" s="10" t="str">
        <f>IF(OR($A104="",3&gt;Controls!$B$6),"",MOD(N103*48271,2147483647))</f>
        <v/>
      </c>
      <c r="E104" s="10" t="str">
        <f>IF(OR($A104="",4&gt;Controls!$B$6),"",MOD(O103*48271,2147483647))</f>
        <v/>
      </c>
      <c r="F104" s="10" t="str">
        <f>IF(OR($A104="",5&gt;Controls!$B$6),"",MOD(P103*48271,2147483647))</f>
        <v/>
      </c>
      <c r="G104" s="10" t="str">
        <f>IF(OR($A104="",6&gt;Controls!$B$6),"",MOD(Q103*48271,2147483647))</f>
        <v/>
      </c>
      <c r="H104" s="10" t="str">
        <f>IF(OR($A104="",7&gt;Controls!$B$6),"",MOD(R103*48271,2147483647))</f>
        <v/>
      </c>
      <c r="I104" s="10" t="str">
        <f>IF(OR($A104="",8&gt;Controls!$B$6),"",MOD(S103*48271,2147483647))</f>
        <v/>
      </c>
      <c r="J104" s="10" t="str">
        <f>IF(OR($A104="",9&gt;Controls!$B$6),"",MOD(T103*48271,2147483647))</f>
        <v/>
      </c>
      <c r="K104" s="10" t="str">
        <f>IF(OR($A104="",10&gt;Controls!$B$6),"",MOD(U103*48271,2147483647))</f>
        <v/>
      </c>
      <c r="L104" s="10" t="str">
        <f t="shared" ref="L104:U104" si="103">IF(B104="","",MOD(B104*48271,2147483647))</f>
        <v/>
      </c>
      <c r="M104" s="10" t="str">
        <f t="shared" si="103"/>
        <v/>
      </c>
      <c r="N104" s="10" t="str">
        <f t="shared" si="103"/>
        <v/>
      </c>
      <c r="O104" s="10" t="str">
        <f t="shared" si="103"/>
        <v/>
      </c>
      <c r="P104" s="10" t="str">
        <f t="shared" si="103"/>
        <v/>
      </c>
      <c r="Q104" s="10" t="str">
        <f t="shared" si="103"/>
        <v/>
      </c>
      <c r="R104" s="10" t="str">
        <f t="shared" si="103"/>
        <v/>
      </c>
      <c r="S104" s="10" t="str">
        <f t="shared" si="103"/>
        <v/>
      </c>
      <c r="T104" s="10" t="str">
        <f t="shared" si="103"/>
        <v/>
      </c>
      <c r="U104" s="10" t="str">
        <f t="shared" si="103"/>
        <v/>
      </c>
      <c r="V104" s="10" t="str">
        <f>IF(B104="","",IF(Controls!$B$7="Normal",Controls!$B$8+Controls!$B$9*SQRT(-2*LN(B104/2147483647))*COS(2*PI()*L104/2147483647),Controls!$B$8+(Controls!$B$9-Controls!$B$8)*B104/2147483647))</f>
        <v/>
      </c>
      <c r="W104" s="10" t="str">
        <f>IF(C104="","",IF(Controls!$B$7="Normal",Controls!$B$8+Controls!$B$9*SQRT(-2*LN(C104/2147483647))*COS(2*PI()*M104/2147483647),Controls!$B$8+(Controls!$B$9-Controls!$B$8)*C104/2147483647))</f>
        <v/>
      </c>
      <c r="X104" s="10" t="str">
        <f>IF(D104="","",IF(Controls!$B$7="Normal",Controls!$B$8+Controls!$B$9*SQRT(-2*LN(D104/2147483647))*COS(2*PI()*N104/2147483647),Controls!$B$8+(Controls!$B$9-Controls!$B$8)*D104/2147483647))</f>
        <v/>
      </c>
      <c r="Y104" s="10" t="str">
        <f>IF(E104="","",IF(Controls!$B$7="Normal",Controls!$B$8+Controls!$B$9*SQRT(-2*LN(E104/2147483647))*COS(2*PI()*O104/2147483647),Controls!$B$8+(Controls!$B$9-Controls!$B$8)*E104/2147483647))</f>
        <v/>
      </c>
      <c r="Z104" s="10" t="str">
        <f>IF(F104="","",IF(Controls!$B$7="Normal",Controls!$B$8+Controls!$B$9*SQRT(-2*LN(F104/2147483647))*COS(2*PI()*P104/2147483647),Controls!$B$8+(Controls!$B$9-Controls!$B$8)*F104/2147483647))</f>
        <v/>
      </c>
      <c r="AA104" s="10" t="str">
        <f>IF(G104="","",IF(Controls!$B$7="Normal",Controls!$B$8+Controls!$B$9*SQRT(-2*LN(G104/2147483647))*COS(2*PI()*Q104/2147483647),Controls!$B$8+(Controls!$B$9-Controls!$B$8)*G104/2147483647))</f>
        <v/>
      </c>
      <c r="AB104" s="10" t="str">
        <f>IF(H104="","",IF(Controls!$B$7="Normal",Controls!$B$8+Controls!$B$9*SQRT(-2*LN(H104/2147483647))*COS(2*PI()*R104/2147483647),Controls!$B$8+(Controls!$B$9-Controls!$B$8)*H104/2147483647))</f>
        <v/>
      </c>
      <c r="AC104" s="10" t="str">
        <f>IF(I104="","",IF(Controls!$B$7="Normal",Controls!$B$8+Controls!$B$9*SQRT(-2*LN(I104/2147483647))*COS(2*PI()*S104/2147483647),Controls!$B$8+(Controls!$B$9-Controls!$B$8)*I104/2147483647))</f>
        <v/>
      </c>
      <c r="AD104" s="10" t="str">
        <f>IF(J104="","",IF(Controls!$B$7="Normal",Controls!$B$8+Controls!$B$9*SQRT(-2*LN(J104/2147483647))*COS(2*PI()*T104/2147483647),Controls!$B$8+(Controls!$B$9-Controls!$B$8)*J104/2147483647))</f>
        <v/>
      </c>
      <c r="AE104" s="10" t="str">
        <f>IF(K104="","",IF(Controls!$B$7="Normal",Controls!$B$8+Controls!$B$9*SQRT(-2*LN(K104/2147483647))*COS(2*PI()*U104/2147483647),Controls!$B$8+(Controls!$B$9-Controls!$B$8)*K104/2147483647))</f>
        <v/>
      </c>
    </row>
    <row r="105" ht="21.0" customHeight="1">
      <c r="A105" s="7" t="str">
        <f>IF(104&lt;=Controls!$B$5,Controls!$B$4+103,"")</f>
        <v/>
      </c>
      <c r="B105" s="10" t="str">
        <f>IF(OR($A105="",1&gt;Controls!$B$6),"",MOD(L104*48271,2147483647))</f>
        <v/>
      </c>
      <c r="C105" s="10" t="str">
        <f>IF(OR($A105="",2&gt;Controls!$B$6),"",MOD(M104*48271,2147483647))</f>
        <v/>
      </c>
      <c r="D105" s="10" t="str">
        <f>IF(OR($A105="",3&gt;Controls!$B$6),"",MOD(N104*48271,2147483647))</f>
        <v/>
      </c>
      <c r="E105" s="10" t="str">
        <f>IF(OR($A105="",4&gt;Controls!$B$6),"",MOD(O104*48271,2147483647))</f>
        <v/>
      </c>
      <c r="F105" s="10" t="str">
        <f>IF(OR($A105="",5&gt;Controls!$B$6),"",MOD(P104*48271,2147483647))</f>
        <v/>
      </c>
      <c r="G105" s="10" t="str">
        <f>IF(OR($A105="",6&gt;Controls!$B$6),"",MOD(Q104*48271,2147483647))</f>
        <v/>
      </c>
      <c r="H105" s="10" t="str">
        <f>IF(OR($A105="",7&gt;Controls!$B$6),"",MOD(R104*48271,2147483647))</f>
        <v/>
      </c>
      <c r="I105" s="10" t="str">
        <f>IF(OR($A105="",8&gt;Controls!$B$6),"",MOD(S104*48271,2147483647))</f>
        <v/>
      </c>
      <c r="J105" s="10" t="str">
        <f>IF(OR($A105="",9&gt;Controls!$B$6),"",MOD(T104*48271,2147483647))</f>
        <v/>
      </c>
      <c r="K105" s="10" t="str">
        <f>IF(OR($A105="",10&gt;Controls!$B$6),"",MOD(U104*48271,2147483647))</f>
        <v/>
      </c>
      <c r="L105" s="10" t="str">
        <f t="shared" ref="L105:U105" si="104">IF(B105="","",MOD(B105*48271,2147483647))</f>
        <v/>
      </c>
      <c r="M105" s="10" t="str">
        <f t="shared" si="104"/>
        <v/>
      </c>
      <c r="N105" s="10" t="str">
        <f t="shared" si="104"/>
        <v/>
      </c>
      <c r="O105" s="10" t="str">
        <f t="shared" si="104"/>
        <v/>
      </c>
      <c r="P105" s="10" t="str">
        <f t="shared" si="104"/>
        <v/>
      </c>
      <c r="Q105" s="10" t="str">
        <f t="shared" si="104"/>
        <v/>
      </c>
      <c r="R105" s="10" t="str">
        <f t="shared" si="104"/>
        <v/>
      </c>
      <c r="S105" s="10" t="str">
        <f t="shared" si="104"/>
        <v/>
      </c>
      <c r="T105" s="10" t="str">
        <f t="shared" si="104"/>
        <v/>
      </c>
      <c r="U105" s="10" t="str">
        <f t="shared" si="104"/>
        <v/>
      </c>
      <c r="V105" s="10" t="str">
        <f>IF(B105="","",IF(Controls!$B$7="Normal",Controls!$B$8+Controls!$B$9*SQRT(-2*LN(B105/2147483647))*COS(2*PI()*L105/2147483647),Controls!$B$8+(Controls!$B$9-Controls!$B$8)*B105/2147483647))</f>
        <v/>
      </c>
      <c r="W105" s="10" t="str">
        <f>IF(C105="","",IF(Controls!$B$7="Normal",Controls!$B$8+Controls!$B$9*SQRT(-2*LN(C105/2147483647))*COS(2*PI()*M105/2147483647),Controls!$B$8+(Controls!$B$9-Controls!$B$8)*C105/2147483647))</f>
        <v/>
      </c>
      <c r="X105" s="10" t="str">
        <f>IF(D105="","",IF(Controls!$B$7="Normal",Controls!$B$8+Controls!$B$9*SQRT(-2*LN(D105/2147483647))*COS(2*PI()*N105/2147483647),Controls!$B$8+(Controls!$B$9-Controls!$B$8)*D105/2147483647))</f>
        <v/>
      </c>
      <c r="Y105" s="10" t="str">
        <f>IF(E105="","",IF(Controls!$B$7="Normal",Controls!$B$8+Controls!$B$9*SQRT(-2*LN(E105/2147483647))*COS(2*PI()*O105/2147483647),Controls!$B$8+(Controls!$B$9-Controls!$B$8)*E105/2147483647))</f>
        <v/>
      </c>
      <c r="Z105" s="10" t="str">
        <f>IF(F105="","",IF(Controls!$B$7="Normal",Controls!$B$8+Controls!$B$9*SQRT(-2*LN(F105/2147483647))*COS(2*PI()*P105/2147483647),Controls!$B$8+(Controls!$B$9-Controls!$B$8)*F105/2147483647))</f>
        <v/>
      </c>
      <c r="AA105" s="10" t="str">
        <f>IF(G105="","",IF(Controls!$B$7="Normal",Controls!$B$8+Controls!$B$9*SQRT(-2*LN(G105/2147483647))*COS(2*PI()*Q105/2147483647),Controls!$B$8+(Controls!$B$9-Controls!$B$8)*G105/2147483647))</f>
        <v/>
      </c>
      <c r="AB105" s="10" t="str">
        <f>IF(H105="","",IF(Controls!$B$7="Normal",Controls!$B$8+Controls!$B$9*SQRT(-2*LN(H105/2147483647))*COS(2*PI()*R105/2147483647),Controls!$B$8+(Controls!$B$9-Controls!$B$8)*H105/2147483647))</f>
        <v/>
      </c>
      <c r="AC105" s="10" t="str">
        <f>IF(I105="","",IF(Controls!$B$7="Normal",Controls!$B$8+Controls!$B$9*SQRT(-2*LN(I105/2147483647))*COS(2*PI()*S105/2147483647),Controls!$B$8+(Controls!$B$9-Controls!$B$8)*I105/2147483647))</f>
        <v/>
      </c>
      <c r="AD105" s="10" t="str">
        <f>IF(J105="","",IF(Controls!$B$7="Normal",Controls!$B$8+Controls!$B$9*SQRT(-2*LN(J105/2147483647))*COS(2*PI()*T105/2147483647),Controls!$B$8+(Controls!$B$9-Controls!$B$8)*J105/2147483647))</f>
        <v/>
      </c>
      <c r="AE105" s="10" t="str">
        <f>IF(K105="","",IF(Controls!$B$7="Normal",Controls!$B$8+Controls!$B$9*SQRT(-2*LN(K105/2147483647))*COS(2*PI()*U105/2147483647),Controls!$B$8+(Controls!$B$9-Controls!$B$8)*K105/2147483647))</f>
        <v/>
      </c>
    </row>
    <row r="106" ht="21.0" customHeight="1">
      <c r="A106" s="7" t="str">
        <f>IF(105&lt;=Controls!$B$5,Controls!$B$4+104,"")</f>
        <v/>
      </c>
      <c r="B106" s="10" t="str">
        <f>IF(OR($A106="",1&gt;Controls!$B$6),"",MOD(L105*48271,2147483647))</f>
        <v/>
      </c>
      <c r="C106" s="10" t="str">
        <f>IF(OR($A106="",2&gt;Controls!$B$6),"",MOD(M105*48271,2147483647))</f>
        <v/>
      </c>
      <c r="D106" s="10" t="str">
        <f>IF(OR($A106="",3&gt;Controls!$B$6),"",MOD(N105*48271,2147483647))</f>
        <v/>
      </c>
      <c r="E106" s="10" t="str">
        <f>IF(OR($A106="",4&gt;Controls!$B$6),"",MOD(O105*48271,2147483647))</f>
        <v/>
      </c>
      <c r="F106" s="10" t="str">
        <f>IF(OR($A106="",5&gt;Controls!$B$6),"",MOD(P105*48271,2147483647))</f>
        <v/>
      </c>
      <c r="G106" s="10" t="str">
        <f>IF(OR($A106="",6&gt;Controls!$B$6),"",MOD(Q105*48271,2147483647))</f>
        <v/>
      </c>
      <c r="H106" s="10" t="str">
        <f>IF(OR($A106="",7&gt;Controls!$B$6),"",MOD(R105*48271,2147483647))</f>
        <v/>
      </c>
      <c r="I106" s="10" t="str">
        <f>IF(OR($A106="",8&gt;Controls!$B$6),"",MOD(S105*48271,2147483647))</f>
        <v/>
      </c>
      <c r="J106" s="10" t="str">
        <f>IF(OR($A106="",9&gt;Controls!$B$6),"",MOD(T105*48271,2147483647))</f>
        <v/>
      </c>
      <c r="K106" s="10" t="str">
        <f>IF(OR($A106="",10&gt;Controls!$B$6),"",MOD(U105*48271,2147483647))</f>
        <v/>
      </c>
      <c r="L106" s="10" t="str">
        <f t="shared" ref="L106:U106" si="105">IF(B106="","",MOD(B106*48271,2147483647))</f>
        <v/>
      </c>
      <c r="M106" s="10" t="str">
        <f t="shared" si="105"/>
        <v/>
      </c>
      <c r="N106" s="10" t="str">
        <f t="shared" si="105"/>
        <v/>
      </c>
      <c r="O106" s="10" t="str">
        <f t="shared" si="105"/>
        <v/>
      </c>
      <c r="P106" s="10" t="str">
        <f t="shared" si="105"/>
        <v/>
      </c>
      <c r="Q106" s="10" t="str">
        <f t="shared" si="105"/>
        <v/>
      </c>
      <c r="R106" s="10" t="str">
        <f t="shared" si="105"/>
        <v/>
      </c>
      <c r="S106" s="10" t="str">
        <f t="shared" si="105"/>
        <v/>
      </c>
      <c r="T106" s="10" t="str">
        <f t="shared" si="105"/>
        <v/>
      </c>
      <c r="U106" s="10" t="str">
        <f t="shared" si="105"/>
        <v/>
      </c>
      <c r="V106" s="10" t="str">
        <f>IF(B106="","",IF(Controls!$B$7="Normal",Controls!$B$8+Controls!$B$9*SQRT(-2*LN(B106/2147483647))*COS(2*PI()*L106/2147483647),Controls!$B$8+(Controls!$B$9-Controls!$B$8)*B106/2147483647))</f>
        <v/>
      </c>
      <c r="W106" s="10" t="str">
        <f>IF(C106="","",IF(Controls!$B$7="Normal",Controls!$B$8+Controls!$B$9*SQRT(-2*LN(C106/2147483647))*COS(2*PI()*M106/2147483647),Controls!$B$8+(Controls!$B$9-Controls!$B$8)*C106/2147483647))</f>
        <v/>
      </c>
      <c r="X106" s="10" t="str">
        <f>IF(D106="","",IF(Controls!$B$7="Normal",Controls!$B$8+Controls!$B$9*SQRT(-2*LN(D106/2147483647))*COS(2*PI()*N106/2147483647),Controls!$B$8+(Controls!$B$9-Controls!$B$8)*D106/2147483647))</f>
        <v/>
      </c>
      <c r="Y106" s="10" t="str">
        <f>IF(E106="","",IF(Controls!$B$7="Normal",Controls!$B$8+Controls!$B$9*SQRT(-2*LN(E106/2147483647))*COS(2*PI()*O106/2147483647),Controls!$B$8+(Controls!$B$9-Controls!$B$8)*E106/2147483647))</f>
        <v/>
      </c>
      <c r="Z106" s="10" t="str">
        <f>IF(F106="","",IF(Controls!$B$7="Normal",Controls!$B$8+Controls!$B$9*SQRT(-2*LN(F106/2147483647))*COS(2*PI()*P106/2147483647),Controls!$B$8+(Controls!$B$9-Controls!$B$8)*F106/2147483647))</f>
        <v/>
      </c>
      <c r="AA106" s="10" t="str">
        <f>IF(G106="","",IF(Controls!$B$7="Normal",Controls!$B$8+Controls!$B$9*SQRT(-2*LN(G106/2147483647))*COS(2*PI()*Q106/2147483647),Controls!$B$8+(Controls!$B$9-Controls!$B$8)*G106/2147483647))</f>
        <v/>
      </c>
      <c r="AB106" s="10" t="str">
        <f>IF(H106="","",IF(Controls!$B$7="Normal",Controls!$B$8+Controls!$B$9*SQRT(-2*LN(H106/2147483647))*COS(2*PI()*R106/2147483647),Controls!$B$8+(Controls!$B$9-Controls!$B$8)*H106/2147483647))</f>
        <v/>
      </c>
      <c r="AC106" s="10" t="str">
        <f>IF(I106="","",IF(Controls!$B$7="Normal",Controls!$B$8+Controls!$B$9*SQRT(-2*LN(I106/2147483647))*COS(2*PI()*S106/2147483647),Controls!$B$8+(Controls!$B$9-Controls!$B$8)*I106/2147483647))</f>
        <v/>
      </c>
      <c r="AD106" s="10" t="str">
        <f>IF(J106="","",IF(Controls!$B$7="Normal",Controls!$B$8+Controls!$B$9*SQRT(-2*LN(J106/2147483647))*COS(2*PI()*T106/2147483647),Controls!$B$8+(Controls!$B$9-Controls!$B$8)*J106/2147483647))</f>
        <v/>
      </c>
      <c r="AE106" s="10" t="str">
        <f>IF(K106="","",IF(Controls!$B$7="Normal",Controls!$B$8+Controls!$B$9*SQRT(-2*LN(K106/2147483647))*COS(2*PI()*U106/2147483647),Controls!$B$8+(Controls!$B$9-Controls!$B$8)*K106/2147483647))</f>
        <v/>
      </c>
    </row>
    <row r="107" ht="21.0" customHeight="1">
      <c r="A107" s="7" t="str">
        <f>IF(106&lt;=Controls!$B$5,Controls!$B$4+105,"")</f>
        <v/>
      </c>
      <c r="B107" s="10" t="str">
        <f>IF(OR($A107="",1&gt;Controls!$B$6),"",MOD(L106*48271,2147483647))</f>
        <v/>
      </c>
      <c r="C107" s="10" t="str">
        <f>IF(OR($A107="",2&gt;Controls!$B$6),"",MOD(M106*48271,2147483647))</f>
        <v/>
      </c>
      <c r="D107" s="10" t="str">
        <f>IF(OR($A107="",3&gt;Controls!$B$6),"",MOD(N106*48271,2147483647))</f>
        <v/>
      </c>
      <c r="E107" s="10" t="str">
        <f>IF(OR($A107="",4&gt;Controls!$B$6),"",MOD(O106*48271,2147483647))</f>
        <v/>
      </c>
      <c r="F107" s="10" t="str">
        <f>IF(OR($A107="",5&gt;Controls!$B$6),"",MOD(P106*48271,2147483647))</f>
        <v/>
      </c>
      <c r="G107" s="10" t="str">
        <f>IF(OR($A107="",6&gt;Controls!$B$6),"",MOD(Q106*48271,2147483647))</f>
        <v/>
      </c>
      <c r="H107" s="10" t="str">
        <f>IF(OR($A107="",7&gt;Controls!$B$6),"",MOD(R106*48271,2147483647))</f>
        <v/>
      </c>
      <c r="I107" s="10" t="str">
        <f>IF(OR($A107="",8&gt;Controls!$B$6),"",MOD(S106*48271,2147483647))</f>
        <v/>
      </c>
      <c r="J107" s="10" t="str">
        <f>IF(OR($A107="",9&gt;Controls!$B$6),"",MOD(T106*48271,2147483647))</f>
        <v/>
      </c>
      <c r="K107" s="10" t="str">
        <f>IF(OR($A107="",10&gt;Controls!$B$6),"",MOD(U106*48271,2147483647))</f>
        <v/>
      </c>
      <c r="L107" s="10" t="str">
        <f t="shared" ref="L107:U107" si="106">IF(B107="","",MOD(B107*48271,2147483647))</f>
        <v/>
      </c>
      <c r="M107" s="10" t="str">
        <f t="shared" si="106"/>
        <v/>
      </c>
      <c r="N107" s="10" t="str">
        <f t="shared" si="106"/>
        <v/>
      </c>
      <c r="O107" s="10" t="str">
        <f t="shared" si="106"/>
        <v/>
      </c>
      <c r="P107" s="10" t="str">
        <f t="shared" si="106"/>
        <v/>
      </c>
      <c r="Q107" s="10" t="str">
        <f t="shared" si="106"/>
        <v/>
      </c>
      <c r="R107" s="10" t="str">
        <f t="shared" si="106"/>
        <v/>
      </c>
      <c r="S107" s="10" t="str">
        <f t="shared" si="106"/>
        <v/>
      </c>
      <c r="T107" s="10" t="str">
        <f t="shared" si="106"/>
        <v/>
      </c>
      <c r="U107" s="10" t="str">
        <f t="shared" si="106"/>
        <v/>
      </c>
      <c r="V107" s="10" t="str">
        <f>IF(B107="","",IF(Controls!$B$7="Normal",Controls!$B$8+Controls!$B$9*SQRT(-2*LN(B107/2147483647))*COS(2*PI()*L107/2147483647),Controls!$B$8+(Controls!$B$9-Controls!$B$8)*B107/2147483647))</f>
        <v/>
      </c>
      <c r="W107" s="10" t="str">
        <f>IF(C107="","",IF(Controls!$B$7="Normal",Controls!$B$8+Controls!$B$9*SQRT(-2*LN(C107/2147483647))*COS(2*PI()*M107/2147483647),Controls!$B$8+(Controls!$B$9-Controls!$B$8)*C107/2147483647))</f>
        <v/>
      </c>
      <c r="X107" s="10" t="str">
        <f>IF(D107="","",IF(Controls!$B$7="Normal",Controls!$B$8+Controls!$B$9*SQRT(-2*LN(D107/2147483647))*COS(2*PI()*N107/2147483647),Controls!$B$8+(Controls!$B$9-Controls!$B$8)*D107/2147483647))</f>
        <v/>
      </c>
      <c r="Y107" s="10" t="str">
        <f>IF(E107="","",IF(Controls!$B$7="Normal",Controls!$B$8+Controls!$B$9*SQRT(-2*LN(E107/2147483647))*COS(2*PI()*O107/2147483647),Controls!$B$8+(Controls!$B$9-Controls!$B$8)*E107/2147483647))</f>
        <v/>
      </c>
      <c r="Z107" s="10" t="str">
        <f>IF(F107="","",IF(Controls!$B$7="Normal",Controls!$B$8+Controls!$B$9*SQRT(-2*LN(F107/2147483647))*COS(2*PI()*P107/2147483647),Controls!$B$8+(Controls!$B$9-Controls!$B$8)*F107/2147483647))</f>
        <v/>
      </c>
      <c r="AA107" s="10" t="str">
        <f>IF(G107="","",IF(Controls!$B$7="Normal",Controls!$B$8+Controls!$B$9*SQRT(-2*LN(G107/2147483647))*COS(2*PI()*Q107/2147483647),Controls!$B$8+(Controls!$B$9-Controls!$B$8)*G107/2147483647))</f>
        <v/>
      </c>
      <c r="AB107" s="10" t="str">
        <f>IF(H107="","",IF(Controls!$B$7="Normal",Controls!$B$8+Controls!$B$9*SQRT(-2*LN(H107/2147483647))*COS(2*PI()*R107/2147483647),Controls!$B$8+(Controls!$B$9-Controls!$B$8)*H107/2147483647))</f>
        <v/>
      </c>
      <c r="AC107" s="10" t="str">
        <f>IF(I107="","",IF(Controls!$B$7="Normal",Controls!$B$8+Controls!$B$9*SQRT(-2*LN(I107/2147483647))*COS(2*PI()*S107/2147483647),Controls!$B$8+(Controls!$B$9-Controls!$B$8)*I107/2147483647))</f>
        <v/>
      </c>
      <c r="AD107" s="10" t="str">
        <f>IF(J107="","",IF(Controls!$B$7="Normal",Controls!$B$8+Controls!$B$9*SQRT(-2*LN(J107/2147483647))*COS(2*PI()*T107/2147483647),Controls!$B$8+(Controls!$B$9-Controls!$B$8)*J107/2147483647))</f>
        <v/>
      </c>
      <c r="AE107" s="10" t="str">
        <f>IF(K107="","",IF(Controls!$B$7="Normal",Controls!$B$8+Controls!$B$9*SQRT(-2*LN(K107/2147483647))*COS(2*PI()*U107/2147483647),Controls!$B$8+(Controls!$B$9-Controls!$B$8)*K107/2147483647))</f>
        <v/>
      </c>
    </row>
    <row r="108" ht="21.0" customHeight="1">
      <c r="A108" s="7" t="str">
        <f>IF(107&lt;=Controls!$B$5,Controls!$B$4+106,"")</f>
        <v/>
      </c>
      <c r="B108" s="10" t="str">
        <f>IF(OR($A108="",1&gt;Controls!$B$6),"",MOD(L107*48271,2147483647))</f>
        <v/>
      </c>
      <c r="C108" s="10" t="str">
        <f>IF(OR($A108="",2&gt;Controls!$B$6),"",MOD(M107*48271,2147483647))</f>
        <v/>
      </c>
      <c r="D108" s="10" t="str">
        <f>IF(OR($A108="",3&gt;Controls!$B$6),"",MOD(N107*48271,2147483647))</f>
        <v/>
      </c>
      <c r="E108" s="10" t="str">
        <f>IF(OR($A108="",4&gt;Controls!$B$6),"",MOD(O107*48271,2147483647))</f>
        <v/>
      </c>
      <c r="F108" s="10" t="str">
        <f>IF(OR($A108="",5&gt;Controls!$B$6),"",MOD(P107*48271,2147483647))</f>
        <v/>
      </c>
      <c r="G108" s="10" t="str">
        <f>IF(OR($A108="",6&gt;Controls!$B$6),"",MOD(Q107*48271,2147483647))</f>
        <v/>
      </c>
      <c r="H108" s="10" t="str">
        <f>IF(OR($A108="",7&gt;Controls!$B$6),"",MOD(R107*48271,2147483647))</f>
        <v/>
      </c>
      <c r="I108" s="10" t="str">
        <f>IF(OR($A108="",8&gt;Controls!$B$6),"",MOD(S107*48271,2147483647))</f>
        <v/>
      </c>
      <c r="J108" s="10" t="str">
        <f>IF(OR($A108="",9&gt;Controls!$B$6),"",MOD(T107*48271,2147483647))</f>
        <v/>
      </c>
      <c r="K108" s="10" t="str">
        <f>IF(OR($A108="",10&gt;Controls!$B$6),"",MOD(U107*48271,2147483647))</f>
        <v/>
      </c>
      <c r="L108" s="10" t="str">
        <f t="shared" ref="L108:U108" si="107">IF(B108="","",MOD(B108*48271,2147483647))</f>
        <v/>
      </c>
      <c r="M108" s="10" t="str">
        <f t="shared" si="107"/>
        <v/>
      </c>
      <c r="N108" s="10" t="str">
        <f t="shared" si="107"/>
        <v/>
      </c>
      <c r="O108" s="10" t="str">
        <f t="shared" si="107"/>
        <v/>
      </c>
      <c r="P108" s="10" t="str">
        <f t="shared" si="107"/>
        <v/>
      </c>
      <c r="Q108" s="10" t="str">
        <f t="shared" si="107"/>
        <v/>
      </c>
      <c r="R108" s="10" t="str">
        <f t="shared" si="107"/>
        <v/>
      </c>
      <c r="S108" s="10" t="str">
        <f t="shared" si="107"/>
        <v/>
      </c>
      <c r="T108" s="10" t="str">
        <f t="shared" si="107"/>
        <v/>
      </c>
      <c r="U108" s="10" t="str">
        <f t="shared" si="107"/>
        <v/>
      </c>
      <c r="V108" s="10" t="str">
        <f>IF(B108="","",IF(Controls!$B$7="Normal",Controls!$B$8+Controls!$B$9*SQRT(-2*LN(B108/2147483647))*COS(2*PI()*L108/2147483647),Controls!$B$8+(Controls!$B$9-Controls!$B$8)*B108/2147483647))</f>
        <v/>
      </c>
      <c r="W108" s="10" t="str">
        <f>IF(C108="","",IF(Controls!$B$7="Normal",Controls!$B$8+Controls!$B$9*SQRT(-2*LN(C108/2147483647))*COS(2*PI()*M108/2147483647),Controls!$B$8+(Controls!$B$9-Controls!$B$8)*C108/2147483647))</f>
        <v/>
      </c>
      <c r="X108" s="10" t="str">
        <f>IF(D108="","",IF(Controls!$B$7="Normal",Controls!$B$8+Controls!$B$9*SQRT(-2*LN(D108/2147483647))*COS(2*PI()*N108/2147483647),Controls!$B$8+(Controls!$B$9-Controls!$B$8)*D108/2147483647))</f>
        <v/>
      </c>
      <c r="Y108" s="10" t="str">
        <f>IF(E108="","",IF(Controls!$B$7="Normal",Controls!$B$8+Controls!$B$9*SQRT(-2*LN(E108/2147483647))*COS(2*PI()*O108/2147483647),Controls!$B$8+(Controls!$B$9-Controls!$B$8)*E108/2147483647))</f>
        <v/>
      </c>
      <c r="Z108" s="10" t="str">
        <f>IF(F108="","",IF(Controls!$B$7="Normal",Controls!$B$8+Controls!$B$9*SQRT(-2*LN(F108/2147483647))*COS(2*PI()*P108/2147483647),Controls!$B$8+(Controls!$B$9-Controls!$B$8)*F108/2147483647))</f>
        <v/>
      </c>
      <c r="AA108" s="10" t="str">
        <f>IF(G108="","",IF(Controls!$B$7="Normal",Controls!$B$8+Controls!$B$9*SQRT(-2*LN(G108/2147483647))*COS(2*PI()*Q108/2147483647),Controls!$B$8+(Controls!$B$9-Controls!$B$8)*G108/2147483647))</f>
        <v/>
      </c>
      <c r="AB108" s="10" t="str">
        <f>IF(H108="","",IF(Controls!$B$7="Normal",Controls!$B$8+Controls!$B$9*SQRT(-2*LN(H108/2147483647))*COS(2*PI()*R108/2147483647),Controls!$B$8+(Controls!$B$9-Controls!$B$8)*H108/2147483647))</f>
        <v/>
      </c>
      <c r="AC108" s="10" t="str">
        <f>IF(I108="","",IF(Controls!$B$7="Normal",Controls!$B$8+Controls!$B$9*SQRT(-2*LN(I108/2147483647))*COS(2*PI()*S108/2147483647),Controls!$B$8+(Controls!$B$9-Controls!$B$8)*I108/2147483647))</f>
        <v/>
      </c>
      <c r="AD108" s="10" t="str">
        <f>IF(J108="","",IF(Controls!$B$7="Normal",Controls!$B$8+Controls!$B$9*SQRT(-2*LN(J108/2147483647))*COS(2*PI()*T108/2147483647),Controls!$B$8+(Controls!$B$9-Controls!$B$8)*J108/2147483647))</f>
        <v/>
      </c>
      <c r="AE108" s="10" t="str">
        <f>IF(K108="","",IF(Controls!$B$7="Normal",Controls!$B$8+Controls!$B$9*SQRT(-2*LN(K108/2147483647))*COS(2*PI()*U108/2147483647),Controls!$B$8+(Controls!$B$9-Controls!$B$8)*K108/2147483647))</f>
        <v/>
      </c>
    </row>
    <row r="109" ht="21.0" customHeight="1">
      <c r="A109" s="7" t="str">
        <f>IF(108&lt;=Controls!$B$5,Controls!$B$4+107,"")</f>
        <v/>
      </c>
      <c r="B109" s="10" t="str">
        <f>IF(OR($A109="",1&gt;Controls!$B$6),"",MOD(L108*48271,2147483647))</f>
        <v/>
      </c>
      <c r="C109" s="10" t="str">
        <f>IF(OR($A109="",2&gt;Controls!$B$6),"",MOD(M108*48271,2147483647))</f>
        <v/>
      </c>
      <c r="D109" s="10" t="str">
        <f>IF(OR($A109="",3&gt;Controls!$B$6),"",MOD(N108*48271,2147483647))</f>
        <v/>
      </c>
      <c r="E109" s="10" t="str">
        <f>IF(OR($A109="",4&gt;Controls!$B$6),"",MOD(O108*48271,2147483647))</f>
        <v/>
      </c>
      <c r="F109" s="10" t="str">
        <f>IF(OR($A109="",5&gt;Controls!$B$6),"",MOD(P108*48271,2147483647))</f>
        <v/>
      </c>
      <c r="G109" s="10" t="str">
        <f>IF(OR($A109="",6&gt;Controls!$B$6),"",MOD(Q108*48271,2147483647))</f>
        <v/>
      </c>
      <c r="H109" s="10" t="str">
        <f>IF(OR($A109="",7&gt;Controls!$B$6),"",MOD(R108*48271,2147483647))</f>
        <v/>
      </c>
      <c r="I109" s="10" t="str">
        <f>IF(OR($A109="",8&gt;Controls!$B$6),"",MOD(S108*48271,2147483647))</f>
        <v/>
      </c>
      <c r="J109" s="10" t="str">
        <f>IF(OR($A109="",9&gt;Controls!$B$6),"",MOD(T108*48271,2147483647))</f>
        <v/>
      </c>
      <c r="K109" s="10" t="str">
        <f>IF(OR($A109="",10&gt;Controls!$B$6),"",MOD(U108*48271,2147483647))</f>
        <v/>
      </c>
      <c r="L109" s="10" t="str">
        <f t="shared" ref="L109:U109" si="108">IF(B109="","",MOD(B109*48271,2147483647))</f>
        <v/>
      </c>
      <c r="M109" s="10" t="str">
        <f t="shared" si="108"/>
        <v/>
      </c>
      <c r="N109" s="10" t="str">
        <f t="shared" si="108"/>
        <v/>
      </c>
      <c r="O109" s="10" t="str">
        <f t="shared" si="108"/>
        <v/>
      </c>
      <c r="P109" s="10" t="str">
        <f t="shared" si="108"/>
        <v/>
      </c>
      <c r="Q109" s="10" t="str">
        <f t="shared" si="108"/>
        <v/>
      </c>
      <c r="R109" s="10" t="str">
        <f t="shared" si="108"/>
        <v/>
      </c>
      <c r="S109" s="10" t="str">
        <f t="shared" si="108"/>
        <v/>
      </c>
      <c r="T109" s="10" t="str">
        <f t="shared" si="108"/>
        <v/>
      </c>
      <c r="U109" s="10" t="str">
        <f t="shared" si="108"/>
        <v/>
      </c>
      <c r="V109" s="10" t="str">
        <f>IF(B109="","",IF(Controls!$B$7="Normal",Controls!$B$8+Controls!$B$9*SQRT(-2*LN(B109/2147483647))*COS(2*PI()*L109/2147483647),Controls!$B$8+(Controls!$B$9-Controls!$B$8)*B109/2147483647))</f>
        <v/>
      </c>
      <c r="W109" s="10" t="str">
        <f>IF(C109="","",IF(Controls!$B$7="Normal",Controls!$B$8+Controls!$B$9*SQRT(-2*LN(C109/2147483647))*COS(2*PI()*M109/2147483647),Controls!$B$8+(Controls!$B$9-Controls!$B$8)*C109/2147483647))</f>
        <v/>
      </c>
      <c r="X109" s="10" t="str">
        <f>IF(D109="","",IF(Controls!$B$7="Normal",Controls!$B$8+Controls!$B$9*SQRT(-2*LN(D109/2147483647))*COS(2*PI()*N109/2147483647),Controls!$B$8+(Controls!$B$9-Controls!$B$8)*D109/2147483647))</f>
        <v/>
      </c>
      <c r="Y109" s="10" t="str">
        <f>IF(E109="","",IF(Controls!$B$7="Normal",Controls!$B$8+Controls!$B$9*SQRT(-2*LN(E109/2147483647))*COS(2*PI()*O109/2147483647),Controls!$B$8+(Controls!$B$9-Controls!$B$8)*E109/2147483647))</f>
        <v/>
      </c>
      <c r="Z109" s="10" t="str">
        <f>IF(F109="","",IF(Controls!$B$7="Normal",Controls!$B$8+Controls!$B$9*SQRT(-2*LN(F109/2147483647))*COS(2*PI()*P109/2147483647),Controls!$B$8+(Controls!$B$9-Controls!$B$8)*F109/2147483647))</f>
        <v/>
      </c>
      <c r="AA109" s="10" t="str">
        <f>IF(G109="","",IF(Controls!$B$7="Normal",Controls!$B$8+Controls!$B$9*SQRT(-2*LN(G109/2147483647))*COS(2*PI()*Q109/2147483647),Controls!$B$8+(Controls!$B$9-Controls!$B$8)*G109/2147483647))</f>
        <v/>
      </c>
      <c r="AB109" s="10" t="str">
        <f>IF(H109="","",IF(Controls!$B$7="Normal",Controls!$B$8+Controls!$B$9*SQRT(-2*LN(H109/2147483647))*COS(2*PI()*R109/2147483647),Controls!$B$8+(Controls!$B$9-Controls!$B$8)*H109/2147483647))</f>
        <v/>
      </c>
      <c r="AC109" s="10" t="str">
        <f>IF(I109="","",IF(Controls!$B$7="Normal",Controls!$B$8+Controls!$B$9*SQRT(-2*LN(I109/2147483647))*COS(2*PI()*S109/2147483647),Controls!$B$8+(Controls!$B$9-Controls!$B$8)*I109/2147483647))</f>
        <v/>
      </c>
      <c r="AD109" s="10" t="str">
        <f>IF(J109="","",IF(Controls!$B$7="Normal",Controls!$B$8+Controls!$B$9*SQRT(-2*LN(J109/2147483647))*COS(2*PI()*T109/2147483647),Controls!$B$8+(Controls!$B$9-Controls!$B$8)*J109/2147483647))</f>
        <v/>
      </c>
      <c r="AE109" s="10" t="str">
        <f>IF(K109="","",IF(Controls!$B$7="Normal",Controls!$B$8+Controls!$B$9*SQRT(-2*LN(K109/2147483647))*COS(2*PI()*U109/2147483647),Controls!$B$8+(Controls!$B$9-Controls!$B$8)*K109/2147483647))</f>
        <v/>
      </c>
    </row>
    <row r="110" ht="21.0" customHeight="1">
      <c r="A110" s="7" t="str">
        <f>IF(109&lt;=Controls!$B$5,Controls!$B$4+108,"")</f>
        <v/>
      </c>
      <c r="B110" s="10" t="str">
        <f>IF(OR($A110="",1&gt;Controls!$B$6),"",MOD(L109*48271,2147483647))</f>
        <v/>
      </c>
      <c r="C110" s="10" t="str">
        <f>IF(OR($A110="",2&gt;Controls!$B$6),"",MOD(M109*48271,2147483647))</f>
        <v/>
      </c>
      <c r="D110" s="10" t="str">
        <f>IF(OR($A110="",3&gt;Controls!$B$6),"",MOD(N109*48271,2147483647))</f>
        <v/>
      </c>
      <c r="E110" s="10" t="str">
        <f>IF(OR($A110="",4&gt;Controls!$B$6),"",MOD(O109*48271,2147483647))</f>
        <v/>
      </c>
      <c r="F110" s="10" t="str">
        <f>IF(OR($A110="",5&gt;Controls!$B$6),"",MOD(P109*48271,2147483647))</f>
        <v/>
      </c>
      <c r="G110" s="10" t="str">
        <f>IF(OR($A110="",6&gt;Controls!$B$6),"",MOD(Q109*48271,2147483647))</f>
        <v/>
      </c>
      <c r="H110" s="10" t="str">
        <f>IF(OR($A110="",7&gt;Controls!$B$6),"",MOD(R109*48271,2147483647))</f>
        <v/>
      </c>
      <c r="I110" s="10" t="str">
        <f>IF(OR($A110="",8&gt;Controls!$B$6),"",MOD(S109*48271,2147483647))</f>
        <v/>
      </c>
      <c r="J110" s="10" t="str">
        <f>IF(OR($A110="",9&gt;Controls!$B$6),"",MOD(T109*48271,2147483647))</f>
        <v/>
      </c>
      <c r="K110" s="10" t="str">
        <f>IF(OR($A110="",10&gt;Controls!$B$6),"",MOD(U109*48271,2147483647))</f>
        <v/>
      </c>
      <c r="L110" s="10" t="str">
        <f t="shared" ref="L110:U110" si="109">IF(B110="","",MOD(B110*48271,2147483647))</f>
        <v/>
      </c>
      <c r="M110" s="10" t="str">
        <f t="shared" si="109"/>
        <v/>
      </c>
      <c r="N110" s="10" t="str">
        <f t="shared" si="109"/>
        <v/>
      </c>
      <c r="O110" s="10" t="str">
        <f t="shared" si="109"/>
        <v/>
      </c>
      <c r="P110" s="10" t="str">
        <f t="shared" si="109"/>
        <v/>
      </c>
      <c r="Q110" s="10" t="str">
        <f t="shared" si="109"/>
        <v/>
      </c>
      <c r="R110" s="10" t="str">
        <f t="shared" si="109"/>
        <v/>
      </c>
      <c r="S110" s="10" t="str">
        <f t="shared" si="109"/>
        <v/>
      </c>
      <c r="T110" s="10" t="str">
        <f t="shared" si="109"/>
        <v/>
      </c>
      <c r="U110" s="10" t="str">
        <f t="shared" si="109"/>
        <v/>
      </c>
      <c r="V110" s="10" t="str">
        <f>IF(B110="","",IF(Controls!$B$7="Normal",Controls!$B$8+Controls!$B$9*SQRT(-2*LN(B110/2147483647))*COS(2*PI()*L110/2147483647),Controls!$B$8+(Controls!$B$9-Controls!$B$8)*B110/2147483647))</f>
        <v/>
      </c>
      <c r="W110" s="10" t="str">
        <f>IF(C110="","",IF(Controls!$B$7="Normal",Controls!$B$8+Controls!$B$9*SQRT(-2*LN(C110/2147483647))*COS(2*PI()*M110/2147483647),Controls!$B$8+(Controls!$B$9-Controls!$B$8)*C110/2147483647))</f>
        <v/>
      </c>
      <c r="X110" s="10" t="str">
        <f>IF(D110="","",IF(Controls!$B$7="Normal",Controls!$B$8+Controls!$B$9*SQRT(-2*LN(D110/2147483647))*COS(2*PI()*N110/2147483647),Controls!$B$8+(Controls!$B$9-Controls!$B$8)*D110/2147483647))</f>
        <v/>
      </c>
      <c r="Y110" s="10" t="str">
        <f>IF(E110="","",IF(Controls!$B$7="Normal",Controls!$B$8+Controls!$B$9*SQRT(-2*LN(E110/2147483647))*COS(2*PI()*O110/2147483647),Controls!$B$8+(Controls!$B$9-Controls!$B$8)*E110/2147483647))</f>
        <v/>
      </c>
      <c r="Z110" s="10" t="str">
        <f>IF(F110="","",IF(Controls!$B$7="Normal",Controls!$B$8+Controls!$B$9*SQRT(-2*LN(F110/2147483647))*COS(2*PI()*P110/2147483647),Controls!$B$8+(Controls!$B$9-Controls!$B$8)*F110/2147483647))</f>
        <v/>
      </c>
      <c r="AA110" s="10" t="str">
        <f>IF(G110="","",IF(Controls!$B$7="Normal",Controls!$B$8+Controls!$B$9*SQRT(-2*LN(G110/2147483647))*COS(2*PI()*Q110/2147483647),Controls!$B$8+(Controls!$B$9-Controls!$B$8)*G110/2147483647))</f>
        <v/>
      </c>
      <c r="AB110" s="10" t="str">
        <f>IF(H110="","",IF(Controls!$B$7="Normal",Controls!$B$8+Controls!$B$9*SQRT(-2*LN(H110/2147483647))*COS(2*PI()*R110/2147483647),Controls!$B$8+(Controls!$B$9-Controls!$B$8)*H110/2147483647))</f>
        <v/>
      </c>
      <c r="AC110" s="10" t="str">
        <f>IF(I110="","",IF(Controls!$B$7="Normal",Controls!$B$8+Controls!$B$9*SQRT(-2*LN(I110/2147483647))*COS(2*PI()*S110/2147483647),Controls!$B$8+(Controls!$B$9-Controls!$B$8)*I110/2147483647))</f>
        <v/>
      </c>
      <c r="AD110" s="10" t="str">
        <f>IF(J110="","",IF(Controls!$B$7="Normal",Controls!$B$8+Controls!$B$9*SQRT(-2*LN(J110/2147483647))*COS(2*PI()*T110/2147483647),Controls!$B$8+(Controls!$B$9-Controls!$B$8)*J110/2147483647))</f>
        <v/>
      </c>
      <c r="AE110" s="10" t="str">
        <f>IF(K110="","",IF(Controls!$B$7="Normal",Controls!$B$8+Controls!$B$9*SQRT(-2*LN(K110/2147483647))*COS(2*PI()*U110/2147483647),Controls!$B$8+(Controls!$B$9-Controls!$B$8)*K110/2147483647))</f>
        <v/>
      </c>
    </row>
    <row r="111" ht="21.0" customHeight="1">
      <c r="A111" s="7" t="str">
        <f>IF(110&lt;=Controls!$B$5,Controls!$B$4+109,"")</f>
        <v/>
      </c>
      <c r="B111" s="10" t="str">
        <f>IF(OR($A111="",1&gt;Controls!$B$6),"",MOD(L110*48271,2147483647))</f>
        <v/>
      </c>
      <c r="C111" s="10" t="str">
        <f>IF(OR($A111="",2&gt;Controls!$B$6),"",MOD(M110*48271,2147483647))</f>
        <v/>
      </c>
      <c r="D111" s="10" t="str">
        <f>IF(OR($A111="",3&gt;Controls!$B$6),"",MOD(N110*48271,2147483647))</f>
        <v/>
      </c>
      <c r="E111" s="10" t="str">
        <f>IF(OR($A111="",4&gt;Controls!$B$6),"",MOD(O110*48271,2147483647))</f>
        <v/>
      </c>
      <c r="F111" s="10" t="str">
        <f>IF(OR($A111="",5&gt;Controls!$B$6),"",MOD(P110*48271,2147483647))</f>
        <v/>
      </c>
      <c r="G111" s="10" t="str">
        <f>IF(OR($A111="",6&gt;Controls!$B$6),"",MOD(Q110*48271,2147483647))</f>
        <v/>
      </c>
      <c r="H111" s="10" t="str">
        <f>IF(OR($A111="",7&gt;Controls!$B$6),"",MOD(R110*48271,2147483647))</f>
        <v/>
      </c>
      <c r="I111" s="10" t="str">
        <f>IF(OR($A111="",8&gt;Controls!$B$6),"",MOD(S110*48271,2147483647))</f>
        <v/>
      </c>
      <c r="J111" s="10" t="str">
        <f>IF(OR($A111="",9&gt;Controls!$B$6),"",MOD(T110*48271,2147483647))</f>
        <v/>
      </c>
      <c r="K111" s="10" t="str">
        <f>IF(OR($A111="",10&gt;Controls!$B$6),"",MOD(U110*48271,2147483647))</f>
        <v/>
      </c>
      <c r="L111" s="10" t="str">
        <f t="shared" ref="L111:U111" si="110">IF(B111="","",MOD(B111*48271,2147483647))</f>
        <v/>
      </c>
      <c r="M111" s="10" t="str">
        <f t="shared" si="110"/>
        <v/>
      </c>
      <c r="N111" s="10" t="str">
        <f t="shared" si="110"/>
        <v/>
      </c>
      <c r="O111" s="10" t="str">
        <f t="shared" si="110"/>
        <v/>
      </c>
      <c r="P111" s="10" t="str">
        <f t="shared" si="110"/>
        <v/>
      </c>
      <c r="Q111" s="10" t="str">
        <f t="shared" si="110"/>
        <v/>
      </c>
      <c r="R111" s="10" t="str">
        <f t="shared" si="110"/>
        <v/>
      </c>
      <c r="S111" s="10" t="str">
        <f t="shared" si="110"/>
        <v/>
      </c>
      <c r="T111" s="10" t="str">
        <f t="shared" si="110"/>
        <v/>
      </c>
      <c r="U111" s="10" t="str">
        <f t="shared" si="110"/>
        <v/>
      </c>
      <c r="V111" s="10" t="str">
        <f>IF(B111="","",IF(Controls!$B$7="Normal",Controls!$B$8+Controls!$B$9*SQRT(-2*LN(B111/2147483647))*COS(2*PI()*L111/2147483647),Controls!$B$8+(Controls!$B$9-Controls!$B$8)*B111/2147483647))</f>
        <v/>
      </c>
      <c r="W111" s="10" t="str">
        <f>IF(C111="","",IF(Controls!$B$7="Normal",Controls!$B$8+Controls!$B$9*SQRT(-2*LN(C111/2147483647))*COS(2*PI()*M111/2147483647),Controls!$B$8+(Controls!$B$9-Controls!$B$8)*C111/2147483647))</f>
        <v/>
      </c>
      <c r="X111" s="10" t="str">
        <f>IF(D111="","",IF(Controls!$B$7="Normal",Controls!$B$8+Controls!$B$9*SQRT(-2*LN(D111/2147483647))*COS(2*PI()*N111/2147483647),Controls!$B$8+(Controls!$B$9-Controls!$B$8)*D111/2147483647))</f>
        <v/>
      </c>
      <c r="Y111" s="10" t="str">
        <f>IF(E111="","",IF(Controls!$B$7="Normal",Controls!$B$8+Controls!$B$9*SQRT(-2*LN(E111/2147483647))*COS(2*PI()*O111/2147483647),Controls!$B$8+(Controls!$B$9-Controls!$B$8)*E111/2147483647))</f>
        <v/>
      </c>
      <c r="Z111" s="10" t="str">
        <f>IF(F111="","",IF(Controls!$B$7="Normal",Controls!$B$8+Controls!$B$9*SQRT(-2*LN(F111/2147483647))*COS(2*PI()*P111/2147483647),Controls!$B$8+(Controls!$B$9-Controls!$B$8)*F111/2147483647))</f>
        <v/>
      </c>
      <c r="AA111" s="10" t="str">
        <f>IF(G111="","",IF(Controls!$B$7="Normal",Controls!$B$8+Controls!$B$9*SQRT(-2*LN(G111/2147483647))*COS(2*PI()*Q111/2147483647),Controls!$B$8+(Controls!$B$9-Controls!$B$8)*G111/2147483647))</f>
        <v/>
      </c>
      <c r="AB111" s="10" t="str">
        <f>IF(H111="","",IF(Controls!$B$7="Normal",Controls!$B$8+Controls!$B$9*SQRT(-2*LN(H111/2147483647))*COS(2*PI()*R111/2147483647),Controls!$B$8+(Controls!$B$9-Controls!$B$8)*H111/2147483647))</f>
        <v/>
      </c>
      <c r="AC111" s="10" t="str">
        <f>IF(I111="","",IF(Controls!$B$7="Normal",Controls!$B$8+Controls!$B$9*SQRT(-2*LN(I111/2147483647))*COS(2*PI()*S111/2147483647),Controls!$B$8+(Controls!$B$9-Controls!$B$8)*I111/2147483647))</f>
        <v/>
      </c>
      <c r="AD111" s="10" t="str">
        <f>IF(J111="","",IF(Controls!$B$7="Normal",Controls!$B$8+Controls!$B$9*SQRT(-2*LN(J111/2147483647))*COS(2*PI()*T111/2147483647),Controls!$B$8+(Controls!$B$9-Controls!$B$8)*J111/2147483647))</f>
        <v/>
      </c>
      <c r="AE111" s="10" t="str">
        <f>IF(K111="","",IF(Controls!$B$7="Normal",Controls!$B$8+Controls!$B$9*SQRT(-2*LN(K111/2147483647))*COS(2*PI()*U111/2147483647),Controls!$B$8+(Controls!$B$9-Controls!$B$8)*K111/2147483647))</f>
        <v/>
      </c>
    </row>
    <row r="112" ht="21.0" customHeight="1">
      <c r="A112" s="7" t="str">
        <f>IF(111&lt;=Controls!$B$5,Controls!$B$4+110,"")</f>
        <v/>
      </c>
      <c r="B112" s="10" t="str">
        <f>IF(OR($A112="",1&gt;Controls!$B$6),"",MOD(L111*48271,2147483647))</f>
        <v/>
      </c>
      <c r="C112" s="10" t="str">
        <f>IF(OR($A112="",2&gt;Controls!$B$6),"",MOD(M111*48271,2147483647))</f>
        <v/>
      </c>
      <c r="D112" s="10" t="str">
        <f>IF(OR($A112="",3&gt;Controls!$B$6),"",MOD(N111*48271,2147483647))</f>
        <v/>
      </c>
      <c r="E112" s="10" t="str">
        <f>IF(OR($A112="",4&gt;Controls!$B$6),"",MOD(O111*48271,2147483647))</f>
        <v/>
      </c>
      <c r="F112" s="10" t="str">
        <f>IF(OR($A112="",5&gt;Controls!$B$6),"",MOD(P111*48271,2147483647))</f>
        <v/>
      </c>
      <c r="G112" s="10" t="str">
        <f>IF(OR($A112="",6&gt;Controls!$B$6),"",MOD(Q111*48271,2147483647))</f>
        <v/>
      </c>
      <c r="H112" s="10" t="str">
        <f>IF(OR($A112="",7&gt;Controls!$B$6),"",MOD(R111*48271,2147483647))</f>
        <v/>
      </c>
      <c r="I112" s="10" t="str">
        <f>IF(OR($A112="",8&gt;Controls!$B$6),"",MOD(S111*48271,2147483647))</f>
        <v/>
      </c>
      <c r="J112" s="10" t="str">
        <f>IF(OR($A112="",9&gt;Controls!$B$6),"",MOD(T111*48271,2147483647))</f>
        <v/>
      </c>
      <c r="K112" s="10" t="str">
        <f>IF(OR($A112="",10&gt;Controls!$B$6),"",MOD(U111*48271,2147483647))</f>
        <v/>
      </c>
      <c r="L112" s="10" t="str">
        <f t="shared" ref="L112:U112" si="111">IF(B112="","",MOD(B112*48271,2147483647))</f>
        <v/>
      </c>
      <c r="M112" s="10" t="str">
        <f t="shared" si="111"/>
        <v/>
      </c>
      <c r="N112" s="10" t="str">
        <f t="shared" si="111"/>
        <v/>
      </c>
      <c r="O112" s="10" t="str">
        <f t="shared" si="111"/>
        <v/>
      </c>
      <c r="P112" s="10" t="str">
        <f t="shared" si="111"/>
        <v/>
      </c>
      <c r="Q112" s="10" t="str">
        <f t="shared" si="111"/>
        <v/>
      </c>
      <c r="R112" s="10" t="str">
        <f t="shared" si="111"/>
        <v/>
      </c>
      <c r="S112" s="10" t="str">
        <f t="shared" si="111"/>
        <v/>
      </c>
      <c r="T112" s="10" t="str">
        <f t="shared" si="111"/>
        <v/>
      </c>
      <c r="U112" s="10" t="str">
        <f t="shared" si="111"/>
        <v/>
      </c>
      <c r="V112" s="10" t="str">
        <f>IF(B112="","",IF(Controls!$B$7="Normal",Controls!$B$8+Controls!$B$9*SQRT(-2*LN(B112/2147483647))*COS(2*PI()*L112/2147483647),Controls!$B$8+(Controls!$B$9-Controls!$B$8)*B112/2147483647))</f>
        <v/>
      </c>
      <c r="W112" s="10" t="str">
        <f>IF(C112="","",IF(Controls!$B$7="Normal",Controls!$B$8+Controls!$B$9*SQRT(-2*LN(C112/2147483647))*COS(2*PI()*M112/2147483647),Controls!$B$8+(Controls!$B$9-Controls!$B$8)*C112/2147483647))</f>
        <v/>
      </c>
      <c r="X112" s="10" t="str">
        <f>IF(D112="","",IF(Controls!$B$7="Normal",Controls!$B$8+Controls!$B$9*SQRT(-2*LN(D112/2147483647))*COS(2*PI()*N112/2147483647),Controls!$B$8+(Controls!$B$9-Controls!$B$8)*D112/2147483647))</f>
        <v/>
      </c>
      <c r="Y112" s="10" t="str">
        <f>IF(E112="","",IF(Controls!$B$7="Normal",Controls!$B$8+Controls!$B$9*SQRT(-2*LN(E112/2147483647))*COS(2*PI()*O112/2147483647),Controls!$B$8+(Controls!$B$9-Controls!$B$8)*E112/2147483647))</f>
        <v/>
      </c>
      <c r="Z112" s="10" t="str">
        <f>IF(F112="","",IF(Controls!$B$7="Normal",Controls!$B$8+Controls!$B$9*SQRT(-2*LN(F112/2147483647))*COS(2*PI()*P112/2147483647),Controls!$B$8+(Controls!$B$9-Controls!$B$8)*F112/2147483647))</f>
        <v/>
      </c>
      <c r="AA112" s="10" t="str">
        <f>IF(G112="","",IF(Controls!$B$7="Normal",Controls!$B$8+Controls!$B$9*SQRT(-2*LN(G112/2147483647))*COS(2*PI()*Q112/2147483647),Controls!$B$8+(Controls!$B$9-Controls!$B$8)*G112/2147483647))</f>
        <v/>
      </c>
      <c r="AB112" s="10" t="str">
        <f>IF(H112="","",IF(Controls!$B$7="Normal",Controls!$B$8+Controls!$B$9*SQRT(-2*LN(H112/2147483647))*COS(2*PI()*R112/2147483647),Controls!$B$8+(Controls!$B$9-Controls!$B$8)*H112/2147483647))</f>
        <v/>
      </c>
      <c r="AC112" s="10" t="str">
        <f>IF(I112="","",IF(Controls!$B$7="Normal",Controls!$B$8+Controls!$B$9*SQRT(-2*LN(I112/2147483647))*COS(2*PI()*S112/2147483647),Controls!$B$8+(Controls!$B$9-Controls!$B$8)*I112/2147483647))</f>
        <v/>
      </c>
      <c r="AD112" s="10" t="str">
        <f>IF(J112="","",IF(Controls!$B$7="Normal",Controls!$B$8+Controls!$B$9*SQRT(-2*LN(J112/2147483647))*COS(2*PI()*T112/2147483647),Controls!$B$8+(Controls!$B$9-Controls!$B$8)*J112/2147483647))</f>
        <v/>
      </c>
      <c r="AE112" s="10" t="str">
        <f>IF(K112="","",IF(Controls!$B$7="Normal",Controls!$B$8+Controls!$B$9*SQRT(-2*LN(K112/2147483647))*COS(2*PI()*U112/2147483647),Controls!$B$8+(Controls!$B$9-Controls!$B$8)*K112/2147483647))</f>
        <v/>
      </c>
    </row>
    <row r="113" ht="21.0" customHeight="1">
      <c r="A113" s="7" t="str">
        <f>IF(112&lt;=Controls!$B$5,Controls!$B$4+111,"")</f>
        <v/>
      </c>
      <c r="B113" s="10" t="str">
        <f>IF(OR($A113="",1&gt;Controls!$B$6),"",MOD(L112*48271,2147483647))</f>
        <v/>
      </c>
      <c r="C113" s="10" t="str">
        <f>IF(OR($A113="",2&gt;Controls!$B$6),"",MOD(M112*48271,2147483647))</f>
        <v/>
      </c>
      <c r="D113" s="10" t="str">
        <f>IF(OR($A113="",3&gt;Controls!$B$6),"",MOD(N112*48271,2147483647))</f>
        <v/>
      </c>
      <c r="E113" s="10" t="str">
        <f>IF(OR($A113="",4&gt;Controls!$B$6),"",MOD(O112*48271,2147483647))</f>
        <v/>
      </c>
      <c r="F113" s="10" t="str">
        <f>IF(OR($A113="",5&gt;Controls!$B$6),"",MOD(P112*48271,2147483647))</f>
        <v/>
      </c>
      <c r="G113" s="10" t="str">
        <f>IF(OR($A113="",6&gt;Controls!$B$6),"",MOD(Q112*48271,2147483647))</f>
        <v/>
      </c>
      <c r="H113" s="10" t="str">
        <f>IF(OR($A113="",7&gt;Controls!$B$6),"",MOD(R112*48271,2147483647))</f>
        <v/>
      </c>
      <c r="I113" s="10" t="str">
        <f>IF(OR($A113="",8&gt;Controls!$B$6),"",MOD(S112*48271,2147483647))</f>
        <v/>
      </c>
      <c r="J113" s="10" t="str">
        <f>IF(OR($A113="",9&gt;Controls!$B$6),"",MOD(T112*48271,2147483647))</f>
        <v/>
      </c>
      <c r="K113" s="10" t="str">
        <f>IF(OR($A113="",10&gt;Controls!$B$6),"",MOD(U112*48271,2147483647))</f>
        <v/>
      </c>
      <c r="L113" s="10" t="str">
        <f t="shared" ref="L113:U113" si="112">IF(B113="","",MOD(B113*48271,2147483647))</f>
        <v/>
      </c>
      <c r="M113" s="10" t="str">
        <f t="shared" si="112"/>
        <v/>
      </c>
      <c r="N113" s="10" t="str">
        <f t="shared" si="112"/>
        <v/>
      </c>
      <c r="O113" s="10" t="str">
        <f t="shared" si="112"/>
        <v/>
      </c>
      <c r="P113" s="10" t="str">
        <f t="shared" si="112"/>
        <v/>
      </c>
      <c r="Q113" s="10" t="str">
        <f t="shared" si="112"/>
        <v/>
      </c>
      <c r="R113" s="10" t="str">
        <f t="shared" si="112"/>
        <v/>
      </c>
      <c r="S113" s="10" t="str">
        <f t="shared" si="112"/>
        <v/>
      </c>
      <c r="T113" s="10" t="str">
        <f t="shared" si="112"/>
        <v/>
      </c>
      <c r="U113" s="10" t="str">
        <f t="shared" si="112"/>
        <v/>
      </c>
      <c r="V113" s="10" t="str">
        <f>IF(B113="","",IF(Controls!$B$7="Normal",Controls!$B$8+Controls!$B$9*SQRT(-2*LN(B113/2147483647))*COS(2*PI()*L113/2147483647),Controls!$B$8+(Controls!$B$9-Controls!$B$8)*B113/2147483647))</f>
        <v/>
      </c>
      <c r="W113" s="10" t="str">
        <f>IF(C113="","",IF(Controls!$B$7="Normal",Controls!$B$8+Controls!$B$9*SQRT(-2*LN(C113/2147483647))*COS(2*PI()*M113/2147483647),Controls!$B$8+(Controls!$B$9-Controls!$B$8)*C113/2147483647))</f>
        <v/>
      </c>
      <c r="X113" s="10" t="str">
        <f>IF(D113="","",IF(Controls!$B$7="Normal",Controls!$B$8+Controls!$B$9*SQRT(-2*LN(D113/2147483647))*COS(2*PI()*N113/2147483647),Controls!$B$8+(Controls!$B$9-Controls!$B$8)*D113/2147483647))</f>
        <v/>
      </c>
      <c r="Y113" s="10" t="str">
        <f>IF(E113="","",IF(Controls!$B$7="Normal",Controls!$B$8+Controls!$B$9*SQRT(-2*LN(E113/2147483647))*COS(2*PI()*O113/2147483647),Controls!$B$8+(Controls!$B$9-Controls!$B$8)*E113/2147483647))</f>
        <v/>
      </c>
      <c r="Z113" s="10" t="str">
        <f>IF(F113="","",IF(Controls!$B$7="Normal",Controls!$B$8+Controls!$B$9*SQRT(-2*LN(F113/2147483647))*COS(2*PI()*P113/2147483647),Controls!$B$8+(Controls!$B$9-Controls!$B$8)*F113/2147483647))</f>
        <v/>
      </c>
      <c r="AA113" s="10" t="str">
        <f>IF(G113="","",IF(Controls!$B$7="Normal",Controls!$B$8+Controls!$B$9*SQRT(-2*LN(G113/2147483647))*COS(2*PI()*Q113/2147483647),Controls!$B$8+(Controls!$B$9-Controls!$B$8)*G113/2147483647))</f>
        <v/>
      </c>
      <c r="AB113" s="10" t="str">
        <f>IF(H113="","",IF(Controls!$B$7="Normal",Controls!$B$8+Controls!$B$9*SQRT(-2*LN(H113/2147483647))*COS(2*PI()*R113/2147483647),Controls!$B$8+(Controls!$B$9-Controls!$B$8)*H113/2147483647))</f>
        <v/>
      </c>
      <c r="AC113" s="10" t="str">
        <f>IF(I113="","",IF(Controls!$B$7="Normal",Controls!$B$8+Controls!$B$9*SQRT(-2*LN(I113/2147483647))*COS(2*PI()*S113/2147483647),Controls!$B$8+(Controls!$B$9-Controls!$B$8)*I113/2147483647))</f>
        <v/>
      </c>
      <c r="AD113" s="10" t="str">
        <f>IF(J113="","",IF(Controls!$B$7="Normal",Controls!$B$8+Controls!$B$9*SQRT(-2*LN(J113/2147483647))*COS(2*PI()*T113/2147483647),Controls!$B$8+(Controls!$B$9-Controls!$B$8)*J113/2147483647))</f>
        <v/>
      </c>
      <c r="AE113" s="10" t="str">
        <f>IF(K113="","",IF(Controls!$B$7="Normal",Controls!$B$8+Controls!$B$9*SQRT(-2*LN(K113/2147483647))*COS(2*PI()*U113/2147483647),Controls!$B$8+(Controls!$B$9-Controls!$B$8)*K113/2147483647))</f>
        <v/>
      </c>
    </row>
    <row r="114" ht="21.0" customHeight="1">
      <c r="A114" s="7" t="str">
        <f>IF(113&lt;=Controls!$B$5,Controls!$B$4+112,"")</f>
        <v/>
      </c>
      <c r="B114" s="10" t="str">
        <f>IF(OR($A114="",1&gt;Controls!$B$6),"",MOD(L113*48271,2147483647))</f>
        <v/>
      </c>
      <c r="C114" s="10" t="str">
        <f>IF(OR($A114="",2&gt;Controls!$B$6),"",MOD(M113*48271,2147483647))</f>
        <v/>
      </c>
      <c r="D114" s="10" t="str">
        <f>IF(OR($A114="",3&gt;Controls!$B$6),"",MOD(N113*48271,2147483647))</f>
        <v/>
      </c>
      <c r="E114" s="10" t="str">
        <f>IF(OR($A114="",4&gt;Controls!$B$6),"",MOD(O113*48271,2147483647))</f>
        <v/>
      </c>
      <c r="F114" s="10" t="str">
        <f>IF(OR($A114="",5&gt;Controls!$B$6),"",MOD(P113*48271,2147483647))</f>
        <v/>
      </c>
      <c r="G114" s="10" t="str">
        <f>IF(OR($A114="",6&gt;Controls!$B$6),"",MOD(Q113*48271,2147483647))</f>
        <v/>
      </c>
      <c r="H114" s="10" t="str">
        <f>IF(OR($A114="",7&gt;Controls!$B$6),"",MOD(R113*48271,2147483647))</f>
        <v/>
      </c>
      <c r="I114" s="10" t="str">
        <f>IF(OR($A114="",8&gt;Controls!$B$6),"",MOD(S113*48271,2147483647))</f>
        <v/>
      </c>
      <c r="J114" s="10" t="str">
        <f>IF(OR($A114="",9&gt;Controls!$B$6),"",MOD(T113*48271,2147483647))</f>
        <v/>
      </c>
      <c r="K114" s="10" t="str">
        <f>IF(OR($A114="",10&gt;Controls!$B$6),"",MOD(U113*48271,2147483647))</f>
        <v/>
      </c>
      <c r="L114" s="10" t="str">
        <f t="shared" ref="L114:U114" si="113">IF(B114="","",MOD(B114*48271,2147483647))</f>
        <v/>
      </c>
      <c r="M114" s="10" t="str">
        <f t="shared" si="113"/>
        <v/>
      </c>
      <c r="N114" s="10" t="str">
        <f t="shared" si="113"/>
        <v/>
      </c>
      <c r="O114" s="10" t="str">
        <f t="shared" si="113"/>
        <v/>
      </c>
      <c r="P114" s="10" t="str">
        <f t="shared" si="113"/>
        <v/>
      </c>
      <c r="Q114" s="10" t="str">
        <f t="shared" si="113"/>
        <v/>
      </c>
      <c r="R114" s="10" t="str">
        <f t="shared" si="113"/>
        <v/>
      </c>
      <c r="S114" s="10" t="str">
        <f t="shared" si="113"/>
        <v/>
      </c>
      <c r="T114" s="10" t="str">
        <f t="shared" si="113"/>
        <v/>
      </c>
      <c r="U114" s="10" t="str">
        <f t="shared" si="113"/>
        <v/>
      </c>
      <c r="V114" s="10" t="str">
        <f>IF(B114="","",IF(Controls!$B$7="Normal",Controls!$B$8+Controls!$B$9*SQRT(-2*LN(B114/2147483647))*COS(2*PI()*L114/2147483647),Controls!$B$8+(Controls!$B$9-Controls!$B$8)*B114/2147483647))</f>
        <v/>
      </c>
      <c r="W114" s="10" t="str">
        <f>IF(C114="","",IF(Controls!$B$7="Normal",Controls!$B$8+Controls!$B$9*SQRT(-2*LN(C114/2147483647))*COS(2*PI()*M114/2147483647),Controls!$B$8+(Controls!$B$9-Controls!$B$8)*C114/2147483647))</f>
        <v/>
      </c>
      <c r="X114" s="10" t="str">
        <f>IF(D114="","",IF(Controls!$B$7="Normal",Controls!$B$8+Controls!$B$9*SQRT(-2*LN(D114/2147483647))*COS(2*PI()*N114/2147483647),Controls!$B$8+(Controls!$B$9-Controls!$B$8)*D114/2147483647))</f>
        <v/>
      </c>
      <c r="Y114" s="10" t="str">
        <f>IF(E114="","",IF(Controls!$B$7="Normal",Controls!$B$8+Controls!$B$9*SQRT(-2*LN(E114/2147483647))*COS(2*PI()*O114/2147483647),Controls!$B$8+(Controls!$B$9-Controls!$B$8)*E114/2147483647))</f>
        <v/>
      </c>
      <c r="Z114" s="10" t="str">
        <f>IF(F114="","",IF(Controls!$B$7="Normal",Controls!$B$8+Controls!$B$9*SQRT(-2*LN(F114/2147483647))*COS(2*PI()*P114/2147483647),Controls!$B$8+(Controls!$B$9-Controls!$B$8)*F114/2147483647))</f>
        <v/>
      </c>
      <c r="AA114" s="10" t="str">
        <f>IF(G114="","",IF(Controls!$B$7="Normal",Controls!$B$8+Controls!$B$9*SQRT(-2*LN(G114/2147483647))*COS(2*PI()*Q114/2147483647),Controls!$B$8+(Controls!$B$9-Controls!$B$8)*G114/2147483647))</f>
        <v/>
      </c>
      <c r="AB114" s="10" t="str">
        <f>IF(H114="","",IF(Controls!$B$7="Normal",Controls!$B$8+Controls!$B$9*SQRT(-2*LN(H114/2147483647))*COS(2*PI()*R114/2147483647),Controls!$B$8+(Controls!$B$9-Controls!$B$8)*H114/2147483647))</f>
        <v/>
      </c>
      <c r="AC114" s="10" t="str">
        <f>IF(I114="","",IF(Controls!$B$7="Normal",Controls!$B$8+Controls!$B$9*SQRT(-2*LN(I114/2147483647))*COS(2*PI()*S114/2147483647),Controls!$B$8+(Controls!$B$9-Controls!$B$8)*I114/2147483647))</f>
        <v/>
      </c>
      <c r="AD114" s="10" t="str">
        <f>IF(J114="","",IF(Controls!$B$7="Normal",Controls!$B$8+Controls!$B$9*SQRT(-2*LN(J114/2147483647))*COS(2*PI()*T114/2147483647),Controls!$B$8+(Controls!$B$9-Controls!$B$8)*J114/2147483647))</f>
        <v/>
      </c>
      <c r="AE114" s="10" t="str">
        <f>IF(K114="","",IF(Controls!$B$7="Normal",Controls!$B$8+Controls!$B$9*SQRT(-2*LN(K114/2147483647))*COS(2*PI()*U114/2147483647),Controls!$B$8+(Controls!$B$9-Controls!$B$8)*K114/2147483647))</f>
        <v/>
      </c>
    </row>
    <row r="115" ht="21.0" customHeight="1">
      <c r="A115" s="7" t="str">
        <f>IF(114&lt;=Controls!$B$5,Controls!$B$4+113,"")</f>
        <v/>
      </c>
      <c r="B115" s="10" t="str">
        <f>IF(OR($A115="",1&gt;Controls!$B$6),"",MOD(L114*48271,2147483647))</f>
        <v/>
      </c>
      <c r="C115" s="10" t="str">
        <f>IF(OR($A115="",2&gt;Controls!$B$6),"",MOD(M114*48271,2147483647))</f>
        <v/>
      </c>
      <c r="D115" s="10" t="str">
        <f>IF(OR($A115="",3&gt;Controls!$B$6),"",MOD(N114*48271,2147483647))</f>
        <v/>
      </c>
      <c r="E115" s="10" t="str">
        <f>IF(OR($A115="",4&gt;Controls!$B$6),"",MOD(O114*48271,2147483647))</f>
        <v/>
      </c>
      <c r="F115" s="10" t="str">
        <f>IF(OR($A115="",5&gt;Controls!$B$6),"",MOD(P114*48271,2147483647))</f>
        <v/>
      </c>
      <c r="G115" s="10" t="str">
        <f>IF(OR($A115="",6&gt;Controls!$B$6),"",MOD(Q114*48271,2147483647))</f>
        <v/>
      </c>
      <c r="H115" s="10" t="str">
        <f>IF(OR($A115="",7&gt;Controls!$B$6),"",MOD(R114*48271,2147483647))</f>
        <v/>
      </c>
      <c r="I115" s="10" t="str">
        <f>IF(OR($A115="",8&gt;Controls!$B$6),"",MOD(S114*48271,2147483647))</f>
        <v/>
      </c>
      <c r="J115" s="10" t="str">
        <f>IF(OR($A115="",9&gt;Controls!$B$6),"",MOD(T114*48271,2147483647))</f>
        <v/>
      </c>
      <c r="K115" s="10" t="str">
        <f>IF(OR($A115="",10&gt;Controls!$B$6),"",MOD(U114*48271,2147483647))</f>
        <v/>
      </c>
      <c r="L115" s="10" t="str">
        <f t="shared" ref="L115:U115" si="114">IF(B115="","",MOD(B115*48271,2147483647))</f>
        <v/>
      </c>
      <c r="M115" s="10" t="str">
        <f t="shared" si="114"/>
        <v/>
      </c>
      <c r="N115" s="10" t="str">
        <f t="shared" si="114"/>
        <v/>
      </c>
      <c r="O115" s="10" t="str">
        <f t="shared" si="114"/>
        <v/>
      </c>
      <c r="P115" s="10" t="str">
        <f t="shared" si="114"/>
        <v/>
      </c>
      <c r="Q115" s="10" t="str">
        <f t="shared" si="114"/>
        <v/>
      </c>
      <c r="R115" s="10" t="str">
        <f t="shared" si="114"/>
        <v/>
      </c>
      <c r="S115" s="10" t="str">
        <f t="shared" si="114"/>
        <v/>
      </c>
      <c r="T115" s="10" t="str">
        <f t="shared" si="114"/>
        <v/>
      </c>
      <c r="U115" s="10" t="str">
        <f t="shared" si="114"/>
        <v/>
      </c>
      <c r="V115" s="10" t="str">
        <f>IF(B115="","",IF(Controls!$B$7="Normal",Controls!$B$8+Controls!$B$9*SQRT(-2*LN(B115/2147483647))*COS(2*PI()*L115/2147483647),Controls!$B$8+(Controls!$B$9-Controls!$B$8)*B115/2147483647))</f>
        <v/>
      </c>
      <c r="W115" s="10" t="str">
        <f>IF(C115="","",IF(Controls!$B$7="Normal",Controls!$B$8+Controls!$B$9*SQRT(-2*LN(C115/2147483647))*COS(2*PI()*M115/2147483647),Controls!$B$8+(Controls!$B$9-Controls!$B$8)*C115/2147483647))</f>
        <v/>
      </c>
      <c r="X115" s="10" t="str">
        <f>IF(D115="","",IF(Controls!$B$7="Normal",Controls!$B$8+Controls!$B$9*SQRT(-2*LN(D115/2147483647))*COS(2*PI()*N115/2147483647),Controls!$B$8+(Controls!$B$9-Controls!$B$8)*D115/2147483647))</f>
        <v/>
      </c>
      <c r="Y115" s="10" t="str">
        <f>IF(E115="","",IF(Controls!$B$7="Normal",Controls!$B$8+Controls!$B$9*SQRT(-2*LN(E115/2147483647))*COS(2*PI()*O115/2147483647),Controls!$B$8+(Controls!$B$9-Controls!$B$8)*E115/2147483647))</f>
        <v/>
      </c>
      <c r="Z115" s="10" t="str">
        <f>IF(F115="","",IF(Controls!$B$7="Normal",Controls!$B$8+Controls!$B$9*SQRT(-2*LN(F115/2147483647))*COS(2*PI()*P115/2147483647),Controls!$B$8+(Controls!$B$9-Controls!$B$8)*F115/2147483647))</f>
        <v/>
      </c>
      <c r="AA115" s="10" t="str">
        <f>IF(G115="","",IF(Controls!$B$7="Normal",Controls!$B$8+Controls!$B$9*SQRT(-2*LN(G115/2147483647))*COS(2*PI()*Q115/2147483647),Controls!$B$8+(Controls!$B$9-Controls!$B$8)*G115/2147483647))</f>
        <v/>
      </c>
      <c r="AB115" s="10" t="str">
        <f>IF(H115="","",IF(Controls!$B$7="Normal",Controls!$B$8+Controls!$B$9*SQRT(-2*LN(H115/2147483647))*COS(2*PI()*R115/2147483647),Controls!$B$8+(Controls!$B$9-Controls!$B$8)*H115/2147483647))</f>
        <v/>
      </c>
      <c r="AC115" s="10" t="str">
        <f>IF(I115="","",IF(Controls!$B$7="Normal",Controls!$B$8+Controls!$B$9*SQRT(-2*LN(I115/2147483647))*COS(2*PI()*S115/2147483647),Controls!$B$8+(Controls!$B$9-Controls!$B$8)*I115/2147483647))</f>
        <v/>
      </c>
      <c r="AD115" s="10" t="str">
        <f>IF(J115="","",IF(Controls!$B$7="Normal",Controls!$B$8+Controls!$B$9*SQRT(-2*LN(J115/2147483647))*COS(2*PI()*T115/2147483647),Controls!$B$8+(Controls!$B$9-Controls!$B$8)*J115/2147483647))</f>
        <v/>
      </c>
      <c r="AE115" s="10" t="str">
        <f>IF(K115="","",IF(Controls!$B$7="Normal",Controls!$B$8+Controls!$B$9*SQRT(-2*LN(K115/2147483647))*COS(2*PI()*U115/2147483647),Controls!$B$8+(Controls!$B$9-Controls!$B$8)*K115/2147483647))</f>
        <v/>
      </c>
    </row>
    <row r="116" ht="21.0" customHeight="1">
      <c r="A116" s="7" t="str">
        <f>IF(115&lt;=Controls!$B$5,Controls!$B$4+114,"")</f>
        <v/>
      </c>
      <c r="B116" s="10" t="str">
        <f>IF(OR($A116="",1&gt;Controls!$B$6),"",MOD(L115*48271,2147483647))</f>
        <v/>
      </c>
      <c r="C116" s="10" t="str">
        <f>IF(OR($A116="",2&gt;Controls!$B$6),"",MOD(M115*48271,2147483647))</f>
        <v/>
      </c>
      <c r="D116" s="10" t="str">
        <f>IF(OR($A116="",3&gt;Controls!$B$6),"",MOD(N115*48271,2147483647))</f>
        <v/>
      </c>
      <c r="E116" s="10" t="str">
        <f>IF(OR($A116="",4&gt;Controls!$B$6),"",MOD(O115*48271,2147483647))</f>
        <v/>
      </c>
      <c r="F116" s="10" t="str">
        <f>IF(OR($A116="",5&gt;Controls!$B$6),"",MOD(P115*48271,2147483647))</f>
        <v/>
      </c>
      <c r="G116" s="10" t="str">
        <f>IF(OR($A116="",6&gt;Controls!$B$6),"",MOD(Q115*48271,2147483647))</f>
        <v/>
      </c>
      <c r="H116" s="10" t="str">
        <f>IF(OR($A116="",7&gt;Controls!$B$6),"",MOD(R115*48271,2147483647))</f>
        <v/>
      </c>
      <c r="I116" s="10" t="str">
        <f>IF(OR($A116="",8&gt;Controls!$B$6),"",MOD(S115*48271,2147483647))</f>
        <v/>
      </c>
      <c r="J116" s="10" t="str">
        <f>IF(OR($A116="",9&gt;Controls!$B$6),"",MOD(T115*48271,2147483647))</f>
        <v/>
      </c>
      <c r="K116" s="10" t="str">
        <f>IF(OR($A116="",10&gt;Controls!$B$6),"",MOD(U115*48271,2147483647))</f>
        <v/>
      </c>
      <c r="L116" s="10" t="str">
        <f t="shared" ref="L116:U116" si="115">IF(B116="","",MOD(B116*48271,2147483647))</f>
        <v/>
      </c>
      <c r="M116" s="10" t="str">
        <f t="shared" si="115"/>
        <v/>
      </c>
      <c r="N116" s="10" t="str">
        <f t="shared" si="115"/>
        <v/>
      </c>
      <c r="O116" s="10" t="str">
        <f t="shared" si="115"/>
        <v/>
      </c>
      <c r="P116" s="10" t="str">
        <f t="shared" si="115"/>
        <v/>
      </c>
      <c r="Q116" s="10" t="str">
        <f t="shared" si="115"/>
        <v/>
      </c>
      <c r="R116" s="10" t="str">
        <f t="shared" si="115"/>
        <v/>
      </c>
      <c r="S116" s="10" t="str">
        <f t="shared" si="115"/>
        <v/>
      </c>
      <c r="T116" s="10" t="str">
        <f t="shared" si="115"/>
        <v/>
      </c>
      <c r="U116" s="10" t="str">
        <f t="shared" si="115"/>
        <v/>
      </c>
      <c r="V116" s="10" t="str">
        <f>IF(B116="","",IF(Controls!$B$7="Normal",Controls!$B$8+Controls!$B$9*SQRT(-2*LN(B116/2147483647))*COS(2*PI()*L116/2147483647),Controls!$B$8+(Controls!$B$9-Controls!$B$8)*B116/2147483647))</f>
        <v/>
      </c>
      <c r="W116" s="10" t="str">
        <f>IF(C116="","",IF(Controls!$B$7="Normal",Controls!$B$8+Controls!$B$9*SQRT(-2*LN(C116/2147483647))*COS(2*PI()*M116/2147483647),Controls!$B$8+(Controls!$B$9-Controls!$B$8)*C116/2147483647))</f>
        <v/>
      </c>
      <c r="X116" s="10" t="str">
        <f>IF(D116="","",IF(Controls!$B$7="Normal",Controls!$B$8+Controls!$B$9*SQRT(-2*LN(D116/2147483647))*COS(2*PI()*N116/2147483647),Controls!$B$8+(Controls!$B$9-Controls!$B$8)*D116/2147483647))</f>
        <v/>
      </c>
      <c r="Y116" s="10" t="str">
        <f>IF(E116="","",IF(Controls!$B$7="Normal",Controls!$B$8+Controls!$B$9*SQRT(-2*LN(E116/2147483647))*COS(2*PI()*O116/2147483647),Controls!$B$8+(Controls!$B$9-Controls!$B$8)*E116/2147483647))</f>
        <v/>
      </c>
      <c r="Z116" s="10" t="str">
        <f>IF(F116="","",IF(Controls!$B$7="Normal",Controls!$B$8+Controls!$B$9*SQRT(-2*LN(F116/2147483647))*COS(2*PI()*P116/2147483647),Controls!$B$8+(Controls!$B$9-Controls!$B$8)*F116/2147483647))</f>
        <v/>
      </c>
      <c r="AA116" s="10" t="str">
        <f>IF(G116="","",IF(Controls!$B$7="Normal",Controls!$B$8+Controls!$B$9*SQRT(-2*LN(G116/2147483647))*COS(2*PI()*Q116/2147483647),Controls!$B$8+(Controls!$B$9-Controls!$B$8)*G116/2147483647))</f>
        <v/>
      </c>
      <c r="AB116" s="10" t="str">
        <f>IF(H116="","",IF(Controls!$B$7="Normal",Controls!$B$8+Controls!$B$9*SQRT(-2*LN(H116/2147483647))*COS(2*PI()*R116/2147483647),Controls!$B$8+(Controls!$B$9-Controls!$B$8)*H116/2147483647))</f>
        <v/>
      </c>
      <c r="AC116" s="10" t="str">
        <f>IF(I116="","",IF(Controls!$B$7="Normal",Controls!$B$8+Controls!$B$9*SQRT(-2*LN(I116/2147483647))*COS(2*PI()*S116/2147483647),Controls!$B$8+(Controls!$B$9-Controls!$B$8)*I116/2147483647))</f>
        <v/>
      </c>
      <c r="AD116" s="10" t="str">
        <f>IF(J116="","",IF(Controls!$B$7="Normal",Controls!$B$8+Controls!$B$9*SQRT(-2*LN(J116/2147483647))*COS(2*PI()*T116/2147483647),Controls!$B$8+(Controls!$B$9-Controls!$B$8)*J116/2147483647))</f>
        <v/>
      </c>
      <c r="AE116" s="10" t="str">
        <f>IF(K116="","",IF(Controls!$B$7="Normal",Controls!$B$8+Controls!$B$9*SQRT(-2*LN(K116/2147483647))*COS(2*PI()*U116/2147483647),Controls!$B$8+(Controls!$B$9-Controls!$B$8)*K116/2147483647))</f>
        <v/>
      </c>
    </row>
    <row r="117" ht="21.0" customHeight="1">
      <c r="A117" s="7" t="str">
        <f>IF(116&lt;=Controls!$B$5,Controls!$B$4+115,"")</f>
        <v/>
      </c>
      <c r="B117" s="10" t="str">
        <f>IF(OR($A117="",1&gt;Controls!$B$6),"",MOD(L116*48271,2147483647))</f>
        <v/>
      </c>
      <c r="C117" s="10" t="str">
        <f>IF(OR($A117="",2&gt;Controls!$B$6),"",MOD(M116*48271,2147483647))</f>
        <v/>
      </c>
      <c r="D117" s="10" t="str">
        <f>IF(OR($A117="",3&gt;Controls!$B$6),"",MOD(N116*48271,2147483647))</f>
        <v/>
      </c>
      <c r="E117" s="10" t="str">
        <f>IF(OR($A117="",4&gt;Controls!$B$6),"",MOD(O116*48271,2147483647))</f>
        <v/>
      </c>
      <c r="F117" s="10" t="str">
        <f>IF(OR($A117="",5&gt;Controls!$B$6),"",MOD(P116*48271,2147483647))</f>
        <v/>
      </c>
      <c r="G117" s="10" t="str">
        <f>IF(OR($A117="",6&gt;Controls!$B$6),"",MOD(Q116*48271,2147483647))</f>
        <v/>
      </c>
      <c r="H117" s="10" t="str">
        <f>IF(OR($A117="",7&gt;Controls!$B$6),"",MOD(R116*48271,2147483647))</f>
        <v/>
      </c>
      <c r="I117" s="10" t="str">
        <f>IF(OR($A117="",8&gt;Controls!$B$6),"",MOD(S116*48271,2147483647))</f>
        <v/>
      </c>
      <c r="J117" s="10" t="str">
        <f>IF(OR($A117="",9&gt;Controls!$B$6),"",MOD(T116*48271,2147483647))</f>
        <v/>
      </c>
      <c r="K117" s="10" t="str">
        <f>IF(OR($A117="",10&gt;Controls!$B$6),"",MOD(U116*48271,2147483647))</f>
        <v/>
      </c>
      <c r="L117" s="10" t="str">
        <f t="shared" ref="L117:U117" si="116">IF(B117="","",MOD(B117*48271,2147483647))</f>
        <v/>
      </c>
      <c r="M117" s="10" t="str">
        <f t="shared" si="116"/>
        <v/>
      </c>
      <c r="N117" s="10" t="str">
        <f t="shared" si="116"/>
        <v/>
      </c>
      <c r="O117" s="10" t="str">
        <f t="shared" si="116"/>
        <v/>
      </c>
      <c r="P117" s="10" t="str">
        <f t="shared" si="116"/>
        <v/>
      </c>
      <c r="Q117" s="10" t="str">
        <f t="shared" si="116"/>
        <v/>
      </c>
      <c r="R117" s="10" t="str">
        <f t="shared" si="116"/>
        <v/>
      </c>
      <c r="S117" s="10" t="str">
        <f t="shared" si="116"/>
        <v/>
      </c>
      <c r="T117" s="10" t="str">
        <f t="shared" si="116"/>
        <v/>
      </c>
      <c r="U117" s="10" t="str">
        <f t="shared" si="116"/>
        <v/>
      </c>
      <c r="V117" s="10" t="str">
        <f>IF(B117="","",IF(Controls!$B$7="Normal",Controls!$B$8+Controls!$B$9*SQRT(-2*LN(B117/2147483647))*COS(2*PI()*L117/2147483647),Controls!$B$8+(Controls!$B$9-Controls!$B$8)*B117/2147483647))</f>
        <v/>
      </c>
      <c r="W117" s="10" t="str">
        <f>IF(C117="","",IF(Controls!$B$7="Normal",Controls!$B$8+Controls!$B$9*SQRT(-2*LN(C117/2147483647))*COS(2*PI()*M117/2147483647),Controls!$B$8+(Controls!$B$9-Controls!$B$8)*C117/2147483647))</f>
        <v/>
      </c>
      <c r="X117" s="10" t="str">
        <f>IF(D117="","",IF(Controls!$B$7="Normal",Controls!$B$8+Controls!$B$9*SQRT(-2*LN(D117/2147483647))*COS(2*PI()*N117/2147483647),Controls!$B$8+(Controls!$B$9-Controls!$B$8)*D117/2147483647))</f>
        <v/>
      </c>
      <c r="Y117" s="10" t="str">
        <f>IF(E117="","",IF(Controls!$B$7="Normal",Controls!$B$8+Controls!$B$9*SQRT(-2*LN(E117/2147483647))*COS(2*PI()*O117/2147483647),Controls!$B$8+(Controls!$B$9-Controls!$B$8)*E117/2147483647))</f>
        <v/>
      </c>
      <c r="Z117" s="10" t="str">
        <f>IF(F117="","",IF(Controls!$B$7="Normal",Controls!$B$8+Controls!$B$9*SQRT(-2*LN(F117/2147483647))*COS(2*PI()*P117/2147483647),Controls!$B$8+(Controls!$B$9-Controls!$B$8)*F117/2147483647))</f>
        <v/>
      </c>
      <c r="AA117" s="10" t="str">
        <f>IF(G117="","",IF(Controls!$B$7="Normal",Controls!$B$8+Controls!$B$9*SQRT(-2*LN(G117/2147483647))*COS(2*PI()*Q117/2147483647),Controls!$B$8+(Controls!$B$9-Controls!$B$8)*G117/2147483647))</f>
        <v/>
      </c>
      <c r="AB117" s="10" t="str">
        <f>IF(H117="","",IF(Controls!$B$7="Normal",Controls!$B$8+Controls!$B$9*SQRT(-2*LN(H117/2147483647))*COS(2*PI()*R117/2147483647),Controls!$B$8+(Controls!$B$9-Controls!$B$8)*H117/2147483647))</f>
        <v/>
      </c>
      <c r="AC117" s="10" t="str">
        <f>IF(I117="","",IF(Controls!$B$7="Normal",Controls!$B$8+Controls!$B$9*SQRT(-2*LN(I117/2147483647))*COS(2*PI()*S117/2147483647),Controls!$B$8+(Controls!$B$9-Controls!$B$8)*I117/2147483647))</f>
        <v/>
      </c>
      <c r="AD117" s="10" t="str">
        <f>IF(J117="","",IF(Controls!$B$7="Normal",Controls!$B$8+Controls!$B$9*SQRT(-2*LN(J117/2147483647))*COS(2*PI()*T117/2147483647),Controls!$B$8+(Controls!$B$9-Controls!$B$8)*J117/2147483647))</f>
        <v/>
      </c>
      <c r="AE117" s="10" t="str">
        <f>IF(K117="","",IF(Controls!$B$7="Normal",Controls!$B$8+Controls!$B$9*SQRT(-2*LN(K117/2147483647))*COS(2*PI()*U117/2147483647),Controls!$B$8+(Controls!$B$9-Controls!$B$8)*K117/2147483647))</f>
        <v/>
      </c>
    </row>
    <row r="118" ht="21.0" customHeight="1">
      <c r="A118" s="7" t="str">
        <f>IF(117&lt;=Controls!$B$5,Controls!$B$4+116,"")</f>
        <v/>
      </c>
      <c r="B118" s="10" t="str">
        <f>IF(OR($A118="",1&gt;Controls!$B$6),"",MOD(L117*48271,2147483647))</f>
        <v/>
      </c>
      <c r="C118" s="10" t="str">
        <f>IF(OR($A118="",2&gt;Controls!$B$6),"",MOD(M117*48271,2147483647))</f>
        <v/>
      </c>
      <c r="D118" s="10" t="str">
        <f>IF(OR($A118="",3&gt;Controls!$B$6),"",MOD(N117*48271,2147483647))</f>
        <v/>
      </c>
      <c r="E118" s="10" t="str">
        <f>IF(OR($A118="",4&gt;Controls!$B$6),"",MOD(O117*48271,2147483647))</f>
        <v/>
      </c>
      <c r="F118" s="10" t="str">
        <f>IF(OR($A118="",5&gt;Controls!$B$6),"",MOD(P117*48271,2147483647))</f>
        <v/>
      </c>
      <c r="G118" s="10" t="str">
        <f>IF(OR($A118="",6&gt;Controls!$B$6),"",MOD(Q117*48271,2147483647))</f>
        <v/>
      </c>
      <c r="H118" s="10" t="str">
        <f>IF(OR($A118="",7&gt;Controls!$B$6),"",MOD(R117*48271,2147483647))</f>
        <v/>
      </c>
      <c r="I118" s="10" t="str">
        <f>IF(OR($A118="",8&gt;Controls!$B$6),"",MOD(S117*48271,2147483647))</f>
        <v/>
      </c>
      <c r="J118" s="10" t="str">
        <f>IF(OR($A118="",9&gt;Controls!$B$6),"",MOD(T117*48271,2147483647))</f>
        <v/>
      </c>
      <c r="K118" s="10" t="str">
        <f>IF(OR($A118="",10&gt;Controls!$B$6),"",MOD(U117*48271,2147483647))</f>
        <v/>
      </c>
      <c r="L118" s="10" t="str">
        <f t="shared" ref="L118:U118" si="117">IF(B118="","",MOD(B118*48271,2147483647))</f>
        <v/>
      </c>
      <c r="M118" s="10" t="str">
        <f t="shared" si="117"/>
        <v/>
      </c>
      <c r="N118" s="10" t="str">
        <f t="shared" si="117"/>
        <v/>
      </c>
      <c r="O118" s="10" t="str">
        <f t="shared" si="117"/>
        <v/>
      </c>
      <c r="P118" s="10" t="str">
        <f t="shared" si="117"/>
        <v/>
      </c>
      <c r="Q118" s="10" t="str">
        <f t="shared" si="117"/>
        <v/>
      </c>
      <c r="R118" s="10" t="str">
        <f t="shared" si="117"/>
        <v/>
      </c>
      <c r="S118" s="10" t="str">
        <f t="shared" si="117"/>
        <v/>
      </c>
      <c r="T118" s="10" t="str">
        <f t="shared" si="117"/>
        <v/>
      </c>
      <c r="U118" s="10" t="str">
        <f t="shared" si="117"/>
        <v/>
      </c>
      <c r="V118" s="10" t="str">
        <f>IF(B118="","",IF(Controls!$B$7="Normal",Controls!$B$8+Controls!$B$9*SQRT(-2*LN(B118/2147483647))*COS(2*PI()*L118/2147483647),Controls!$B$8+(Controls!$B$9-Controls!$B$8)*B118/2147483647))</f>
        <v/>
      </c>
      <c r="W118" s="10" t="str">
        <f>IF(C118="","",IF(Controls!$B$7="Normal",Controls!$B$8+Controls!$B$9*SQRT(-2*LN(C118/2147483647))*COS(2*PI()*M118/2147483647),Controls!$B$8+(Controls!$B$9-Controls!$B$8)*C118/2147483647))</f>
        <v/>
      </c>
      <c r="X118" s="10" t="str">
        <f>IF(D118="","",IF(Controls!$B$7="Normal",Controls!$B$8+Controls!$B$9*SQRT(-2*LN(D118/2147483647))*COS(2*PI()*N118/2147483647),Controls!$B$8+(Controls!$B$9-Controls!$B$8)*D118/2147483647))</f>
        <v/>
      </c>
      <c r="Y118" s="10" t="str">
        <f>IF(E118="","",IF(Controls!$B$7="Normal",Controls!$B$8+Controls!$B$9*SQRT(-2*LN(E118/2147483647))*COS(2*PI()*O118/2147483647),Controls!$B$8+(Controls!$B$9-Controls!$B$8)*E118/2147483647))</f>
        <v/>
      </c>
      <c r="Z118" s="10" t="str">
        <f>IF(F118="","",IF(Controls!$B$7="Normal",Controls!$B$8+Controls!$B$9*SQRT(-2*LN(F118/2147483647))*COS(2*PI()*P118/2147483647),Controls!$B$8+(Controls!$B$9-Controls!$B$8)*F118/2147483647))</f>
        <v/>
      </c>
      <c r="AA118" s="10" t="str">
        <f>IF(G118="","",IF(Controls!$B$7="Normal",Controls!$B$8+Controls!$B$9*SQRT(-2*LN(G118/2147483647))*COS(2*PI()*Q118/2147483647),Controls!$B$8+(Controls!$B$9-Controls!$B$8)*G118/2147483647))</f>
        <v/>
      </c>
      <c r="AB118" s="10" t="str">
        <f>IF(H118="","",IF(Controls!$B$7="Normal",Controls!$B$8+Controls!$B$9*SQRT(-2*LN(H118/2147483647))*COS(2*PI()*R118/2147483647),Controls!$B$8+(Controls!$B$9-Controls!$B$8)*H118/2147483647))</f>
        <v/>
      </c>
      <c r="AC118" s="10" t="str">
        <f>IF(I118="","",IF(Controls!$B$7="Normal",Controls!$B$8+Controls!$B$9*SQRT(-2*LN(I118/2147483647))*COS(2*PI()*S118/2147483647),Controls!$B$8+(Controls!$B$9-Controls!$B$8)*I118/2147483647))</f>
        <v/>
      </c>
      <c r="AD118" s="10" t="str">
        <f>IF(J118="","",IF(Controls!$B$7="Normal",Controls!$B$8+Controls!$B$9*SQRT(-2*LN(J118/2147483647))*COS(2*PI()*T118/2147483647),Controls!$B$8+(Controls!$B$9-Controls!$B$8)*J118/2147483647))</f>
        <v/>
      </c>
      <c r="AE118" s="10" t="str">
        <f>IF(K118="","",IF(Controls!$B$7="Normal",Controls!$B$8+Controls!$B$9*SQRT(-2*LN(K118/2147483647))*COS(2*PI()*U118/2147483647),Controls!$B$8+(Controls!$B$9-Controls!$B$8)*K118/2147483647))</f>
        <v/>
      </c>
    </row>
    <row r="119" ht="21.0" customHeight="1">
      <c r="A119" s="7" t="str">
        <f>IF(118&lt;=Controls!$B$5,Controls!$B$4+117,"")</f>
        <v/>
      </c>
      <c r="B119" s="10" t="str">
        <f>IF(OR($A119="",1&gt;Controls!$B$6),"",MOD(L118*48271,2147483647))</f>
        <v/>
      </c>
      <c r="C119" s="10" t="str">
        <f>IF(OR($A119="",2&gt;Controls!$B$6),"",MOD(M118*48271,2147483647))</f>
        <v/>
      </c>
      <c r="D119" s="10" t="str">
        <f>IF(OR($A119="",3&gt;Controls!$B$6),"",MOD(N118*48271,2147483647))</f>
        <v/>
      </c>
      <c r="E119" s="10" t="str">
        <f>IF(OR($A119="",4&gt;Controls!$B$6),"",MOD(O118*48271,2147483647))</f>
        <v/>
      </c>
      <c r="F119" s="10" t="str">
        <f>IF(OR($A119="",5&gt;Controls!$B$6),"",MOD(P118*48271,2147483647))</f>
        <v/>
      </c>
      <c r="G119" s="10" t="str">
        <f>IF(OR($A119="",6&gt;Controls!$B$6),"",MOD(Q118*48271,2147483647))</f>
        <v/>
      </c>
      <c r="H119" s="10" t="str">
        <f>IF(OR($A119="",7&gt;Controls!$B$6),"",MOD(R118*48271,2147483647))</f>
        <v/>
      </c>
      <c r="I119" s="10" t="str">
        <f>IF(OR($A119="",8&gt;Controls!$B$6),"",MOD(S118*48271,2147483647))</f>
        <v/>
      </c>
      <c r="J119" s="10" t="str">
        <f>IF(OR($A119="",9&gt;Controls!$B$6),"",MOD(T118*48271,2147483647))</f>
        <v/>
      </c>
      <c r="K119" s="10" t="str">
        <f>IF(OR($A119="",10&gt;Controls!$B$6),"",MOD(U118*48271,2147483647))</f>
        <v/>
      </c>
      <c r="L119" s="10" t="str">
        <f t="shared" ref="L119:U119" si="118">IF(B119="","",MOD(B119*48271,2147483647))</f>
        <v/>
      </c>
      <c r="M119" s="10" t="str">
        <f t="shared" si="118"/>
        <v/>
      </c>
      <c r="N119" s="10" t="str">
        <f t="shared" si="118"/>
        <v/>
      </c>
      <c r="O119" s="10" t="str">
        <f t="shared" si="118"/>
        <v/>
      </c>
      <c r="P119" s="10" t="str">
        <f t="shared" si="118"/>
        <v/>
      </c>
      <c r="Q119" s="10" t="str">
        <f t="shared" si="118"/>
        <v/>
      </c>
      <c r="R119" s="10" t="str">
        <f t="shared" si="118"/>
        <v/>
      </c>
      <c r="S119" s="10" t="str">
        <f t="shared" si="118"/>
        <v/>
      </c>
      <c r="T119" s="10" t="str">
        <f t="shared" si="118"/>
        <v/>
      </c>
      <c r="U119" s="10" t="str">
        <f t="shared" si="118"/>
        <v/>
      </c>
      <c r="V119" s="10" t="str">
        <f>IF(B119="","",IF(Controls!$B$7="Normal",Controls!$B$8+Controls!$B$9*SQRT(-2*LN(B119/2147483647))*COS(2*PI()*L119/2147483647),Controls!$B$8+(Controls!$B$9-Controls!$B$8)*B119/2147483647))</f>
        <v/>
      </c>
      <c r="W119" s="10" t="str">
        <f>IF(C119="","",IF(Controls!$B$7="Normal",Controls!$B$8+Controls!$B$9*SQRT(-2*LN(C119/2147483647))*COS(2*PI()*M119/2147483647),Controls!$B$8+(Controls!$B$9-Controls!$B$8)*C119/2147483647))</f>
        <v/>
      </c>
      <c r="X119" s="10" t="str">
        <f>IF(D119="","",IF(Controls!$B$7="Normal",Controls!$B$8+Controls!$B$9*SQRT(-2*LN(D119/2147483647))*COS(2*PI()*N119/2147483647),Controls!$B$8+(Controls!$B$9-Controls!$B$8)*D119/2147483647))</f>
        <v/>
      </c>
      <c r="Y119" s="10" t="str">
        <f>IF(E119="","",IF(Controls!$B$7="Normal",Controls!$B$8+Controls!$B$9*SQRT(-2*LN(E119/2147483647))*COS(2*PI()*O119/2147483647),Controls!$B$8+(Controls!$B$9-Controls!$B$8)*E119/2147483647))</f>
        <v/>
      </c>
      <c r="Z119" s="10" t="str">
        <f>IF(F119="","",IF(Controls!$B$7="Normal",Controls!$B$8+Controls!$B$9*SQRT(-2*LN(F119/2147483647))*COS(2*PI()*P119/2147483647),Controls!$B$8+(Controls!$B$9-Controls!$B$8)*F119/2147483647))</f>
        <v/>
      </c>
      <c r="AA119" s="10" t="str">
        <f>IF(G119="","",IF(Controls!$B$7="Normal",Controls!$B$8+Controls!$B$9*SQRT(-2*LN(G119/2147483647))*COS(2*PI()*Q119/2147483647),Controls!$B$8+(Controls!$B$9-Controls!$B$8)*G119/2147483647))</f>
        <v/>
      </c>
      <c r="AB119" s="10" t="str">
        <f>IF(H119="","",IF(Controls!$B$7="Normal",Controls!$B$8+Controls!$B$9*SQRT(-2*LN(H119/2147483647))*COS(2*PI()*R119/2147483647),Controls!$B$8+(Controls!$B$9-Controls!$B$8)*H119/2147483647))</f>
        <v/>
      </c>
      <c r="AC119" s="10" t="str">
        <f>IF(I119="","",IF(Controls!$B$7="Normal",Controls!$B$8+Controls!$B$9*SQRT(-2*LN(I119/2147483647))*COS(2*PI()*S119/2147483647),Controls!$B$8+(Controls!$B$9-Controls!$B$8)*I119/2147483647))</f>
        <v/>
      </c>
      <c r="AD119" s="10" t="str">
        <f>IF(J119="","",IF(Controls!$B$7="Normal",Controls!$B$8+Controls!$B$9*SQRT(-2*LN(J119/2147483647))*COS(2*PI()*T119/2147483647),Controls!$B$8+(Controls!$B$9-Controls!$B$8)*J119/2147483647))</f>
        <v/>
      </c>
      <c r="AE119" s="10" t="str">
        <f>IF(K119="","",IF(Controls!$B$7="Normal",Controls!$B$8+Controls!$B$9*SQRT(-2*LN(K119/2147483647))*COS(2*PI()*U119/2147483647),Controls!$B$8+(Controls!$B$9-Controls!$B$8)*K119/2147483647))</f>
        <v/>
      </c>
    </row>
    <row r="120" ht="21.0" customHeight="1">
      <c r="A120" s="7" t="str">
        <f>IF(119&lt;=Controls!$B$5,Controls!$B$4+118,"")</f>
        <v/>
      </c>
      <c r="B120" s="10" t="str">
        <f>IF(OR($A120="",1&gt;Controls!$B$6),"",MOD(L119*48271,2147483647))</f>
        <v/>
      </c>
      <c r="C120" s="10" t="str">
        <f>IF(OR($A120="",2&gt;Controls!$B$6),"",MOD(M119*48271,2147483647))</f>
        <v/>
      </c>
      <c r="D120" s="10" t="str">
        <f>IF(OR($A120="",3&gt;Controls!$B$6),"",MOD(N119*48271,2147483647))</f>
        <v/>
      </c>
      <c r="E120" s="10" t="str">
        <f>IF(OR($A120="",4&gt;Controls!$B$6),"",MOD(O119*48271,2147483647))</f>
        <v/>
      </c>
      <c r="F120" s="10" t="str">
        <f>IF(OR($A120="",5&gt;Controls!$B$6),"",MOD(P119*48271,2147483647))</f>
        <v/>
      </c>
      <c r="G120" s="10" t="str">
        <f>IF(OR($A120="",6&gt;Controls!$B$6),"",MOD(Q119*48271,2147483647))</f>
        <v/>
      </c>
      <c r="H120" s="10" t="str">
        <f>IF(OR($A120="",7&gt;Controls!$B$6),"",MOD(R119*48271,2147483647))</f>
        <v/>
      </c>
      <c r="I120" s="10" t="str">
        <f>IF(OR($A120="",8&gt;Controls!$B$6),"",MOD(S119*48271,2147483647))</f>
        <v/>
      </c>
      <c r="J120" s="10" t="str">
        <f>IF(OR($A120="",9&gt;Controls!$B$6),"",MOD(T119*48271,2147483647))</f>
        <v/>
      </c>
      <c r="K120" s="10" t="str">
        <f>IF(OR($A120="",10&gt;Controls!$B$6),"",MOD(U119*48271,2147483647))</f>
        <v/>
      </c>
      <c r="L120" s="10" t="str">
        <f t="shared" ref="L120:U120" si="119">IF(B120="","",MOD(B120*48271,2147483647))</f>
        <v/>
      </c>
      <c r="M120" s="10" t="str">
        <f t="shared" si="119"/>
        <v/>
      </c>
      <c r="N120" s="10" t="str">
        <f t="shared" si="119"/>
        <v/>
      </c>
      <c r="O120" s="10" t="str">
        <f t="shared" si="119"/>
        <v/>
      </c>
      <c r="P120" s="10" t="str">
        <f t="shared" si="119"/>
        <v/>
      </c>
      <c r="Q120" s="10" t="str">
        <f t="shared" si="119"/>
        <v/>
      </c>
      <c r="R120" s="10" t="str">
        <f t="shared" si="119"/>
        <v/>
      </c>
      <c r="S120" s="10" t="str">
        <f t="shared" si="119"/>
        <v/>
      </c>
      <c r="T120" s="10" t="str">
        <f t="shared" si="119"/>
        <v/>
      </c>
      <c r="U120" s="10" t="str">
        <f t="shared" si="119"/>
        <v/>
      </c>
      <c r="V120" s="10" t="str">
        <f>IF(B120="","",IF(Controls!$B$7="Normal",Controls!$B$8+Controls!$B$9*SQRT(-2*LN(B120/2147483647))*COS(2*PI()*L120/2147483647),Controls!$B$8+(Controls!$B$9-Controls!$B$8)*B120/2147483647))</f>
        <v/>
      </c>
      <c r="W120" s="10" t="str">
        <f>IF(C120="","",IF(Controls!$B$7="Normal",Controls!$B$8+Controls!$B$9*SQRT(-2*LN(C120/2147483647))*COS(2*PI()*M120/2147483647),Controls!$B$8+(Controls!$B$9-Controls!$B$8)*C120/2147483647))</f>
        <v/>
      </c>
      <c r="X120" s="10" t="str">
        <f>IF(D120="","",IF(Controls!$B$7="Normal",Controls!$B$8+Controls!$B$9*SQRT(-2*LN(D120/2147483647))*COS(2*PI()*N120/2147483647),Controls!$B$8+(Controls!$B$9-Controls!$B$8)*D120/2147483647))</f>
        <v/>
      </c>
      <c r="Y120" s="10" t="str">
        <f>IF(E120="","",IF(Controls!$B$7="Normal",Controls!$B$8+Controls!$B$9*SQRT(-2*LN(E120/2147483647))*COS(2*PI()*O120/2147483647),Controls!$B$8+(Controls!$B$9-Controls!$B$8)*E120/2147483647))</f>
        <v/>
      </c>
      <c r="Z120" s="10" t="str">
        <f>IF(F120="","",IF(Controls!$B$7="Normal",Controls!$B$8+Controls!$B$9*SQRT(-2*LN(F120/2147483647))*COS(2*PI()*P120/2147483647),Controls!$B$8+(Controls!$B$9-Controls!$B$8)*F120/2147483647))</f>
        <v/>
      </c>
      <c r="AA120" s="10" t="str">
        <f>IF(G120="","",IF(Controls!$B$7="Normal",Controls!$B$8+Controls!$B$9*SQRT(-2*LN(G120/2147483647))*COS(2*PI()*Q120/2147483647),Controls!$B$8+(Controls!$B$9-Controls!$B$8)*G120/2147483647))</f>
        <v/>
      </c>
      <c r="AB120" s="10" t="str">
        <f>IF(H120="","",IF(Controls!$B$7="Normal",Controls!$B$8+Controls!$B$9*SQRT(-2*LN(H120/2147483647))*COS(2*PI()*R120/2147483647),Controls!$B$8+(Controls!$B$9-Controls!$B$8)*H120/2147483647))</f>
        <v/>
      </c>
      <c r="AC120" s="10" t="str">
        <f>IF(I120="","",IF(Controls!$B$7="Normal",Controls!$B$8+Controls!$B$9*SQRT(-2*LN(I120/2147483647))*COS(2*PI()*S120/2147483647),Controls!$B$8+(Controls!$B$9-Controls!$B$8)*I120/2147483647))</f>
        <v/>
      </c>
      <c r="AD120" s="10" t="str">
        <f>IF(J120="","",IF(Controls!$B$7="Normal",Controls!$B$8+Controls!$B$9*SQRT(-2*LN(J120/2147483647))*COS(2*PI()*T120/2147483647),Controls!$B$8+(Controls!$B$9-Controls!$B$8)*J120/2147483647))</f>
        <v/>
      </c>
      <c r="AE120" s="10" t="str">
        <f>IF(K120="","",IF(Controls!$B$7="Normal",Controls!$B$8+Controls!$B$9*SQRT(-2*LN(K120/2147483647))*COS(2*PI()*U120/2147483647),Controls!$B$8+(Controls!$B$9-Controls!$B$8)*K120/2147483647))</f>
        <v/>
      </c>
    </row>
    <row r="121" ht="21.0" customHeight="1">
      <c r="A121" s="7" t="str">
        <f>IF(120&lt;=Controls!$B$5,Controls!$B$4+119,"")</f>
        <v/>
      </c>
      <c r="B121" s="10" t="str">
        <f>IF(OR($A121="",1&gt;Controls!$B$6),"",MOD(L120*48271,2147483647))</f>
        <v/>
      </c>
      <c r="C121" s="10" t="str">
        <f>IF(OR($A121="",2&gt;Controls!$B$6),"",MOD(M120*48271,2147483647))</f>
        <v/>
      </c>
      <c r="D121" s="10" t="str">
        <f>IF(OR($A121="",3&gt;Controls!$B$6),"",MOD(N120*48271,2147483647))</f>
        <v/>
      </c>
      <c r="E121" s="10" t="str">
        <f>IF(OR($A121="",4&gt;Controls!$B$6),"",MOD(O120*48271,2147483647))</f>
        <v/>
      </c>
      <c r="F121" s="10" t="str">
        <f>IF(OR($A121="",5&gt;Controls!$B$6),"",MOD(P120*48271,2147483647))</f>
        <v/>
      </c>
      <c r="G121" s="10" t="str">
        <f>IF(OR($A121="",6&gt;Controls!$B$6),"",MOD(Q120*48271,2147483647))</f>
        <v/>
      </c>
      <c r="H121" s="10" t="str">
        <f>IF(OR($A121="",7&gt;Controls!$B$6),"",MOD(R120*48271,2147483647))</f>
        <v/>
      </c>
      <c r="I121" s="10" t="str">
        <f>IF(OR($A121="",8&gt;Controls!$B$6),"",MOD(S120*48271,2147483647))</f>
        <v/>
      </c>
      <c r="J121" s="10" t="str">
        <f>IF(OR($A121="",9&gt;Controls!$B$6),"",MOD(T120*48271,2147483647))</f>
        <v/>
      </c>
      <c r="K121" s="10" t="str">
        <f>IF(OR($A121="",10&gt;Controls!$B$6),"",MOD(U120*48271,2147483647))</f>
        <v/>
      </c>
      <c r="L121" s="10" t="str">
        <f t="shared" ref="L121:U121" si="120">IF(B121="","",MOD(B121*48271,2147483647))</f>
        <v/>
      </c>
      <c r="M121" s="10" t="str">
        <f t="shared" si="120"/>
        <v/>
      </c>
      <c r="N121" s="10" t="str">
        <f t="shared" si="120"/>
        <v/>
      </c>
      <c r="O121" s="10" t="str">
        <f t="shared" si="120"/>
        <v/>
      </c>
      <c r="P121" s="10" t="str">
        <f t="shared" si="120"/>
        <v/>
      </c>
      <c r="Q121" s="10" t="str">
        <f t="shared" si="120"/>
        <v/>
      </c>
      <c r="R121" s="10" t="str">
        <f t="shared" si="120"/>
        <v/>
      </c>
      <c r="S121" s="10" t="str">
        <f t="shared" si="120"/>
        <v/>
      </c>
      <c r="T121" s="10" t="str">
        <f t="shared" si="120"/>
        <v/>
      </c>
      <c r="U121" s="10" t="str">
        <f t="shared" si="120"/>
        <v/>
      </c>
      <c r="V121" s="10" t="str">
        <f>IF(B121="","",IF(Controls!$B$7="Normal",Controls!$B$8+Controls!$B$9*SQRT(-2*LN(B121/2147483647))*COS(2*PI()*L121/2147483647),Controls!$B$8+(Controls!$B$9-Controls!$B$8)*B121/2147483647))</f>
        <v/>
      </c>
      <c r="W121" s="10" t="str">
        <f>IF(C121="","",IF(Controls!$B$7="Normal",Controls!$B$8+Controls!$B$9*SQRT(-2*LN(C121/2147483647))*COS(2*PI()*M121/2147483647),Controls!$B$8+(Controls!$B$9-Controls!$B$8)*C121/2147483647))</f>
        <v/>
      </c>
      <c r="X121" s="10" t="str">
        <f>IF(D121="","",IF(Controls!$B$7="Normal",Controls!$B$8+Controls!$B$9*SQRT(-2*LN(D121/2147483647))*COS(2*PI()*N121/2147483647),Controls!$B$8+(Controls!$B$9-Controls!$B$8)*D121/2147483647))</f>
        <v/>
      </c>
      <c r="Y121" s="10" t="str">
        <f>IF(E121="","",IF(Controls!$B$7="Normal",Controls!$B$8+Controls!$B$9*SQRT(-2*LN(E121/2147483647))*COS(2*PI()*O121/2147483647),Controls!$B$8+(Controls!$B$9-Controls!$B$8)*E121/2147483647))</f>
        <v/>
      </c>
      <c r="Z121" s="10" t="str">
        <f>IF(F121="","",IF(Controls!$B$7="Normal",Controls!$B$8+Controls!$B$9*SQRT(-2*LN(F121/2147483647))*COS(2*PI()*P121/2147483647),Controls!$B$8+(Controls!$B$9-Controls!$B$8)*F121/2147483647))</f>
        <v/>
      </c>
      <c r="AA121" s="10" t="str">
        <f>IF(G121="","",IF(Controls!$B$7="Normal",Controls!$B$8+Controls!$B$9*SQRT(-2*LN(G121/2147483647))*COS(2*PI()*Q121/2147483647),Controls!$B$8+(Controls!$B$9-Controls!$B$8)*G121/2147483647))</f>
        <v/>
      </c>
      <c r="AB121" s="10" t="str">
        <f>IF(H121="","",IF(Controls!$B$7="Normal",Controls!$B$8+Controls!$B$9*SQRT(-2*LN(H121/2147483647))*COS(2*PI()*R121/2147483647),Controls!$B$8+(Controls!$B$9-Controls!$B$8)*H121/2147483647))</f>
        <v/>
      </c>
      <c r="AC121" s="10" t="str">
        <f>IF(I121="","",IF(Controls!$B$7="Normal",Controls!$B$8+Controls!$B$9*SQRT(-2*LN(I121/2147483647))*COS(2*PI()*S121/2147483647),Controls!$B$8+(Controls!$B$9-Controls!$B$8)*I121/2147483647))</f>
        <v/>
      </c>
      <c r="AD121" s="10" t="str">
        <f>IF(J121="","",IF(Controls!$B$7="Normal",Controls!$B$8+Controls!$B$9*SQRT(-2*LN(J121/2147483647))*COS(2*PI()*T121/2147483647),Controls!$B$8+(Controls!$B$9-Controls!$B$8)*J121/2147483647))</f>
        <v/>
      </c>
      <c r="AE121" s="10" t="str">
        <f>IF(K121="","",IF(Controls!$B$7="Normal",Controls!$B$8+Controls!$B$9*SQRT(-2*LN(K121/2147483647))*COS(2*PI()*U121/2147483647),Controls!$B$8+(Controls!$B$9-Controls!$B$8)*K121/2147483647))</f>
        <v/>
      </c>
    </row>
    <row r="122" ht="21.0" customHeight="1">
      <c r="A122" s="7" t="str">
        <f>IF(121&lt;=Controls!$B$5,Controls!$B$4+120,"")</f>
        <v/>
      </c>
      <c r="B122" s="10" t="str">
        <f>IF(OR($A122="",1&gt;Controls!$B$6),"",MOD(L121*48271,2147483647))</f>
        <v/>
      </c>
      <c r="C122" s="10" t="str">
        <f>IF(OR($A122="",2&gt;Controls!$B$6),"",MOD(M121*48271,2147483647))</f>
        <v/>
      </c>
      <c r="D122" s="10" t="str">
        <f>IF(OR($A122="",3&gt;Controls!$B$6),"",MOD(N121*48271,2147483647))</f>
        <v/>
      </c>
      <c r="E122" s="10" t="str">
        <f>IF(OR($A122="",4&gt;Controls!$B$6),"",MOD(O121*48271,2147483647))</f>
        <v/>
      </c>
      <c r="F122" s="10" t="str">
        <f>IF(OR($A122="",5&gt;Controls!$B$6),"",MOD(P121*48271,2147483647))</f>
        <v/>
      </c>
      <c r="G122" s="10" t="str">
        <f>IF(OR($A122="",6&gt;Controls!$B$6),"",MOD(Q121*48271,2147483647))</f>
        <v/>
      </c>
      <c r="H122" s="10" t="str">
        <f>IF(OR($A122="",7&gt;Controls!$B$6),"",MOD(R121*48271,2147483647))</f>
        <v/>
      </c>
      <c r="I122" s="10" t="str">
        <f>IF(OR($A122="",8&gt;Controls!$B$6),"",MOD(S121*48271,2147483647))</f>
        <v/>
      </c>
      <c r="J122" s="10" t="str">
        <f>IF(OR($A122="",9&gt;Controls!$B$6),"",MOD(T121*48271,2147483647))</f>
        <v/>
      </c>
      <c r="K122" s="10" t="str">
        <f>IF(OR($A122="",10&gt;Controls!$B$6),"",MOD(U121*48271,2147483647))</f>
        <v/>
      </c>
      <c r="L122" s="10" t="str">
        <f t="shared" ref="L122:U122" si="121">IF(B122="","",MOD(B122*48271,2147483647))</f>
        <v/>
      </c>
      <c r="M122" s="10" t="str">
        <f t="shared" si="121"/>
        <v/>
      </c>
      <c r="N122" s="10" t="str">
        <f t="shared" si="121"/>
        <v/>
      </c>
      <c r="O122" s="10" t="str">
        <f t="shared" si="121"/>
        <v/>
      </c>
      <c r="P122" s="10" t="str">
        <f t="shared" si="121"/>
        <v/>
      </c>
      <c r="Q122" s="10" t="str">
        <f t="shared" si="121"/>
        <v/>
      </c>
      <c r="R122" s="10" t="str">
        <f t="shared" si="121"/>
        <v/>
      </c>
      <c r="S122" s="10" t="str">
        <f t="shared" si="121"/>
        <v/>
      </c>
      <c r="T122" s="10" t="str">
        <f t="shared" si="121"/>
        <v/>
      </c>
      <c r="U122" s="10" t="str">
        <f t="shared" si="121"/>
        <v/>
      </c>
      <c r="V122" s="10" t="str">
        <f>IF(B122="","",IF(Controls!$B$7="Normal",Controls!$B$8+Controls!$B$9*SQRT(-2*LN(B122/2147483647))*COS(2*PI()*L122/2147483647),Controls!$B$8+(Controls!$B$9-Controls!$B$8)*B122/2147483647))</f>
        <v/>
      </c>
      <c r="W122" s="10" t="str">
        <f>IF(C122="","",IF(Controls!$B$7="Normal",Controls!$B$8+Controls!$B$9*SQRT(-2*LN(C122/2147483647))*COS(2*PI()*M122/2147483647),Controls!$B$8+(Controls!$B$9-Controls!$B$8)*C122/2147483647))</f>
        <v/>
      </c>
      <c r="X122" s="10" t="str">
        <f>IF(D122="","",IF(Controls!$B$7="Normal",Controls!$B$8+Controls!$B$9*SQRT(-2*LN(D122/2147483647))*COS(2*PI()*N122/2147483647),Controls!$B$8+(Controls!$B$9-Controls!$B$8)*D122/2147483647))</f>
        <v/>
      </c>
      <c r="Y122" s="10" t="str">
        <f>IF(E122="","",IF(Controls!$B$7="Normal",Controls!$B$8+Controls!$B$9*SQRT(-2*LN(E122/2147483647))*COS(2*PI()*O122/2147483647),Controls!$B$8+(Controls!$B$9-Controls!$B$8)*E122/2147483647))</f>
        <v/>
      </c>
      <c r="Z122" s="10" t="str">
        <f>IF(F122="","",IF(Controls!$B$7="Normal",Controls!$B$8+Controls!$B$9*SQRT(-2*LN(F122/2147483647))*COS(2*PI()*P122/2147483647),Controls!$B$8+(Controls!$B$9-Controls!$B$8)*F122/2147483647))</f>
        <v/>
      </c>
      <c r="AA122" s="10" t="str">
        <f>IF(G122="","",IF(Controls!$B$7="Normal",Controls!$B$8+Controls!$B$9*SQRT(-2*LN(G122/2147483647))*COS(2*PI()*Q122/2147483647),Controls!$B$8+(Controls!$B$9-Controls!$B$8)*G122/2147483647))</f>
        <v/>
      </c>
      <c r="AB122" s="10" t="str">
        <f>IF(H122="","",IF(Controls!$B$7="Normal",Controls!$B$8+Controls!$B$9*SQRT(-2*LN(H122/2147483647))*COS(2*PI()*R122/2147483647),Controls!$B$8+(Controls!$B$9-Controls!$B$8)*H122/2147483647))</f>
        <v/>
      </c>
      <c r="AC122" s="10" t="str">
        <f>IF(I122="","",IF(Controls!$B$7="Normal",Controls!$B$8+Controls!$B$9*SQRT(-2*LN(I122/2147483647))*COS(2*PI()*S122/2147483647),Controls!$B$8+(Controls!$B$9-Controls!$B$8)*I122/2147483647))</f>
        <v/>
      </c>
      <c r="AD122" s="10" t="str">
        <f>IF(J122="","",IF(Controls!$B$7="Normal",Controls!$B$8+Controls!$B$9*SQRT(-2*LN(J122/2147483647))*COS(2*PI()*T122/2147483647),Controls!$B$8+(Controls!$B$9-Controls!$B$8)*J122/2147483647))</f>
        <v/>
      </c>
      <c r="AE122" s="10" t="str">
        <f>IF(K122="","",IF(Controls!$B$7="Normal",Controls!$B$8+Controls!$B$9*SQRT(-2*LN(K122/2147483647))*COS(2*PI()*U122/2147483647),Controls!$B$8+(Controls!$B$9-Controls!$B$8)*K122/2147483647))</f>
        <v/>
      </c>
    </row>
    <row r="123" ht="21.0" customHeight="1">
      <c r="A123" s="7" t="str">
        <f>IF(122&lt;=Controls!$B$5,Controls!$B$4+121,"")</f>
        <v/>
      </c>
      <c r="B123" s="10" t="str">
        <f>IF(OR($A123="",1&gt;Controls!$B$6),"",MOD(L122*48271,2147483647))</f>
        <v/>
      </c>
      <c r="C123" s="10" t="str">
        <f>IF(OR($A123="",2&gt;Controls!$B$6),"",MOD(M122*48271,2147483647))</f>
        <v/>
      </c>
      <c r="D123" s="10" t="str">
        <f>IF(OR($A123="",3&gt;Controls!$B$6),"",MOD(N122*48271,2147483647))</f>
        <v/>
      </c>
      <c r="E123" s="10" t="str">
        <f>IF(OR($A123="",4&gt;Controls!$B$6),"",MOD(O122*48271,2147483647))</f>
        <v/>
      </c>
      <c r="F123" s="10" t="str">
        <f>IF(OR($A123="",5&gt;Controls!$B$6),"",MOD(P122*48271,2147483647))</f>
        <v/>
      </c>
      <c r="G123" s="10" t="str">
        <f>IF(OR($A123="",6&gt;Controls!$B$6),"",MOD(Q122*48271,2147483647))</f>
        <v/>
      </c>
      <c r="H123" s="10" t="str">
        <f>IF(OR($A123="",7&gt;Controls!$B$6),"",MOD(R122*48271,2147483647))</f>
        <v/>
      </c>
      <c r="I123" s="10" t="str">
        <f>IF(OR($A123="",8&gt;Controls!$B$6),"",MOD(S122*48271,2147483647))</f>
        <v/>
      </c>
      <c r="J123" s="10" t="str">
        <f>IF(OR($A123="",9&gt;Controls!$B$6),"",MOD(T122*48271,2147483647))</f>
        <v/>
      </c>
      <c r="K123" s="10" t="str">
        <f>IF(OR($A123="",10&gt;Controls!$B$6),"",MOD(U122*48271,2147483647))</f>
        <v/>
      </c>
      <c r="L123" s="10" t="str">
        <f t="shared" ref="L123:U123" si="122">IF(B123="","",MOD(B123*48271,2147483647))</f>
        <v/>
      </c>
      <c r="M123" s="10" t="str">
        <f t="shared" si="122"/>
        <v/>
      </c>
      <c r="N123" s="10" t="str">
        <f t="shared" si="122"/>
        <v/>
      </c>
      <c r="O123" s="10" t="str">
        <f t="shared" si="122"/>
        <v/>
      </c>
      <c r="P123" s="10" t="str">
        <f t="shared" si="122"/>
        <v/>
      </c>
      <c r="Q123" s="10" t="str">
        <f t="shared" si="122"/>
        <v/>
      </c>
      <c r="R123" s="10" t="str">
        <f t="shared" si="122"/>
        <v/>
      </c>
      <c r="S123" s="10" t="str">
        <f t="shared" si="122"/>
        <v/>
      </c>
      <c r="T123" s="10" t="str">
        <f t="shared" si="122"/>
        <v/>
      </c>
      <c r="U123" s="10" t="str">
        <f t="shared" si="122"/>
        <v/>
      </c>
      <c r="V123" s="10" t="str">
        <f>IF(B123="","",IF(Controls!$B$7="Normal",Controls!$B$8+Controls!$B$9*SQRT(-2*LN(B123/2147483647))*COS(2*PI()*L123/2147483647),Controls!$B$8+(Controls!$B$9-Controls!$B$8)*B123/2147483647))</f>
        <v/>
      </c>
      <c r="W123" s="10" t="str">
        <f>IF(C123="","",IF(Controls!$B$7="Normal",Controls!$B$8+Controls!$B$9*SQRT(-2*LN(C123/2147483647))*COS(2*PI()*M123/2147483647),Controls!$B$8+(Controls!$B$9-Controls!$B$8)*C123/2147483647))</f>
        <v/>
      </c>
      <c r="X123" s="10" t="str">
        <f>IF(D123="","",IF(Controls!$B$7="Normal",Controls!$B$8+Controls!$B$9*SQRT(-2*LN(D123/2147483647))*COS(2*PI()*N123/2147483647),Controls!$B$8+(Controls!$B$9-Controls!$B$8)*D123/2147483647))</f>
        <v/>
      </c>
      <c r="Y123" s="10" t="str">
        <f>IF(E123="","",IF(Controls!$B$7="Normal",Controls!$B$8+Controls!$B$9*SQRT(-2*LN(E123/2147483647))*COS(2*PI()*O123/2147483647),Controls!$B$8+(Controls!$B$9-Controls!$B$8)*E123/2147483647))</f>
        <v/>
      </c>
      <c r="Z123" s="10" t="str">
        <f>IF(F123="","",IF(Controls!$B$7="Normal",Controls!$B$8+Controls!$B$9*SQRT(-2*LN(F123/2147483647))*COS(2*PI()*P123/2147483647),Controls!$B$8+(Controls!$B$9-Controls!$B$8)*F123/2147483647))</f>
        <v/>
      </c>
      <c r="AA123" s="10" t="str">
        <f>IF(G123="","",IF(Controls!$B$7="Normal",Controls!$B$8+Controls!$B$9*SQRT(-2*LN(G123/2147483647))*COS(2*PI()*Q123/2147483647),Controls!$B$8+(Controls!$B$9-Controls!$B$8)*G123/2147483647))</f>
        <v/>
      </c>
      <c r="AB123" s="10" t="str">
        <f>IF(H123="","",IF(Controls!$B$7="Normal",Controls!$B$8+Controls!$B$9*SQRT(-2*LN(H123/2147483647))*COS(2*PI()*R123/2147483647),Controls!$B$8+(Controls!$B$9-Controls!$B$8)*H123/2147483647))</f>
        <v/>
      </c>
      <c r="AC123" s="10" t="str">
        <f>IF(I123="","",IF(Controls!$B$7="Normal",Controls!$B$8+Controls!$B$9*SQRT(-2*LN(I123/2147483647))*COS(2*PI()*S123/2147483647),Controls!$B$8+(Controls!$B$9-Controls!$B$8)*I123/2147483647))</f>
        <v/>
      </c>
      <c r="AD123" s="10" t="str">
        <f>IF(J123="","",IF(Controls!$B$7="Normal",Controls!$B$8+Controls!$B$9*SQRT(-2*LN(J123/2147483647))*COS(2*PI()*T123/2147483647),Controls!$B$8+(Controls!$B$9-Controls!$B$8)*J123/2147483647))</f>
        <v/>
      </c>
      <c r="AE123" s="10" t="str">
        <f>IF(K123="","",IF(Controls!$B$7="Normal",Controls!$B$8+Controls!$B$9*SQRT(-2*LN(K123/2147483647))*COS(2*PI()*U123/2147483647),Controls!$B$8+(Controls!$B$9-Controls!$B$8)*K123/2147483647))</f>
        <v/>
      </c>
    </row>
    <row r="124" ht="21.0" customHeight="1">
      <c r="A124" s="7" t="str">
        <f>IF(123&lt;=Controls!$B$5,Controls!$B$4+122,"")</f>
        <v/>
      </c>
      <c r="B124" s="10" t="str">
        <f>IF(OR($A124="",1&gt;Controls!$B$6),"",MOD(L123*48271,2147483647))</f>
        <v/>
      </c>
      <c r="C124" s="10" t="str">
        <f>IF(OR($A124="",2&gt;Controls!$B$6),"",MOD(M123*48271,2147483647))</f>
        <v/>
      </c>
      <c r="D124" s="10" t="str">
        <f>IF(OR($A124="",3&gt;Controls!$B$6),"",MOD(N123*48271,2147483647))</f>
        <v/>
      </c>
      <c r="E124" s="10" t="str">
        <f>IF(OR($A124="",4&gt;Controls!$B$6),"",MOD(O123*48271,2147483647))</f>
        <v/>
      </c>
      <c r="F124" s="10" t="str">
        <f>IF(OR($A124="",5&gt;Controls!$B$6),"",MOD(P123*48271,2147483647))</f>
        <v/>
      </c>
      <c r="G124" s="10" t="str">
        <f>IF(OR($A124="",6&gt;Controls!$B$6),"",MOD(Q123*48271,2147483647))</f>
        <v/>
      </c>
      <c r="H124" s="10" t="str">
        <f>IF(OR($A124="",7&gt;Controls!$B$6),"",MOD(R123*48271,2147483647))</f>
        <v/>
      </c>
      <c r="I124" s="10" t="str">
        <f>IF(OR($A124="",8&gt;Controls!$B$6),"",MOD(S123*48271,2147483647))</f>
        <v/>
      </c>
      <c r="J124" s="10" t="str">
        <f>IF(OR($A124="",9&gt;Controls!$B$6),"",MOD(T123*48271,2147483647))</f>
        <v/>
      </c>
      <c r="K124" s="10" t="str">
        <f>IF(OR($A124="",10&gt;Controls!$B$6),"",MOD(U123*48271,2147483647))</f>
        <v/>
      </c>
      <c r="L124" s="10" t="str">
        <f t="shared" ref="L124:U124" si="123">IF(B124="","",MOD(B124*48271,2147483647))</f>
        <v/>
      </c>
      <c r="M124" s="10" t="str">
        <f t="shared" si="123"/>
        <v/>
      </c>
      <c r="N124" s="10" t="str">
        <f t="shared" si="123"/>
        <v/>
      </c>
      <c r="O124" s="10" t="str">
        <f t="shared" si="123"/>
        <v/>
      </c>
      <c r="P124" s="10" t="str">
        <f t="shared" si="123"/>
        <v/>
      </c>
      <c r="Q124" s="10" t="str">
        <f t="shared" si="123"/>
        <v/>
      </c>
      <c r="R124" s="10" t="str">
        <f t="shared" si="123"/>
        <v/>
      </c>
      <c r="S124" s="10" t="str">
        <f t="shared" si="123"/>
        <v/>
      </c>
      <c r="T124" s="10" t="str">
        <f t="shared" si="123"/>
        <v/>
      </c>
      <c r="U124" s="10" t="str">
        <f t="shared" si="123"/>
        <v/>
      </c>
      <c r="V124" s="10" t="str">
        <f>IF(B124="","",IF(Controls!$B$7="Normal",Controls!$B$8+Controls!$B$9*SQRT(-2*LN(B124/2147483647))*COS(2*PI()*L124/2147483647),Controls!$B$8+(Controls!$B$9-Controls!$B$8)*B124/2147483647))</f>
        <v/>
      </c>
      <c r="W124" s="10" t="str">
        <f>IF(C124="","",IF(Controls!$B$7="Normal",Controls!$B$8+Controls!$B$9*SQRT(-2*LN(C124/2147483647))*COS(2*PI()*M124/2147483647),Controls!$B$8+(Controls!$B$9-Controls!$B$8)*C124/2147483647))</f>
        <v/>
      </c>
      <c r="X124" s="10" t="str">
        <f>IF(D124="","",IF(Controls!$B$7="Normal",Controls!$B$8+Controls!$B$9*SQRT(-2*LN(D124/2147483647))*COS(2*PI()*N124/2147483647),Controls!$B$8+(Controls!$B$9-Controls!$B$8)*D124/2147483647))</f>
        <v/>
      </c>
      <c r="Y124" s="10" t="str">
        <f>IF(E124="","",IF(Controls!$B$7="Normal",Controls!$B$8+Controls!$B$9*SQRT(-2*LN(E124/2147483647))*COS(2*PI()*O124/2147483647),Controls!$B$8+(Controls!$B$9-Controls!$B$8)*E124/2147483647))</f>
        <v/>
      </c>
      <c r="Z124" s="10" t="str">
        <f>IF(F124="","",IF(Controls!$B$7="Normal",Controls!$B$8+Controls!$B$9*SQRT(-2*LN(F124/2147483647))*COS(2*PI()*P124/2147483647),Controls!$B$8+(Controls!$B$9-Controls!$B$8)*F124/2147483647))</f>
        <v/>
      </c>
      <c r="AA124" s="10" t="str">
        <f>IF(G124="","",IF(Controls!$B$7="Normal",Controls!$B$8+Controls!$B$9*SQRT(-2*LN(G124/2147483647))*COS(2*PI()*Q124/2147483647),Controls!$B$8+(Controls!$B$9-Controls!$B$8)*G124/2147483647))</f>
        <v/>
      </c>
      <c r="AB124" s="10" t="str">
        <f>IF(H124="","",IF(Controls!$B$7="Normal",Controls!$B$8+Controls!$B$9*SQRT(-2*LN(H124/2147483647))*COS(2*PI()*R124/2147483647),Controls!$B$8+(Controls!$B$9-Controls!$B$8)*H124/2147483647))</f>
        <v/>
      </c>
      <c r="AC124" s="10" t="str">
        <f>IF(I124="","",IF(Controls!$B$7="Normal",Controls!$B$8+Controls!$B$9*SQRT(-2*LN(I124/2147483647))*COS(2*PI()*S124/2147483647),Controls!$B$8+(Controls!$B$9-Controls!$B$8)*I124/2147483647))</f>
        <v/>
      </c>
      <c r="AD124" s="10" t="str">
        <f>IF(J124="","",IF(Controls!$B$7="Normal",Controls!$B$8+Controls!$B$9*SQRT(-2*LN(J124/2147483647))*COS(2*PI()*T124/2147483647),Controls!$B$8+(Controls!$B$9-Controls!$B$8)*J124/2147483647))</f>
        <v/>
      </c>
      <c r="AE124" s="10" t="str">
        <f>IF(K124="","",IF(Controls!$B$7="Normal",Controls!$B$8+Controls!$B$9*SQRT(-2*LN(K124/2147483647))*COS(2*PI()*U124/2147483647),Controls!$B$8+(Controls!$B$9-Controls!$B$8)*K124/2147483647))</f>
        <v/>
      </c>
    </row>
    <row r="125" ht="21.0" customHeight="1">
      <c r="A125" s="7" t="str">
        <f>IF(124&lt;=Controls!$B$5,Controls!$B$4+123,"")</f>
        <v/>
      </c>
      <c r="B125" s="10" t="str">
        <f>IF(OR($A125="",1&gt;Controls!$B$6),"",MOD(L124*48271,2147483647))</f>
        <v/>
      </c>
      <c r="C125" s="10" t="str">
        <f>IF(OR($A125="",2&gt;Controls!$B$6),"",MOD(M124*48271,2147483647))</f>
        <v/>
      </c>
      <c r="D125" s="10" t="str">
        <f>IF(OR($A125="",3&gt;Controls!$B$6),"",MOD(N124*48271,2147483647))</f>
        <v/>
      </c>
      <c r="E125" s="10" t="str">
        <f>IF(OR($A125="",4&gt;Controls!$B$6),"",MOD(O124*48271,2147483647))</f>
        <v/>
      </c>
      <c r="F125" s="10" t="str">
        <f>IF(OR($A125="",5&gt;Controls!$B$6),"",MOD(P124*48271,2147483647))</f>
        <v/>
      </c>
      <c r="G125" s="10" t="str">
        <f>IF(OR($A125="",6&gt;Controls!$B$6),"",MOD(Q124*48271,2147483647))</f>
        <v/>
      </c>
      <c r="H125" s="10" t="str">
        <f>IF(OR($A125="",7&gt;Controls!$B$6),"",MOD(R124*48271,2147483647))</f>
        <v/>
      </c>
      <c r="I125" s="10" t="str">
        <f>IF(OR($A125="",8&gt;Controls!$B$6),"",MOD(S124*48271,2147483647))</f>
        <v/>
      </c>
      <c r="J125" s="10" t="str">
        <f>IF(OR($A125="",9&gt;Controls!$B$6),"",MOD(T124*48271,2147483647))</f>
        <v/>
      </c>
      <c r="K125" s="10" t="str">
        <f>IF(OR($A125="",10&gt;Controls!$B$6),"",MOD(U124*48271,2147483647))</f>
        <v/>
      </c>
      <c r="L125" s="10" t="str">
        <f t="shared" ref="L125:U125" si="124">IF(B125="","",MOD(B125*48271,2147483647))</f>
        <v/>
      </c>
      <c r="M125" s="10" t="str">
        <f t="shared" si="124"/>
        <v/>
      </c>
      <c r="N125" s="10" t="str">
        <f t="shared" si="124"/>
        <v/>
      </c>
      <c r="O125" s="10" t="str">
        <f t="shared" si="124"/>
        <v/>
      </c>
      <c r="P125" s="10" t="str">
        <f t="shared" si="124"/>
        <v/>
      </c>
      <c r="Q125" s="10" t="str">
        <f t="shared" si="124"/>
        <v/>
      </c>
      <c r="R125" s="10" t="str">
        <f t="shared" si="124"/>
        <v/>
      </c>
      <c r="S125" s="10" t="str">
        <f t="shared" si="124"/>
        <v/>
      </c>
      <c r="T125" s="10" t="str">
        <f t="shared" si="124"/>
        <v/>
      </c>
      <c r="U125" s="10" t="str">
        <f t="shared" si="124"/>
        <v/>
      </c>
      <c r="V125" s="10" t="str">
        <f>IF(B125="","",IF(Controls!$B$7="Normal",Controls!$B$8+Controls!$B$9*SQRT(-2*LN(B125/2147483647))*COS(2*PI()*L125/2147483647),Controls!$B$8+(Controls!$B$9-Controls!$B$8)*B125/2147483647))</f>
        <v/>
      </c>
      <c r="W125" s="10" t="str">
        <f>IF(C125="","",IF(Controls!$B$7="Normal",Controls!$B$8+Controls!$B$9*SQRT(-2*LN(C125/2147483647))*COS(2*PI()*M125/2147483647),Controls!$B$8+(Controls!$B$9-Controls!$B$8)*C125/2147483647))</f>
        <v/>
      </c>
      <c r="X125" s="10" t="str">
        <f>IF(D125="","",IF(Controls!$B$7="Normal",Controls!$B$8+Controls!$B$9*SQRT(-2*LN(D125/2147483647))*COS(2*PI()*N125/2147483647),Controls!$B$8+(Controls!$B$9-Controls!$B$8)*D125/2147483647))</f>
        <v/>
      </c>
      <c r="Y125" s="10" t="str">
        <f>IF(E125="","",IF(Controls!$B$7="Normal",Controls!$B$8+Controls!$B$9*SQRT(-2*LN(E125/2147483647))*COS(2*PI()*O125/2147483647),Controls!$B$8+(Controls!$B$9-Controls!$B$8)*E125/2147483647))</f>
        <v/>
      </c>
      <c r="Z125" s="10" t="str">
        <f>IF(F125="","",IF(Controls!$B$7="Normal",Controls!$B$8+Controls!$B$9*SQRT(-2*LN(F125/2147483647))*COS(2*PI()*P125/2147483647),Controls!$B$8+(Controls!$B$9-Controls!$B$8)*F125/2147483647))</f>
        <v/>
      </c>
      <c r="AA125" s="10" t="str">
        <f>IF(G125="","",IF(Controls!$B$7="Normal",Controls!$B$8+Controls!$B$9*SQRT(-2*LN(G125/2147483647))*COS(2*PI()*Q125/2147483647),Controls!$B$8+(Controls!$B$9-Controls!$B$8)*G125/2147483647))</f>
        <v/>
      </c>
      <c r="AB125" s="10" t="str">
        <f>IF(H125="","",IF(Controls!$B$7="Normal",Controls!$B$8+Controls!$B$9*SQRT(-2*LN(H125/2147483647))*COS(2*PI()*R125/2147483647),Controls!$B$8+(Controls!$B$9-Controls!$B$8)*H125/2147483647))</f>
        <v/>
      </c>
      <c r="AC125" s="10" t="str">
        <f>IF(I125="","",IF(Controls!$B$7="Normal",Controls!$B$8+Controls!$B$9*SQRT(-2*LN(I125/2147483647))*COS(2*PI()*S125/2147483647),Controls!$B$8+(Controls!$B$9-Controls!$B$8)*I125/2147483647))</f>
        <v/>
      </c>
      <c r="AD125" s="10" t="str">
        <f>IF(J125="","",IF(Controls!$B$7="Normal",Controls!$B$8+Controls!$B$9*SQRT(-2*LN(J125/2147483647))*COS(2*PI()*T125/2147483647),Controls!$B$8+(Controls!$B$9-Controls!$B$8)*J125/2147483647))</f>
        <v/>
      </c>
      <c r="AE125" s="10" t="str">
        <f>IF(K125="","",IF(Controls!$B$7="Normal",Controls!$B$8+Controls!$B$9*SQRT(-2*LN(K125/2147483647))*COS(2*PI()*U125/2147483647),Controls!$B$8+(Controls!$B$9-Controls!$B$8)*K125/2147483647))</f>
        <v/>
      </c>
    </row>
    <row r="126" ht="21.0" customHeight="1">
      <c r="A126" s="7" t="str">
        <f>IF(125&lt;=Controls!$B$5,Controls!$B$4+124,"")</f>
        <v/>
      </c>
      <c r="B126" s="10" t="str">
        <f>IF(OR($A126="",1&gt;Controls!$B$6),"",MOD(L125*48271,2147483647))</f>
        <v/>
      </c>
      <c r="C126" s="10" t="str">
        <f>IF(OR($A126="",2&gt;Controls!$B$6),"",MOD(M125*48271,2147483647))</f>
        <v/>
      </c>
      <c r="D126" s="10" t="str">
        <f>IF(OR($A126="",3&gt;Controls!$B$6),"",MOD(N125*48271,2147483647))</f>
        <v/>
      </c>
      <c r="E126" s="10" t="str">
        <f>IF(OR($A126="",4&gt;Controls!$B$6),"",MOD(O125*48271,2147483647))</f>
        <v/>
      </c>
      <c r="F126" s="10" t="str">
        <f>IF(OR($A126="",5&gt;Controls!$B$6),"",MOD(P125*48271,2147483647))</f>
        <v/>
      </c>
      <c r="G126" s="10" t="str">
        <f>IF(OR($A126="",6&gt;Controls!$B$6),"",MOD(Q125*48271,2147483647))</f>
        <v/>
      </c>
      <c r="H126" s="10" t="str">
        <f>IF(OR($A126="",7&gt;Controls!$B$6),"",MOD(R125*48271,2147483647))</f>
        <v/>
      </c>
      <c r="I126" s="10" t="str">
        <f>IF(OR($A126="",8&gt;Controls!$B$6),"",MOD(S125*48271,2147483647))</f>
        <v/>
      </c>
      <c r="J126" s="10" t="str">
        <f>IF(OR($A126="",9&gt;Controls!$B$6),"",MOD(T125*48271,2147483647))</f>
        <v/>
      </c>
      <c r="K126" s="10" t="str">
        <f>IF(OR($A126="",10&gt;Controls!$B$6),"",MOD(U125*48271,2147483647))</f>
        <v/>
      </c>
      <c r="L126" s="10" t="str">
        <f t="shared" ref="L126:U126" si="125">IF(B126="","",MOD(B126*48271,2147483647))</f>
        <v/>
      </c>
      <c r="M126" s="10" t="str">
        <f t="shared" si="125"/>
        <v/>
      </c>
      <c r="N126" s="10" t="str">
        <f t="shared" si="125"/>
        <v/>
      </c>
      <c r="O126" s="10" t="str">
        <f t="shared" si="125"/>
        <v/>
      </c>
      <c r="P126" s="10" t="str">
        <f t="shared" si="125"/>
        <v/>
      </c>
      <c r="Q126" s="10" t="str">
        <f t="shared" si="125"/>
        <v/>
      </c>
      <c r="R126" s="10" t="str">
        <f t="shared" si="125"/>
        <v/>
      </c>
      <c r="S126" s="10" t="str">
        <f t="shared" si="125"/>
        <v/>
      </c>
      <c r="T126" s="10" t="str">
        <f t="shared" si="125"/>
        <v/>
      </c>
      <c r="U126" s="10" t="str">
        <f t="shared" si="125"/>
        <v/>
      </c>
      <c r="V126" s="10" t="str">
        <f>IF(B126="","",IF(Controls!$B$7="Normal",Controls!$B$8+Controls!$B$9*SQRT(-2*LN(B126/2147483647))*COS(2*PI()*L126/2147483647),Controls!$B$8+(Controls!$B$9-Controls!$B$8)*B126/2147483647))</f>
        <v/>
      </c>
      <c r="W126" s="10" t="str">
        <f>IF(C126="","",IF(Controls!$B$7="Normal",Controls!$B$8+Controls!$B$9*SQRT(-2*LN(C126/2147483647))*COS(2*PI()*M126/2147483647),Controls!$B$8+(Controls!$B$9-Controls!$B$8)*C126/2147483647))</f>
        <v/>
      </c>
      <c r="X126" s="10" t="str">
        <f>IF(D126="","",IF(Controls!$B$7="Normal",Controls!$B$8+Controls!$B$9*SQRT(-2*LN(D126/2147483647))*COS(2*PI()*N126/2147483647),Controls!$B$8+(Controls!$B$9-Controls!$B$8)*D126/2147483647))</f>
        <v/>
      </c>
      <c r="Y126" s="10" t="str">
        <f>IF(E126="","",IF(Controls!$B$7="Normal",Controls!$B$8+Controls!$B$9*SQRT(-2*LN(E126/2147483647))*COS(2*PI()*O126/2147483647),Controls!$B$8+(Controls!$B$9-Controls!$B$8)*E126/2147483647))</f>
        <v/>
      </c>
      <c r="Z126" s="10" t="str">
        <f>IF(F126="","",IF(Controls!$B$7="Normal",Controls!$B$8+Controls!$B$9*SQRT(-2*LN(F126/2147483647))*COS(2*PI()*P126/2147483647),Controls!$B$8+(Controls!$B$9-Controls!$B$8)*F126/2147483647))</f>
        <v/>
      </c>
      <c r="AA126" s="10" t="str">
        <f>IF(G126="","",IF(Controls!$B$7="Normal",Controls!$B$8+Controls!$B$9*SQRT(-2*LN(G126/2147483647))*COS(2*PI()*Q126/2147483647),Controls!$B$8+(Controls!$B$9-Controls!$B$8)*G126/2147483647))</f>
        <v/>
      </c>
      <c r="AB126" s="10" t="str">
        <f>IF(H126="","",IF(Controls!$B$7="Normal",Controls!$B$8+Controls!$B$9*SQRT(-2*LN(H126/2147483647))*COS(2*PI()*R126/2147483647),Controls!$B$8+(Controls!$B$9-Controls!$B$8)*H126/2147483647))</f>
        <v/>
      </c>
      <c r="AC126" s="10" t="str">
        <f>IF(I126="","",IF(Controls!$B$7="Normal",Controls!$B$8+Controls!$B$9*SQRT(-2*LN(I126/2147483647))*COS(2*PI()*S126/2147483647),Controls!$B$8+(Controls!$B$9-Controls!$B$8)*I126/2147483647))</f>
        <v/>
      </c>
      <c r="AD126" s="10" t="str">
        <f>IF(J126="","",IF(Controls!$B$7="Normal",Controls!$B$8+Controls!$B$9*SQRT(-2*LN(J126/2147483647))*COS(2*PI()*T126/2147483647),Controls!$B$8+(Controls!$B$9-Controls!$B$8)*J126/2147483647))</f>
        <v/>
      </c>
      <c r="AE126" s="10" t="str">
        <f>IF(K126="","",IF(Controls!$B$7="Normal",Controls!$B$8+Controls!$B$9*SQRT(-2*LN(K126/2147483647))*COS(2*PI()*U126/2147483647),Controls!$B$8+(Controls!$B$9-Controls!$B$8)*K126/2147483647))</f>
        <v/>
      </c>
    </row>
    <row r="127" ht="21.0" customHeight="1">
      <c r="A127" s="7" t="str">
        <f>IF(126&lt;=Controls!$B$5,Controls!$B$4+125,"")</f>
        <v/>
      </c>
      <c r="B127" s="10" t="str">
        <f>IF(OR($A127="",1&gt;Controls!$B$6),"",MOD(L126*48271,2147483647))</f>
        <v/>
      </c>
      <c r="C127" s="10" t="str">
        <f>IF(OR($A127="",2&gt;Controls!$B$6),"",MOD(M126*48271,2147483647))</f>
        <v/>
      </c>
      <c r="D127" s="10" t="str">
        <f>IF(OR($A127="",3&gt;Controls!$B$6),"",MOD(N126*48271,2147483647))</f>
        <v/>
      </c>
      <c r="E127" s="10" t="str">
        <f>IF(OR($A127="",4&gt;Controls!$B$6),"",MOD(O126*48271,2147483647))</f>
        <v/>
      </c>
      <c r="F127" s="10" t="str">
        <f>IF(OR($A127="",5&gt;Controls!$B$6),"",MOD(P126*48271,2147483647))</f>
        <v/>
      </c>
      <c r="G127" s="10" t="str">
        <f>IF(OR($A127="",6&gt;Controls!$B$6),"",MOD(Q126*48271,2147483647))</f>
        <v/>
      </c>
      <c r="H127" s="10" t="str">
        <f>IF(OR($A127="",7&gt;Controls!$B$6),"",MOD(R126*48271,2147483647))</f>
        <v/>
      </c>
      <c r="I127" s="10" t="str">
        <f>IF(OR($A127="",8&gt;Controls!$B$6),"",MOD(S126*48271,2147483647))</f>
        <v/>
      </c>
      <c r="J127" s="10" t="str">
        <f>IF(OR($A127="",9&gt;Controls!$B$6),"",MOD(T126*48271,2147483647))</f>
        <v/>
      </c>
      <c r="K127" s="10" t="str">
        <f>IF(OR($A127="",10&gt;Controls!$B$6),"",MOD(U126*48271,2147483647))</f>
        <v/>
      </c>
      <c r="L127" s="10" t="str">
        <f t="shared" ref="L127:U127" si="126">IF(B127="","",MOD(B127*48271,2147483647))</f>
        <v/>
      </c>
      <c r="M127" s="10" t="str">
        <f t="shared" si="126"/>
        <v/>
      </c>
      <c r="N127" s="10" t="str">
        <f t="shared" si="126"/>
        <v/>
      </c>
      <c r="O127" s="10" t="str">
        <f t="shared" si="126"/>
        <v/>
      </c>
      <c r="P127" s="10" t="str">
        <f t="shared" si="126"/>
        <v/>
      </c>
      <c r="Q127" s="10" t="str">
        <f t="shared" si="126"/>
        <v/>
      </c>
      <c r="R127" s="10" t="str">
        <f t="shared" si="126"/>
        <v/>
      </c>
      <c r="S127" s="10" t="str">
        <f t="shared" si="126"/>
        <v/>
      </c>
      <c r="T127" s="10" t="str">
        <f t="shared" si="126"/>
        <v/>
      </c>
      <c r="U127" s="10" t="str">
        <f t="shared" si="126"/>
        <v/>
      </c>
      <c r="V127" s="10" t="str">
        <f>IF(B127="","",IF(Controls!$B$7="Normal",Controls!$B$8+Controls!$B$9*SQRT(-2*LN(B127/2147483647))*COS(2*PI()*L127/2147483647),Controls!$B$8+(Controls!$B$9-Controls!$B$8)*B127/2147483647))</f>
        <v/>
      </c>
      <c r="W127" s="10" t="str">
        <f>IF(C127="","",IF(Controls!$B$7="Normal",Controls!$B$8+Controls!$B$9*SQRT(-2*LN(C127/2147483647))*COS(2*PI()*M127/2147483647),Controls!$B$8+(Controls!$B$9-Controls!$B$8)*C127/2147483647))</f>
        <v/>
      </c>
      <c r="X127" s="10" t="str">
        <f>IF(D127="","",IF(Controls!$B$7="Normal",Controls!$B$8+Controls!$B$9*SQRT(-2*LN(D127/2147483647))*COS(2*PI()*N127/2147483647),Controls!$B$8+(Controls!$B$9-Controls!$B$8)*D127/2147483647))</f>
        <v/>
      </c>
      <c r="Y127" s="10" t="str">
        <f>IF(E127="","",IF(Controls!$B$7="Normal",Controls!$B$8+Controls!$B$9*SQRT(-2*LN(E127/2147483647))*COS(2*PI()*O127/2147483647),Controls!$B$8+(Controls!$B$9-Controls!$B$8)*E127/2147483647))</f>
        <v/>
      </c>
      <c r="Z127" s="10" t="str">
        <f>IF(F127="","",IF(Controls!$B$7="Normal",Controls!$B$8+Controls!$B$9*SQRT(-2*LN(F127/2147483647))*COS(2*PI()*P127/2147483647),Controls!$B$8+(Controls!$B$9-Controls!$B$8)*F127/2147483647))</f>
        <v/>
      </c>
      <c r="AA127" s="10" t="str">
        <f>IF(G127="","",IF(Controls!$B$7="Normal",Controls!$B$8+Controls!$B$9*SQRT(-2*LN(G127/2147483647))*COS(2*PI()*Q127/2147483647),Controls!$B$8+(Controls!$B$9-Controls!$B$8)*G127/2147483647))</f>
        <v/>
      </c>
      <c r="AB127" s="10" t="str">
        <f>IF(H127="","",IF(Controls!$B$7="Normal",Controls!$B$8+Controls!$B$9*SQRT(-2*LN(H127/2147483647))*COS(2*PI()*R127/2147483647),Controls!$B$8+(Controls!$B$9-Controls!$B$8)*H127/2147483647))</f>
        <v/>
      </c>
      <c r="AC127" s="10" t="str">
        <f>IF(I127="","",IF(Controls!$B$7="Normal",Controls!$B$8+Controls!$B$9*SQRT(-2*LN(I127/2147483647))*COS(2*PI()*S127/2147483647),Controls!$B$8+(Controls!$B$9-Controls!$B$8)*I127/2147483647))</f>
        <v/>
      </c>
      <c r="AD127" s="10" t="str">
        <f>IF(J127="","",IF(Controls!$B$7="Normal",Controls!$B$8+Controls!$B$9*SQRT(-2*LN(J127/2147483647))*COS(2*PI()*T127/2147483647),Controls!$B$8+(Controls!$B$9-Controls!$B$8)*J127/2147483647))</f>
        <v/>
      </c>
      <c r="AE127" s="10" t="str">
        <f>IF(K127="","",IF(Controls!$B$7="Normal",Controls!$B$8+Controls!$B$9*SQRT(-2*LN(K127/2147483647))*COS(2*PI()*U127/2147483647),Controls!$B$8+(Controls!$B$9-Controls!$B$8)*K127/2147483647))</f>
        <v/>
      </c>
    </row>
    <row r="128" ht="21.0" customHeight="1">
      <c r="A128" s="7" t="str">
        <f>IF(127&lt;=Controls!$B$5,Controls!$B$4+126,"")</f>
        <v/>
      </c>
      <c r="B128" s="10" t="str">
        <f>IF(OR($A128="",1&gt;Controls!$B$6),"",MOD(L127*48271,2147483647))</f>
        <v/>
      </c>
      <c r="C128" s="10" t="str">
        <f>IF(OR($A128="",2&gt;Controls!$B$6),"",MOD(M127*48271,2147483647))</f>
        <v/>
      </c>
      <c r="D128" s="10" t="str">
        <f>IF(OR($A128="",3&gt;Controls!$B$6),"",MOD(N127*48271,2147483647))</f>
        <v/>
      </c>
      <c r="E128" s="10" t="str">
        <f>IF(OR($A128="",4&gt;Controls!$B$6),"",MOD(O127*48271,2147483647))</f>
        <v/>
      </c>
      <c r="F128" s="10" t="str">
        <f>IF(OR($A128="",5&gt;Controls!$B$6),"",MOD(P127*48271,2147483647))</f>
        <v/>
      </c>
      <c r="G128" s="10" t="str">
        <f>IF(OR($A128="",6&gt;Controls!$B$6),"",MOD(Q127*48271,2147483647))</f>
        <v/>
      </c>
      <c r="H128" s="10" t="str">
        <f>IF(OR($A128="",7&gt;Controls!$B$6),"",MOD(R127*48271,2147483647))</f>
        <v/>
      </c>
      <c r="I128" s="10" t="str">
        <f>IF(OR($A128="",8&gt;Controls!$B$6),"",MOD(S127*48271,2147483647))</f>
        <v/>
      </c>
      <c r="J128" s="10" t="str">
        <f>IF(OR($A128="",9&gt;Controls!$B$6),"",MOD(T127*48271,2147483647))</f>
        <v/>
      </c>
      <c r="K128" s="10" t="str">
        <f>IF(OR($A128="",10&gt;Controls!$B$6),"",MOD(U127*48271,2147483647))</f>
        <v/>
      </c>
      <c r="L128" s="10" t="str">
        <f t="shared" ref="L128:U128" si="127">IF(B128="","",MOD(B128*48271,2147483647))</f>
        <v/>
      </c>
      <c r="M128" s="10" t="str">
        <f t="shared" si="127"/>
        <v/>
      </c>
      <c r="N128" s="10" t="str">
        <f t="shared" si="127"/>
        <v/>
      </c>
      <c r="O128" s="10" t="str">
        <f t="shared" si="127"/>
        <v/>
      </c>
      <c r="P128" s="10" t="str">
        <f t="shared" si="127"/>
        <v/>
      </c>
      <c r="Q128" s="10" t="str">
        <f t="shared" si="127"/>
        <v/>
      </c>
      <c r="R128" s="10" t="str">
        <f t="shared" si="127"/>
        <v/>
      </c>
      <c r="S128" s="10" t="str">
        <f t="shared" si="127"/>
        <v/>
      </c>
      <c r="T128" s="10" t="str">
        <f t="shared" si="127"/>
        <v/>
      </c>
      <c r="U128" s="10" t="str">
        <f t="shared" si="127"/>
        <v/>
      </c>
      <c r="V128" s="10" t="str">
        <f>IF(B128="","",IF(Controls!$B$7="Normal",Controls!$B$8+Controls!$B$9*SQRT(-2*LN(B128/2147483647))*COS(2*PI()*L128/2147483647),Controls!$B$8+(Controls!$B$9-Controls!$B$8)*B128/2147483647))</f>
        <v/>
      </c>
      <c r="W128" s="10" t="str">
        <f>IF(C128="","",IF(Controls!$B$7="Normal",Controls!$B$8+Controls!$B$9*SQRT(-2*LN(C128/2147483647))*COS(2*PI()*M128/2147483647),Controls!$B$8+(Controls!$B$9-Controls!$B$8)*C128/2147483647))</f>
        <v/>
      </c>
      <c r="X128" s="10" t="str">
        <f>IF(D128="","",IF(Controls!$B$7="Normal",Controls!$B$8+Controls!$B$9*SQRT(-2*LN(D128/2147483647))*COS(2*PI()*N128/2147483647),Controls!$B$8+(Controls!$B$9-Controls!$B$8)*D128/2147483647))</f>
        <v/>
      </c>
      <c r="Y128" s="10" t="str">
        <f>IF(E128="","",IF(Controls!$B$7="Normal",Controls!$B$8+Controls!$B$9*SQRT(-2*LN(E128/2147483647))*COS(2*PI()*O128/2147483647),Controls!$B$8+(Controls!$B$9-Controls!$B$8)*E128/2147483647))</f>
        <v/>
      </c>
      <c r="Z128" s="10" t="str">
        <f>IF(F128="","",IF(Controls!$B$7="Normal",Controls!$B$8+Controls!$B$9*SQRT(-2*LN(F128/2147483647))*COS(2*PI()*P128/2147483647),Controls!$B$8+(Controls!$B$9-Controls!$B$8)*F128/2147483647))</f>
        <v/>
      </c>
      <c r="AA128" s="10" t="str">
        <f>IF(G128="","",IF(Controls!$B$7="Normal",Controls!$B$8+Controls!$B$9*SQRT(-2*LN(G128/2147483647))*COS(2*PI()*Q128/2147483647),Controls!$B$8+(Controls!$B$9-Controls!$B$8)*G128/2147483647))</f>
        <v/>
      </c>
      <c r="AB128" s="10" t="str">
        <f>IF(H128="","",IF(Controls!$B$7="Normal",Controls!$B$8+Controls!$B$9*SQRT(-2*LN(H128/2147483647))*COS(2*PI()*R128/2147483647),Controls!$B$8+(Controls!$B$9-Controls!$B$8)*H128/2147483647))</f>
        <v/>
      </c>
      <c r="AC128" s="10" t="str">
        <f>IF(I128="","",IF(Controls!$B$7="Normal",Controls!$B$8+Controls!$B$9*SQRT(-2*LN(I128/2147483647))*COS(2*PI()*S128/2147483647),Controls!$B$8+(Controls!$B$9-Controls!$B$8)*I128/2147483647))</f>
        <v/>
      </c>
      <c r="AD128" s="10" t="str">
        <f>IF(J128="","",IF(Controls!$B$7="Normal",Controls!$B$8+Controls!$B$9*SQRT(-2*LN(J128/2147483647))*COS(2*PI()*T128/2147483647),Controls!$B$8+(Controls!$B$9-Controls!$B$8)*J128/2147483647))</f>
        <v/>
      </c>
      <c r="AE128" s="10" t="str">
        <f>IF(K128="","",IF(Controls!$B$7="Normal",Controls!$B$8+Controls!$B$9*SQRT(-2*LN(K128/2147483647))*COS(2*PI()*U128/2147483647),Controls!$B$8+(Controls!$B$9-Controls!$B$8)*K128/2147483647))</f>
        <v/>
      </c>
    </row>
    <row r="129" ht="21.0" customHeight="1">
      <c r="A129" s="7" t="str">
        <f>IF(128&lt;=Controls!$B$5,Controls!$B$4+127,"")</f>
        <v/>
      </c>
      <c r="B129" s="10" t="str">
        <f>IF(OR($A129="",1&gt;Controls!$B$6),"",MOD(L128*48271,2147483647))</f>
        <v/>
      </c>
      <c r="C129" s="10" t="str">
        <f>IF(OR($A129="",2&gt;Controls!$B$6),"",MOD(M128*48271,2147483647))</f>
        <v/>
      </c>
      <c r="D129" s="10" t="str">
        <f>IF(OR($A129="",3&gt;Controls!$B$6),"",MOD(N128*48271,2147483647))</f>
        <v/>
      </c>
      <c r="E129" s="10" t="str">
        <f>IF(OR($A129="",4&gt;Controls!$B$6),"",MOD(O128*48271,2147483647))</f>
        <v/>
      </c>
      <c r="F129" s="10" t="str">
        <f>IF(OR($A129="",5&gt;Controls!$B$6),"",MOD(P128*48271,2147483647))</f>
        <v/>
      </c>
      <c r="G129" s="10" t="str">
        <f>IF(OR($A129="",6&gt;Controls!$B$6),"",MOD(Q128*48271,2147483647))</f>
        <v/>
      </c>
      <c r="H129" s="10" t="str">
        <f>IF(OR($A129="",7&gt;Controls!$B$6),"",MOD(R128*48271,2147483647))</f>
        <v/>
      </c>
      <c r="I129" s="10" t="str">
        <f>IF(OR($A129="",8&gt;Controls!$B$6),"",MOD(S128*48271,2147483647))</f>
        <v/>
      </c>
      <c r="J129" s="10" t="str">
        <f>IF(OR($A129="",9&gt;Controls!$B$6),"",MOD(T128*48271,2147483647))</f>
        <v/>
      </c>
      <c r="K129" s="10" t="str">
        <f>IF(OR($A129="",10&gt;Controls!$B$6),"",MOD(U128*48271,2147483647))</f>
        <v/>
      </c>
      <c r="L129" s="10" t="str">
        <f t="shared" ref="L129:U129" si="128">IF(B129="","",MOD(B129*48271,2147483647))</f>
        <v/>
      </c>
      <c r="M129" s="10" t="str">
        <f t="shared" si="128"/>
        <v/>
      </c>
      <c r="N129" s="10" t="str">
        <f t="shared" si="128"/>
        <v/>
      </c>
      <c r="O129" s="10" t="str">
        <f t="shared" si="128"/>
        <v/>
      </c>
      <c r="P129" s="10" t="str">
        <f t="shared" si="128"/>
        <v/>
      </c>
      <c r="Q129" s="10" t="str">
        <f t="shared" si="128"/>
        <v/>
      </c>
      <c r="R129" s="10" t="str">
        <f t="shared" si="128"/>
        <v/>
      </c>
      <c r="S129" s="10" t="str">
        <f t="shared" si="128"/>
        <v/>
      </c>
      <c r="T129" s="10" t="str">
        <f t="shared" si="128"/>
        <v/>
      </c>
      <c r="U129" s="10" t="str">
        <f t="shared" si="128"/>
        <v/>
      </c>
      <c r="V129" s="10" t="str">
        <f>IF(B129="","",IF(Controls!$B$7="Normal",Controls!$B$8+Controls!$B$9*SQRT(-2*LN(B129/2147483647))*COS(2*PI()*L129/2147483647),Controls!$B$8+(Controls!$B$9-Controls!$B$8)*B129/2147483647))</f>
        <v/>
      </c>
      <c r="W129" s="10" t="str">
        <f>IF(C129="","",IF(Controls!$B$7="Normal",Controls!$B$8+Controls!$B$9*SQRT(-2*LN(C129/2147483647))*COS(2*PI()*M129/2147483647),Controls!$B$8+(Controls!$B$9-Controls!$B$8)*C129/2147483647))</f>
        <v/>
      </c>
      <c r="X129" s="10" t="str">
        <f>IF(D129="","",IF(Controls!$B$7="Normal",Controls!$B$8+Controls!$B$9*SQRT(-2*LN(D129/2147483647))*COS(2*PI()*N129/2147483647),Controls!$B$8+(Controls!$B$9-Controls!$B$8)*D129/2147483647))</f>
        <v/>
      </c>
      <c r="Y129" s="10" t="str">
        <f>IF(E129="","",IF(Controls!$B$7="Normal",Controls!$B$8+Controls!$B$9*SQRT(-2*LN(E129/2147483647))*COS(2*PI()*O129/2147483647),Controls!$B$8+(Controls!$B$9-Controls!$B$8)*E129/2147483647))</f>
        <v/>
      </c>
      <c r="Z129" s="10" t="str">
        <f>IF(F129="","",IF(Controls!$B$7="Normal",Controls!$B$8+Controls!$B$9*SQRT(-2*LN(F129/2147483647))*COS(2*PI()*P129/2147483647),Controls!$B$8+(Controls!$B$9-Controls!$B$8)*F129/2147483647))</f>
        <v/>
      </c>
      <c r="AA129" s="10" t="str">
        <f>IF(G129="","",IF(Controls!$B$7="Normal",Controls!$B$8+Controls!$B$9*SQRT(-2*LN(G129/2147483647))*COS(2*PI()*Q129/2147483647),Controls!$B$8+(Controls!$B$9-Controls!$B$8)*G129/2147483647))</f>
        <v/>
      </c>
      <c r="AB129" s="10" t="str">
        <f>IF(H129="","",IF(Controls!$B$7="Normal",Controls!$B$8+Controls!$B$9*SQRT(-2*LN(H129/2147483647))*COS(2*PI()*R129/2147483647),Controls!$B$8+(Controls!$B$9-Controls!$B$8)*H129/2147483647))</f>
        <v/>
      </c>
      <c r="AC129" s="10" t="str">
        <f>IF(I129="","",IF(Controls!$B$7="Normal",Controls!$B$8+Controls!$B$9*SQRT(-2*LN(I129/2147483647))*COS(2*PI()*S129/2147483647),Controls!$B$8+(Controls!$B$9-Controls!$B$8)*I129/2147483647))</f>
        <v/>
      </c>
      <c r="AD129" s="10" t="str">
        <f>IF(J129="","",IF(Controls!$B$7="Normal",Controls!$B$8+Controls!$B$9*SQRT(-2*LN(J129/2147483647))*COS(2*PI()*T129/2147483647),Controls!$B$8+(Controls!$B$9-Controls!$B$8)*J129/2147483647))</f>
        <v/>
      </c>
      <c r="AE129" s="10" t="str">
        <f>IF(K129="","",IF(Controls!$B$7="Normal",Controls!$B$8+Controls!$B$9*SQRT(-2*LN(K129/2147483647))*COS(2*PI()*U129/2147483647),Controls!$B$8+(Controls!$B$9-Controls!$B$8)*K129/2147483647))</f>
        <v/>
      </c>
    </row>
    <row r="130" ht="21.0" customHeight="1">
      <c r="A130" s="7" t="str">
        <f>IF(129&lt;=Controls!$B$5,Controls!$B$4+128,"")</f>
        <v/>
      </c>
      <c r="B130" s="10" t="str">
        <f>IF(OR($A130="",1&gt;Controls!$B$6),"",MOD(L129*48271,2147483647))</f>
        <v/>
      </c>
      <c r="C130" s="10" t="str">
        <f>IF(OR($A130="",2&gt;Controls!$B$6),"",MOD(M129*48271,2147483647))</f>
        <v/>
      </c>
      <c r="D130" s="10" t="str">
        <f>IF(OR($A130="",3&gt;Controls!$B$6),"",MOD(N129*48271,2147483647))</f>
        <v/>
      </c>
      <c r="E130" s="10" t="str">
        <f>IF(OR($A130="",4&gt;Controls!$B$6),"",MOD(O129*48271,2147483647))</f>
        <v/>
      </c>
      <c r="F130" s="10" t="str">
        <f>IF(OR($A130="",5&gt;Controls!$B$6),"",MOD(P129*48271,2147483647))</f>
        <v/>
      </c>
      <c r="G130" s="10" t="str">
        <f>IF(OR($A130="",6&gt;Controls!$B$6),"",MOD(Q129*48271,2147483647))</f>
        <v/>
      </c>
      <c r="H130" s="10" t="str">
        <f>IF(OR($A130="",7&gt;Controls!$B$6),"",MOD(R129*48271,2147483647))</f>
        <v/>
      </c>
      <c r="I130" s="10" t="str">
        <f>IF(OR($A130="",8&gt;Controls!$B$6),"",MOD(S129*48271,2147483647))</f>
        <v/>
      </c>
      <c r="J130" s="10" t="str">
        <f>IF(OR($A130="",9&gt;Controls!$B$6),"",MOD(T129*48271,2147483647))</f>
        <v/>
      </c>
      <c r="K130" s="10" t="str">
        <f>IF(OR($A130="",10&gt;Controls!$B$6),"",MOD(U129*48271,2147483647))</f>
        <v/>
      </c>
      <c r="L130" s="10" t="str">
        <f t="shared" ref="L130:U130" si="129">IF(B130="","",MOD(B130*48271,2147483647))</f>
        <v/>
      </c>
      <c r="M130" s="10" t="str">
        <f t="shared" si="129"/>
        <v/>
      </c>
      <c r="N130" s="10" t="str">
        <f t="shared" si="129"/>
        <v/>
      </c>
      <c r="O130" s="10" t="str">
        <f t="shared" si="129"/>
        <v/>
      </c>
      <c r="P130" s="10" t="str">
        <f t="shared" si="129"/>
        <v/>
      </c>
      <c r="Q130" s="10" t="str">
        <f t="shared" si="129"/>
        <v/>
      </c>
      <c r="R130" s="10" t="str">
        <f t="shared" si="129"/>
        <v/>
      </c>
      <c r="S130" s="10" t="str">
        <f t="shared" si="129"/>
        <v/>
      </c>
      <c r="T130" s="10" t="str">
        <f t="shared" si="129"/>
        <v/>
      </c>
      <c r="U130" s="10" t="str">
        <f t="shared" si="129"/>
        <v/>
      </c>
      <c r="V130" s="10" t="str">
        <f>IF(B130="","",IF(Controls!$B$7="Normal",Controls!$B$8+Controls!$B$9*SQRT(-2*LN(B130/2147483647))*COS(2*PI()*L130/2147483647),Controls!$B$8+(Controls!$B$9-Controls!$B$8)*B130/2147483647))</f>
        <v/>
      </c>
      <c r="W130" s="10" t="str">
        <f>IF(C130="","",IF(Controls!$B$7="Normal",Controls!$B$8+Controls!$B$9*SQRT(-2*LN(C130/2147483647))*COS(2*PI()*M130/2147483647),Controls!$B$8+(Controls!$B$9-Controls!$B$8)*C130/2147483647))</f>
        <v/>
      </c>
      <c r="X130" s="10" t="str">
        <f>IF(D130="","",IF(Controls!$B$7="Normal",Controls!$B$8+Controls!$B$9*SQRT(-2*LN(D130/2147483647))*COS(2*PI()*N130/2147483647),Controls!$B$8+(Controls!$B$9-Controls!$B$8)*D130/2147483647))</f>
        <v/>
      </c>
      <c r="Y130" s="10" t="str">
        <f>IF(E130="","",IF(Controls!$B$7="Normal",Controls!$B$8+Controls!$B$9*SQRT(-2*LN(E130/2147483647))*COS(2*PI()*O130/2147483647),Controls!$B$8+(Controls!$B$9-Controls!$B$8)*E130/2147483647))</f>
        <v/>
      </c>
      <c r="Z130" s="10" t="str">
        <f>IF(F130="","",IF(Controls!$B$7="Normal",Controls!$B$8+Controls!$B$9*SQRT(-2*LN(F130/2147483647))*COS(2*PI()*P130/2147483647),Controls!$B$8+(Controls!$B$9-Controls!$B$8)*F130/2147483647))</f>
        <v/>
      </c>
      <c r="AA130" s="10" t="str">
        <f>IF(G130="","",IF(Controls!$B$7="Normal",Controls!$B$8+Controls!$B$9*SQRT(-2*LN(G130/2147483647))*COS(2*PI()*Q130/2147483647),Controls!$B$8+(Controls!$B$9-Controls!$B$8)*G130/2147483647))</f>
        <v/>
      </c>
      <c r="AB130" s="10" t="str">
        <f>IF(H130="","",IF(Controls!$B$7="Normal",Controls!$B$8+Controls!$B$9*SQRT(-2*LN(H130/2147483647))*COS(2*PI()*R130/2147483647),Controls!$B$8+(Controls!$B$9-Controls!$B$8)*H130/2147483647))</f>
        <v/>
      </c>
      <c r="AC130" s="10" t="str">
        <f>IF(I130="","",IF(Controls!$B$7="Normal",Controls!$B$8+Controls!$B$9*SQRT(-2*LN(I130/2147483647))*COS(2*PI()*S130/2147483647),Controls!$B$8+(Controls!$B$9-Controls!$B$8)*I130/2147483647))</f>
        <v/>
      </c>
      <c r="AD130" s="10" t="str">
        <f>IF(J130="","",IF(Controls!$B$7="Normal",Controls!$B$8+Controls!$B$9*SQRT(-2*LN(J130/2147483647))*COS(2*PI()*T130/2147483647),Controls!$B$8+(Controls!$B$9-Controls!$B$8)*J130/2147483647))</f>
        <v/>
      </c>
      <c r="AE130" s="10" t="str">
        <f>IF(K130="","",IF(Controls!$B$7="Normal",Controls!$B$8+Controls!$B$9*SQRT(-2*LN(K130/2147483647))*COS(2*PI()*U130/2147483647),Controls!$B$8+(Controls!$B$9-Controls!$B$8)*K130/2147483647))</f>
        <v/>
      </c>
    </row>
    <row r="131" ht="21.0" customHeight="1">
      <c r="A131" s="7" t="str">
        <f>IF(130&lt;=Controls!$B$5,Controls!$B$4+129,"")</f>
        <v/>
      </c>
      <c r="B131" s="10" t="str">
        <f>IF(OR($A131="",1&gt;Controls!$B$6),"",MOD(L130*48271,2147483647))</f>
        <v/>
      </c>
      <c r="C131" s="10" t="str">
        <f>IF(OR($A131="",2&gt;Controls!$B$6),"",MOD(M130*48271,2147483647))</f>
        <v/>
      </c>
      <c r="D131" s="10" t="str">
        <f>IF(OR($A131="",3&gt;Controls!$B$6),"",MOD(N130*48271,2147483647))</f>
        <v/>
      </c>
      <c r="E131" s="10" t="str">
        <f>IF(OR($A131="",4&gt;Controls!$B$6),"",MOD(O130*48271,2147483647))</f>
        <v/>
      </c>
      <c r="F131" s="10" t="str">
        <f>IF(OR($A131="",5&gt;Controls!$B$6),"",MOD(P130*48271,2147483647))</f>
        <v/>
      </c>
      <c r="G131" s="10" t="str">
        <f>IF(OR($A131="",6&gt;Controls!$B$6),"",MOD(Q130*48271,2147483647))</f>
        <v/>
      </c>
      <c r="H131" s="10" t="str">
        <f>IF(OR($A131="",7&gt;Controls!$B$6),"",MOD(R130*48271,2147483647))</f>
        <v/>
      </c>
      <c r="I131" s="10" t="str">
        <f>IF(OR($A131="",8&gt;Controls!$B$6),"",MOD(S130*48271,2147483647))</f>
        <v/>
      </c>
      <c r="J131" s="10" t="str">
        <f>IF(OR($A131="",9&gt;Controls!$B$6),"",MOD(T130*48271,2147483647))</f>
        <v/>
      </c>
      <c r="K131" s="10" t="str">
        <f>IF(OR($A131="",10&gt;Controls!$B$6),"",MOD(U130*48271,2147483647))</f>
        <v/>
      </c>
      <c r="L131" s="10" t="str">
        <f t="shared" ref="L131:U131" si="130">IF(B131="","",MOD(B131*48271,2147483647))</f>
        <v/>
      </c>
      <c r="M131" s="10" t="str">
        <f t="shared" si="130"/>
        <v/>
      </c>
      <c r="N131" s="10" t="str">
        <f t="shared" si="130"/>
        <v/>
      </c>
      <c r="O131" s="10" t="str">
        <f t="shared" si="130"/>
        <v/>
      </c>
      <c r="P131" s="10" t="str">
        <f t="shared" si="130"/>
        <v/>
      </c>
      <c r="Q131" s="10" t="str">
        <f t="shared" si="130"/>
        <v/>
      </c>
      <c r="R131" s="10" t="str">
        <f t="shared" si="130"/>
        <v/>
      </c>
      <c r="S131" s="10" t="str">
        <f t="shared" si="130"/>
        <v/>
      </c>
      <c r="T131" s="10" t="str">
        <f t="shared" si="130"/>
        <v/>
      </c>
      <c r="U131" s="10" t="str">
        <f t="shared" si="130"/>
        <v/>
      </c>
      <c r="V131" s="10" t="str">
        <f>IF(B131="","",IF(Controls!$B$7="Normal",Controls!$B$8+Controls!$B$9*SQRT(-2*LN(B131/2147483647))*COS(2*PI()*L131/2147483647),Controls!$B$8+(Controls!$B$9-Controls!$B$8)*B131/2147483647))</f>
        <v/>
      </c>
      <c r="W131" s="10" t="str">
        <f>IF(C131="","",IF(Controls!$B$7="Normal",Controls!$B$8+Controls!$B$9*SQRT(-2*LN(C131/2147483647))*COS(2*PI()*M131/2147483647),Controls!$B$8+(Controls!$B$9-Controls!$B$8)*C131/2147483647))</f>
        <v/>
      </c>
      <c r="X131" s="10" t="str">
        <f>IF(D131="","",IF(Controls!$B$7="Normal",Controls!$B$8+Controls!$B$9*SQRT(-2*LN(D131/2147483647))*COS(2*PI()*N131/2147483647),Controls!$B$8+(Controls!$B$9-Controls!$B$8)*D131/2147483647))</f>
        <v/>
      </c>
      <c r="Y131" s="10" t="str">
        <f>IF(E131="","",IF(Controls!$B$7="Normal",Controls!$B$8+Controls!$B$9*SQRT(-2*LN(E131/2147483647))*COS(2*PI()*O131/2147483647),Controls!$B$8+(Controls!$B$9-Controls!$B$8)*E131/2147483647))</f>
        <v/>
      </c>
      <c r="Z131" s="10" t="str">
        <f>IF(F131="","",IF(Controls!$B$7="Normal",Controls!$B$8+Controls!$B$9*SQRT(-2*LN(F131/2147483647))*COS(2*PI()*P131/2147483647),Controls!$B$8+(Controls!$B$9-Controls!$B$8)*F131/2147483647))</f>
        <v/>
      </c>
      <c r="AA131" s="10" t="str">
        <f>IF(G131="","",IF(Controls!$B$7="Normal",Controls!$B$8+Controls!$B$9*SQRT(-2*LN(G131/2147483647))*COS(2*PI()*Q131/2147483647),Controls!$B$8+(Controls!$B$9-Controls!$B$8)*G131/2147483647))</f>
        <v/>
      </c>
      <c r="AB131" s="10" t="str">
        <f>IF(H131="","",IF(Controls!$B$7="Normal",Controls!$B$8+Controls!$B$9*SQRT(-2*LN(H131/2147483647))*COS(2*PI()*R131/2147483647),Controls!$B$8+(Controls!$B$9-Controls!$B$8)*H131/2147483647))</f>
        <v/>
      </c>
      <c r="AC131" s="10" t="str">
        <f>IF(I131="","",IF(Controls!$B$7="Normal",Controls!$B$8+Controls!$B$9*SQRT(-2*LN(I131/2147483647))*COS(2*PI()*S131/2147483647),Controls!$B$8+(Controls!$B$9-Controls!$B$8)*I131/2147483647))</f>
        <v/>
      </c>
      <c r="AD131" s="10" t="str">
        <f>IF(J131="","",IF(Controls!$B$7="Normal",Controls!$B$8+Controls!$B$9*SQRT(-2*LN(J131/2147483647))*COS(2*PI()*T131/2147483647),Controls!$B$8+(Controls!$B$9-Controls!$B$8)*J131/2147483647))</f>
        <v/>
      </c>
      <c r="AE131" s="10" t="str">
        <f>IF(K131="","",IF(Controls!$B$7="Normal",Controls!$B$8+Controls!$B$9*SQRT(-2*LN(K131/2147483647))*COS(2*PI()*U131/2147483647),Controls!$B$8+(Controls!$B$9-Controls!$B$8)*K131/2147483647))</f>
        <v/>
      </c>
    </row>
    <row r="132" ht="21.0" customHeight="1">
      <c r="A132" s="7" t="str">
        <f>IF(131&lt;=Controls!$B$5,Controls!$B$4+130,"")</f>
        <v/>
      </c>
      <c r="B132" s="10" t="str">
        <f>IF(OR($A132="",1&gt;Controls!$B$6),"",MOD(L131*48271,2147483647))</f>
        <v/>
      </c>
      <c r="C132" s="10" t="str">
        <f>IF(OR($A132="",2&gt;Controls!$B$6),"",MOD(M131*48271,2147483647))</f>
        <v/>
      </c>
      <c r="D132" s="10" t="str">
        <f>IF(OR($A132="",3&gt;Controls!$B$6),"",MOD(N131*48271,2147483647))</f>
        <v/>
      </c>
      <c r="E132" s="10" t="str">
        <f>IF(OR($A132="",4&gt;Controls!$B$6),"",MOD(O131*48271,2147483647))</f>
        <v/>
      </c>
      <c r="F132" s="10" t="str">
        <f>IF(OR($A132="",5&gt;Controls!$B$6),"",MOD(P131*48271,2147483647))</f>
        <v/>
      </c>
      <c r="G132" s="10" t="str">
        <f>IF(OR($A132="",6&gt;Controls!$B$6),"",MOD(Q131*48271,2147483647))</f>
        <v/>
      </c>
      <c r="H132" s="10" t="str">
        <f>IF(OR($A132="",7&gt;Controls!$B$6),"",MOD(R131*48271,2147483647))</f>
        <v/>
      </c>
      <c r="I132" s="10" t="str">
        <f>IF(OR($A132="",8&gt;Controls!$B$6),"",MOD(S131*48271,2147483647))</f>
        <v/>
      </c>
      <c r="J132" s="10" t="str">
        <f>IF(OR($A132="",9&gt;Controls!$B$6),"",MOD(T131*48271,2147483647))</f>
        <v/>
      </c>
      <c r="K132" s="10" t="str">
        <f>IF(OR($A132="",10&gt;Controls!$B$6),"",MOD(U131*48271,2147483647))</f>
        <v/>
      </c>
      <c r="L132" s="10" t="str">
        <f t="shared" ref="L132:U132" si="131">IF(B132="","",MOD(B132*48271,2147483647))</f>
        <v/>
      </c>
      <c r="M132" s="10" t="str">
        <f t="shared" si="131"/>
        <v/>
      </c>
      <c r="N132" s="10" t="str">
        <f t="shared" si="131"/>
        <v/>
      </c>
      <c r="O132" s="10" t="str">
        <f t="shared" si="131"/>
        <v/>
      </c>
      <c r="P132" s="10" t="str">
        <f t="shared" si="131"/>
        <v/>
      </c>
      <c r="Q132" s="10" t="str">
        <f t="shared" si="131"/>
        <v/>
      </c>
      <c r="R132" s="10" t="str">
        <f t="shared" si="131"/>
        <v/>
      </c>
      <c r="S132" s="10" t="str">
        <f t="shared" si="131"/>
        <v/>
      </c>
      <c r="T132" s="10" t="str">
        <f t="shared" si="131"/>
        <v/>
      </c>
      <c r="U132" s="10" t="str">
        <f t="shared" si="131"/>
        <v/>
      </c>
      <c r="V132" s="10" t="str">
        <f>IF(B132="","",IF(Controls!$B$7="Normal",Controls!$B$8+Controls!$B$9*SQRT(-2*LN(B132/2147483647))*COS(2*PI()*L132/2147483647),Controls!$B$8+(Controls!$B$9-Controls!$B$8)*B132/2147483647))</f>
        <v/>
      </c>
      <c r="W132" s="10" t="str">
        <f>IF(C132="","",IF(Controls!$B$7="Normal",Controls!$B$8+Controls!$B$9*SQRT(-2*LN(C132/2147483647))*COS(2*PI()*M132/2147483647),Controls!$B$8+(Controls!$B$9-Controls!$B$8)*C132/2147483647))</f>
        <v/>
      </c>
      <c r="X132" s="10" t="str">
        <f>IF(D132="","",IF(Controls!$B$7="Normal",Controls!$B$8+Controls!$B$9*SQRT(-2*LN(D132/2147483647))*COS(2*PI()*N132/2147483647),Controls!$B$8+(Controls!$B$9-Controls!$B$8)*D132/2147483647))</f>
        <v/>
      </c>
      <c r="Y132" s="10" t="str">
        <f>IF(E132="","",IF(Controls!$B$7="Normal",Controls!$B$8+Controls!$B$9*SQRT(-2*LN(E132/2147483647))*COS(2*PI()*O132/2147483647),Controls!$B$8+(Controls!$B$9-Controls!$B$8)*E132/2147483647))</f>
        <v/>
      </c>
      <c r="Z132" s="10" t="str">
        <f>IF(F132="","",IF(Controls!$B$7="Normal",Controls!$B$8+Controls!$B$9*SQRT(-2*LN(F132/2147483647))*COS(2*PI()*P132/2147483647),Controls!$B$8+(Controls!$B$9-Controls!$B$8)*F132/2147483647))</f>
        <v/>
      </c>
      <c r="AA132" s="10" t="str">
        <f>IF(G132="","",IF(Controls!$B$7="Normal",Controls!$B$8+Controls!$B$9*SQRT(-2*LN(G132/2147483647))*COS(2*PI()*Q132/2147483647),Controls!$B$8+(Controls!$B$9-Controls!$B$8)*G132/2147483647))</f>
        <v/>
      </c>
      <c r="AB132" s="10" t="str">
        <f>IF(H132="","",IF(Controls!$B$7="Normal",Controls!$B$8+Controls!$B$9*SQRT(-2*LN(H132/2147483647))*COS(2*PI()*R132/2147483647),Controls!$B$8+(Controls!$B$9-Controls!$B$8)*H132/2147483647))</f>
        <v/>
      </c>
      <c r="AC132" s="10" t="str">
        <f>IF(I132="","",IF(Controls!$B$7="Normal",Controls!$B$8+Controls!$B$9*SQRT(-2*LN(I132/2147483647))*COS(2*PI()*S132/2147483647),Controls!$B$8+(Controls!$B$9-Controls!$B$8)*I132/2147483647))</f>
        <v/>
      </c>
      <c r="AD132" s="10" t="str">
        <f>IF(J132="","",IF(Controls!$B$7="Normal",Controls!$B$8+Controls!$B$9*SQRT(-2*LN(J132/2147483647))*COS(2*PI()*T132/2147483647),Controls!$B$8+(Controls!$B$9-Controls!$B$8)*J132/2147483647))</f>
        <v/>
      </c>
      <c r="AE132" s="10" t="str">
        <f>IF(K132="","",IF(Controls!$B$7="Normal",Controls!$B$8+Controls!$B$9*SQRT(-2*LN(K132/2147483647))*COS(2*PI()*U132/2147483647),Controls!$B$8+(Controls!$B$9-Controls!$B$8)*K132/2147483647))</f>
        <v/>
      </c>
    </row>
    <row r="133" ht="21.0" customHeight="1">
      <c r="A133" s="7" t="str">
        <f>IF(132&lt;=Controls!$B$5,Controls!$B$4+131,"")</f>
        <v/>
      </c>
      <c r="B133" s="10" t="str">
        <f>IF(OR($A133="",1&gt;Controls!$B$6),"",MOD(L132*48271,2147483647))</f>
        <v/>
      </c>
      <c r="C133" s="10" t="str">
        <f>IF(OR($A133="",2&gt;Controls!$B$6),"",MOD(M132*48271,2147483647))</f>
        <v/>
      </c>
      <c r="D133" s="10" t="str">
        <f>IF(OR($A133="",3&gt;Controls!$B$6),"",MOD(N132*48271,2147483647))</f>
        <v/>
      </c>
      <c r="E133" s="10" t="str">
        <f>IF(OR($A133="",4&gt;Controls!$B$6),"",MOD(O132*48271,2147483647))</f>
        <v/>
      </c>
      <c r="F133" s="10" t="str">
        <f>IF(OR($A133="",5&gt;Controls!$B$6),"",MOD(P132*48271,2147483647))</f>
        <v/>
      </c>
      <c r="G133" s="10" t="str">
        <f>IF(OR($A133="",6&gt;Controls!$B$6),"",MOD(Q132*48271,2147483647))</f>
        <v/>
      </c>
      <c r="H133" s="10" t="str">
        <f>IF(OR($A133="",7&gt;Controls!$B$6),"",MOD(R132*48271,2147483647))</f>
        <v/>
      </c>
      <c r="I133" s="10" t="str">
        <f>IF(OR($A133="",8&gt;Controls!$B$6),"",MOD(S132*48271,2147483647))</f>
        <v/>
      </c>
      <c r="J133" s="10" t="str">
        <f>IF(OR($A133="",9&gt;Controls!$B$6),"",MOD(T132*48271,2147483647))</f>
        <v/>
      </c>
      <c r="K133" s="10" t="str">
        <f>IF(OR($A133="",10&gt;Controls!$B$6),"",MOD(U132*48271,2147483647))</f>
        <v/>
      </c>
      <c r="L133" s="10" t="str">
        <f t="shared" ref="L133:U133" si="132">IF(B133="","",MOD(B133*48271,2147483647))</f>
        <v/>
      </c>
      <c r="M133" s="10" t="str">
        <f t="shared" si="132"/>
        <v/>
      </c>
      <c r="N133" s="10" t="str">
        <f t="shared" si="132"/>
        <v/>
      </c>
      <c r="O133" s="10" t="str">
        <f t="shared" si="132"/>
        <v/>
      </c>
      <c r="P133" s="10" t="str">
        <f t="shared" si="132"/>
        <v/>
      </c>
      <c r="Q133" s="10" t="str">
        <f t="shared" si="132"/>
        <v/>
      </c>
      <c r="R133" s="10" t="str">
        <f t="shared" si="132"/>
        <v/>
      </c>
      <c r="S133" s="10" t="str">
        <f t="shared" si="132"/>
        <v/>
      </c>
      <c r="T133" s="10" t="str">
        <f t="shared" si="132"/>
        <v/>
      </c>
      <c r="U133" s="10" t="str">
        <f t="shared" si="132"/>
        <v/>
      </c>
      <c r="V133" s="10" t="str">
        <f>IF(B133="","",IF(Controls!$B$7="Normal",Controls!$B$8+Controls!$B$9*SQRT(-2*LN(B133/2147483647))*COS(2*PI()*L133/2147483647),Controls!$B$8+(Controls!$B$9-Controls!$B$8)*B133/2147483647))</f>
        <v/>
      </c>
      <c r="W133" s="10" t="str">
        <f>IF(C133="","",IF(Controls!$B$7="Normal",Controls!$B$8+Controls!$B$9*SQRT(-2*LN(C133/2147483647))*COS(2*PI()*M133/2147483647),Controls!$B$8+(Controls!$B$9-Controls!$B$8)*C133/2147483647))</f>
        <v/>
      </c>
      <c r="X133" s="10" t="str">
        <f>IF(D133="","",IF(Controls!$B$7="Normal",Controls!$B$8+Controls!$B$9*SQRT(-2*LN(D133/2147483647))*COS(2*PI()*N133/2147483647),Controls!$B$8+(Controls!$B$9-Controls!$B$8)*D133/2147483647))</f>
        <v/>
      </c>
      <c r="Y133" s="10" t="str">
        <f>IF(E133="","",IF(Controls!$B$7="Normal",Controls!$B$8+Controls!$B$9*SQRT(-2*LN(E133/2147483647))*COS(2*PI()*O133/2147483647),Controls!$B$8+(Controls!$B$9-Controls!$B$8)*E133/2147483647))</f>
        <v/>
      </c>
      <c r="Z133" s="10" t="str">
        <f>IF(F133="","",IF(Controls!$B$7="Normal",Controls!$B$8+Controls!$B$9*SQRT(-2*LN(F133/2147483647))*COS(2*PI()*P133/2147483647),Controls!$B$8+(Controls!$B$9-Controls!$B$8)*F133/2147483647))</f>
        <v/>
      </c>
      <c r="AA133" s="10" t="str">
        <f>IF(G133="","",IF(Controls!$B$7="Normal",Controls!$B$8+Controls!$B$9*SQRT(-2*LN(G133/2147483647))*COS(2*PI()*Q133/2147483647),Controls!$B$8+(Controls!$B$9-Controls!$B$8)*G133/2147483647))</f>
        <v/>
      </c>
      <c r="AB133" s="10" t="str">
        <f>IF(H133="","",IF(Controls!$B$7="Normal",Controls!$B$8+Controls!$B$9*SQRT(-2*LN(H133/2147483647))*COS(2*PI()*R133/2147483647),Controls!$B$8+(Controls!$B$9-Controls!$B$8)*H133/2147483647))</f>
        <v/>
      </c>
      <c r="AC133" s="10" t="str">
        <f>IF(I133="","",IF(Controls!$B$7="Normal",Controls!$B$8+Controls!$B$9*SQRT(-2*LN(I133/2147483647))*COS(2*PI()*S133/2147483647),Controls!$B$8+(Controls!$B$9-Controls!$B$8)*I133/2147483647))</f>
        <v/>
      </c>
      <c r="AD133" s="10" t="str">
        <f>IF(J133="","",IF(Controls!$B$7="Normal",Controls!$B$8+Controls!$B$9*SQRT(-2*LN(J133/2147483647))*COS(2*PI()*T133/2147483647),Controls!$B$8+(Controls!$B$9-Controls!$B$8)*J133/2147483647))</f>
        <v/>
      </c>
      <c r="AE133" s="10" t="str">
        <f>IF(K133="","",IF(Controls!$B$7="Normal",Controls!$B$8+Controls!$B$9*SQRT(-2*LN(K133/2147483647))*COS(2*PI()*U133/2147483647),Controls!$B$8+(Controls!$B$9-Controls!$B$8)*K133/2147483647))</f>
        <v/>
      </c>
    </row>
    <row r="134" ht="21.0" customHeight="1">
      <c r="A134" s="7" t="str">
        <f>IF(133&lt;=Controls!$B$5,Controls!$B$4+132,"")</f>
        <v/>
      </c>
      <c r="B134" s="10" t="str">
        <f>IF(OR($A134="",1&gt;Controls!$B$6),"",MOD(L133*48271,2147483647))</f>
        <v/>
      </c>
      <c r="C134" s="10" t="str">
        <f>IF(OR($A134="",2&gt;Controls!$B$6),"",MOD(M133*48271,2147483647))</f>
        <v/>
      </c>
      <c r="D134" s="10" t="str">
        <f>IF(OR($A134="",3&gt;Controls!$B$6),"",MOD(N133*48271,2147483647))</f>
        <v/>
      </c>
      <c r="E134" s="10" t="str">
        <f>IF(OR($A134="",4&gt;Controls!$B$6),"",MOD(O133*48271,2147483647))</f>
        <v/>
      </c>
      <c r="F134" s="10" t="str">
        <f>IF(OR($A134="",5&gt;Controls!$B$6),"",MOD(P133*48271,2147483647))</f>
        <v/>
      </c>
      <c r="G134" s="10" t="str">
        <f>IF(OR($A134="",6&gt;Controls!$B$6),"",MOD(Q133*48271,2147483647))</f>
        <v/>
      </c>
      <c r="H134" s="10" t="str">
        <f>IF(OR($A134="",7&gt;Controls!$B$6),"",MOD(R133*48271,2147483647))</f>
        <v/>
      </c>
      <c r="I134" s="10" t="str">
        <f>IF(OR($A134="",8&gt;Controls!$B$6),"",MOD(S133*48271,2147483647))</f>
        <v/>
      </c>
      <c r="J134" s="10" t="str">
        <f>IF(OR($A134="",9&gt;Controls!$B$6),"",MOD(T133*48271,2147483647))</f>
        <v/>
      </c>
      <c r="K134" s="10" t="str">
        <f>IF(OR($A134="",10&gt;Controls!$B$6),"",MOD(U133*48271,2147483647))</f>
        <v/>
      </c>
      <c r="L134" s="10" t="str">
        <f t="shared" ref="L134:U134" si="133">IF(B134="","",MOD(B134*48271,2147483647))</f>
        <v/>
      </c>
      <c r="M134" s="10" t="str">
        <f t="shared" si="133"/>
        <v/>
      </c>
      <c r="N134" s="10" t="str">
        <f t="shared" si="133"/>
        <v/>
      </c>
      <c r="O134" s="10" t="str">
        <f t="shared" si="133"/>
        <v/>
      </c>
      <c r="P134" s="10" t="str">
        <f t="shared" si="133"/>
        <v/>
      </c>
      <c r="Q134" s="10" t="str">
        <f t="shared" si="133"/>
        <v/>
      </c>
      <c r="R134" s="10" t="str">
        <f t="shared" si="133"/>
        <v/>
      </c>
      <c r="S134" s="10" t="str">
        <f t="shared" si="133"/>
        <v/>
      </c>
      <c r="T134" s="10" t="str">
        <f t="shared" si="133"/>
        <v/>
      </c>
      <c r="U134" s="10" t="str">
        <f t="shared" si="133"/>
        <v/>
      </c>
      <c r="V134" s="10" t="str">
        <f>IF(B134="","",IF(Controls!$B$7="Normal",Controls!$B$8+Controls!$B$9*SQRT(-2*LN(B134/2147483647))*COS(2*PI()*L134/2147483647),Controls!$B$8+(Controls!$B$9-Controls!$B$8)*B134/2147483647))</f>
        <v/>
      </c>
      <c r="W134" s="10" t="str">
        <f>IF(C134="","",IF(Controls!$B$7="Normal",Controls!$B$8+Controls!$B$9*SQRT(-2*LN(C134/2147483647))*COS(2*PI()*M134/2147483647),Controls!$B$8+(Controls!$B$9-Controls!$B$8)*C134/2147483647))</f>
        <v/>
      </c>
      <c r="X134" s="10" t="str">
        <f>IF(D134="","",IF(Controls!$B$7="Normal",Controls!$B$8+Controls!$B$9*SQRT(-2*LN(D134/2147483647))*COS(2*PI()*N134/2147483647),Controls!$B$8+(Controls!$B$9-Controls!$B$8)*D134/2147483647))</f>
        <v/>
      </c>
      <c r="Y134" s="10" t="str">
        <f>IF(E134="","",IF(Controls!$B$7="Normal",Controls!$B$8+Controls!$B$9*SQRT(-2*LN(E134/2147483647))*COS(2*PI()*O134/2147483647),Controls!$B$8+(Controls!$B$9-Controls!$B$8)*E134/2147483647))</f>
        <v/>
      </c>
      <c r="Z134" s="10" t="str">
        <f>IF(F134="","",IF(Controls!$B$7="Normal",Controls!$B$8+Controls!$B$9*SQRT(-2*LN(F134/2147483647))*COS(2*PI()*P134/2147483647),Controls!$B$8+(Controls!$B$9-Controls!$B$8)*F134/2147483647))</f>
        <v/>
      </c>
      <c r="AA134" s="10" t="str">
        <f>IF(G134="","",IF(Controls!$B$7="Normal",Controls!$B$8+Controls!$B$9*SQRT(-2*LN(G134/2147483647))*COS(2*PI()*Q134/2147483647),Controls!$B$8+(Controls!$B$9-Controls!$B$8)*G134/2147483647))</f>
        <v/>
      </c>
      <c r="AB134" s="10" t="str">
        <f>IF(H134="","",IF(Controls!$B$7="Normal",Controls!$B$8+Controls!$B$9*SQRT(-2*LN(H134/2147483647))*COS(2*PI()*R134/2147483647),Controls!$B$8+(Controls!$B$9-Controls!$B$8)*H134/2147483647))</f>
        <v/>
      </c>
      <c r="AC134" s="10" t="str">
        <f>IF(I134="","",IF(Controls!$B$7="Normal",Controls!$B$8+Controls!$B$9*SQRT(-2*LN(I134/2147483647))*COS(2*PI()*S134/2147483647),Controls!$B$8+(Controls!$B$9-Controls!$B$8)*I134/2147483647))</f>
        <v/>
      </c>
      <c r="AD134" s="10" t="str">
        <f>IF(J134="","",IF(Controls!$B$7="Normal",Controls!$B$8+Controls!$B$9*SQRT(-2*LN(J134/2147483647))*COS(2*PI()*T134/2147483647),Controls!$B$8+(Controls!$B$9-Controls!$B$8)*J134/2147483647))</f>
        <v/>
      </c>
      <c r="AE134" s="10" t="str">
        <f>IF(K134="","",IF(Controls!$B$7="Normal",Controls!$B$8+Controls!$B$9*SQRT(-2*LN(K134/2147483647))*COS(2*PI()*U134/2147483647),Controls!$B$8+(Controls!$B$9-Controls!$B$8)*K134/2147483647))</f>
        <v/>
      </c>
    </row>
    <row r="135" ht="21.0" customHeight="1">
      <c r="A135" s="7" t="str">
        <f>IF(134&lt;=Controls!$B$5,Controls!$B$4+133,"")</f>
        <v/>
      </c>
      <c r="B135" s="10" t="str">
        <f>IF(OR($A135="",1&gt;Controls!$B$6),"",MOD(L134*48271,2147483647))</f>
        <v/>
      </c>
      <c r="C135" s="10" t="str">
        <f>IF(OR($A135="",2&gt;Controls!$B$6),"",MOD(M134*48271,2147483647))</f>
        <v/>
      </c>
      <c r="D135" s="10" t="str">
        <f>IF(OR($A135="",3&gt;Controls!$B$6),"",MOD(N134*48271,2147483647))</f>
        <v/>
      </c>
      <c r="E135" s="10" t="str">
        <f>IF(OR($A135="",4&gt;Controls!$B$6),"",MOD(O134*48271,2147483647))</f>
        <v/>
      </c>
      <c r="F135" s="10" t="str">
        <f>IF(OR($A135="",5&gt;Controls!$B$6),"",MOD(P134*48271,2147483647))</f>
        <v/>
      </c>
      <c r="G135" s="10" t="str">
        <f>IF(OR($A135="",6&gt;Controls!$B$6),"",MOD(Q134*48271,2147483647))</f>
        <v/>
      </c>
      <c r="H135" s="10" t="str">
        <f>IF(OR($A135="",7&gt;Controls!$B$6),"",MOD(R134*48271,2147483647))</f>
        <v/>
      </c>
      <c r="I135" s="10" t="str">
        <f>IF(OR($A135="",8&gt;Controls!$B$6),"",MOD(S134*48271,2147483647))</f>
        <v/>
      </c>
      <c r="J135" s="10" t="str">
        <f>IF(OR($A135="",9&gt;Controls!$B$6),"",MOD(T134*48271,2147483647))</f>
        <v/>
      </c>
      <c r="K135" s="10" t="str">
        <f>IF(OR($A135="",10&gt;Controls!$B$6),"",MOD(U134*48271,2147483647))</f>
        <v/>
      </c>
      <c r="L135" s="10" t="str">
        <f t="shared" ref="L135:U135" si="134">IF(B135="","",MOD(B135*48271,2147483647))</f>
        <v/>
      </c>
      <c r="M135" s="10" t="str">
        <f t="shared" si="134"/>
        <v/>
      </c>
      <c r="N135" s="10" t="str">
        <f t="shared" si="134"/>
        <v/>
      </c>
      <c r="O135" s="10" t="str">
        <f t="shared" si="134"/>
        <v/>
      </c>
      <c r="P135" s="10" t="str">
        <f t="shared" si="134"/>
        <v/>
      </c>
      <c r="Q135" s="10" t="str">
        <f t="shared" si="134"/>
        <v/>
      </c>
      <c r="R135" s="10" t="str">
        <f t="shared" si="134"/>
        <v/>
      </c>
      <c r="S135" s="10" t="str">
        <f t="shared" si="134"/>
        <v/>
      </c>
      <c r="T135" s="10" t="str">
        <f t="shared" si="134"/>
        <v/>
      </c>
      <c r="U135" s="10" t="str">
        <f t="shared" si="134"/>
        <v/>
      </c>
      <c r="V135" s="10" t="str">
        <f>IF(B135="","",IF(Controls!$B$7="Normal",Controls!$B$8+Controls!$B$9*SQRT(-2*LN(B135/2147483647))*COS(2*PI()*L135/2147483647),Controls!$B$8+(Controls!$B$9-Controls!$B$8)*B135/2147483647))</f>
        <v/>
      </c>
      <c r="W135" s="10" t="str">
        <f>IF(C135="","",IF(Controls!$B$7="Normal",Controls!$B$8+Controls!$B$9*SQRT(-2*LN(C135/2147483647))*COS(2*PI()*M135/2147483647),Controls!$B$8+(Controls!$B$9-Controls!$B$8)*C135/2147483647))</f>
        <v/>
      </c>
      <c r="X135" s="10" t="str">
        <f>IF(D135="","",IF(Controls!$B$7="Normal",Controls!$B$8+Controls!$B$9*SQRT(-2*LN(D135/2147483647))*COS(2*PI()*N135/2147483647),Controls!$B$8+(Controls!$B$9-Controls!$B$8)*D135/2147483647))</f>
        <v/>
      </c>
      <c r="Y135" s="10" t="str">
        <f>IF(E135="","",IF(Controls!$B$7="Normal",Controls!$B$8+Controls!$B$9*SQRT(-2*LN(E135/2147483647))*COS(2*PI()*O135/2147483647),Controls!$B$8+(Controls!$B$9-Controls!$B$8)*E135/2147483647))</f>
        <v/>
      </c>
      <c r="Z135" s="10" t="str">
        <f>IF(F135="","",IF(Controls!$B$7="Normal",Controls!$B$8+Controls!$B$9*SQRT(-2*LN(F135/2147483647))*COS(2*PI()*P135/2147483647),Controls!$B$8+(Controls!$B$9-Controls!$B$8)*F135/2147483647))</f>
        <v/>
      </c>
      <c r="AA135" s="10" t="str">
        <f>IF(G135="","",IF(Controls!$B$7="Normal",Controls!$B$8+Controls!$B$9*SQRT(-2*LN(G135/2147483647))*COS(2*PI()*Q135/2147483647),Controls!$B$8+(Controls!$B$9-Controls!$B$8)*G135/2147483647))</f>
        <v/>
      </c>
      <c r="AB135" s="10" t="str">
        <f>IF(H135="","",IF(Controls!$B$7="Normal",Controls!$B$8+Controls!$B$9*SQRT(-2*LN(H135/2147483647))*COS(2*PI()*R135/2147483647),Controls!$B$8+(Controls!$B$9-Controls!$B$8)*H135/2147483647))</f>
        <v/>
      </c>
      <c r="AC135" s="10" t="str">
        <f>IF(I135="","",IF(Controls!$B$7="Normal",Controls!$B$8+Controls!$B$9*SQRT(-2*LN(I135/2147483647))*COS(2*PI()*S135/2147483647),Controls!$B$8+(Controls!$B$9-Controls!$B$8)*I135/2147483647))</f>
        <v/>
      </c>
      <c r="AD135" s="10" t="str">
        <f>IF(J135="","",IF(Controls!$B$7="Normal",Controls!$B$8+Controls!$B$9*SQRT(-2*LN(J135/2147483647))*COS(2*PI()*T135/2147483647),Controls!$B$8+(Controls!$B$9-Controls!$B$8)*J135/2147483647))</f>
        <v/>
      </c>
      <c r="AE135" s="10" t="str">
        <f>IF(K135="","",IF(Controls!$B$7="Normal",Controls!$B$8+Controls!$B$9*SQRT(-2*LN(K135/2147483647))*COS(2*PI()*U135/2147483647),Controls!$B$8+(Controls!$B$9-Controls!$B$8)*K135/2147483647))</f>
        <v/>
      </c>
    </row>
    <row r="136" ht="21.0" customHeight="1">
      <c r="A136" s="7" t="str">
        <f>IF(135&lt;=Controls!$B$5,Controls!$B$4+134,"")</f>
        <v/>
      </c>
      <c r="B136" s="10" t="str">
        <f>IF(OR($A136="",1&gt;Controls!$B$6),"",MOD(L135*48271,2147483647))</f>
        <v/>
      </c>
      <c r="C136" s="10" t="str">
        <f>IF(OR($A136="",2&gt;Controls!$B$6),"",MOD(M135*48271,2147483647))</f>
        <v/>
      </c>
      <c r="D136" s="10" t="str">
        <f>IF(OR($A136="",3&gt;Controls!$B$6),"",MOD(N135*48271,2147483647))</f>
        <v/>
      </c>
      <c r="E136" s="10" t="str">
        <f>IF(OR($A136="",4&gt;Controls!$B$6),"",MOD(O135*48271,2147483647))</f>
        <v/>
      </c>
      <c r="F136" s="10" t="str">
        <f>IF(OR($A136="",5&gt;Controls!$B$6),"",MOD(P135*48271,2147483647))</f>
        <v/>
      </c>
      <c r="G136" s="10" t="str">
        <f>IF(OR($A136="",6&gt;Controls!$B$6),"",MOD(Q135*48271,2147483647))</f>
        <v/>
      </c>
      <c r="H136" s="10" t="str">
        <f>IF(OR($A136="",7&gt;Controls!$B$6),"",MOD(R135*48271,2147483647))</f>
        <v/>
      </c>
      <c r="I136" s="10" t="str">
        <f>IF(OR($A136="",8&gt;Controls!$B$6),"",MOD(S135*48271,2147483647))</f>
        <v/>
      </c>
      <c r="J136" s="10" t="str">
        <f>IF(OR($A136="",9&gt;Controls!$B$6),"",MOD(T135*48271,2147483647))</f>
        <v/>
      </c>
      <c r="K136" s="10" t="str">
        <f>IF(OR($A136="",10&gt;Controls!$B$6),"",MOD(U135*48271,2147483647))</f>
        <v/>
      </c>
      <c r="L136" s="10" t="str">
        <f t="shared" ref="L136:U136" si="135">IF(B136="","",MOD(B136*48271,2147483647))</f>
        <v/>
      </c>
      <c r="M136" s="10" t="str">
        <f t="shared" si="135"/>
        <v/>
      </c>
      <c r="N136" s="10" t="str">
        <f t="shared" si="135"/>
        <v/>
      </c>
      <c r="O136" s="10" t="str">
        <f t="shared" si="135"/>
        <v/>
      </c>
      <c r="P136" s="10" t="str">
        <f t="shared" si="135"/>
        <v/>
      </c>
      <c r="Q136" s="10" t="str">
        <f t="shared" si="135"/>
        <v/>
      </c>
      <c r="R136" s="10" t="str">
        <f t="shared" si="135"/>
        <v/>
      </c>
      <c r="S136" s="10" t="str">
        <f t="shared" si="135"/>
        <v/>
      </c>
      <c r="T136" s="10" t="str">
        <f t="shared" si="135"/>
        <v/>
      </c>
      <c r="U136" s="10" t="str">
        <f t="shared" si="135"/>
        <v/>
      </c>
      <c r="V136" s="10" t="str">
        <f>IF(B136="","",IF(Controls!$B$7="Normal",Controls!$B$8+Controls!$B$9*SQRT(-2*LN(B136/2147483647))*COS(2*PI()*L136/2147483647),Controls!$B$8+(Controls!$B$9-Controls!$B$8)*B136/2147483647))</f>
        <v/>
      </c>
      <c r="W136" s="10" t="str">
        <f>IF(C136="","",IF(Controls!$B$7="Normal",Controls!$B$8+Controls!$B$9*SQRT(-2*LN(C136/2147483647))*COS(2*PI()*M136/2147483647),Controls!$B$8+(Controls!$B$9-Controls!$B$8)*C136/2147483647))</f>
        <v/>
      </c>
      <c r="X136" s="10" t="str">
        <f>IF(D136="","",IF(Controls!$B$7="Normal",Controls!$B$8+Controls!$B$9*SQRT(-2*LN(D136/2147483647))*COS(2*PI()*N136/2147483647),Controls!$B$8+(Controls!$B$9-Controls!$B$8)*D136/2147483647))</f>
        <v/>
      </c>
      <c r="Y136" s="10" t="str">
        <f>IF(E136="","",IF(Controls!$B$7="Normal",Controls!$B$8+Controls!$B$9*SQRT(-2*LN(E136/2147483647))*COS(2*PI()*O136/2147483647),Controls!$B$8+(Controls!$B$9-Controls!$B$8)*E136/2147483647))</f>
        <v/>
      </c>
      <c r="Z136" s="10" t="str">
        <f>IF(F136="","",IF(Controls!$B$7="Normal",Controls!$B$8+Controls!$B$9*SQRT(-2*LN(F136/2147483647))*COS(2*PI()*P136/2147483647),Controls!$B$8+(Controls!$B$9-Controls!$B$8)*F136/2147483647))</f>
        <v/>
      </c>
      <c r="AA136" s="10" t="str">
        <f>IF(G136="","",IF(Controls!$B$7="Normal",Controls!$B$8+Controls!$B$9*SQRT(-2*LN(G136/2147483647))*COS(2*PI()*Q136/2147483647),Controls!$B$8+(Controls!$B$9-Controls!$B$8)*G136/2147483647))</f>
        <v/>
      </c>
      <c r="AB136" s="10" t="str">
        <f>IF(H136="","",IF(Controls!$B$7="Normal",Controls!$B$8+Controls!$B$9*SQRT(-2*LN(H136/2147483647))*COS(2*PI()*R136/2147483647),Controls!$B$8+(Controls!$B$9-Controls!$B$8)*H136/2147483647))</f>
        <v/>
      </c>
      <c r="AC136" s="10" t="str">
        <f>IF(I136="","",IF(Controls!$B$7="Normal",Controls!$B$8+Controls!$B$9*SQRT(-2*LN(I136/2147483647))*COS(2*PI()*S136/2147483647),Controls!$B$8+(Controls!$B$9-Controls!$B$8)*I136/2147483647))</f>
        <v/>
      </c>
      <c r="AD136" s="10" t="str">
        <f>IF(J136="","",IF(Controls!$B$7="Normal",Controls!$B$8+Controls!$B$9*SQRT(-2*LN(J136/2147483647))*COS(2*PI()*T136/2147483647),Controls!$B$8+(Controls!$B$9-Controls!$B$8)*J136/2147483647))</f>
        <v/>
      </c>
      <c r="AE136" s="10" t="str">
        <f>IF(K136="","",IF(Controls!$B$7="Normal",Controls!$B$8+Controls!$B$9*SQRT(-2*LN(K136/2147483647))*COS(2*PI()*U136/2147483647),Controls!$B$8+(Controls!$B$9-Controls!$B$8)*K136/2147483647))</f>
        <v/>
      </c>
    </row>
    <row r="137" ht="21.0" customHeight="1">
      <c r="A137" s="7" t="str">
        <f>IF(136&lt;=Controls!$B$5,Controls!$B$4+135,"")</f>
        <v/>
      </c>
      <c r="B137" s="10" t="str">
        <f>IF(OR($A137="",1&gt;Controls!$B$6),"",MOD(L136*48271,2147483647))</f>
        <v/>
      </c>
      <c r="C137" s="10" t="str">
        <f>IF(OR($A137="",2&gt;Controls!$B$6),"",MOD(M136*48271,2147483647))</f>
        <v/>
      </c>
      <c r="D137" s="10" t="str">
        <f>IF(OR($A137="",3&gt;Controls!$B$6),"",MOD(N136*48271,2147483647))</f>
        <v/>
      </c>
      <c r="E137" s="10" t="str">
        <f>IF(OR($A137="",4&gt;Controls!$B$6),"",MOD(O136*48271,2147483647))</f>
        <v/>
      </c>
      <c r="F137" s="10" t="str">
        <f>IF(OR($A137="",5&gt;Controls!$B$6),"",MOD(P136*48271,2147483647))</f>
        <v/>
      </c>
      <c r="G137" s="10" t="str">
        <f>IF(OR($A137="",6&gt;Controls!$B$6),"",MOD(Q136*48271,2147483647))</f>
        <v/>
      </c>
      <c r="H137" s="10" t="str">
        <f>IF(OR($A137="",7&gt;Controls!$B$6),"",MOD(R136*48271,2147483647))</f>
        <v/>
      </c>
      <c r="I137" s="10" t="str">
        <f>IF(OR($A137="",8&gt;Controls!$B$6),"",MOD(S136*48271,2147483647))</f>
        <v/>
      </c>
      <c r="J137" s="10" t="str">
        <f>IF(OR($A137="",9&gt;Controls!$B$6),"",MOD(T136*48271,2147483647))</f>
        <v/>
      </c>
      <c r="K137" s="10" t="str">
        <f>IF(OR($A137="",10&gt;Controls!$B$6),"",MOD(U136*48271,2147483647))</f>
        <v/>
      </c>
      <c r="L137" s="10" t="str">
        <f t="shared" ref="L137:U137" si="136">IF(B137="","",MOD(B137*48271,2147483647))</f>
        <v/>
      </c>
      <c r="M137" s="10" t="str">
        <f t="shared" si="136"/>
        <v/>
      </c>
      <c r="N137" s="10" t="str">
        <f t="shared" si="136"/>
        <v/>
      </c>
      <c r="O137" s="10" t="str">
        <f t="shared" si="136"/>
        <v/>
      </c>
      <c r="P137" s="10" t="str">
        <f t="shared" si="136"/>
        <v/>
      </c>
      <c r="Q137" s="10" t="str">
        <f t="shared" si="136"/>
        <v/>
      </c>
      <c r="R137" s="10" t="str">
        <f t="shared" si="136"/>
        <v/>
      </c>
      <c r="S137" s="10" t="str">
        <f t="shared" si="136"/>
        <v/>
      </c>
      <c r="T137" s="10" t="str">
        <f t="shared" si="136"/>
        <v/>
      </c>
      <c r="U137" s="10" t="str">
        <f t="shared" si="136"/>
        <v/>
      </c>
      <c r="V137" s="10" t="str">
        <f>IF(B137="","",IF(Controls!$B$7="Normal",Controls!$B$8+Controls!$B$9*SQRT(-2*LN(B137/2147483647))*COS(2*PI()*L137/2147483647),Controls!$B$8+(Controls!$B$9-Controls!$B$8)*B137/2147483647))</f>
        <v/>
      </c>
      <c r="W137" s="10" t="str">
        <f>IF(C137="","",IF(Controls!$B$7="Normal",Controls!$B$8+Controls!$B$9*SQRT(-2*LN(C137/2147483647))*COS(2*PI()*M137/2147483647),Controls!$B$8+(Controls!$B$9-Controls!$B$8)*C137/2147483647))</f>
        <v/>
      </c>
      <c r="X137" s="10" t="str">
        <f>IF(D137="","",IF(Controls!$B$7="Normal",Controls!$B$8+Controls!$B$9*SQRT(-2*LN(D137/2147483647))*COS(2*PI()*N137/2147483647),Controls!$B$8+(Controls!$B$9-Controls!$B$8)*D137/2147483647))</f>
        <v/>
      </c>
      <c r="Y137" s="10" t="str">
        <f>IF(E137="","",IF(Controls!$B$7="Normal",Controls!$B$8+Controls!$B$9*SQRT(-2*LN(E137/2147483647))*COS(2*PI()*O137/2147483647),Controls!$B$8+(Controls!$B$9-Controls!$B$8)*E137/2147483647))</f>
        <v/>
      </c>
      <c r="Z137" s="10" t="str">
        <f>IF(F137="","",IF(Controls!$B$7="Normal",Controls!$B$8+Controls!$B$9*SQRT(-2*LN(F137/2147483647))*COS(2*PI()*P137/2147483647),Controls!$B$8+(Controls!$B$9-Controls!$B$8)*F137/2147483647))</f>
        <v/>
      </c>
      <c r="AA137" s="10" t="str">
        <f>IF(G137="","",IF(Controls!$B$7="Normal",Controls!$B$8+Controls!$B$9*SQRT(-2*LN(G137/2147483647))*COS(2*PI()*Q137/2147483647),Controls!$B$8+(Controls!$B$9-Controls!$B$8)*G137/2147483647))</f>
        <v/>
      </c>
      <c r="AB137" s="10" t="str">
        <f>IF(H137="","",IF(Controls!$B$7="Normal",Controls!$B$8+Controls!$B$9*SQRT(-2*LN(H137/2147483647))*COS(2*PI()*R137/2147483647),Controls!$B$8+(Controls!$B$9-Controls!$B$8)*H137/2147483647))</f>
        <v/>
      </c>
      <c r="AC137" s="10" t="str">
        <f>IF(I137="","",IF(Controls!$B$7="Normal",Controls!$B$8+Controls!$B$9*SQRT(-2*LN(I137/2147483647))*COS(2*PI()*S137/2147483647),Controls!$B$8+(Controls!$B$9-Controls!$B$8)*I137/2147483647))</f>
        <v/>
      </c>
      <c r="AD137" s="10" t="str">
        <f>IF(J137="","",IF(Controls!$B$7="Normal",Controls!$B$8+Controls!$B$9*SQRT(-2*LN(J137/2147483647))*COS(2*PI()*T137/2147483647),Controls!$B$8+(Controls!$B$9-Controls!$B$8)*J137/2147483647))</f>
        <v/>
      </c>
      <c r="AE137" s="10" t="str">
        <f>IF(K137="","",IF(Controls!$B$7="Normal",Controls!$B$8+Controls!$B$9*SQRT(-2*LN(K137/2147483647))*COS(2*PI()*U137/2147483647),Controls!$B$8+(Controls!$B$9-Controls!$B$8)*K137/2147483647))</f>
        <v/>
      </c>
    </row>
    <row r="138" ht="21.0" customHeight="1">
      <c r="A138" s="7" t="str">
        <f>IF(137&lt;=Controls!$B$5,Controls!$B$4+136,"")</f>
        <v/>
      </c>
      <c r="B138" s="10" t="str">
        <f>IF(OR($A138="",1&gt;Controls!$B$6),"",MOD(L137*48271,2147483647))</f>
        <v/>
      </c>
      <c r="C138" s="10" t="str">
        <f>IF(OR($A138="",2&gt;Controls!$B$6),"",MOD(M137*48271,2147483647))</f>
        <v/>
      </c>
      <c r="D138" s="10" t="str">
        <f>IF(OR($A138="",3&gt;Controls!$B$6),"",MOD(N137*48271,2147483647))</f>
        <v/>
      </c>
      <c r="E138" s="10" t="str">
        <f>IF(OR($A138="",4&gt;Controls!$B$6),"",MOD(O137*48271,2147483647))</f>
        <v/>
      </c>
      <c r="F138" s="10" t="str">
        <f>IF(OR($A138="",5&gt;Controls!$B$6),"",MOD(P137*48271,2147483647))</f>
        <v/>
      </c>
      <c r="G138" s="10" t="str">
        <f>IF(OR($A138="",6&gt;Controls!$B$6),"",MOD(Q137*48271,2147483647))</f>
        <v/>
      </c>
      <c r="H138" s="10" t="str">
        <f>IF(OR($A138="",7&gt;Controls!$B$6),"",MOD(R137*48271,2147483647))</f>
        <v/>
      </c>
      <c r="I138" s="10" t="str">
        <f>IF(OR($A138="",8&gt;Controls!$B$6),"",MOD(S137*48271,2147483647))</f>
        <v/>
      </c>
      <c r="J138" s="10" t="str">
        <f>IF(OR($A138="",9&gt;Controls!$B$6),"",MOD(T137*48271,2147483647))</f>
        <v/>
      </c>
      <c r="K138" s="10" t="str">
        <f>IF(OR($A138="",10&gt;Controls!$B$6),"",MOD(U137*48271,2147483647))</f>
        <v/>
      </c>
      <c r="L138" s="10" t="str">
        <f t="shared" ref="L138:U138" si="137">IF(B138="","",MOD(B138*48271,2147483647))</f>
        <v/>
      </c>
      <c r="M138" s="10" t="str">
        <f t="shared" si="137"/>
        <v/>
      </c>
      <c r="N138" s="10" t="str">
        <f t="shared" si="137"/>
        <v/>
      </c>
      <c r="O138" s="10" t="str">
        <f t="shared" si="137"/>
        <v/>
      </c>
      <c r="P138" s="10" t="str">
        <f t="shared" si="137"/>
        <v/>
      </c>
      <c r="Q138" s="10" t="str">
        <f t="shared" si="137"/>
        <v/>
      </c>
      <c r="R138" s="10" t="str">
        <f t="shared" si="137"/>
        <v/>
      </c>
      <c r="S138" s="10" t="str">
        <f t="shared" si="137"/>
        <v/>
      </c>
      <c r="T138" s="10" t="str">
        <f t="shared" si="137"/>
        <v/>
      </c>
      <c r="U138" s="10" t="str">
        <f t="shared" si="137"/>
        <v/>
      </c>
      <c r="V138" s="10" t="str">
        <f>IF(B138="","",IF(Controls!$B$7="Normal",Controls!$B$8+Controls!$B$9*SQRT(-2*LN(B138/2147483647))*COS(2*PI()*L138/2147483647),Controls!$B$8+(Controls!$B$9-Controls!$B$8)*B138/2147483647))</f>
        <v/>
      </c>
      <c r="W138" s="10" t="str">
        <f>IF(C138="","",IF(Controls!$B$7="Normal",Controls!$B$8+Controls!$B$9*SQRT(-2*LN(C138/2147483647))*COS(2*PI()*M138/2147483647),Controls!$B$8+(Controls!$B$9-Controls!$B$8)*C138/2147483647))</f>
        <v/>
      </c>
      <c r="X138" s="10" t="str">
        <f>IF(D138="","",IF(Controls!$B$7="Normal",Controls!$B$8+Controls!$B$9*SQRT(-2*LN(D138/2147483647))*COS(2*PI()*N138/2147483647),Controls!$B$8+(Controls!$B$9-Controls!$B$8)*D138/2147483647))</f>
        <v/>
      </c>
      <c r="Y138" s="10" t="str">
        <f>IF(E138="","",IF(Controls!$B$7="Normal",Controls!$B$8+Controls!$B$9*SQRT(-2*LN(E138/2147483647))*COS(2*PI()*O138/2147483647),Controls!$B$8+(Controls!$B$9-Controls!$B$8)*E138/2147483647))</f>
        <v/>
      </c>
      <c r="Z138" s="10" t="str">
        <f>IF(F138="","",IF(Controls!$B$7="Normal",Controls!$B$8+Controls!$B$9*SQRT(-2*LN(F138/2147483647))*COS(2*PI()*P138/2147483647),Controls!$B$8+(Controls!$B$9-Controls!$B$8)*F138/2147483647))</f>
        <v/>
      </c>
      <c r="AA138" s="10" t="str">
        <f>IF(G138="","",IF(Controls!$B$7="Normal",Controls!$B$8+Controls!$B$9*SQRT(-2*LN(G138/2147483647))*COS(2*PI()*Q138/2147483647),Controls!$B$8+(Controls!$B$9-Controls!$B$8)*G138/2147483647))</f>
        <v/>
      </c>
      <c r="AB138" s="10" t="str">
        <f>IF(H138="","",IF(Controls!$B$7="Normal",Controls!$B$8+Controls!$B$9*SQRT(-2*LN(H138/2147483647))*COS(2*PI()*R138/2147483647),Controls!$B$8+(Controls!$B$9-Controls!$B$8)*H138/2147483647))</f>
        <v/>
      </c>
      <c r="AC138" s="10" t="str">
        <f>IF(I138="","",IF(Controls!$B$7="Normal",Controls!$B$8+Controls!$B$9*SQRT(-2*LN(I138/2147483647))*COS(2*PI()*S138/2147483647),Controls!$B$8+(Controls!$B$9-Controls!$B$8)*I138/2147483647))</f>
        <v/>
      </c>
      <c r="AD138" s="10" t="str">
        <f>IF(J138="","",IF(Controls!$B$7="Normal",Controls!$B$8+Controls!$B$9*SQRT(-2*LN(J138/2147483647))*COS(2*PI()*T138/2147483647),Controls!$B$8+(Controls!$B$9-Controls!$B$8)*J138/2147483647))</f>
        <v/>
      </c>
      <c r="AE138" s="10" t="str">
        <f>IF(K138="","",IF(Controls!$B$7="Normal",Controls!$B$8+Controls!$B$9*SQRT(-2*LN(K138/2147483647))*COS(2*PI()*U138/2147483647),Controls!$B$8+(Controls!$B$9-Controls!$B$8)*K138/2147483647))</f>
        <v/>
      </c>
    </row>
    <row r="139" ht="21.0" customHeight="1">
      <c r="A139" s="7" t="str">
        <f>IF(138&lt;=Controls!$B$5,Controls!$B$4+137,"")</f>
        <v/>
      </c>
      <c r="B139" s="10" t="str">
        <f>IF(OR($A139="",1&gt;Controls!$B$6),"",MOD(L138*48271,2147483647))</f>
        <v/>
      </c>
      <c r="C139" s="10" t="str">
        <f>IF(OR($A139="",2&gt;Controls!$B$6),"",MOD(M138*48271,2147483647))</f>
        <v/>
      </c>
      <c r="D139" s="10" t="str">
        <f>IF(OR($A139="",3&gt;Controls!$B$6),"",MOD(N138*48271,2147483647))</f>
        <v/>
      </c>
      <c r="E139" s="10" t="str">
        <f>IF(OR($A139="",4&gt;Controls!$B$6),"",MOD(O138*48271,2147483647))</f>
        <v/>
      </c>
      <c r="F139" s="10" t="str">
        <f>IF(OR($A139="",5&gt;Controls!$B$6),"",MOD(P138*48271,2147483647))</f>
        <v/>
      </c>
      <c r="G139" s="10" t="str">
        <f>IF(OR($A139="",6&gt;Controls!$B$6),"",MOD(Q138*48271,2147483647))</f>
        <v/>
      </c>
      <c r="H139" s="10" t="str">
        <f>IF(OR($A139="",7&gt;Controls!$B$6),"",MOD(R138*48271,2147483647))</f>
        <v/>
      </c>
      <c r="I139" s="10" t="str">
        <f>IF(OR($A139="",8&gt;Controls!$B$6),"",MOD(S138*48271,2147483647))</f>
        <v/>
      </c>
      <c r="J139" s="10" t="str">
        <f>IF(OR($A139="",9&gt;Controls!$B$6),"",MOD(T138*48271,2147483647))</f>
        <v/>
      </c>
      <c r="K139" s="10" t="str">
        <f>IF(OR($A139="",10&gt;Controls!$B$6),"",MOD(U138*48271,2147483647))</f>
        <v/>
      </c>
      <c r="L139" s="10" t="str">
        <f t="shared" ref="L139:U139" si="138">IF(B139="","",MOD(B139*48271,2147483647))</f>
        <v/>
      </c>
      <c r="M139" s="10" t="str">
        <f t="shared" si="138"/>
        <v/>
      </c>
      <c r="N139" s="10" t="str">
        <f t="shared" si="138"/>
        <v/>
      </c>
      <c r="O139" s="10" t="str">
        <f t="shared" si="138"/>
        <v/>
      </c>
      <c r="P139" s="10" t="str">
        <f t="shared" si="138"/>
        <v/>
      </c>
      <c r="Q139" s="10" t="str">
        <f t="shared" si="138"/>
        <v/>
      </c>
      <c r="R139" s="10" t="str">
        <f t="shared" si="138"/>
        <v/>
      </c>
      <c r="S139" s="10" t="str">
        <f t="shared" si="138"/>
        <v/>
      </c>
      <c r="T139" s="10" t="str">
        <f t="shared" si="138"/>
        <v/>
      </c>
      <c r="U139" s="10" t="str">
        <f t="shared" si="138"/>
        <v/>
      </c>
      <c r="V139" s="10" t="str">
        <f>IF(B139="","",IF(Controls!$B$7="Normal",Controls!$B$8+Controls!$B$9*SQRT(-2*LN(B139/2147483647))*COS(2*PI()*L139/2147483647),Controls!$B$8+(Controls!$B$9-Controls!$B$8)*B139/2147483647))</f>
        <v/>
      </c>
      <c r="W139" s="10" t="str">
        <f>IF(C139="","",IF(Controls!$B$7="Normal",Controls!$B$8+Controls!$B$9*SQRT(-2*LN(C139/2147483647))*COS(2*PI()*M139/2147483647),Controls!$B$8+(Controls!$B$9-Controls!$B$8)*C139/2147483647))</f>
        <v/>
      </c>
      <c r="X139" s="10" t="str">
        <f>IF(D139="","",IF(Controls!$B$7="Normal",Controls!$B$8+Controls!$B$9*SQRT(-2*LN(D139/2147483647))*COS(2*PI()*N139/2147483647),Controls!$B$8+(Controls!$B$9-Controls!$B$8)*D139/2147483647))</f>
        <v/>
      </c>
      <c r="Y139" s="10" t="str">
        <f>IF(E139="","",IF(Controls!$B$7="Normal",Controls!$B$8+Controls!$B$9*SQRT(-2*LN(E139/2147483647))*COS(2*PI()*O139/2147483647),Controls!$B$8+(Controls!$B$9-Controls!$B$8)*E139/2147483647))</f>
        <v/>
      </c>
      <c r="Z139" s="10" t="str">
        <f>IF(F139="","",IF(Controls!$B$7="Normal",Controls!$B$8+Controls!$B$9*SQRT(-2*LN(F139/2147483647))*COS(2*PI()*P139/2147483647),Controls!$B$8+(Controls!$B$9-Controls!$B$8)*F139/2147483647))</f>
        <v/>
      </c>
      <c r="AA139" s="10" t="str">
        <f>IF(G139="","",IF(Controls!$B$7="Normal",Controls!$B$8+Controls!$B$9*SQRT(-2*LN(G139/2147483647))*COS(2*PI()*Q139/2147483647),Controls!$B$8+(Controls!$B$9-Controls!$B$8)*G139/2147483647))</f>
        <v/>
      </c>
      <c r="AB139" s="10" t="str">
        <f>IF(H139="","",IF(Controls!$B$7="Normal",Controls!$B$8+Controls!$B$9*SQRT(-2*LN(H139/2147483647))*COS(2*PI()*R139/2147483647),Controls!$B$8+(Controls!$B$9-Controls!$B$8)*H139/2147483647))</f>
        <v/>
      </c>
      <c r="AC139" s="10" t="str">
        <f>IF(I139="","",IF(Controls!$B$7="Normal",Controls!$B$8+Controls!$B$9*SQRT(-2*LN(I139/2147483647))*COS(2*PI()*S139/2147483647),Controls!$B$8+(Controls!$B$9-Controls!$B$8)*I139/2147483647))</f>
        <v/>
      </c>
      <c r="AD139" s="10" t="str">
        <f>IF(J139="","",IF(Controls!$B$7="Normal",Controls!$B$8+Controls!$B$9*SQRT(-2*LN(J139/2147483647))*COS(2*PI()*T139/2147483647),Controls!$B$8+(Controls!$B$9-Controls!$B$8)*J139/2147483647))</f>
        <v/>
      </c>
      <c r="AE139" s="10" t="str">
        <f>IF(K139="","",IF(Controls!$B$7="Normal",Controls!$B$8+Controls!$B$9*SQRT(-2*LN(K139/2147483647))*COS(2*PI()*U139/2147483647),Controls!$B$8+(Controls!$B$9-Controls!$B$8)*K139/2147483647))</f>
        <v/>
      </c>
    </row>
    <row r="140" ht="21.0" customHeight="1">
      <c r="A140" s="7" t="str">
        <f>IF(139&lt;=Controls!$B$5,Controls!$B$4+138,"")</f>
        <v/>
      </c>
      <c r="B140" s="10" t="str">
        <f>IF(OR($A140="",1&gt;Controls!$B$6),"",MOD(L139*48271,2147483647))</f>
        <v/>
      </c>
      <c r="C140" s="10" t="str">
        <f>IF(OR($A140="",2&gt;Controls!$B$6),"",MOD(M139*48271,2147483647))</f>
        <v/>
      </c>
      <c r="D140" s="10" t="str">
        <f>IF(OR($A140="",3&gt;Controls!$B$6),"",MOD(N139*48271,2147483647))</f>
        <v/>
      </c>
      <c r="E140" s="10" t="str">
        <f>IF(OR($A140="",4&gt;Controls!$B$6),"",MOD(O139*48271,2147483647))</f>
        <v/>
      </c>
      <c r="F140" s="10" t="str">
        <f>IF(OR($A140="",5&gt;Controls!$B$6),"",MOD(P139*48271,2147483647))</f>
        <v/>
      </c>
      <c r="G140" s="10" t="str">
        <f>IF(OR($A140="",6&gt;Controls!$B$6),"",MOD(Q139*48271,2147483647))</f>
        <v/>
      </c>
      <c r="H140" s="10" t="str">
        <f>IF(OR($A140="",7&gt;Controls!$B$6),"",MOD(R139*48271,2147483647))</f>
        <v/>
      </c>
      <c r="I140" s="10" t="str">
        <f>IF(OR($A140="",8&gt;Controls!$B$6),"",MOD(S139*48271,2147483647))</f>
        <v/>
      </c>
      <c r="J140" s="10" t="str">
        <f>IF(OR($A140="",9&gt;Controls!$B$6),"",MOD(T139*48271,2147483647))</f>
        <v/>
      </c>
      <c r="K140" s="10" t="str">
        <f>IF(OR($A140="",10&gt;Controls!$B$6),"",MOD(U139*48271,2147483647))</f>
        <v/>
      </c>
      <c r="L140" s="10" t="str">
        <f t="shared" ref="L140:U140" si="139">IF(B140="","",MOD(B140*48271,2147483647))</f>
        <v/>
      </c>
      <c r="M140" s="10" t="str">
        <f t="shared" si="139"/>
        <v/>
      </c>
      <c r="N140" s="10" t="str">
        <f t="shared" si="139"/>
        <v/>
      </c>
      <c r="O140" s="10" t="str">
        <f t="shared" si="139"/>
        <v/>
      </c>
      <c r="P140" s="10" t="str">
        <f t="shared" si="139"/>
        <v/>
      </c>
      <c r="Q140" s="10" t="str">
        <f t="shared" si="139"/>
        <v/>
      </c>
      <c r="R140" s="10" t="str">
        <f t="shared" si="139"/>
        <v/>
      </c>
      <c r="S140" s="10" t="str">
        <f t="shared" si="139"/>
        <v/>
      </c>
      <c r="T140" s="10" t="str">
        <f t="shared" si="139"/>
        <v/>
      </c>
      <c r="U140" s="10" t="str">
        <f t="shared" si="139"/>
        <v/>
      </c>
      <c r="V140" s="10" t="str">
        <f>IF(B140="","",IF(Controls!$B$7="Normal",Controls!$B$8+Controls!$B$9*SQRT(-2*LN(B140/2147483647))*COS(2*PI()*L140/2147483647),Controls!$B$8+(Controls!$B$9-Controls!$B$8)*B140/2147483647))</f>
        <v/>
      </c>
      <c r="W140" s="10" t="str">
        <f>IF(C140="","",IF(Controls!$B$7="Normal",Controls!$B$8+Controls!$B$9*SQRT(-2*LN(C140/2147483647))*COS(2*PI()*M140/2147483647),Controls!$B$8+(Controls!$B$9-Controls!$B$8)*C140/2147483647))</f>
        <v/>
      </c>
      <c r="X140" s="10" t="str">
        <f>IF(D140="","",IF(Controls!$B$7="Normal",Controls!$B$8+Controls!$B$9*SQRT(-2*LN(D140/2147483647))*COS(2*PI()*N140/2147483647),Controls!$B$8+(Controls!$B$9-Controls!$B$8)*D140/2147483647))</f>
        <v/>
      </c>
      <c r="Y140" s="10" t="str">
        <f>IF(E140="","",IF(Controls!$B$7="Normal",Controls!$B$8+Controls!$B$9*SQRT(-2*LN(E140/2147483647))*COS(2*PI()*O140/2147483647),Controls!$B$8+(Controls!$B$9-Controls!$B$8)*E140/2147483647))</f>
        <v/>
      </c>
      <c r="Z140" s="10" t="str">
        <f>IF(F140="","",IF(Controls!$B$7="Normal",Controls!$B$8+Controls!$B$9*SQRT(-2*LN(F140/2147483647))*COS(2*PI()*P140/2147483647),Controls!$B$8+(Controls!$B$9-Controls!$B$8)*F140/2147483647))</f>
        <v/>
      </c>
      <c r="AA140" s="10" t="str">
        <f>IF(G140="","",IF(Controls!$B$7="Normal",Controls!$B$8+Controls!$B$9*SQRT(-2*LN(G140/2147483647))*COS(2*PI()*Q140/2147483647),Controls!$B$8+(Controls!$B$9-Controls!$B$8)*G140/2147483647))</f>
        <v/>
      </c>
      <c r="AB140" s="10" t="str">
        <f>IF(H140="","",IF(Controls!$B$7="Normal",Controls!$B$8+Controls!$B$9*SQRT(-2*LN(H140/2147483647))*COS(2*PI()*R140/2147483647),Controls!$B$8+(Controls!$B$9-Controls!$B$8)*H140/2147483647))</f>
        <v/>
      </c>
      <c r="AC140" s="10" t="str">
        <f>IF(I140="","",IF(Controls!$B$7="Normal",Controls!$B$8+Controls!$B$9*SQRT(-2*LN(I140/2147483647))*COS(2*PI()*S140/2147483647),Controls!$B$8+(Controls!$B$9-Controls!$B$8)*I140/2147483647))</f>
        <v/>
      </c>
      <c r="AD140" s="10" t="str">
        <f>IF(J140="","",IF(Controls!$B$7="Normal",Controls!$B$8+Controls!$B$9*SQRT(-2*LN(J140/2147483647))*COS(2*PI()*T140/2147483647),Controls!$B$8+(Controls!$B$9-Controls!$B$8)*J140/2147483647))</f>
        <v/>
      </c>
      <c r="AE140" s="10" t="str">
        <f>IF(K140="","",IF(Controls!$B$7="Normal",Controls!$B$8+Controls!$B$9*SQRT(-2*LN(K140/2147483647))*COS(2*PI()*U140/2147483647),Controls!$B$8+(Controls!$B$9-Controls!$B$8)*K140/2147483647))</f>
        <v/>
      </c>
    </row>
    <row r="141" ht="21.0" customHeight="1">
      <c r="A141" s="7" t="str">
        <f>IF(140&lt;=Controls!$B$5,Controls!$B$4+139,"")</f>
        <v/>
      </c>
      <c r="B141" s="10" t="str">
        <f>IF(OR($A141="",1&gt;Controls!$B$6),"",MOD(L140*48271,2147483647))</f>
        <v/>
      </c>
      <c r="C141" s="10" t="str">
        <f>IF(OR($A141="",2&gt;Controls!$B$6),"",MOD(M140*48271,2147483647))</f>
        <v/>
      </c>
      <c r="D141" s="10" t="str">
        <f>IF(OR($A141="",3&gt;Controls!$B$6),"",MOD(N140*48271,2147483647))</f>
        <v/>
      </c>
      <c r="E141" s="10" t="str">
        <f>IF(OR($A141="",4&gt;Controls!$B$6),"",MOD(O140*48271,2147483647))</f>
        <v/>
      </c>
      <c r="F141" s="10" t="str">
        <f>IF(OR($A141="",5&gt;Controls!$B$6),"",MOD(P140*48271,2147483647))</f>
        <v/>
      </c>
      <c r="G141" s="10" t="str">
        <f>IF(OR($A141="",6&gt;Controls!$B$6),"",MOD(Q140*48271,2147483647))</f>
        <v/>
      </c>
      <c r="H141" s="10" t="str">
        <f>IF(OR($A141="",7&gt;Controls!$B$6),"",MOD(R140*48271,2147483647))</f>
        <v/>
      </c>
      <c r="I141" s="10" t="str">
        <f>IF(OR($A141="",8&gt;Controls!$B$6),"",MOD(S140*48271,2147483647))</f>
        <v/>
      </c>
      <c r="J141" s="10" t="str">
        <f>IF(OR($A141="",9&gt;Controls!$B$6),"",MOD(T140*48271,2147483647))</f>
        <v/>
      </c>
      <c r="K141" s="10" t="str">
        <f>IF(OR($A141="",10&gt;Controls!$B$6),"",MOD(U140*48271,2147483647))</f>
        <v/>
      </c>
      <c r="L141" s="10" t="str">
        <f t="shared" ref="L141:U141" si="140">IF(B141="","",MOD(B141*48271,2147483647))</f>
        <v/>
      </c>
      <c r="M141" s="10" t="str">
        <f t="shared" si="140"/>
        <v/>
      </c>
      <c r="N141" s="10" t="str">
        <f t="shared" si="140"/>
        <v/>
      </c>
      <c r="O141" s="10" t="str">
        <f t="shared" si="140"/>
        <v/>
      </c>
      <c r="P141" s="10" t="str">
        <f t="shared" si="140"/>
        <v/>
      </c>
      <c r="Q141" s="10" t="str">
        <f t="shared" si="140"/>
        <v/>
      </c>
      <c r="R141" s="10" t="str">
        <f t="shared" si="140"/>
        <v/>
      </c>
      <c r="S141" s="10" t="str">
        <f t="shared" si="140"/>
        <v/>
      </c>
      <c r="T141" s="10" t="str">
        <f t="shared" si="140"/>
        <v/>
      </c>
      <c r="U141" s="10" t="str">
        <f t="shared" si="140"/>
        <v/>
      </c>
      <c r="V141" s="10" t="str">
        <f>IF(B141="","",IF(Controls!$B$7="Normal",Controls!$B$8+Controls!$B$9*SQRT(-2*LN(B141/2147483647))*COS(2*PI()*L141/2147483647),Controls!$B$8+(Controls!$B$9-Controls!$B$8)*B141/2147483647))</f>
        <v/>
      </c>
      <c r="W141" s="10" t="str">
        <f>IF(C141="","",IF(Controls!$B$7="Normal",Controls!$B$8+Controls!$B$9*SQRT(-2*LN(C141/2147483647))*COS(2*PI()*M141/2147483647),Controls!$B$8+(Controls!$B$9-Controls!$B$8)*C141/2147483647))</f>
        <v/>
      </c>
      <c r="X141" s="10" t="str">
        <f>IF(D141="","",IF(Controls!$B$7="Normal",Controls!$B$8+Controls!$B$9*SQRT(-2*LN(D141/2147483647))*COS(2*PI()*N141/2147483647),Controls!$B$8+(Controls!$B$9-Controls!$B$8)*D141/2147483647))</f>
        <v/>
      </c>
      <c r="Y141" s="10" t="str">
        <f>IF(E141="","",IF(Controls!$B$7="Normal",Controls!$B$8+Controls!$B$9*SQRT(-2*LN(E141/2147483647))*COS(2*PI()*O141/2147483647),Controls!$B$8+(Controls!$B$9-Controls!$B$8)*E141/2147483647))</f>
        <v/>
      </c>
      <c r="Z141" s="10" t="str">
        <f>IF(F141="","",IF(Controls!$B$7="Normal",Controls!$B$8+Controls!$B$9*SQRT(-2*LN(F141/2147483647))*COS(2*PI()*P141/2147483647),Controls!$B$8+(Controls!$B$9-Controls!$B$8)*F141/2147483647))</f>
        <v/>
      </c>
      <c r="AA141" s="10" t="str">
        <f>IF(G141="","",IF(Controls!$B$7="Normal",Controls!$B$8+Controls!$B$9*SQRT(-2*LN(G141/2147483647))*COS(2*PI()*Q141/2147483647),Controls!$B$8+(Controls!$B$9-Controls!$B$8)*G141/2147483647))</f>
        <v/>
      </c>
      <c r="AB141" s="10" t="str">
        <f>IF(H141="","",IF(Controls!$B$7="Normal",Controls!$B$8+Controls!$B$9*SQRT(-2*LN(H141/2147483647))*COS(2*PI()*R141/2147483647),Controls!$B$8+(Controls!$B$9-Controls!$B$8)*H141/2147483647))</f>
        <v/>
      </c>
      <c r="AC141" s="10" t="str">
        <f>IF(I141="","",IF(Controls!$B$7="Normal",Controls!$B$8+Controls!$B$9*SQRT(-2*LN(I141/2147483647))*COS(2*PI()*S141/2147483647),Controls!$B$8+(Controls!$B$9-Controls!$B$8)*I141/2147483647))</f>
        <v/>
      </c>
      <c r="AD141" s="10" t="str">
        <f>IF(J141="","",IF(Controls!$B$7="Normal",Controls!$B$8+Controls!$B$9*SQRT(-2*LN(J141/2147483647))*COS(2*PI()*T141/2147483647),Controls!$B$8+(Controls!$B$9-Controls!$B$8)*J141/2147483647))</f>
        <v/>
      </c>
      <c r="AE141" s="10" t="str">
        <f>IF(K141="","",IF(Controls!$B$7="Normal",Controls!$B$8+Controls!$B$9*SQRT(-2*LN(K141/2147483647))*COS(2*PI()*U141/2147483647),Controls!$B$8+(Controls!$B$9-Controls!$B$8)*K141/2147483647))</f>
        <v/>
      </c>
    </row>
    <row r="142" ht="21.0" customHeight="1">
      <c r="A142" s="7" t="str">
        <f>IF(141&lt;=Controls!$B$5,Controls!$B$4+140,"")</f>
        <v/>
      </c>
      <c r="B142" s="10" t="str">
        <f>IF(OR($A142="",1&gt;Controls!$B$6),"",MOD(L141*48271,2147483647))</f>
        <v/>
      </c>
      <c r="C142" s="10" t="str">
        <f>IF(OR($A142="",2&gt;Controls!$B$6),"",MOD(M141*48271,2147483647))</f>
        <v/>
      </c>
      <c r="D142" s="10" t="str">
        <f>IF(OR($A142="",3&gt;Controls!$B$6),"",MOD(N141*48271,2147483647))</f>
        <v/>
      </c>
      <c r="E142" s="10" t="str">
        <f>IF(OR($A142="",4&gt;Controls!$B$6),"",MOD(O141*48271,2147483647))</f>
        <v/>
      </c>
      <c r="F142" s="10" t="str">
        <f>IF(OR($A142="",5&gt;Controls!$B$6),"",MOD(P141*48271,2147483647))</f>
        <v/>
      </c>
      <c r="G142" s="10" t="str">
        <f>IF(OR($A142="",6&gt;Controls!$B$6),"",MOD(Q141*48271,2147483647))</f>
        <v/>
      </c>
      <c r="H142" s="10" t="str">
        <f>IF(OR($A142="",7&gt;Controls!$B$6),"",MOD(R141*48271,2147483647))</f>
        <v/>
      </c>
      <c r="I142" s="10" t="str">
        <f>IF(OR($A142="",8&gt;Controls!$B$6),"",MOD(S141*48271,2147483647))</f>
        <v/>
      </c>
      <c r="J142" s="10" t="str">
        <f>IF(OR($A142="",9&gt;Controls!$B$6),"",MOD(T141*48271,2147483647))</f>
        <v/>
      </c>
      <c r="K142" s="10" t="str">
        <f>IF(OR($A142="",10&gt;Controls!$B$6),"",MOD(U141*48271,2147483647))</f>
        <v/>
      </c>
      <c r="L142" s="10" t="str">
        <f t="shared" ref="L142:U142" si="141">IF(B142="","",MOD(B142*48271,2147483647))</f>
        <v/>
      </c>
      <c r="M142" s="10" t="str">
        <f t="shared" si="141"/>
        <v/>
      </c>
      <c r="N142" s="10" t="str">
        <f t="shared" si="141"/>
        <v/>
      </c>
      <c r="O142" s="10" t="str">
        <f t="shared" si="141"/>
        <v/>
      </c>
      <c r="P142" s="10" t="str">
        <f t="shared" si="141"/>
        <v/>
      </c>
      <c r="Q142" s="10" t="str">
        <f t="shared" si="141"/>
        <v/>
      </c>
      <c r="R142" s="10" t="str">
        <f t="shared" si="141"/>
        <v/>
      </c>
      <c r="S142" s="10" t="str">
        <f t="shared" si="141"/>
        <v/>
      </c>
      <c r="T142" s="10" t="str">
        <f t="shared" si="141"/>
        <v/>
      </c>
      <c r="U142" s="10" t="str">
        <f t="shared" si="141"/>
        <v/>
      </c>
      <c r="V142" s="10" t="str">
        <f>IF(B142="","",IF(Controls!$B$7="Normal",Controls!$B$8+Controls!$B$9*SQRT(-2*LN(B142/2147483647))*COS(2*PI()*L142/2147483647),Controls!$B$8+(Controls!$B$9-Controls!$B$8)*B142/2147483647))</f>
        <v/>
      </c>
      <c r="W142" s="10" t="str">
        <f>IF(C142="","",IF(Controls!$B$7="Normal",Controls!$B$8+Controls!$B$9*SQRT(-2*LN(C142/2147483647))*COS(2*PI()*M142/2147483647),Controls!$B$8+(Controls!$B$9-Controls!$B$8)*C142/2147483647))</f>
        <v/>
      </c>
      <c r="X142" s="10" t="str">
        <f>IF(D142="","",IF(Controls!$B$7="Normal",Controls!$B$8+Controls!$B$9*SQRT(-2*LN(D142/2147483647))*COS(2*PI()*N142/2147483647),Controls!$B$8+(Controls!$B$9-Controls!$B$8)*D142/2147483647))</f>
        <v/>
      </c>
      <c r="Y142" s="10" t="str">
        <f>IF(E142="","",IF(Controls!$B$7="Normal",Controls!$B$8+Controls!$B$9*SQRT(-2*LN(E142/2147483647))*COS(2*PI()*O142/2147483647),Controls!$B$8+(Controls!$B$9-Controls!$B$8)*E142/2147483647))</f>
        <v/>
      </c>
      <c r="Z142" s="10" t="str">
        <f>IF(F142="","",IF(Controls!$B$7="Normal",Controls!$B$8+Controls!$B$9*SQRT(-2*LN(F142/2147483647))*COS(2*PI()*P142/2147483647),Controls!$B$8+(Controls!$B$9-Controls!$B$8)*F142/2147483647))</f>
        <v/>
      </c>
      <c r="AA142" s="10" t="str">
        <f>IF(G142="","",IF(Controls!$B$7="Normal",Controls!$B$8+Controls!$B$9*SQRT(-2*LN(G142/2147483647))*COS(2*PI()*Q142/2147483647),Controls!$B$8+(Controls!$B$9-Controls!$B$8)*G142/2147483647))</f>
        <v/>
      </c>
      <c r="AB142" s="10" t="str">
        <f>IF(H142="","",IF(Controls!$B$7="Normal",Controls!$B$8+Controls!$B$9*SQRT(-2*LN(H142/2147483647))*COS(2*PI()*R142/2147483647),Controls!$B$8+(Controls!$B$9-Controls!$B$8)*H142/2147483647))</f>
        <v/>
      </c>
      <c r="AC142" s="10" t="str">
        <f>IF(I142="","",IF(Controls!$B$7="Normal",Controls!$B$8+Controls!$B$9*SQRT(-2*LN(I142/2147483647))*COS(2*PI()*S142/2147483647),Controls!$B$8+(Controls!$B$9-Controls!$B$8)*I142/2147483647))</f>
        <v/>
      </c>
      <c r="AD142" s="10" t="str">
        <f>IF(J142="","",IF(Controls!$B$7="Normal",Controls!$B$8+Controls!$B$9*SQRT(-2*LN(J142/2147483647))*COS(2*PI()*T142/2147483647),Controls!$B$8+(Controls!$B$9-Controls!$B$8)*J142/2147483647))</f>
        <v/>
      </c>
      <c r="AE142" s="10" t="str">
        <f>IF(K142="","",IF(Controls!$B$7="Normal",Controls!$B$8+Controls!$B$9*SQRT(-2*LN(K142/2147483647))*COS(2*PI()*U142/2147483647),Controls!$B$8+(Controls!$B$9-Controls!$B$8)*K142/2147483647))</f>
        <v/>
      </c>
    </row>
    <row r="143" ht="21.0" customHeight="1">
      <c r="A143" s="7" t="str">
        <f>IF(142&lt;=Controls!$B$5,Controls!$B$4+141,"")</f>
        <v/>
      </c>
      <c r="B143" s="10" t="str">
        <f>IF(OR($A143="",1&gt;Controls!$B$6),"",MOD(L142*48271,2147483647))</f>
        <v/>
      </c>
      <c r="C143" s="10" t="str">
        <f>IF(OR($A143="",2&gt;Controls!$B$6),"",MOD(M142*48271,2147483647))</f>
        <v/>
      </c>
      <c r="D143" s="10" t="str">
        <f>IF(OR($A143="",3&gt;Controls!$B$6),"",MOD(N142*48271,2147483647))</f>
        <v/>
      </c>
      <c r="E143" s="10" t="str">
        <f>IF(OR($A143="",4&gt;Controls!$B$6),"",MOD(O142*48271,2147483647))</f>
        <v/>
      </c>
      <c r="F143" s="10" t="str">
        <f>IF(OR($A143="",5&gt;Controls!$B$6),"",MOD(P142*48271,2147483647))</f>
        <v/>
      </c>
      <c r="G143" s="10" t="str">
        <f>IF(OR($A143="",6&gt;Controls!$B$6),"",MOD(Q142*48271,2147483647))</f>
        <v/>
      </c>
      <c r="H143" s="10" t="str">
        <f>IF(OR($A143="",7&gt;Controls!$B$6),"",MOD(R142*48271,2147483647))</f>
        <v/>
      </c>
      <c r="I143" s="10" t="str">
        <f>IF(OR($A143="",8&gt;Controls!$B$6),"",MOD(S142*48271,2147483647))</f>
        <v/>
      </c>
      <c r="J143" s="10" t="str">
        <f>IF(OR($A143="",9&gt;Controls!$B$6),"",MOD(T142*48271,2147483647))</f>
        <v/>
      </c>
      <c r="K143" s="10" t="str">
        <f>IF(OR($A143="",10&gt;Controls!$B$6),"",MOD(U142*48271,2147483647))</f>
        <v/>
      </c>
      <c r="L143" s="10" t="str">
        <f t="shared" ref="L143:U143" si="142">IF(B143="","",MOD(B143*48271,2147483647))</f>
        <v/>
      </c>
      <c r="M143" s="10" t="str">
        <f t="shared" si="142"/>
        <v/>
      </c>
      <c r="N143" s="10" t="str">
        <f t="shared" si="142"/>
        <v/>
      </c>
      <c r="O143" s="10" t="str">
        <f t="shared" si="142"/>
        <v/>
      </c>
      <c r="P143" s="10" t="str">
        <f t="shared" si="142"/>
        <v/>
      </c>
      <c r="Q143" s="10" t="str">
        <f t="shared" si="142"/>
        <v/>
      </c>
      <c r="R143" s="10" t="str">
        <f t="shared" si="142"/>
        <v/>
      </c>
      <c r="S143" s="10" t="str">
        <f t="shared" si="142"/>
        <v/>
      </c>
      <c r="T143" s="10" t="str">
        <f t="shared" si="142"/>
        <v/>
      </c>
      <c r="U143" s="10" t="str">
        <f t="shared" si="142"/>
        <v/>
      </c>
      <c r="V143" s="10" t="str">
        <f>IF(B143="","",IF(Controls!$B$7="Normal",Controls!$B$8+Controls!$B$9*SQRT(-2*LN(B143/2147483647))*COS(2*PI()*L143/2147483647),Controls!$B$8+(Controls!$B$9-Controls!$B$8)*B143/2147483647))</f>
        <v/>
      </c>
      <c r="W143" s="10" t="str">
        <f>IF(C143="","",IF(Controls!$B$7="Normal",Controls!$B$8+Controls!$B$9*SQRT(-2*LN(C143/2147483647))*COS(2*PI()*M143/2147483647),Controls!$B$8+(Controls!$B$9-Controls!$B$8)*C143/2147483647))</f>
        <v/>
      </c>
      <c r="X143" s="10" t="str">
        <f>IF(D143="","",IF(Controls!$B$7="Normal",Controls!$B$8+Controls!$B$9*SQRT(-2*LN(D143/2147483647))*COS(2*PI()*N143/2147483647),Controls!$B$8+(Controls!$B$9-Controls!$B$8)*D143/2147483647))</f>
        <v/>
      </c>
      <c r="Y143" s="10" t="str">
        <f>IF(E143="","",IF(Controls!$B$7="Normal",Controls!$B$8+Controls!$B$9*SQRT(-2*LN(E143/2147483647))*COS(2*PI()*O143/2147483647),Controls!$B$8+(Controls!$B$9-Controls!$B$8)*E143/2147483647))</f>
        <v/>
      </c>
      <c r="Z143" s="10" t="str">
        <f>IF(F143="","",IF(Controls!$B$7="Normal",Controls!$B$8+Controls!$B$9*SQRT(-2*LN(F143/2147483647))*COS(2*PI()*P143/2147483647),Controls!$B$8+(Controls!$B$9-Controls!$B$8)*F143/2147483647))</f>
        <v/>
      </c>
      <c r="AA143" s="10" t="str">
        <f>IF(G143="","",IF(Controls!$B$7="Normal",Controls!$B$8+Controls!$B$9*SQRT(-2*LN(G143/2147483647))*COS(2*PI()*Q143/2147483647),Controls!$B$8+(Controls!$B$9-Controls!$B$8)*G143/2147483647))</f>
        <v/>
      </c>
      <c r="AB143" s="10" t="str">
        <f>IF(H143="","",IF(Controls!$B$7="Normal",Controls!$B$8+Controls!$B$9*SQRT(-2*LN(H143/2147483647))*COS(2*PI()*R143/2147483647),Controls!$B$8+(Controls!$B$9-Controls!$B$8)*H143/2147483647))</f>
        <v/>
      </c>
      <c r="AC143" s="10" t="str">
        <f>IF(I143="","",IF(Controls!$B$7="Normal",Controls!$B$8+Controls!$B$9*SQRT(-2*LN(I143/2147483647))*COS(2*PI()*S143/2147483647),Controls!$B$8+(Controls!$B$9-Controls!$B$8)*I143/2147483647))</f>
        <v/>
      </c>
      <c r="AD143" s="10" t="str">
        <f>IF(J143="","",IF(Controls!$B$7="Normal",Controls!$B$8+Controls!$B$9*SQRT(-2*LN(J143/2147483647))*COS(2*PI()*T143/2147483647),Controls!$B$8+(Controls!$B$9-Controls!$B$8)*J143/2147483647))</f>
        <v/>
      </c>
      <c r="AE143" s="10" t="str">
        <f>IF(K143="","",IF(Controls!$B$7="Normal",Controls!$B$8+Controls!$B$9*SQRT(-2*LN(K143/2147483647))*COS(2*PI()*U143/2147483647),Controls!$B$8+(Controls!$B$9-Controls!$B$8)*K143/2147483647))</f>
        <v/>
      </c>
    </row>
    <row r="144" ht="21.0" customHeight="1">
      <c r="A144" s="7" t="str">
        <f>IF(143&lt;=Controls!$B$5,Controls!$B$4+142,"")</f>
        <v/>
      </c>
      <c r="B144" s="10" t="str">
        <f>IF(OR($A144="",1&gt;Controls!$B$6),"",MOD(L143*48271,2147483647))</f>
        <v/>
      </c>
      <c r="C144" s="10" t="str">
        <f>IF(OR($A144="",2&gt;Controls!$B$6),"",MOD(M143*48271,2147483647))</f>
        <v/>
      </c>
      <c r="D144" s="10" t="str">
        <f>IF(OR($A144="",3&gt;Controls!$B$6),"",MOD(N143*48271,2147483647))</f>
        <v/>
      </c>
      <c r="E144" s="10" t="str">
        <f>IF(OR($A144="",4&gt;Controls!$B$6),"",MOD(O143*48271,2147483647))</f>
        <v/>
      </c>
      <c r="F144" s="10" t="str">
        <f>IF(OR($A144="",5&gt;Controls!$B$6),"",MOD(P143*48271,2147483647))</f>
        <v/>
      </c>
      <c r="G144" s="10" t="str">
        <f>IF(OR($A144="",6&gt;Controls!$B$6),"",MOD(Q143*48271,2147483647))</f>
        <v/>
      </c>
      <c r="H144" s="10" t="str">
        <f>IF(OR($A144="",7&gt;Controls!$B$6),"",MOD(R143*48271,2147483647))</f>
        <v/>
      </c>
      <c r="I144" s="10" t="str">
        <f>IF(OR($A144="",8&gt;Controls!$B$6),"",MOD(S143*48271,2147483647))</f>
        <v/>
      </c>
      <c r="J144" s="10" t="str">
        <f>IF(OR($A144="",9&gt;Controls!$B$6),"",MOD(T143*48271,2147483647))</f>
        <v/>
      </c>
      <c r="K144" s="10" t="str">
        <f>IF(OR($A144="",10&gt;Controls!$B$6),"",MOD(U143*48271,2147483647))</f>
        <v/>
      </c>
      <c r="L144" s="10" t="str">
        <f t="shared" ref="L144:U144" si="143">IF(B144="","",MOD(B144*48271,2147483647))</f>
        <v/>
      </c>
      <c r="M144" s="10" t="str">
        <f t="shared" si="143"/>
        <v/>
      </c>
      <c r="N144" s="10" t="str">
        <f t="shared" si="143"/>
        <v/>
      </c>
      <c r="O144" s="10" t="str">
        <f t="shared" si="143"/>
        <v/>
      </c>
      <c r="P144" s="10" t="str">
        <f t="shared" si="143"/>
        <v/>
      </c>
      <c r="Q144" s="10" t="str">
        <f t="shared" si="143"/>
        <v/>
      </c>
      <c r="R144" s="10" t="str">
        <f t="shared" si="143"/>
        <v/>
      </c>
      <c r="S144" s="10" t="str">
        <f t="shared" si="143"/>
        <v/>
      </c>
      <c r="T144" s="10" t="str">
        <f t="shared" si="143"/>
        <v/>
      </c>
      <c r="U144" s="10" t="str">
        <f t="shared" si="143"/>
        <v/>
      </c>
      <c r="V144" s="10" t="str">
        <f>IF(B144="","",IF(Controls!$B$7="Normal",Controls!$B$8+Controls!$B$9*SQRT(-2*LN(B144/2147483647))*COS(2*PI()*L144/2147483647),Controls!$B$8+(Controls!$B$9-Controls!$B$8)*B144/2147483647))</f>
        <v/>
      </c>
      <c r="W144" s="10" t="str">
        <f>IF(C144="","",IF(Controls!$B$7="Normal",Controls!$B$8+Controls!$B$9*SQRT(-2*LN(C144/2147483647))*COS(2*PI()*M144/2147483647),Controls!$B$8+(Controls!$B$9-Controls!$B$8)*C144/2147483647))</f>
        <v/>
      </c>
      <c r="X144" s="10" t="str">
        <f>IF(D144="","",IF(Controls!$B$7="Normal",Controls!$B$8+Controls!$B$9*SQRT(-2*LN(D144/2147483647))*COS(2*PI()*N144/2147483647),Controls!$B$8+(Controls!$B$9-Controls!$B$8)*D144/2147483647))</f>
        <v/>
      </c>
      <c r="Y144" s="10" t="str">
        <f>IF(E144="","",IF(Controls!$B$7="Normal",Controls!$B$8+Controls!$B$9*SQRT(-2*LN(E144/2147483647))*COS(2*PI()*O144/2147483647),Controls!$B$8+(Controls!$B$9-Controls!$B$8)*E144/2147483647))</f>
        <v/>
      </c>
      <c r="Z144" s="10" t="str">
        <f>IF(F144="","",IF(Controls!$B$7="Normal",Controls!$B$8+Controls!$B$9*SQRT(-2*LN(F144/2147483647))*COS(2*PI()*P144/2147483647),Controls!$B$8+(Controls!$B$9-Controls!$B$8)*F144/2147483647))</f>
        <v/>
      </c>
      <c r="AA144" s="10" t="str">
        <f>IF(G144="","",IF(Controls!$B$7="Normal",Controls!$B$8+Controls!$B$9*SQRT(-2*LN(G144/2147483647))*COS(2*PI()*Q144/2147483647),Controls!$B$8+(Controls!$B$9-Controls!$B$8)*G144/2147483647))</f>
        <v/>
      </c>
      <c r="AB144" s="10" t="str">
        <f>IF(H144="","",IF(Controls!$B$7="Normal",Controls!$B$8+Controls!$B$9*SQRT(-2*LN(H144/2147483647))*COS(2*PI()*R144/2147483647),Controls!$B$8+(Controls!$B$9-Controls!$B$8)*H144/2147483647))</f>
        <v/>
      </c>
      <c r="AC144" s="10" t="str">
        <f>IF(I144="","",IF(Controls!$B$7="Normal",Controls!$B$8+Controls!$B$9*SQRT(-2*LN(I144/2147483647))*COS(2*PI()*S144/2147483647),Controls!$B$8+(Controls!$B$9-Controls!$B$8)*I144/2147483647))</f>
        <v/>
      </c>
      <c r="AD144" s="10" t="str">
        <f>IF(J144="","",IF(Controls!$B$7="Normal",Controls!$B$8+Controls!$B$9*SQRT(-2*LN(J144/2147483647))*COS(2*PI()*T144/2147483647),Controls!$B$8+(Controls!$B$9-Controls!$B$8)*J144/2147483647))</f>
        <v/>
      </c>
      <c r="AE144" s="10" t="str">
        <f>IF(K144="","",IF(Controls!$B$7="Normal",Controls!$B$8+Controls!$B$9*SQRT(-2*LN(K144/2147483647))*COS(2*PI()*U144/2147483647),Controls!$B$8+(Controls!$B$9-Controls!$B$8)*K144/2147483647))</f>
        <v/>
      </c>
    </row>
    <row r="145" ht="21.0" customHeight="1">
      <c r="A145" s="7" t="str">
        <f>IF(144&lt;=Controls!$B$5,Controls!$B$4+143,"")</f>
        <v/>
      </c>
      <c r="B145" s="10" t="str">
        <f>IF(OR($A145="",1&gt;Controls!$B$6),"",MOD(L144*48271,2147483647))</f>
        <v/>
      </c>
      <c r="C145" s="10" t="str">
        <f>IF(OR($A145="",2&gt;Controls!$B$6),"",MOD(M144*48271,2147483647))</f>
        <v/>
      </c>
      <c r="D145" s="10" t="str">
        <f>IF(OR($A145="",3&gt;Controls!$B$6),"",MOD(N144*48271,2147483647))</f>
        <v/>
      </c>
      <c r="E145" s="10" t="str">
        <f>IF(OR($A145="",4&gt;Controls!$B$6),"",MOD(O144*48271,2147483647))</f>
        <v/>
      </c>
      <c r="F145" s="10" t="str">
        <f>IF(OR($A145="",5&gt;Controls!$B$6),"",MOD(P144*48271,2147483647))</f>
        <v/>
      </c>
      <c r="G145" s="10" t="str">
        <f>IF(OR($A145="",6&gt;Controls!$B$6),"",MOD(Q144*48271,2147483647))</f>
        <v/>
      </c>
      <c r="H145" s="10" t="str">
        <f>IF(OR($A145="",7&gt;Controls!$B$6),"",MOD(R144*48271,2147483647))</f>
        <v/>
      </c>
      <c r="I145" s="10" t="str">
        <f>IF(OR($A145="",8&gt;Controls!$B$6),"",MOD(S144*48271,2147483647))</f>
        <v/>
      </c>
      <c r="J145" s="10" t="str">
        <f>IF(OR($A145="",9&gt;Controls!$B$6),"",MOD(T144*48271,2147483647))</f>
        <v/>
      </c>
      <c r="K145" s="10" t="str">
        <f>IF(OR($A145="",10&gt;Controls!$B$6),"",MOD(U144*48271,2147483647))</f>
        <v/>
      </c>
      <c r="L145" s="10" t="str">
        <f t="shared" ref="L145:U145" si="144">IF(B145="","",MOD(B145*48271,2147483647))</f>
        <v/>
      </c>
      <c r="M145" s="10" t="str">
        <f t="shared" si="144"/>
        <v/>
      </c>
      <c r="N145" s="10" t="str">
        <f t="shared" si="144"/>
        <v/>
      </c>
      <c r="O145" s="10" t="str">
        <f t="shared" si="144"/>
        <v/>
      </c>
      <c r="P145" s="10" t="str">
        <f t="shared" si="144"/>
        <v/>
      </c>
      <c r="Q145" s="10" t="str">
        <f t="shared" si="144"/>
        <v/>
      </c>
      <c r="R145" s="10" t="str">
        <f t="shared" si="144"/>
        <v/>
      </c>
      <c r="S145" s="10" t="str">
        <f t="shared" si="144"/>
        <v/>
      </c>
      <c r="T145" s="10" t="str">
        <f t="shared" si="144"/>
        <v/>
      </c>
      <c r="U145" s="10" t="str">
        <f t="shared" si="144"/>
        <v/>
      </c>
      <c r="V145" s="10" t="str">
        <f>IF(B145="","",IF(Controls!$B$7="Normal",Controls!$B$8+Controls!$B$9*SQRT(-2*LN(B145/2147483647))*COS(2*PI()*L145/2147483647),Controls!$B$8+(Controls!$B$9-Controls!$B$8)*B145/2147483647))</f>
        <v/>
      </c>
      <c r="W145" s="10" t="str">
        <f>IF(C145="","",IF(Controls!$B$7="Normal",Controls!$B$8+Controls!$B$9*SQRT(-2*LN(C145/2147483647))*COS(2*PI()*M145/2147483647),Controls!$B$8+(Controls!$B$9-Controls!$B$8)*C145/2147483647))</f>
        <v/>
      </c>
      <c r="X145" s="10" t="str">
        <f>IF(D145="","",IF(Controls!$B$7="Normal",Controls!$B$8+Controls!$B$9*SQRT(-2*LN(D145/2147483647))*COS(2*PI()*N145/2147483647),Controls!$B$8+(Controls!$B$9-Controls!$B$8)*D145/2147483647))</f>
        <v/>
      </c>
      <c r="Y145" s="10" t="str">
        <f>IF(E145="","",IF(Controls!$B$7="Normal",Controls!$B$8+Controls!$B$9*SQRT(-2*LN(E145/2147483647))*COS(2*PI()*O145/2147483647),Controls!$B$8+(Controls!$B$9-Controls!$B$8)*E145/2147483647))</f>
        <v/>
      </c>
      <c r="Z145" s="10" t="str">
        <f>IF(F145="","",IF(Controls!$B$7="Normal",Controls!$B$8+Controls!$B$9*SQRT(-2*LN(F145/2147483647))*COS(2*PI()*P145/2147483647),Controls!$B$8+(Controls!$B$9-Controls!$B$8)*F145/2147483647))</f>
        <v/>
      </c>
      <c r="AA145" s="10" t="str">
        <f>IF(G145="","",IF(Controls!$B$7="Normal",Controls!$B$8+Controls!$B$9*SQRT(-2*LN(G145/2147483647))*COS(2*PI()*Q145/2147483647),Controls!$B$8+(Controls!$B$9-Controls!$B$8)*G145/2147483647))</f>
        <v/>
      </c>
      <c r="AB145" s="10" t="str">
        <f>IF(H145="","",IF(Controls!$B$7="Normal",Controls!$B$8+Controls!$B$9*SQRT(-2*LN(H145/2147483647))*COS(2*PI()*R145/2147483647),Controls!$B$8+(Controls!$B$9-Controls!$B$8)*H145/2147483647))</f>
        <v/>
      </c>
      <c r="AC145" s="10" t="str">
        <f>IF(I145="","",IF(Controls!$B$7="Normal",Controls!$B$8+Controls!$B$9*SQRT(-2*LN(I145/2147483647))*COS(2*PI()*S145/2147483647),Controls!$B$8+(Controls!$B$9-Controls!$B$8)*I145/2147483647))</f>
        <v/>
      </c>
      <c r="AD145" s="10" t="str">
        <f>IF(J145="","",IF(Controls!$B$7="Normal",Controls!$B$8+Controls!$B$9*SQRT(-2*LN(J145/2147483647))*COS(2*PI()*T145/2147483647),Controls!$B$8+(Controls!$B$9-Controls!$B$8)*J145/2147483647))</f>
        <v/>
      </c>
      <c r="AE145" s="10" t="str">
        <f>IF(K145="","",IF(Controls!$B$7="Normal",Controls!$B$8+Controls!$B$9*SQRT(-2*LN(K145/2147483647))*COS(2*PI()*U145/2147483647),Controls!$B$8+(Controls!$B$9-Controls!$B$8)*K145/2147483647))</f>
        <v/>
      </c>
    </row>
    <row r="146" ht="21.0" customHeight="1">
      <c r="A146" s="7" t="str">
        <f>IF(145&lt;=Controls!$B$5,Controls!$B$4+144,"")</f>
        <v/>
      </c>
      <c r="B146" s="10" t="str">
        <f>IF(OR($A146="",1&gt;Controls!$B$6),"",MOD(L145*48271,2147483647))</f>
        <v/>
      </c>
      <c r="C146" s="10" t="str">
        <f>IF(OR($A146="",2&gt;Controls!$B$6),"",MOD(M145*48271,2147483647))</f>
        <v/>
      </c>
      <c r="D146" s="10" t="str">
        <f>IF(OR($A146="",3&gt;Controls!$B$6),"",MOD(N145*48271,2147483647))</f>
        <v/>
      </c>
      <c r="E146" s="10" t="str">
        <f>IF(OR($A146="",4&gt;Controls!$B$6),"",MOD(O145*48271,2147483647))</f>
        <v/>
      </c>
      <c r="F146" s="10" t="str">
        <f>IF(OR($A146="",5&gt;Controls!$B$6),"",MOD(P145*48271,2147483647))</f>
        <v/>
      </c>
      <c r="G146" s="10" t="str">
        <f>IF(OR($A146="",6&gt;Controls!$B$6),"",MOD(Q145*48271,2147483647))</f>
        <v/>
      </c>
      <c r="H146" s="10" t="str">
        <f>IF(OR($A146="",7&gt;Controls!$B$6),"",MOD(R145*48271,2147483647))</f>
        <v/>
      </c>
      <c r="I146" s="10" t="str">
        <f>IF(OR($A146="",8&gt;Controls!$B$6),"",MOD(S145*48271,2147483647))</f>
        <v/>
      </c>
      <c r="J146" s="10" t="str">
        <f>IF(OR($A146="",9&gt;Controls!$B$6),"",MOD(T145*48271,2147483647))</f>
        <v/>
      </c>
      <c r="K146" s="10" t="str">
        <f>IF(OR($A146="",10&gt;Controls!$B$6),"",MOD(U145*48271,2147483647))</f>
        <v/>
      </c>
      <c r="L146" s="10" t="str">
        <f t="shared" ref="L146:U146" si="145">IF(B146="","",MOD(B146*48271,2147483647))</f>
        <v/>
      </c>
      <c r="M146" s="10" t="str">
        <f t="shared" si="145"/>
        <v/>
      </c>
      <c r="N146" s="10" t="str">
        <f t="shared" si="145"/>
        <v/>
      </c>
      <c r="O146" s="10" t="str">
        <f t="shared" si="145"/>
        <v/>
      </c>
      <c r="P146" s="10" t="str">
        <f t="shared" si="145"/>
        <v/>
      </c>
      <c r="Q146" s="10" t="str">
        <f t="shared" si="145"/>
        <v/>
      </c>
      <c r="R146" s="10" t="str">
        <f t="shared" si="145"/>
        <v/>
      </c>
      <c r="S146" s="10" t="str">
        <f t="shared" si="145"/>
        <v/>
      </c>
      <c r="T146" s="10" t="str">
        <f t="shared" si="145"/>
        <v/>
      </c>
      <c r="U146" s="10" t="str">
        <f t="shared" si="145"/>
        <v/>
      </c>
      <c r="V146" s="10" t="str">
        <f>IF(B146="","",IF(Controls!$B$7="Normal",Controls!$B$8+Controls!$B$9*SQRT(-2*LN(B146/2147483647))*COS(2*PI()*L146/2147483647),Controls!$B$8+(Controls!$B$9-Controls!$B$8)*B146/2147483647))</f>
        <v/>
      </c>
      <c r="W146" s="10" t="str">
        <f>IF(C146="","",IF(Controls!$B$7="Normal",Controls!$B$8+Controls!$B$9*SQRT(-2*LN(C146/2147483647))*COS(2*PI()*M146/2147483647),Controls!$B$8+(Controls!$B$9-Controls!$B$8)*C146/2147483647))</f>
        <v/>
      </c>
      <c r="X146" s="10" t="str">
        <f>IF(D146="","",IF(Controls!$B$7="Normal",Controls!$B$8+Controls!$B$9*SQRT(-2*LN(D146/2147483647))*COS(2*PI()*N146/2147483647),Controls!$B$8+(Controls!$B$9-Controls!$B$8)*D146/2147483647))</f>
        <v/>
      </c>
      <c r="Y146" s="10" t="str">
        <f>IF(E146="","",IF(Controls!$B$7="Normal",Controls!$B$8+Controls!$B$9*SQRT(-2*LN(E146/2147483647))*COS(2*PI()*O146/2147483647),Controls!$B$8+(Controls!$B$9-Controls!$B$8)*E146/2147483647))</f>
        <v/>
      </c>
      <c r="Z146" s="10" t="str">
        <f>IF(F146="","",IF(Controls!$B$7="Normal",Controls!$B$8+Controls!$B$9*SQRT(-2*LN(F146/2147483647))*COS(2*PI()*P146/2147483647),Controls!$B$8+(Controls!$B$9-Controls!$B$8)*F146/2147483647))</f>
        <v/>
      </c>
      <c r="AA146" s="10" t="str">
        <f>IF(G146="","",IF(Controls!$B$7="Normal",Controls!$B$8+Controls!$B$9*SQRT(-2*LN(G146/2147483647))*COS(2*PI()*Q146/2147483647),Controls!$B$8+(Controls!$B$9-Controls!$B$8)*G146/2147483647))</f>
        <v/>
      </c>
      <c r="AB146" s="10" t="str">
        <f>IF(H146="","",IF(Controls!$B$7="Normal",Controls!$B$8+Controls!$B$9*SQRT(-2*LN(H146/2147483647))*COS(2*PI()*R146/2147483647),Controls!$B$8+(Controls!$B$9-Controls!$B$8)*H146/2147483647))</f>
        <v/>
      </c>
      <c r="AC146" s="10" t="str">
        <f>IF(I146="","",IF(Controls!$B$7="Normal",Controls!$B$8+Controls!$B$9*SQRT(-2*LN(I146/2147483647))*COS(2*PI()*S146/2147483647),Controls!$B$8+(Controls!$B$9-Controls!$B$8)*I146/2147483647))</f>
        <v/>
      </c>
      <c r="AD146" s="10" t="str">
        <f>IF(J146="","",IF(Controls!$B$7="Normal",Controls!$B$8+Controls!$B$9*SQRT(-2*LN(J146/2147483647))*COS(2*PI()*T146/2147483647),Controls!$B$8+(Controls!$B$9-Controls!$B$8)*J146/2147483647))</f>
        <v/>
      </c>
      <c r="AE146" s="10" t="str">
        <f>IF(K146="","",IF(Controls!$B$7="Normal",Controls!$B$8+Controls!$B$9*SQRT(-2*LN(K146/2147483647))*COS(2*PI()*U146/2147483647),Controls!$B$8+(Controls!$B$9-Controls!$B$8)*K146/2147483647))</f>
        <v/>
      </c>
    </row>
    <row r="147" ht="21.0" customHeight="1">
      <c r="A147" s="7" t="str">
        <f>IF(146&lt;=Controls!$B$5,Controls!$B$4+145,"")</f>
        <v/>
      </c>
      <c r="B147" s="10" t="str">
        <f>IF(OR($A147="",1&gt;Controls!$B$6),"",MOD(L146*48271,2147483647))</f>
        <v/>
      </c>
      <c r="C147" s="10" t="str">
        <f>IF(OR($A147="",2&gt;Controls!$B$6),"",MOD(M146*48271,2147483647))</f>
        <v/>
      </c>
      <c r="D147" s="10" t="str">
        <f>IF(OR($A147="",3&gt;Controls!$B$6),"",MOD(N146*48271,2147483647))</f>
        <v/>
      </c>
      <c r="E147" s="10" t="str">
        <f>IF(OR($A147="",4&gt;Controls!$B$6),"",MOD(O146*48271,2147483647))</f>
        <v/>
      </c>
      <c r="F147" s="10" t="str">
        <f>IF(OR($A147="",5&gt;Controls!$B$6),"",MOD(P146*48271,2147483647))</f>
        <v/>
      </c>
      <c r="G147" s="10" t="str">
        <f>IF(OR($A147="",6&gt;Controls!$B$6),"",MOD(Q146*48271,2147483647))</f>
        <v/>
      </c>
      <c r="H147" s="10" t="str">
        <f>IF(OR($A147="",7&gt;Controls!$B$6),"",MOD(R146*48271,2147483647))</f>
        <v/>
      </c>
      <c r="I147" s="10" t="str">
        <f>IF(OR($A147="",8&gt;Controls!$B$6),"",MOD(S146*48271,2147483647))</f>
        <v/>
      </c>
      <c r="J147" s="10" t="str">
        <f>IF(OR($A147="",9&gt;Controls!$B$6),"",MOD(T146*48271,2147483647))</f>
        <v/>
      </c>
      <c r="K147" s="10" t="str">
        <f>IF(OR($A147="",10&gt;Controls!$B$6),"",MOD(U146*48271,2147483647))</f>
        <v/>
      </c>
      <c r="L147" s="10" t="str">
        <f t="shared" ref="L147:U147" si="146">IF(B147="","",MOD(B147*48271,2147483647))</f>
        <v/>
      </c>
      <c r="M147" s="10" t="str">
        <f t="shared" si="146"/>
        <v/>
      </c>
      <c r="N147" s="10" t="str">
        <f t="shared" si="146"/>
        <v/>
      </c>
      <c r="O147" s="10" t="str">
        <f t="shared" si="146"/>
        <v/>
      </c>
      <c r="P147" s="10" t="str">
        <f t="shared" si="146"/>
        <v/>
      </c>
      <c r="Q147" s="10" t="str">
        <f t="shared" si="146"/>
        <v/>
      </c>
      <c r="R147" s="10" t="str">
        <f t="shared" si="146"/>
        <v/>
      </c>
      <c r="S147" s="10" t="str">
        <f t="shared" si="146"/>
        <v/>
      </c>
      <c r="T147" s="10" t="str">
        <f t="shared" si="146"/>
        <v/>
      </c>
      <c r="U147" s="10" t="str">
        <f t="shared" si="146"/>
        <v/>
      </c>
      <c r="V147" s="10" t="str">
        <f>IF(B147="","",IF(Controls!$B$7="Normal",Controls!$B$8+Controls!$B$9*SQRT(-2*LN(B147/2147483647))*COS(2*PI()*L147/2147483647),Controls!$B$8+(Controls!$B$9-Controls!$B$8)*B147/2147483647))</f>
        <v/>
      </c>
      <c r="W147" s="10" t="str">
        <f>IF(C147="","",IF(Controls!$B$7="Normal",Controls!$B$8+Controls!$B$9*SQRT(-2*LN(C147/2147483647))*COS(2*PI()*M147/2147483647),Controls!$B$8+(Controls!$B$9-Controls!$B$8)*C147/2147483647))</f>
        <v/>
      </c>
      <c r="X147" s="10" t="str">
        <f>IF(D147="","",IF(Controls!$B$7="Normal",Controls!$B$8+Controls!$B$9*SQRT(-2*LN(D147/2147483647))*COS(2*PI()*N147/2147483647),Controls!$B$8+(Controls!$B$9-Controls!$B$8)*D147/2147483647))</f>
        <v/>
      </c>
      <c r="Y147" s="10" t="str">
        <f>IF(E147="","",IF(Controls!$B$7="Normal",Controls!$B$8+Controls!$B$9*SQRT(-2*LN(E147/2147483647))*COS(2*PI()*O147/2147483647),Controls!$B$8+(Controls!$B$9-Controls!$B$8)*E147/2147483647))</f>
        <v/>
      </c>
      <c r="Z147" s="10" t="str">
        <f>IF(F147="","",IF(Controls!$B$7="Normal",Controls!$B$8+Controls!$B$9*SQRT(-2*LN(F147/2147483647))*COS(2*PI()*P147/2147483647),Controls!$B$8+(Controls!$B$9-Controls!$B$8)*F147/2147483647))</f>
        <v/>
      </c>
      <c r="AA147" s="10" t="str">
        <f>IF(G147="","",IF(Controls!$B$7="Normal",Controls!$B$8+Controls!$B$9*SQRT(-2*LN(G147/2147483647))*COS(2*PI()*Q147/2147483647),Controls!$B$8+(Controls!$B$9-Controls!$B$8)*G147/2147483647))</f>
        <v/>
      </c>
      <c r="AB147" s="10" t="str">
        <f>IF(H147="","",IF(Controls!$B$7="Normal",Controls!$B$8+Controls!$B$9*SQRT(-2*LN(H147/2147483647))*COS(2*PI()*R147/2147483647),Controls!$B$8+(Controls!$B$9-Controls!$B$8)*H147/2147483647))</f>
        <v/>
      </c>
      <c r="AC147" s="10" t="str">
        <f>IF(I147="","",IF(Controls!$B$7="Normal",Controls!$B$8+Controls!$B$9*SQRT(-2*LN(I147/2147483647))*COS(2*PI()*S147/2147483647),Controls!$B$8+(Controls!$B$9-Controls!$B$8)*I147/2147483647))</f>
        <v/>
      </c>
      <c r="AD147" s="10" t="str">
        <f>IF(J147="","",IF(Controls!$B$7="Normal",Controls!$B$8+Controls!$B$9*SQRT(-2*LN(J147/2147483647))*COS(2*PI()*T147/2147483647),Controls!$B$8+(Controls!$B$9-Controls!$B$8)*J147/2147483647))</f>
        <v/>
      </c>
      <c r="AE147" s="10" t="str">
        <f>IF(K147="","",IF(Controls!$B$7="Normal",Controls!$B$8+Controls!$B$9*SQRT(-2*LN(K147/2147483647))*COS(2*PI()*U147/2147483647),Controls!$B$8+(Controls!$B$9-Controls!$B$8)*K147/2147483647))</f>
        <v/>
      </c>
    </row>
    <row r="148" ht="21.0" customHeight="1">
      <c r="A148" s="7" t="str">
        <f>IF(147&lt;=Controls!$B$5,Controls!$B$4+146,"")</f>
        <v/>
      </c>
      <c r="B148" s="10" t="str">
        <f>IF(OR($A148="",1&gt;Controls!$B$6),"",MOD(L147*48271,2147483647))</f>
        <v/>
      </c>
      <c r="C148" s="10" t="str">
        <f>IF(OR($A148="",2&gt;Controls!$B$6),"",MOD(M147*48271,2147483647))</f>
        <v/>
      </c>
      <c r="D148" s="10" t="str">
        <f>IF(OR($A148="",3&gt;Controls!$B$6),"",MOD(N147*48271,2147483647))</f>
        <v/>
      </c>
      <c r="E148" s="10" t="str">
        <f>IF(OR($A148="",4&gt;Controls!$B$6),"",MOD(O147*48271,2147483647))</f>
        <v/>
      </c>
      <c r="F148" s="10" t="str">
        <f>IF(OR($A148="",5&gt;Controls!$B$6),"",MOD(P147*48271,2147483647))</f>
        <v/>
      </c>
      <c r="G148" s="10" t="str">
        <f>IF(OR($A148="",6&gt;Controls!$B$6),"",MOD(Q147*48271,2147483647))</f>
        <v/>
      </c>
      <c r="H148" s="10" t="str">
        <f>IF(OR($A148="",7&gt;Controls!$B$6),"",MOD(R147*48271,2147483647))</f>
        <v/>
      </c>
      <c r="I148" s="10" t="str">
        <f>IF(OR($A148="",8&gt;Controls!$B$6),"",MOD(S147*48271,2147483647))</f>
        <v/>
      </c>
      <c r="J148" s="10" t="str">
        <f>IF(OR($A148="",9&gt;Controls!$B$6),"",MOD(T147*48271,2147483647))</f>
        <v/>
      </c>
      <c r="K148" s="10" t="str">
        <f>IF(OR($A148="",10&gt;Controls!$B$6),"",MOD(U147*48271,2147483647))</f>
        <v/>
      </c>
      <c r="L148" s="10" t="str">
        <f t="shared" ref="L148:U148" si="147">IF(B148="","",MOD(B148*48271,2147483647))</f>
        <v/>
      </c>
      <c r="M148" s="10" t="str">
        <f t="shared" si="147"/>
        <v/>
      </c>
      <c r="N148" s="10" t="str">
        <f t="shared" si="147"/>
        <v/>
      </c>
      <c r="O148" s="10" t="str">
        <f t="shared" si="147"/>
        <v/>
      </c>
      <c r="P148" s="10" t="str">
        <f t="shared" si="147"/>
        <v/>
      </c>
      <c r="Q148" s="10" t="str">
        <f t="shared" si="147"/>
        <v/>
      </c>
      <c r="R148" s="10" t="str">
        <f t="shared" si="147"/>
        <v/>
      </c>
      <c r="S148" s="10" t="str">
        <f t="shared" si="147"/>
        <v/>
      </c>
      <c r="T148" s="10" t="str">
        <f t="shared" si="147"/>
        <v/>
      </c>
      <c r="U148" s="10" t="str">
        <f t="shared" si="147"/>
        <v/>
      </c>
      <c r="V148" s="10" t="str">
        <f>IF(B148="","",IF(Controls!$B$7="Normal",Controls!$B$8+Controls!$B$9*SQRT(-2*LN(B148/2147483647))*COS(2*PI()*L148/2147483647),Controls!$B$8+(Controls!$B$9-Controls!$B$8)*B148/2147483647))</f>
        <v/>
      </c>
      <c r="W148" s="10" t="str">
        <f>IF(C148="","",IF(Controls!$B$7="Normal",Controls!$B$8+Controls!$B$9*SQRT(-2*LN(C148/2147483647))*COS(2*PI()*M148/2147483647),Controls!$B$8+(Controls!$B$9-Controls!$B$8)*C148/2147483647))</f>
        <v/>
      </c>
      <c r="X148" s="10" t="str">
        <f>IF(D148="","",IF(Controls!$B$7="Normal",Controls!$B$8+Controls!$B$9*SQRT(-2*LN(D148/2147483647))*COS(2*PI()*N148/2147483647),Controls!$B$8+(Controls!$B$9-Controls!$B$8)*D148/2147483647))</f>
        <v/>
      </c>
      <c r="Y148" s="10" t="str">
        <f>IF(E148="","",IF(Controls!$B$7="Normal",Controls!$B$8+Controls!$B$9*SQRT(-2*LN(E148/2147483647))*COS(2*PI()*O148/2147483647),Controls!$B$8+(Controls!$B$9-Controls!$B$8)*E148/2147483647))</f>
        <v/>
      </c>
      <c r="Z148" s="10" t="str">
        <f>IF(F148="","",IF(Controls!$B$7="Normal",Controls!$B$8+Controls!$B$9*SQRT(-2*LN(F148/2147483647))*COS(2*PI()*P148/2147483647),Controls!$B$8+(Controls!$B$9-Controls!$B$8)*F148/2147483647))</f>
        <v/>
      </c>
      <c r="AA148" s="10" t="str">
        <f>IF(G148="","",IF(Controls!$B$7="Normal",Controls!$B$8+Controls!$B$9*SQRT(-2*LN(G148/2147483647))*COS(2*PI()*Q148/2147483647),Controls!$B$8+(Controls!$B$9-Controls!$B$8)*G148/2147483647))</f>
        <v/>
      </c>
      <c r="AB148" s="10" t="str">
        <f>IF(H148="","",IF(Controls!$B$7="Normal",Controls!$B$8+Controls!$B$9*SQRT(-2*LN(H148/2147483647))*COS(2*PI()*R148/2147483647),Controls!$B$8+(Controls!$B$9-Controls!$B$8)*H148/2147483647))</f>
        <v/>
      </c>
      <c r="AC148" s="10" t="str">
        <f>IF(I148="","",IF(Controls!$B$7="Normal",Controls!$B$8+Controls!$B$9*SQRT(-2*LN(I148/2147483647))*COS(2*PI()*S148/2147483647),Controls!$B$8+(Controls!$B$9-Controls!$B$8)*I148/2147483647))</f>
        <v/>
      </c>
      <c r="AD148" s="10" t="str">
        <f>IF(J148="","",IF(Controls!$B$7="Normal",Controls!$B$8+Controls!$B$9*SQRT(-2*LN(J148/2147483647))*COS(2*PI()*T148/2147483647),Controls!$B$8+(Controls!$B$9-Controls!$B$8)*J148/2147483647))</f>
        <v/>
      </c>
      <c r="AE148" s="10" t="str">
        <f>IF(K148="","",IF(Controls!$B$7="Normal",Controls!$B$8+Controls!$B$9*SQRT(-2*LN(K148/2147483647))*COS(2*PI()*U148/2147483647),Controls!$B$8+(Controls!$B$9-Controls!$B$8)*K148/2147483647))</f>
        <v/>
      </c>
    </row>
    <row r="149" ht="21.0" customHeight="1">
      <c r="A149" s="7" t="str">
        <f>IF(148&lt;=Controls!$B$5,Controls!$B$4+147,"")</f>
        <v/>
      </c>
      <c r="B149" s="10" t="str">
        <f>IF(OR($A149="",1&gt;Controls!$B$6),"",MOD(L148*48271,2147483647))</f>
        <v/>
      </c>
      <c r="C149" s="10" t="str">
        <f>IF(OR($A149="",2&gt;Controls!$B$6),"",MOD(M148*48271,2147483647))</f>
        <v/>
      </c>
      <c r="D149" s="10" t="str">
        <f>IF(OR($A149="",3&gt;Controls!$B$6),"",MOD(N148*48271,2147483647))</f>
        <v/>
      </c>
      <c r="E149" s="10" t="str">
        <f>IF(OR($A149="",4&gt;Controls!$B$6),"",MOD(O148*48271,2147483647))</f>
        <v/>
      </c>
      <c r="F149" s="10" t="str">
        <f>IF(OR($A149="",5&gt;Controls!$B$6),"",MOD(P148*48271,2147483647))</f>
        <v/>
      </c>
      <c r="G149" s="10" t="str">
        <f>IF(OR($A149="",6&gt;Controls!$B$6),"",MOD(Q148*48271,2147483647))</f>
        <v/>
      </c>
      <c r="H149" s="10" t="str">
        <f>IF(OR($A149="",7&gt;Controls!$B$6),"",MOD(R148*48271,2147483647))</f>
        <v/>
      </c>
      <c r="I149" s="10" t="str">
        <f>IF(OR($A149="",8&gt;Controls!$B$6),"",MOD(S148*48271,2147483647))</f>
        <v/>
      </c>
      <c r="J149" s="10" t="str">
        <f>IF(OR($A149="",9&gt;Controls!$B$6),"",MOD(T148*48271,2147483647))</f>
        <v/>
      </c>
      <c r="K149" s="10" t="str">
        <f>IF(OR($A149="",10&gt;Controls!$B$6),"",MOD(U148*48271,2147483647))</f>
        <v/>
      </c>
      <c r="L149" s="10" t="str">
        <f t="shared" ref="L149:U149" si="148">IF(B149="","",MOD(B149*48271,2147483647))</f>
        <v/>
      </c>
      <c r="M149" s="10" t="str">
        <f t="shared" si="148"/>
        <v/>
      </c>
      <c r="N149" s="10" t="str">
        <f t="shared" si="148"/>
        <v/>
      </c>
      <c r="O149" s="10" t="str">
        <f t="shared" si="148"/>
        <v/>
      </c>
      <c r="P149" s="10" t="str">
        <f t="shared" si="148"/>
        <v/>
      </c>
      <c r="Q149" s="10" t="str">
        <f t="shared" si="148"/>
        <v/>
      </c>
      <c r="R149" s="10" t="str">
        <f t="shared" si="148"/>
        <v/>
      </c>
      <c r="S149" s="10" t="str">
        <f t="shared" si="148"/>
        <v/>
      </c>
      <c r="T149" s="10" t="str">
        <f t="shared" si="148"/>
        <v/>
      </c>
      <c r="U149" s="10" t="str">
        <f t="shared" si="148"/>
        <v/>
      </c>
      <c r="V149" s="10" t="str">
        <f>IF(B149="","",IF(Controls!$B$7="Normal",Controls!$B$8+Controls!$B$9*SQRT(-2*LN(B149/2147483647))*COS(2*PI()*L149/2147483647),Controls!$B$8+(Controls!$B$9-Controls!$B$8)*B149/2147483647))</f>
        <v/>
      </c>
      <c r="W149" s="10" t="str">
        <f>IF(C149="","",IF(Controls!$B$7="Normal",Controls!$B$8+Controls!$B$9*SQRT(-2*LN(C149/2147483647))*COS(2*PI()*M149/2147483647),Controls!$B$8+(Controls!$B$9-Controls!$B$8)*C149/2147483647))</f>
        <v/>
      </c>
      <c r="X149" s="10" t="str">
        <f>IF(D149="","",IF(Controls!$B$7="Normal",Controls!$B$8+Controls!$B$9*SQRT(-2*LN(D149/2147483647))*COS(2*PI()*N149/2147483647),Controls!$B$8+(Controls!$B$9-Controls!$B$8)*D149/2147483647))</f>
        <v/>
      </c>
      <c r="Y149" s="10" t="str">
        <f>IF(E149="","",IF(Controls!$B$7="Normal",Controls!$B$8+Controls!$B$9*SQRT(-2*LN(E149/2147483647))*COS(2*PI()*O149/2147483647),Controls!$B$8+(Controls!$B$9-Controls!$B$8)*E149/2147483647))</f>
        <v/>
      </c>
      <c r="Z149" s="10" t="str">
        <f>IF(F149="","",IF(Controls!$B$7="Normal",Controls!$B$8+Controls!$B$9*SQRT(-2*LN(F149/2147483647))*COS(2*PI()*P149/2147483647),Controls!$B$8+(Controls!$B$9-Controls!$B$8)*F149/2147483647))</f>
        <v/>
      </c>
      <c r="AA149" s="10" t="str">
        <f>IF(G149="","",IF(Controls!$B$7="Normal",Controls!$B$8+Controls!$B$9*SQRT(-2*LN(G149/2147483647))*COS(2*PI()*Q149/2147483647),Controls!$B$8+(Controls!$B$9-Controls!$B$8)*G149/2147483647))</f>
        <v/>
      </c>
      <c r="AB149" s="10" t="str">
        <f>IF(H149="","",IF(Controls!$B$7="Normal",Controls!$B$8+Controls!$B$9*SQRT(-2*LN(H149/2147483647))*COS(2*PI()*R149/2147483647),Controls!$B$8+(Controls!$B$9-Controls!$B$8)*H149/2147483647))</f>
        <v/>
      </c>
      <c r="AC149" s="10" t="str">
        <f>IF(I149="","",IF(Controls!$B$7="Normal",Controls!$B$8+Controls!$B$9*SQRT(-2*LN(I149/2147483647))*COS(2*PI()*S149/2147483647),Controls!$B$8+(Controls!$B$9-Controls!$B$8)*I149/2147483647))</f>
        <v/>
      </c>
      <c r="AD149" s="10" t="str">
        <f>IF(J149="","",IF(Controls!$B$7="Normal",Controls!$B$8+Controls!$B$9*SQRT(-2*LN(J149/2147483647))*COS(2*PI()*T149/2147483647),Controls!$B$8+(Controls!$B$9-Controls!$B$8)*J149/2147483647))</f>
        <v/>
      </c>
      <c r="AE149" s="10" t="str">
        <f>IF(K149="","",IF(Controls!$B$7="Normal",Controls!$B$8+Controls!$B$9*SQRT(-2*LN(K149/2147483647))*COS(2*PI()*U149/2147483647),Controls!$B$8+(Controls!$B$9-Controls!$B$8)*K149/2147483647))</f>
        <v/>
      </c>
    </row>
    <row r="150" ht="21.0" customHeight="1">
      <c r="A150" s="7" t="str">
        <f>IF(149&lt;=Controls!$B$5,Controls!$B$4+148,"")</f>
        <v/>
      </c>
      <c r="B150" s="10" t="str">
        <f>IF(OR($A150="",1&gt;Controls!$B$6),"",MOD(L149*48271,2147483647))</f>
        <v/>
      </c>
      <c r="C150" s="10" t="str">
        <f>IF(OR($A150="",2&gt;Controls!$B$6),"",MOD(M149*48271,2147483647))</f>
        <v/>
      </c>
      <c r="D150" s="10" t="str">
        <f>IF(OR($A150="",3&gt;Controls!$B$6),"",MOD(N149*48271,2147483647))</f>
        <v/>
      </c>
      <c r="E150" s="10" t="str">
        <f>IF(OR($A150="",4&gt;Controls!$B$6),"",MOD(O149*48271,2147483647))</f>
        <v/>
      </c>
      <c r="F150" s="10" t="str">
        <f>IF(OR($A150="",5&gt;Controls!$B$6),"",MOD(P149*48271,2147483647))</f>
        <v/>
      </c>
      <c r="G150" s="10" t="str">
        <f>IF(OR($A150="",6&gt;Controls!$B$6),"",MOD(Q149*48271,2147483647))</f>
        <v/>
      </c>
      <c r="H150" s="10" t="str">
        <f>IF(OR($A150="",7&gt;Controls!$B$6),"",MOD(R149*48271,2147483647))</f>
        <v/>
      </c>
      <c r="I150" s="10" t="str">
        <f>IF(OR($A150="",8&gt;Controls!$B$6),"",MOD(S149*48271,2147483647))</f>
        <v/>
      </c>
      <c r="J150" s="10" t="str">
        <f>IF(OR($A150="",9&gt;Controls!$B$6),"",MOD(T149*48271,2147483647))</f>
        <v/>
      </c>
      <c r="K150" s="10" t="str">
        <f>IF(OR($A150="",10&gt;Controls!$B$6),"",MOD(U149*48271,2147483647))</f>
        <v/>
      </c>
      <c r="L150" s="10" t="str">
        <f t="shared" ref="L150:U150" si="149">IF(B150="","",MOD(B150*48271,2147483647))</f>
        <v/>
      </c>
      <c r="M150" s="10" t="str">
        <f t="shared" si="149"/>
        <v/>
      </c>
      <c r="N150" s="10" t="str">
        <f t="shared" si="149"/>
        <v/>
      </c>
      <c r="O150" s="10" t="str">
        <f t="shared" si="149"/>
        <v/>
      </c>
      <c r="P150" s="10" t="str">
        <f t="shared" si="149"/>
        <v/>
      </c>
      <c r="Q150" s="10" t="str">
        <f t="shared" si="149"/>
        <v/>
      </c>
      <c r="R150" s="10" t="str">
        <f t="shared" si="149"/>
        <v/>
      </c>
      <c r="S150" s="10" t="str">
        <f t="shared" si="149"/>
        <v/>
      </c>
      <c r="T150" s="10" t="str">
        <f t="shared" si="149"/>
        <v/>
      </c>
      <c r="U150" s="10" t="str">
        <f t="shared" si="149"/>
        <v/>
      </c>
      <c r="V150" s="10" t="str">
        <f>IF(B150="","",IF(Controls!$B$7="Normal",Controls!$B$8+Controls!$B$9*SQRT(-2*LN(B150/2147483647))*COS(2*PI()*L150/2147483647),Controls!$B$8+(Controls!$B$9-Controls!$B$8)*B150/2147483647))</f>
        <v/>
      </c>
      <c r="W150" s="10" t="str">
        <f>IF(C150="","",IF(Controls!$B$7="Normal",Controls!$B$8+Controls!$B$9*SQRT(-2*LN(C150/2147483647))*COS(2*PI()*M150/2147483647),Controls!$B$8+(Controls!$B$9-Controls!$B$8)*C150/2147483647))</f>
        <v/>
      </c>
      <c r="X150" s="10" t="str">
        <f>IF(D150="","",IF(Controls!$B$7="Normal",Controls!$B$8+Controls!$B$9*SQRT(-2*LN(D150/2147483647))*COS(2*PI()*N150/2147483647),Controls!$B$8+(Controls!$B$9-Controls!$B$8)*D150/2147483647))</f>
        <v/>
      </c>
      <c r="Y150" s="10" t="str">
        <f>IF(E150="","",IF(Controls!$B$7="Normal",Controls!$B$8+Controls!$B$9*SQRT(-2*LN(E150/2147483647))*COS(2*PI()*O150/2147483647),Controls!$B$8+(Controls!$B$9-Controls!$B$8)*E150/2147483647))</f>
        <v/>
      </c>
      <c r="Z150" s="10" t="str">
        <f>IF(F150="","",IF(Controls!$B$7="Normal",Controls!$B$8+Controls!$B$9*SQRT(-2*LN(F150/2147483647))*COS(2*PI()*P150/2147483647),Controls!$B$8+(Controls!$B$9-Controls!$B$8)*F150/2147483647))</f>
        <v/>
      </c>
      <c r="AA150" s="10" t="str">
        <f>IF(G150="","",IF(Controls!$B$7="Normal",Controls!$B$8+Controls!$B$9*SQRT(-2*LN(G150/2147483647))*COS(2*PI()*Q150/2147483647),Controls!$B$8+(Controls!$B$9-Controls!$B$8)*G150/2147483647))</f>
        <v/>
      </c>
      <c r="AB150" s="10" t="str">
        <f>IF(H150="","",IF(Controls!$B$7="Normal",Controls!$B$8+Controls!$B$9*SQRT(-2*LN(H150/2147483647))*COS(2*PI()*R150/2147483647),Controls!$B$8+(Controls!$B$9-Controls!$B$8)*H150/2147483647))</f>
        <v/>
      </c>
      <c r="AC150" s="10" t="str">
        <f>IF(I150="","",IF(Controls!$B$7="Normal",Controls!$B$8+Controls!$B$9*SQRT(-2*LN(I150/2147483647))*COS(2*PI()*S150/2147483647),Controls!$B$8+(Controls!$B$9-Controls!$B$8)*I150/2147483647))</f>
        <v/>
      </c>
      <c r="AD150" s="10" t="str">
        <f>IF(J150="","",IF(Controls!$B$7="Normal",Controls!$B$8+Controls!$B$9*SQRT(-2*LN(J150/2147483647))*COS(2*PI()*T150/2147483647),Controls!$B$8+(Controls!$B$9-Controls!$B$8)*J150/2147483647))</f>
        <v/>
      </c>
      <c r="AE150" s="10" t="str">
        <f>IF(K150="","",IF(Controls!$B$7="Normal",Controls!$B$8+Controls!$B$9*SQRT(-2*LN(K150/2147483647))*COS(2*PI()*U150/2147483647),Controls!$B$8+(Controls!$B$9-Controls!$B$8)*K150/2147483647))</f>
        <v/>
      </c>
    </row>
    <row r="151" ht="21.0" customHeight="1">
      <c r="A151" s="7" t="str">
        <f>IF(150&lt;=Controls!$B$5,Controls!$B$4+149,"")</f>
        <v/>
      </c>
      <c r="B151" s="10" t="str">
        <f>IF(OR($A151="",1&gt;Controls!$B$6),"",MOD(L150*48271,2147483647))</f>
        <v/>
      </c>
      <c r="C151" s="10" t="str">
        <f>IF(OR($A151="",2&gt;Controls!$B$6),"",MOD(M150*48271,2147483647))</f>
        <v/>
      </c>
      <c r="D151" s="10" t="str">
        <f>IF(OR($A151="",3&gt;Controls!$B$6),"",MOD(N150*48271,2147483647))</f>
        <v/>
      </c>
      <c r="E151" s="10" t="str">
        <f>IF(OR($A151="",4&gt;Controls!$B$6),"",MOD(O150*48271,2147483647))</f>
        <v/>
      </c>
      <c r="F151" s="10" t="str">
        <f>IF(OR($A151="",5&gt;Controls!$B$6),"",MOD(P150*48271,2147483647))</f>
        <v/>
      </c>
      <c r="G151" s="10" t="str">
        <f>IF(OR($A151="",6&gt;Controls!$B$6),"",MOD(Q150*48271,2147483647))</f>
        <v/>
      </c>
      <c r="H151" s="10" t="str">
        <f>IF(OR($A151="",7&gt;Controls!$B$6),"",MOD(R150*48271,2147483647))</f>
        <v/>
      </c>
      <c r="I151" s="10" t="str">
        <f>IF(OR($A151="",8&gt;Controls!$B$6),"",MOD(S150*48271,2147483647))</f>
        <v/>
      </c>
      <c r="J151" s="10" t="str">
        <f>IF(OR($A151="",9&gt;Controls!$B$6),"",MOD(T150*48271,2147483647))</f>
        <v/>
      </c>
      <c r="K151" s="10" t="str">
        <f>IF(OR($A151="",10&gt;Controls!$B$6),"",MOD(U150*48271,2147483647))</f>
        <v/>
      </c>
      <c r="L151" s="10" t="str">
        <f t="shared" ref="L151:U151" si="150">IF(B151="","",MOD(B151*48271,2147483647))</f>
        <v/>
      </c>
      <c r="M151" s="10" t="str">
        <f t="shared" si="150"/>
        <v/>
      </c>
      <c r="N151" s="10" t="str">
        <f t="shared" si="150"/>
        <v/>
      </c>
      <c r="O151" s="10" t="str">
        <f t="shared" si="150"/>
        <v/>
      </c>
      <c r="P151" s="10" t="str">
        <f t="shared" si="150"/>
        <v/>
      </c>
      <c r="Q151" s="10" t="str">
        <f t="shared" si="150"/>
        <v/>
      </c>
      <c r="R151" s="10" t="str">
        <f t="shared" si="150"/>
        <v/>
      </c>
      <c r="S151" s="10" t="str">
        <f t="shared" si="150"/>
        <v/>
      </c>
      <c r="T151" s="10" t="str">
        <f t="shared" si="150"/>
        <v/>
      </c>
      <c r="U151" s="10" t="str">
        <f t="shared" si="150"/>
        <v/>
      </c>
      <c r="V151" s="10" t="str">
        <f>IF(B151="","",IF(Controls!$B$7="Normal",Controls!$B$8+Controls!$B$9*SQRT(-2*LN(B151/2147483647))*COS(2*PI()*L151/2147483647),Controls!$B$8+(Controls!$B$9-Controls!$B$8)*B151/2147483647))</f>
        <v/>
      </c>
      <c r="W151" s="10" t="str">
        <f>IF(C151="","",IF(Controls!$B$7="Normal",Controls!$B$8+Controls!$B$9*SQRT(-2*LN(C151/2147483647))*COS(2*PI()*M151/2147483647),Controls!$B$8+(Controls!$B$9-Controls!$B$8)*C151/2147483647))</f>
        <v/>
      </c>
      <c r="X151" s="10" t="str">
        <f>IF(D151="","",IF(Controls!$B$7="Normal",Controls!$B$8+Controls!$B$9*SQRT(-2*LN(D151/2147483647))*COS(2*PI()*N151/2147483647),Controls!$B$8+(Controls!$B$9-Controls!$B$8)*D151/2147483647))</f>
        <v/>
      </c>
      <c r="Y151" s="10" t="str">
        <f>IF(E151="","",IF(Controls!$B$7="Normal",Controls!$B$8+Controls!$B$9*SQRT(-2*LN(E151/2147483647))*COS(2*PI()*O151/2147483647),Controls!$B$8+(Controls!$B$9-Controls!$B$8)*E151/2147483647))</f>
        <v/>
      </c>
      <c r="Z151" s="10" t="str">
        <f>IF(F151="","",IF(Controls!$B$7="Normal",Controls!$B$8+Controls!$B$9*SQRT(-2*LN(F151/2147483647))*COS(2*PI()*P151/2147483647),Controls!$B$8+(Controls!$B$9-Controls!$B$8)*F151/2147483647))</f>
        <v/>
      </c>
      <c r="AA151" s="10" t="str">
        <f>IF(G151="","",IF(Controls!$B$7="Normal",Controls!$B$8+Controls!$B$9*SQRT(-2*LN(G151/2147483647))*COS(2*PI()*Q151/2147483647),Controls!$B$8+(Controls!$B$9-Controls!$B$8)*G151/2147483647))</f>
        <v/>
      </c>
      <c r="AB151" s="10" t="str">
        <f>IF(H151="","",IF(Controls!$B$7="Normal",Controls!$B$8+Controls!$B$9*SQRT(-2*LN(H151/2147483647))*COS(2*PI()*R151/2147483647),Controls!$B$8+(Controls!$B$9-Controls!$B$8)*H151/2147483647))</f>
        <v/>
      </c>
      <c r="AC151" s="10" t="str">
        <f>IF(I151="","",IF(Controls!$B$7="Normal",Controls!$B$8+Controls!$B$9*SQRT(-2*LN(I151/2147483647))*COS(2*PI()*S151/2147483647),Controls!$B$8+(Controls!$B$9-Controls!$B$8)*I151/2147483647))</f>
        <v/>
      </c>
      <c r="AD151" s="10" t="str">
        <f>IF(J151="","",IF(Controls!$B$7="Normal",Controls!$B$8+Controls!$B$9*SQRT(-2*LN(J151/2147483647))*COS(2*PI()*T151/2147483647),Controls!$B$8+(Controls!$B$9-Controls!$B$8)*J151/2147483647))</f>
        <v/>
      </c>
      <c r="AE151" s="10" t="str">
        <f>IF(K151="","",IF(Controls!$B$7="Normal",Controls!$B$8+Controls!$B$9*SQRT(-2*LN(K151/2147483647))*COS(2*PI()*U151/2147483647),Controls!$B$8+(Controls!$B$9-Controls!$B$8)*K151/2147483647))</f>
        <v/>
      </c>
    </row>
    <row r="152" ht="21.0" customHeight="1">
      <c r="A152" s="7" t="str">
        <f>IF(151&lt;=Controls!$B$5,Controls!$B$4+150,"")</f>
        <v/>
      </c>
      <c r="B152" s="10" t="str">
        <f>IF(OR($A152="",1&gt;Controls!$B$6),"",MOD(L151*48271,2147483647))</f>
        <v/>
      </c>
      <c r="C152" s="10" t="str">
        <f>IF(OR($A152="",2&gt;Controls!$B$6),"",MOD(M151*48271,2147483647))</f>
        <v/>
      </c>
      <c r="D152" s="10" t="str">
        <f>IF(OR($A152="",3&gt;Controls!$B$6),"",MOD(N151*48271,2147483647))</f>
        <v/>
      </c>
      <c r="E152" s="10" t="str">
        <f>IF(OR($A152="",4&gt;Controls!$B$6),"",MOD(O151*48271,2147483647))</f>
        <v/>
      </c>
      <c r="F152" s="10" t="str">
        <f>IF(OR($A152="",5&gt;Controls!$B$6),"",MOD(P151*48271,2147483647))</f>
        <v/>
      </c>
      <c r="G152" s="10" t="str">
        <f>IF(OR($A152="",6&gt;Controls!$B$6),"",MOD(Q151*48271,2147483647))</f>
        <v/>
      </c>
      <c r="H152" s="10" t="str">
        <f>IF(OR($A152="",7&gt;Controls!$B$6),"",MOD(R151*48271,2147483647))</f>
        <v/>
      </c>
      <c r="I152" s="10" t="str">
        <f>IF(OR($A152="",8&gt;Controls!$B$6),"",MOD(S151*48271,2147483647))</f>
        <v/>
      </c>
      <c r="J152" s="10" t="str">
        <f>IF(OR($A152="",9&gt;Controls!$B$6),"",MOD(T151*48271,2147483647))</f>
        <v/>
      </c>
      <c r="K152" s="10" t="str">
        <f>IF(OR($A152="",10&gt;Controls!$B$6),"",MOD(U151*48271,2147483647))</f>
        <v/>
      </c>
      <c r="L152" s="10" t="str">
        <f t="shared" ref="L152:U152" si="151">IF(B152="","",MOD(B152*48271,2147483647))</f>
        <v/>
      </c>
      <c r="M152" s="10" t="str">
        <f t="shared" si="151"/>
        <v/>
      </c>
      <c r="N152" s="10" t="str">
        <f t="shared" si="151"/>
        <v/>
      </c>
      <c r="O152" s="10" t="str">
        <f t="shared" si="151"/>
        <v/>
      </c>
      <c r="P152" s="10" t="str">
        <f t="shared" si="151"/>
        <v/>
      </c>
      <c r="Q152" s="10" t="str">
        <f t="shared" si="151"/>
        <v/>
      </c>
      <c r="R152" s="10" t="str">
        <f t="shared" si="151"/>
        <v/>
      </c>
      <c r="S152" s="10" t="str">
        <f t="shared" si="151"/>
        <v/>
      </c>
      <c r="T152" s="10" t="str">
        <f t="shared" si="151"/>
        <v/>
      </c>
      <c r="U152" s="10" t="str">
        <f t="shared" si="151"/>
        <v/>
      </c>
      <c r="V152" s="10" t="str">
        <f>IF(B152="","",IF(Controls!$B$7="Normal",Controls!$B$8+Controls!$B$9*SQRT(-2*LN(B152/2147483647))*COS(2*PI()*L152/2147483647),Controls!$B$8+(Controls!$B$9-Controls!$B$8)*B152/2147483647))</f>
        <v/>
      </c>
      <c r="W152" s="10" t="str">
        <f>IF(C152="","",IF(Controls!$B$7="Normal",Controls!$B$8+Controls!$B$9*SQRT(-2*LN(C152/2147483647))*COS(2*PI()*M152/2147483647),Controls!$B$8+(Controls!$B$9-Controls!$B$8)*C152/2147483647))</f>
        <v/>
      </c>
      <c r="X152" s="10" t="str">
        <f>IF(D152="","",IF(Controls!$B$7="Normal",Controls!$B$8+Controls!$B$9*SQRT(-2*LN(D152/2147483647))*COS(2*PI()*N152/2147483647),Controls!$B$8+(Controls!$B$9-Controls!$B$8)*D152/2147483647))</f>
        <v/>
      </c>
      <c r="Y152" s="10" t="str">
        <f>IF(E152="","",IF(Controls!$B$7="Normal",Controls!$B$8+Controls!$B$9*SQRT(-2*LN(E152/2147483647))*COS(2*PI()*O152/2147483647),Controls!$B$8+(Controls!$B$9-Controls!$B$8)*E152/2147483647))</f>
        <v/>
      </c>
      <c r="Z152" s="10" t="str">
        <f>IF(F152="","",IF(Controls!$B$7="Normal",Controls!$B$8+Controls!$B$9*SQRT(-2*LN(F152/2147483647))*COS(2*PI()*P152/2147483647),Controls!$B$8+(Controls!$B$9-Controls!$B$8)*F152/2147483647))</f>
        <v/>
      </c>
      <c r="AA152" s="10" t="str">
        <f>IF(G152="","",IF(Controls!$B$7="Normal",Controls!$B$8+Controls!$B$9*SQRT(-2*LN(G152/2147483647))*COS(2*PI()*Q152/2147483647),Controls!$B$8+(Controls!$B$9-Controls!$B$8)*G152/2147483647))</f>
        <v/>
      </c>
      <c r="AB152" s="10" t="str">
        <f>IF(H152="","",IF(Controls!$B$7="Normal",Controls!$B$8+Controls!$B$9*SQRT(-2*LN(H152/2147483647))*COS(2*PI()*R152/2147483647),Controls!$B$8+(Controls!$B$9-Controls!$B$8)*H152/2147483647))</f>
        <v/>
      </c>
      <c r="AC152" s="10" t="str">
        <f>IF(I152="","",IF(Controls!$B$7="Normal",Controls!$B$8+Controls!$B$9*SQRT(-2*LN(I152/2147483647))*COS(2*PI()*S152/2147483647),Controls!$B$8+(Controls!$B$9-Controls!$B$8)*I152/2147483647))</f>
        <v/>
      </c>
      <c r="AD152" s="10" t="str">
        <f>IF(J152="","",IF(Controls!$B$7="Normal",Controls!$B$8+Controls!$B$9*SQRT(-2*LN(J152/2147483647))*COS(2*PI()*T152/2147483647),Controls!$B$8+(Controls!$B$9-Controls!$B$8)*J152/2147483647))</f>
        <v/>
      </c>
      <c r="AE152" s="10" t="str">
        <f>IF(K152="","",IF(Controls!$B$7="Normal",Controls!$B$8+Controls!$B$9*SQRT(-2*LN(K152/2147483647))*COS(2*PI()*U152/2147483647),Controls!$B$8+(Controls!$B$9-Controls!$B$8)*K152/2147483647))</f>
        <v/>
      </c>
    </row>
    <row r="153" ht="21.0" customHeight="1">
      <c r="A153" s="7" t="str">
        <f>IF(152&lt;=Controls!$B$5,Controls!$B$4+151,"")</f>
        <v/>
      </c>
      <c r="B153" s="10" t="str">
        <f>IF(OR($A153="",1&gt;Controls!$B$6),"",MOD(L152*48271,2147483647))</f>
        <v/>
      </c>
      <c r="C153" s="10" t="str">
        <f>IF(OR($A153="",2&gt;Controls!$B$6),"",MOD(M152*48271,2147483647))</f>
        <v/>
      </c>
      <c r="D153" s="10" t="str">
        <f>IF(OR($A153="",3&gt;Controls!$B$6),"",MOD(N152*48271,2147483647))</f>
        <v/>
      </c>
      <c r="E153" s="10" t="str">
        <f>IF(OR($A153="",4&gt;Controls!$B$6),"",MOD(O152*48271,2147483647))</f>
        <v/>
      </c>
      <c r="F153" s="10" t="str">
        <f>IF(OR($A153="",5&gt;Controls!$B$6),"",MOD(P152*48271,2147483647))</f>
        <v/>
      </c>
      <c r="G153" s="10" t="str">
        <f>IF(OR($A153="",6&gt;Controls!$B$6),"",MOD(Q152*48271,2147483647))</f>
        <v/>
      </c>
      <c r="H153" s="10" t="str">
        <f>IF(OR($A153="",7&gt;Controls!$B$6),"",MOD(R152*48271,2147483647))</f>
        <v/>
      </c>
      <c r="I153" s="10" t="str">
        <f>IF(OR($A153="",8&gt;Controls!$B$6),"",MOD(S152*48271,2147483647))</f>
        <v/>
      </c>
      <c r="J153" s="10" t="str">
        <f>IF(OR($A153="",9&gt;Controls!$B$6),"",MOD(T152*48271,2147483647))</f>
        <v/>
      </c>
      <c r="K153" s="10" t="str">
        <f>IF(OR($A153="",10&gt;Controls!$B$6),"",MOD(U152*48271,2147483647))</f>
        <v/>
      </c>
      <c r="L153" s="10" t="str">
        <f t="shared" ref="L153:U153" si="152">IF(B153="","",MOD(B153*48271,2147483647))</f>
        <v/>
      </c>
      <c r="M153" s="10" t="str">
        <f t="shared" si="152"/>
        <v/>
      </c>
      <c r="N153" s="10" t="str">
        <f t="shared" si="152"/>
        <v/>
      </c>
      <c r="O153" s="10" t="str">
        <f t="shared" si="152"/>
        <v/>
      </c>
      <c r="P153" s="10" t="str">
        <f t="shared" si="152"/>
        <v/>
      </c>
      <c r="Q153" s="10" t="str">
        <f t="shared" si="152"/>
        <v/>
      </c>
      <c r="R153" s="10" t="str">
        <f t="shared" si="152"/>
        <v/>
      </c>
      <c r="S153" s="10" t="str">
        <f t="shared" si="152"/>
        <v/>
      </c>
      <c r="T153" s="10" t="str">
        <f t="shared" si="152"/>
        <v/>
      </c>
      <c r="U153" s="10" t="str">
        <f t="shared" si="152"/>
        <v/>
      </c>
      <c r="V153" s="10" t="str">
        <f>IF(B153="","",IF(Controls!$B$7="Normal",Controls!$B$8+Controls!$B$9*SQRT(-2*LN(B153/2147483647))*COS(2*PI()*L153/2147483647),Controls!$B$8+(Controls!$B$9-Controls!$B$8)*B153/2147483647))</f>
        <v/>
      </c>
      <c r="W153" s="10" t="str">
        <f>IF(C153="","",IF(Controls!$B$7="Normal",Controls!$B$8+Controls!$B$9*SQRT(-2*LN(C153/2147483647))*COS(2*PI()*M153/2147483647),Controls!$B$8+(Controls!$B$9-Controls!$B$8)*C153/2147483647))</f>
        <v/>
      </c>
      <c r="X153" s="10" t="str">
        <f>IF(D153="","",IF(Controls!$B$7="Normal",Controls!$B$8+Controls!$B$9*SQRT(-2*LN(D153/2147483647))*COS(2*PI()*N153/2147483647),Controls!$B$8+(Controls!$B$9-Controls!$B$8)*D153/2147483647))</f>
        <v/>
      </c>
      <c r="Y153" s="10" t="str">
        <f>IF(E153="","",IF(Controls!$B$7="Normal",Controls!$B$8+Controls!$B$9*SQRT(-2*LN(E153/2147483647))*COS(2*PI()*O153/2147483647),Controls!$B$8+(Controls!$B$9-Controls!$B$8)*E153/2147483647))</f>
        <v/>
      </c>
      <c r="Z153" s="10" t="str">
        <f>IF(F153="","",IF(Controls!$B$7="Normal",Controls!$B$8+Controls!$B$9*SQRT(-2*LN(F153/2147483647))*COS(2*PI()*P153/2147483647),Controls!$B$8+(Controls!$B$9-Controls!$B$8)*F153/2147483647))</f>
        <v/>
      </c>
      <c r="AA153" s="10" t="str">
        <f>IF(G153="","",IF(Controls!$B$7="Normal",Controls!$B$8+Controls!$B$9*SQRT(-2*LN(G153/2147483647))*COS(2*PI()*Q153/2147483647),Controls!$B$8+(Controls!$B$9-Controls!$B$8)*G153/2147483647))</f>
        <v/>
      </c>
      <c r="AB153" s="10" t="str">
        <f>IF(H153="","",IF(Controls!$B$7="Normal",Controls!$B$8+Controls!$B$9*SQRT(-2*LN(H153/2147483647))*COS(2*PI()*R153/2147483647),Controls!$B$8+(Controls!$B$9-Controls!$B$8)*H153/2147483647))</f>
        <v/>
      </c>
      <c r="AC153" s="10" t="str">
        <f>IF(I153="","",IF(Controls!$B$7="Normal",Controls!$B$8+Controls!$B$9*SQRT(-2*LN(I153/2147483647))*COS(2*PI()*S153/2147483647),Controls!$B$8+(Controls!$B$9-Controls!$B$8)*I153/2147483647))</f>
        <v/>
      </c>
      <c r="AD153" s="10" t="str">
        <f>IF(J153="","",IF(Controls!$B$7="Normal",Controls!$B$8+Controls!$B$9*SQRT(-2*LN(J153/2147483647))*COS(2*PI()*T153/2147483647),Controls!$B$8+(Controls!$B$9-Controls!$B$8)*J153/2147483647))</f>
        <v/>
      </c>
      <c r="AE153" s="10" t="str">
        <f>IF(K153="","",IF(Controls!$B$7="Normal",Controls!$B$8+Controls!$B$9*SQRT(-2*LN(K153/2147483647))*COS(2*PI()*U153/2147483647),Controls!$B$8+(Controls!$B$9-Controls!$B$8)*K153/2147483647))</f>
        <v/>
      </c>
    </row>
    <row r="154" ht="21.0" customHeight="1">
      <c r="A154" s="7" t="str">
        <f>IF(153&lt;=Controls!$B$5,Controls!$B$4+152,"")</f>
        <v/>
      </c>
      <c r="B154" s="10" t="str">
        <f>IF(OR($A154="",1&gt;Controls!$B$6),"",MOD(L153*48271,2147483647))</f>
        <v/>
      </c>
      <c r="C154" s="10" t="str">
        <f>IF(OR($A154="",2&gt;Controls!$B$6),"",MOD(M153*48271,2147483647))</f>
        <v/>
      </c>
      <c r="D154" s="10" t="str">
        <f>IF(OR($A154="",3&gt;Controls!$B$6),"",MOD(N153*48271,2147483647))</f>
        <v/>
      </c>
      <c r="E154" s="10" t="str">
        <f>IF(OR($A154="",4&gt;Controls!$B$6),"",MOD(O153*48271,2147483647))</f>
        <v/>
      </c>
      <c r="F154" s="10" t="str">
        <f>IF(OR($A154="",5&gt;Controls!$B$6),"",MOD(P153*48271,2147483647))</f>
        <v/>
      </c>
      <c r="G154" s="10" t="str">
        <f>IF(OR($A154="",6&gt;Controls!$B$6),"",MOD(Q153*48271,2147483647))</f>
        <v/>
      </c>
      <c r="H154" s="10" t="str">
        <f>IF(OR($A154="",7&gt;Controls!$B$6),"",MOD(R153*48271,2147483647))</f>
        <v/>
      </c>
      <c r="I154" s="10" t="str">
        <f>IF(OR($A154="",8&gt;Controls!$B$6),"",MOD(S153*48271,2147483647))</f>
        <v/>
      </c>
      <c r="J154" s="10" t="str">
        <f>IF(OR($A154="",9&gt;Controls!$B$6),"",MOD(T153*48271,2147483647))</f>
        <v/>
      </c>
      <c r="K154" s="10" t="str">
        <f>IF(OR($A154="",10&gt;Controls!$B$6),"",MOD(U153*48271,2147483647))</f>
        <v/>
      </c>
      <c r="L154" s="10" t="str">
        <f t="shared" ref="L154:U154" si="153">IF(B154="","",MOD(B154*48271,2147483647))</f>
        <v/>
      </c>
      <c r="M154" s="10" t="str">
        <f t="shared" si="153"/>
        <v/>
      </c>
      <c r="N154" s="10" t="str">
        <f t="shared" si="153"/>
        <v/>
      </c>
      <c r="O154" s="10" t="str">
        <f t="shared" si="153"/>
        <v/>
      </c>
      <c r="P154" s="10" t="str">
        <f t="shared" si="153"/>
        <v/>
      </c>
      <c r="Q154" s="10" t="str">
        <f t="shared" si="153"/>
        <v/>
      </c>
      <c r="R154" s="10" t="str">
        <f t="shared" si="153"/>
        <v/>
      </c>
      <c r="S154" s="10" t="str">
        <f t="shared" si="153"/>
        <v/>
      </c>
      <c r="T154" s="10" t="str">
        <f t="shared" si="153"/>
        <v/>
      </c>
      <c r="U154" s="10" t="str">
        <f t="shared" si="153"/>
        <v/>
      </c>
      <c r="V154" s="10" t="str">
        <f>IF(B154="","",IF(Controls!$B$7="Normal",Controls!$B$8+Controls!$B$9*SQRT(-2*LN(B154/2147483647))*COS(2*PI()*L154/2147483647),Controls!$B$8+(Controls!$B$9-Controls!$B$8)*B154/2147483647))</f>
        <v/>
      </c>
      <c r="W154" s="10" t="str">
        <f>IF(C154="","",IF(Controls!$B$7="Normal",Controls!$B$8+Controls!$B$9*SQRT(-2*LN(C154/2147483647))*COS(2*PI()*M154/2147483647),Controls!$B$8+(Controls!$B$9-Controls!$B$8)*C154/2147483647))</f>
        <v/>
      </c>
      <c r="X154" s="10" t="str">
        <f>IF(D154="","",IF(Controls!$B$7="Normal",Controls!$B$8+Controls!$B$9*SQRT(-2*LN(D154/2147483647))*COS(2*PI()*N154/2147483647),Controls!$B$8+(Controls!$B$9-Controls!$B$8)*D154/2147483647))</f>
        <v/>
      </c>
      <c r="Y154" s="10" t="str">
        <f>IF(E154="","",IF(Controls!$B$7="Normal",Controls!$B$8+Controls!$B$9*SQRT(-2*LN(E154/2147483647))*COS(2*PI()*O154/2147483647),Controls!$B$8+(Controls!$B$9-Controls!$B$8)*E154/2147483647))</f>
        <v/>
      </c>
      <c r="Z154" s="10" t="str">
        <f>IF(F154="","",IF(Controls!$B$7="Normal",Controls!$B$8+Controls!$B$9*SQRT(-2*LN(F154/2147483647))*COS(2*PI()*P154/2147483647),Controls!$B$8+(Controls!$B$9-Controls!$B$8)*F154/2147483647))</f>
        <v/>
      </c>
      <c r="AA154" s="10" t="str">
        <f>IF(G154="","",IF(Controls!$B$7="Normal",Controls!$B$8+Controls!$B$9*SQRT(-2*LN(G154/2147483647))*COS(2*PI()*Q154/2147483647),Controls!$B$8+(Controls!$B$9-Controls!$B$8)*G154/2147483647))</f>
        <v/>
      </c>
      <c r="AB154" s="10" t="str">
        <f>IF(H154="","",IF(Controls!$B$7="Normal",Controls!$B$8+Controls!$B$9*SQRT(-2*LN(H154/2147483647))*COS(2*PI()*R154/2147483647),Controls!$B$8+(Controls!$B$9-Controls!$B$8)*H154/2147483647))</f>
        <v/>
      </c>
      <c r="AC154" s="10" t="str">
        <f>IF(I154="","",IF(Controls!$B$7="Normal",Controls!$B$8+Controls!$B$9*SQRT(-2*LN(I154/2147483647))*COS(2*PI()*S154/2147483647),Controls!$B$8+(Controls!$B$9-Controls!$B$8)*I154/2147483647))</f>
        <v/>
      </c>
      <c r="AD154" s="10" t="str">
        <f>IF(J154="","",IF(Controls!$B$7="Normal",Controls!$B$8+Controls!$B$9*SQRT(-2*LN(J154/2147483647))*COS(2*PI()*T154/2147483647),Controls!$B$8+(Controls!$B$9-Controls!$B$8)*J154/2147483647))</f>
        <v/>
      </c>
      <c r="AE154" s="10" t="str">
        <f>IF(K154="","",IF(Controls!$B$7="Normal",Controls!$B$8+Controls!$B$9*SQRT(-2*LN(K154/2147483647))*COS(2*PI()*U154/2147483647),Controls!$B$8+(Controls!$B$9-Controls!$B$8)*K154/2147483647))</f>
        <v/>
      </c>
    </row>
    <row r="155" ht="21.0" customHeight="1">
      <c r="A155" s="7" t="str">
        <f>IF(154&lt;=Controls!$B$5,Controls!$B$4+153,"")</f>
        <v/>
      </c>
      <c r="B155" s="10" t="str">
        <f>IF(OR($A155="",1&gt;Controls!$B$6),"",MOD(L154*48271,2147483647))</f>
        <v/>
      </c>
      <c r="C155" s="10" t="str">
        <f>IF(OR($A155="",2&gt;Controls!$B$6),"",MOD(M154*48271,2147483647))</f>
        <v/>
      </c>
      <c r="D155" s="10" t="str">
        <f>IF(OR($A155="",3&gt;Controls!$B$6),"",MOD(N154*48271,2147483647))</f>
        <v/>
      </c>
      <c r="E155" s="10" t="str">
        <f>IF(OR($A155="",4&gt;Controls!$B$6),"",MOD(O154*48271,2147483647))</f>
        <v/>
      </c>
      <c r="F155" s="10" t="str">
        <f>IF(OR($A155="",5&gt;Controls!$B$6),"",MOD(P154*48271,2147483647))</f>
        <v/>
      </c>
      <c r="G155" s="10" t="str">
        <f>IF(OR($A155="",6&gt;Controls!$B$6),"",MOD(Q154*48271,2147483647))</f>
        <v/>
      </c>
      <c r="H155" s="10" t="str">
        <f>IF(OR($A155="",7&gt;Controls!$B$6),"",MOD(R154*48271,2147483647))</f>
        <v/>
      </c>
      <c r="I155" s="10" t="str">
        <f>IF(OR($A155="",8&gt;Controls!$B$6),"",MOD(S154*48271,2147483647))</f>
        <v/>
      </c>
      <c r="J155" s="10" t="str">
        <f>IF(OR($A155="",9&gt;Controls!$B$6),"",MOD(T154*48271,2147483647))</f>
        <v/>
      </c>
      <c r="K155" s="10" t="str">
        <f>IF(OR($A155="",10&gt;Controls!$B$6),"",MOD(U154*48271,2147483647))</f>
        <v/>
      </c>
      <c r="L155" s="10" t="str">
        <f t="shared" ref="L155:U155" si="154">IF(B155="","",MOD(B155*48271,2147483647))</f>
        <v/>
      </c>
      <c r="M155" s="10" t="str">
        <f t="shared" si="154"/>
        <v/>
      </c>
      <c r="N155" s="10" t="str">
        <f t="shared" si="154"/>
        <v/>
      </c>
      <c r="O155" s="10" t="str">
        <f t="shared" si="154"/>
        <v/>
      </c>
      <c r="P155" s="10" t="str">
        <f t="shared" si="154"/>
        <v/>
      </c>
      <c r="Q155" s="10" t="str">
        <f t="shared" si="154"/>
        <v/>
      </c>
      <c r="R155" s="10" t="str">
        <f t="shared" si="154"/>
        <v/>
      </c>
      <c r="S155" s="10" t="str">
        <f t="shared" si="154"/>
        <v/>
      </c>
      <c r="T155" s="10" t="str">
        <f t="shared" si="154"/>
        <v/>
      </c>
      <c r="U155" s="10" t="str">
        <f t="shared" si="154"/>
        <v/>
      </c>
      <c r="V155" s="10" t="str">
        <f>IF(B155="","",IF(Controls!$B$7="Normal",Controls!$B$8+Controls!$B$9*SQRT(-2*LN(B155/2147483647))*COS(2*PI()*L155/2147483647),Controls!$B$8+(Controls!$B$9-Controls!$B$8)*B155/2147483647))</f>
        <v/>
      </c>
      <c r="W155" s="10" t="str">
        <f>IF(C155="","",IF(Controls!$B$7="Normal",Controls!$B$8+Controls!$B$9*SQRT(-2*LN(C155/2147483647))*COS(2*PI()*M155/2147483647),Controls!$B$8+(Controls!$B$9-Controls!$B$8)*C155/2147483647))</f>
        <v/>
      </c>
      <c r="X155" s="10" t="str">
        <f>IF(D155="","",IF(Controls!$B$7="Normal",Controls!$B$8+Controls!$B$9*SQRT(-2*LN(D155/2147483647))*COS(2*PI()*N155/2147483647),Controls!$B$8+(Controls!$B$9-Controls!$B$8)*D155/2147483647))</f>
        <v/>
      </c>
      <c r="Y155" s="10" t="str">
        <f>IF(E155="","",IF(Controls!$B$7="Normal",Controls!$B$8+Controls!$B$9*SQRT(-2*LN(E155/2147483647))*COS(2*PI()*O155/2147483647),Controls!$B$8+(Controls!$B$9-Controls!$B$8)*E155/2147483647))</f>
        <v/>
      </c>
      <c r="Z155" s="10" t="str">
        <f>IF(F155="","",IF(Controls!$B$7="Normal",Controls!$B$8+Controls!$B$9*SQRT(-2*LN(F155/2147483647))*COS(2*PI()*P155/2147483647),Controls!$B$8+(Controls!$B$9-Controls!$B$8)*F155/2147483647))</f>
        <v/>
      </c>
      <c r="AA155" s="10" t="str">
        <f>IF(G155="","",IF(Controls!$B$7="Normal",Controls!$B$8+Controls!$B$9*SQRT(-2*LN(G155/2147483647))*COS(2*PI()*Q155/2147483647),Controls!$B$8+(Controls!$B$9-Controls!$B$8)*G155/2147483647))</f>
        <v/>
      </c>
      <c r="AB155" s="10" t="str">
        <f>IF(H155="","",IF(Controls!$B$7="Normal",Controls!$B$8+Controls!$B$9*SQRT(-2*LN(H155/2147483647))*COS(2*PI()*R155/2147483647),Controls!$B$8+(Controls!$B$9-Controls!$B$8)*H155/2147483647))</f>
        <v/>
      </c>
      <c r="AC155" s="10" t="str">
        <f>IF(I155="","",IF(Controls!$B$7="Normal",Controls!$B$8+Controls!$B$9*SQRT(-2*LN(I155/2147483647))*COS(2*PI()*S155/2147483647),Controls!$B$8+(Controls!$B$9-Controls!$B$8)*I155/2147483647))</f>
        <v/>
      </c>
      <c r="AD155" s="10" t="str">
        <f>IF(J155="","",IF(Controls!$B$7="Normal",Controls!$B$8+Controls!$B$9*SQRT(-2*LN(J155/2147483647))*COS(2*PI()*T155/2147483647),Controls!$B$8+(Controls!$B$9-Controls!$B$8)*J155/2147483647))</f>
        <v/>
      </c>
      <c r="AE155" s="10" t="str">
        <f>IF(K155="","",IF(Controls!$B$7="Normal",Controls!$B$8+Controls!$B$9*SQRT(-2*LN(K155/2147483647))*COS(2*PI()*U155/2147483647),Controls!$B$8+(Controls!$B$9-Controls!$B$8)*K155/2147483647))</f>
        <v/>
      </c>
    </row>
    <row r="156" ht="21.0" customHeight="1">
      <c r="A156" s="7" t="str">
        <f>IF(155&lt;=Controls!$B$5,Controls!$B$4+154,"")</f>
        <v/>
      </c>
      <c r="B156" s="10" t="str">
        <f>IF(OR($A156="",1&gt;Controls!$B$6),"",MOD(L155*48271,2147483647))</f>
        <v/>
      </c>
      <c r="C156" s="10" t="str">
        <f>IF(OR($A156="",2&gt;Controls!$B$6),"",MOD(M155*48271,2147483647))</f>
        <v/>
      </c>
      <c r="D156" s="10" t="str">
        <f>IF(OR($A156="",3&gt;Controls!$B$6),"",MOD(N155*48271,2147483647))</f>
        <v/>
      </c>
      <c r="E156" s="10" t="str">
        <f>IF(OR($A156="",4&gt;Controls!$B$6),"",MOD(O155*48271,2147483647))</f>
        <v/>
      </c>
      <c r="F156" s="10" t="str">
        <f>IF(OR($A156="",5&gt;Controls!$B$6),"",MOD(P155*48271,2147483647))</f>
        <v/>
      </c>
      <c r="G156" s="10" t="str">
        <f>IF(OR($A156="",6&gt;Controls!$B$6),"",MOD(Q155*48271,2147483647))</f>
        <v/>
      </c>
      <c r="H156" s="10" t="str">
        <f>IF(OR($A156="",7&gt;Controls!$B$6),"",MOD(R155*48271,2147483647))</f>
        <v/>
      </c>
      <c r="I156" s="10" t="str">
        <f>IF(OR($A156="",8&gt;Controls!$B$6),"",MOD(S155*48271,2147483647))</f>
        <v/>
      </c>
      <c r="J156" s="10" t="str">
        <f>IF(OR($A156="",9&gt;Controls!$B$6),"",MOD(T155*48271,2147483647))</f>
        <v/>
      </c>
      <c r="K156" s="10" t="str">
        <f>IF(OR($A156="",10&gt;Controls!$B$6),"",MOD(U155*48271,2147483647))</f>
        <v/>
      </c>
      <c r="L156" s="10" t="str">
        <f t="shared" ref="L156:U156" si="155">IF(B156="","",MOD(B156*48271,2147483647))</f>
        <v/>
      </c>
      <c r="M156" s="10" t="str">
        <f t="shared" si="155"/>
        <v/>
      </c>
      <c r="N156" s="10" t="str">
        <f t="shared" si="155"/>
        <v/>
      </c>
      <c r="O156" s="10" t="str">
        <f t="shared" si="155"/>
        <v/>
      </c>
      <c r="P156" s="10" t="str">
        <f t="shared" si="155"/>
        <v/>
      </c>
      <c r="Q156" s="10" t="str">
        <f t="shared" si="155"/>
        <v/>
      </c>
      <c r="R156" s="10" t="str">
        <f t="shared" si="155"/>
        <v/>
      </c>
      <c r="S156" s="10" t="str">
        <f t="shared" si="155"/>
        <v/>
      </c>
      <c r="T156" s="10" t="str">
        <f t="shared" si="155"/>
        <v/>
      </c>
      <c r="U156" s="10" t="str">
        <f t="shared" si="155"/>
        <v/>
      </c>
      <c r="V156" s="10" t="str">
        <f>IF(B156="","",IF(Controls!$B$7="Normal",Controls!$B$8+Controls!$B$9*SQRT(-2*LN(B156/2147483647))*COS(2*PI()*L156/2147483647),Controls!$B$8+(Controls!$B$9-Controls!$B$8)*B156/2147483647))</f>
        <v/>
      </c>
      <c r="W156" s="10" t="str">
        <f>IF(C156="","",IF(Controls!$B$7="Normal",Controls!$B$8+Controls!$B$9*SQRT(-2*LN(C156/2147483647))*COS(2*PI()*M156/2147483647),Controls!$B$8+(Controls!$B$9-Controls!$B$8)*C156/2147483647))</f>
        <v/>
      </c>
      <c r="X156" s="10" t="str">
        <f>IF(D156="","",IF(Controls!$B$7="Normal",Controls!$B$8+Controls!$B$9*SQRT(-2*LN(D156/2147483647))*COS(2*PI()*N156/2147483647),Controls!$B$8+(Controls!$B$9-Controls!$B$8)*D156/2147483647))</f>
        <v/>
      </c>
      <c r="Y156" s="10" t="str">
        <f>IF(E156="","",IF(Controls!$B$7="Normal",Controls!$B$8+Controls!$B$9*SQRT(-2*LN(E156/2147483647))*COS(2*PI()*O156/2147483647),Controls!$B$8+(Controls!$B$9-Controls!$B$8)*E156/2147483647))</f>
        <v/>
      </c>
      <c r="Z156" s="10" t="str">
        <f>IF(F156="","",IF(Controls!$B$7="Normal",Controls!$B$8+Controls!$B$9*SQRT(-2*LN(F156/2147483647))*COS(2*PI()*P156/2147483647),Controls!$B$8+(Controls!$B$9-Controls!$B$8)*F156/2147483647))</f>
        <v/>
      </c>
      <c r="AA156" s="10" t="str">
        <f>IF(G156="","",IF(Controls!$B$7="Normal",Controls!$B$8+Controls!$B$9*SQRT(-2*LN(G156/2147483647))*COS(2*PI()*Q156/2147483647),Controls!$B$8+(Controls!$B$9-Controls!$B$8)*G156/2147483647))</f>
        <v/>
      </c>
      <c r="AB156" s="10" t="str">
        <f>IF(H156="","",IF(Controls!$B$7="Normal",Controls!$B$8+Controls!$B$9*SQRT(-2*LN(H156/2147483647))*COS(2*PI()*R156/2147483647),Controls!$B$8+(Controls!$B$9-Controls!$B$8)*H156/2147483647))</f>
        <v/>
      </c>
      <c r="AC156" s="10" t="str">
        <f>IF(I156="","",IF(Controls!$B$7="Normal",Controls!$B$8+Controls!$B$9*SQRT(-2*LN(I156/2147483647))*COS(2*PI()*S156/2147483647),Controls!$B$8+(Controls!$B$9-Controls!$B$8)*I156/2147483647))</f>
        <v/>
      </c>
      <c r="AD156" s="10" t="str">
        <f>IF(J156="","",IF(Controls!$B$7="Normal",Controls!$B$8+Controls!$B$9*SQRT(-2*LN(J156/2147483647))*COS(2*PI()*T156/2147483647),Controls!$B$8+(Controls!$B$9-Controls!$B$8)*J156/2147483647))</f>
        <v/>
      </c>
      <c r="AE156" s="10" t="str">
        <f>IF(K156="","",IF(Controls!$B$7="Normal",Controls!$B$8+Controls!$B$9*SQRT(-2*LN(K156/2147483647))*COS(2*PI()*U156/2147483647),Controls!$B$8+(Controls!$B$9-Controls!$B$8)*K156/2147483647))</f>
        <v/>
      </c>
    </row>
    <row r="157" ht="21.0" customHeight="1">
      <c r="A157" s="7" t="str">
        <f>IF(156&lt;=Controls!$B$5,Controls!$B$4+155,"")</f>
        <v/>
      </c>
      <c r="B157" s="10" t="str">
        <f>IF(OR($A157="",1&gt;Controls!$B$6),"",MOD(L156*48271,2147483647))</f>
        <v/>
      </c>
      <c r="C157" s="10" t="str">
        <f>IF(OR($A157="",2&gt;Controls!$B$6),"",MOD(M156*48271,2147483647))</f>
        <v/>
      </c>
      <c r="D157" s="10" t="str">
        <f>IF(OR($A157="",3&gt;Controls!$B$6),"",MOD(N156*48271,2147483647))</f>
        <v/>
      </c>
      <c r="E157" s="10" t="str">
        <f>IF(OR($A157="",4&gt;Controls!$B$6),"",MOD(O156*48271,2147483647))</f>
        <v/>
      </c>
      <c r="F157" s="10" t="str">
        <f>IF(OR($A157="",5&gt;Controls!$B$6),"",MOD(P156*48271,2147483647))</f>
        <v/>
      </c>
      <c r="G157" s="10" t="str">
        <f>IF(OR($A157="",6&gt;Controls!$B$6),"",MOD(Q156*48271,2147483647))</f>
        <v/>
      </c>
      <c r="H157" s="10" t="str">
        <f>IF(OR($A157="",7&gt;Controls!$B$6),"",MOD(R156*48271,2147483647))</f>
        <v/>
      </c>
      <c r="I157" s="10" t="str">
        <f>IF(OR($A157="",8&gt;Controls!$B$6),"",MOD(S156*48271,2147483647))</f>
        <v/>
      </c>
      <c r="J157" s="10" t="str">
        <f>IF(OR($A157="",9&gt;Controls!$B$6),"",MOD(T156*48271,2147483647))</f>
        <v/>
      </c>
      <c r="K157" s="10" t="str">
        <f>IF(OR($A157="",10&gt;Controls!$B$6),"",MOD(U156*48271,2147483647))</f>
        <v/>
      </c>
      <c r="L157" s="10" t="str">
        <f t="shared" ref="L157:U157" si="156">IF(B157="","",MOD(B157*48271,2147483647))</f>
        <v/>
      </c>
      <c r="M157" s="10" t="str">
        <f t="shared" si="156"/>
        <v/>
      </c>
      <c r="N157" s="10" t="str">
        <f t="shared" si="156"/>
        <v/>
      </c>
      <c r="O157" s="10" t="str">
        <f t="shared" si="156"/>
        <v/>
      </c>
      <c r="P157" s="10" t="str">
        <f t="shared" si="156"/>
        <v/>
      </c>
      <c r="Q157" s="10" t="str">
        <f t="shared" si="156"/>
        <v/>
      </c>
      <c r="R157" s="10" t="str">
        <f t="shared" si="156"/>
        <v/>
      </c>
      <c r="S157" s="10" t="str">
        <f t="shared" si="156"/>
        <v/>
      </c>
      <c r="T157" s="10" t="str">
        <f t="shared" si="156"/>
        <v/>
      </c>
      <c r="U157" s="10" t="str">
        <f t="shared" si="156"/>
        <v/>
      </c>
      <c r="V157" s="10" t="str">
        <f>IF(B157="","",IF(Controls!$B$7="Normal",Controls!$B$8+Controls!$B$9*SQRT(-2*LN(B157/2147483647))*COS(2*PI()*L157/2147483647),Controls!$B$8+(Controls!$B$9-Controls!$B$8)*B157/2147483647))</f>
        <v/>
      </c>
      <c r="W157" s="10" t="str">
        <f>IF(C157="","",IF(Controls!$B$7="Normal",Controls!$B$8+Controls!$B$9*SQRT(-2*LN(C157/2147483647))*COS(2*PI()*M157/2147483647),Controls!$B$8+(Controls!$B$9-Controls!$B$8)*C157/2147483647))</f>
        <v/>
      </c>
      <c r="X157" s="10" t="str">
        <f>IF(D157="","",IF(Controls!$B$7="Normal",Controls!$B$8+Controls!$B$9*SQRT(-2*LN(D157/2147483647))*COS(2*PI()*N157/2147483647),Controls!$B$8+(Controls!$B$9-Controls!$B$8)*D157/2147483647))</f>
        <v/>
      </c>
      <c r="Y157" s="10" t="str">
        <f>IF(E157="","",IF(Controls!$B$7="Normal",Controls!$B$8+Controls!$B$9*SQRT(-2*LN(E157/2147483647))*COS(2*PI()*O157/2147483647),Controls!$B$8+(Controls!$B$9-Controls!$B$8)*E157/2147483647))</f>
        <v/>
      </c>
      <c r="Z157" s="10" t="str">
        <f>IF(F157="","",IF(Controls!$B$7="Normal",Controls!$B$8+Controls!$B$9*SQRT(-2*LN(F157/2147483647))*COS(2*PI()*P157/2147483647),Controls!$B$8+(Controls!$B$9-Controls!$B$8)*F157/2147483647))</f>
        <v/>
      </c>
      <c r="AA157" s="10" t="str">
        <f>IF(G157="","",IF(Controls!$B$7="Normal",Controls!$B$8+Controls!$B$9*SQRT(-2*LN(G157/2147483647))*COS(2*PI()*Q157/2147483647),Controls!$B$8+(Controls!$B$9-Controls!$B$8)*G157/2147483647))</f>
        <v/>
      </c>
      <c r="AB157" s="10" t="str">
        <f>IF(H157="","",IF(Controls!$B$7="Normal",Controls!$B$8+Controls!$B$9*SQRT(-2*LN(H157/2147483647))*COS(2*PI()*R157/2147483647),Controls!$B$8+(Controls!$B$9-Controls!$B$8)*H157/2147483647))</f>
        <v/>
      </c>
      <c r="AC157" s="10" t="str">
        <f>IF(I157="","",IF(Controls!$B$7="Normal",Controls!$B$8+Controls!$B$9*SQRT(-2*LN(I157/2147483647))*COS(2*PI()*S157/2147483647),Controls!$B$8+(Controls!$B$9-Controls!$B$8)*I157/2147483647))</f>
        <v/>
      </c>
      <c r="AD157" s="10" t="str">
        <f>IF(J157="","",IF(Controls!$B$7="Normal",Controls!$B$8+Controls!$B$9*SQRT(-2*LN(J157/2147483647))*COS(2*PI()*T157/2147483647),Controls!$B$8+(Controls!$B$9-Controls!$B$8)*J157/2147483647))</f>
        <v/>
      </c>
      <c r="AE157" s="10" t="str">
        <f>IF(K157="","",IF(Controls!$B$7="Normal",Controls!$B$8+Controls!$B$9*SQRT(-2*LN(K157/2147483647))*COS(2*PI()*U157/2147483647),Controls!$B$8+(Controls!$B$9-Controls!$B$8)*K157/2147483647))</f>
        <v/>
      </c>
    </row>
    <row r="158" ht="21.0" customHeight="1">
      <c r="A158" s="7" t="str">
        <f>IF(157&lt;=Controls!$B$5,Controls!$B$4+156,"")</f>
        <v/>
      </c>
      <c r="B158" s="10" t="str">
        <f>IF(OR($A158="",1&gt;Controls!$B$6),"",MOD(L157*48271,2147483647))</f>
        <v/>
      </c>
      <c r="C158" s="10" t="str">
        <f>IF(OR($A158="",2&gt;Controls!$B$6),"",MOD(M157*48271,2147483647))</f>
        <v/>
      </c>
      <c r="D158" s="10" t="str">
        <f>IF(OR($A158="",3&gt;Controls!$B$6),"",MOD(N157*48271,2147483647))</f>
        <v/>
      </c>
      <c r="E158" s="10" t="str">
        <f>IF(OR($A158="",4&gt;Controls!$B$6),"",MOD(O157*48271,2147483647))</f>
        <v/>
      </c>
      <c r="F158" s="10" t="str">
        <f>IF(OR($A158="",5&gt;Controls!$B$6),"",MOD(P157*48271,2147483647))</f>
        <v/>
      </c>
      <c r="G158" s="10" t="str">
        <f>IF(OR($A158="",6&gt;Controls!$B$6),"",MOD(Q157*48271,2147483647))</f>
        <v/>
      </c>
      <c r="H158" s="10" t="str">
        <f>IF(OR($A158="",7&gt;Controls!$B$6),"",MOD(R157*48271,2147483647))</f>
        <v/>
      </c>
      <c r="I158" s="10" t="str">
        <f>IF(OR($A158="",8&gt;Controls!$B$6),"",MOD(S157*48271,2147483647))</f>
        <v/>
      </c>
      <c r="J158" s="10" t="str">
        <f>IF(OR($A158="",9&gt;Controls!$B$6),"",MOD(T157*48271,2147483647))</f>
        <v/>
      </c>
      <c r="K158" s="10" t="str">
        <f>IF(OR($A158="",10&gt;Controls!$B$6),"",MOD(U157*48271,2147483647))</f>
        <v/>
      </c>
      <c r="L158" s="10" t="str">
        <f t="shared" ref="L158:U158" si="157">IF(B158="","",MOD(B158*48271,2147483647))</f>
        <v/>
      </c>
      <c r="M158" s="10" t="str">
        <f t="shared" si="157"/>
        <v/>
      </c>
      <c r="N158" s="10" t="str">
        <f t="shared" si="157"/>
        <v/>
      </c>
      <c r="O158" s="10" t="str">
        <f t="shared" si="157"/>
        <v/>
      </c>
      <c r="P158" s="10" t="str">
        <f t="shared" si="157"/>
        <v/>
      </c>
      <c r="Q158" s="10" t="str">
        <f t="shared" si="157"/>
        <v/>
      </c>
      <c r="R158" s="10" t="str">
        <f t="shared" si="157"/>
        <v/>
      </c>
      <c r="S158" s="10" t="str">
        <f t="shared" si="157"/>
        <v/>
      </c>
      <c r="T158" s="10" t="str">
        <f t="shared" si="157"/>
        <v/>
      </c>
      <c r="U158" s="10" t="str">
        <f t="shared" si="157"/>
        <v/>
      </c>
      <c r="V158" s="10" t="str">
        <f>IF(B158="","",IF(Controls!$B$7="Normal",Controls!$B$8+Controls!$B$9*SQRT(-2*LN(B158/2147483647))*COS(2*PI()*L158/2147483647),Controls!$B$8+(Controls!$B$9-Controls!$B$8)*B158/2147483647))</f>
        <v/>
      </c>
      <c r="W158" s="10" t="str">
        <f>IF(C158="","",IF(Controls!$B$7="Normal",Controls!$B$8+Controls!$B$9*SQRT(-2*LN(C158/2147483647))*COS(2*PI()*M158/2147483647),Controls!$B$8+(Controls!$B$9-Controls!$B$8)*C158/2147483647))</f>
        <v/>
      </c>
      <c r="X158" s="10" t="str">
        <f>IF(D158="","",IF(Controls!$B$7="Normal",Controls!$B$8+Controls!$B$9*SQRT(-2*LN(D158/2147483647))*COS(2*PI()*N158/2147483647),Controls!$B$8+(Controls!$B$9-Controls!$B$8)*D158/2147483647))</f>
        <v/>
      </c>
      <c r="Y158" s="10" t="str">
        <f>IF(E158="","",IF(Controls!$B$7="Normal",Controls!$B$8+Controls!$B$9*SQRT(-2*LN(E158/2147483647))*COS(2*PI()*O158/2147483647),Controls!$B$8+(Controls!$B$9-Controls!$B$8)*E158/2147483647))</f>
        <v/>
      </c>
      <c r="Z158" s="10" t="str">
        <f>IF(F158="","",IF(Controls!$B$7="Normal",Controls!$B$8+Controls!$B$9*SQRT(-2*LN(F158/2147483647))*COS(2*PI()*P158/2147483647),Controls!$B$8+(Controls!$B$9-Controls!$B$8)*F158/2147483647))</f>
        <v/>
      </c>
      <c r="AA158" s="10" t="str">
        <f>IF(G158="","",IF(Controls!$B$7="Normal",Controls!$B$8+Controls!$B$9*SQRT(-2*LN(G158/2147483647))*COS(2*PI()*Q158/2147483647),Controls!$B$8+(Controls!$B$9-Controls!$B$8)*G158/2147483647))</f>
        <v/>
      </c>
      <c r="AB158" s="10" t="str">
        <f>IF(H158="","",IF(Controls!$B$7="Normal",Controls!$B$8+Controls!$B$9*SQRT(-2*LN(H158/2147483647))*COS(2*PI()*R158/2147483647),Controls!$B$8+(Controls!$B$9-Controls!$B$8)*H158/2147483647))</f>
        <v/>
      </c>
      <c r="AC158" s="10" t="str">
        <f>IF(I158="","",IF(Controls!$B$7="Normal",Controls!$B$8+Controls!$B$9*SQRT(-2*LN(I158/2147483647))*COS(2*PI()*S158/2147483647),Controls!$B$8+(Controls!$B$9-Controls!$B$8)*I158/2147483647))</f>
        <v/>
      </c>
      <c r="AD158" s="10" t="str">
        <f>IF(J158="","",IF(Controls!$B$7="Normal",Controls!$B$8+Controls!$B$9*SQRT(-2*LN(J158/2147483647))*COS(2*PI()*T158/2147483647),Controls!$B$8+(Controls!$B$9-Controls!$B$8)*J158/2147483647))</f>
        <v/>
      </c>
      <c r="AE158" s="10" t="str">
        <f>IF(K158="","",IF(Controls!$B$7="Normal",Controls!$B$8+Controls!$B$9*SQRT(-2*LN(K158/2147483647))*COS(2*PI()*U158/2147483647),Controls!$B$8+(Controls!$B$9-Controls!$B$8)*K158/2147483647))</f>
        <v/>
      </c>
    </row>
    <row r="159" ht="21.0" customHeight="1">
      <c r="A159" s="7" t="str">
        <f>IF(158&lt;=Controls!$B$5,Controls!$B$4+157,"")</f>
        <v/>
      </c>
      <c r="B159" s="10" t="str">
        <f>IF(OR($A159="",1&gt;Controls!$B$6),"",MOD(L158*48271,2147483647))</f>
        <v/>
      </c>
      <c r="C159" s="10" t="str">
        <f>IF(OR($A159="",2&gt;Controls!$B$6),"",MOD(M158*48271,2147483647))</f>
        <v/>
      </c>
      <c r="D159" s="10" t="str">
        <f>IF(OR($A159="",3&gt;Controls!$B$6),"",MOD(N158*48271,2147483647))</f>
        <v/>
      </c>
      <c r="E159" s="10" t="str">
        <f>IF(OR($A159="",4&gt;Controls!$B$6),"",MOD(O158*48271,2147483647))</f>
        <v/>
      </c>
      <c r="F159" s="10" t="str">
        <f>IF(OR($A159="",5&gt;Controls!$B$6),"",MOD(P158*48271,2147483647))</f>
        <v/>
      </c>
      <c r="G159" s="10" t="str">
        <f>IF(OR($A159="",6&gt;Controls!$B$6),"",MOD(Q158*48271,2147483647))</f>
        <v/>
      </c>
      <c r="H159" s="10" t="str">
        <f>IF(OR($A159="",7&gt;Controls!$B$6),"",MOD(R158*48271,2147483647))</f>
        <v/>
      </c>
      <c r="I159" s="10" t="str">
        <f>IF(OR($A159="",8&gt;Controls!$B$6),"",MOD(S158*48271,2147483647))</f>
        <v/>
      </c>
      <c r="J159" s="10" t="str">
        <f>IF(OR($A159="",9&gt;Controls!$B$6),"",MOD(T158*48271,2147483647))</f>
        <v/>
      </c>
      <c r="K159" s="10" t="str">
        <f>IF(OR($A159="",10&gt;Controls!$B$6),"",MOD(U158*48271,2147483647))</f>
        <v/>
      </c>
      <c r="L159" s="10" t="str">
        <f t="shared" ref="L159:U159" si="158">IF(B159="","",MOD(B159*48271,2147483647))</f>
        <v/>
      </c>
      <c r="M159" s="10" t="str">
        <f t="shared" si="158"/>
        <v/>
      </c>
      <c r="N159" s="10" t="str">
        <f t="shared" si="158"/>
        <v/>
      </c>
      <c r="O159" s="10" t="str">
        <f t="shared" si="158"/>
        <v/>
      </c>
      <c r="P159" s="10" t="str">
        <f t="shared" si="158"/>
        <v/>
      </c>
      <c r="Q159" s="10" t="str">
        <f t="shared" si="158"/>
        <v/>
      </c>
      <c r="R159" s="10" t="str">
        <f t="shared" si="158"/>
        <v/>
      </c>
      <c r="S159" s="10" t="str">
        <f t="shared" si="158"/>
        <v/>
      </c>
      <c r="T159" s="10" t="str">
        <f t="shared" si="158"/>
        <v/>
      </c>
      <c r="U159" s="10" t="str">
        <f t="shared" si="158"/>
        <v/>
      </c>
      <c r="V159" s="10" t="str">
        <f>IF(B159="","",IF(Controls!$B$7="Normal",Controls!$B$8+Controls!$B$9*SQRT(-2*LN(B159/2147483647))*COS(2*PI()*L159/2147483647),Controls!$B$8+(Controls!$B$9-Controls!$B$8)*B159/2147483647))</f>
        <v/>
      </c>
      <c r="W159" s="10" t="str">
        <f>IF(C159="","",IF(Controls!$B$7="Normal",Controls!$B$8+Controls!$B$9*SQRT(-2*LN(C159/2147483647))*COS(2*PI()*M159/2147483647),Controls!$B$8+(Controls!$B$9-Controls!$B$8)*C159/2147483647))</f>
        <v/>
      </c>
      <c r="X159" s="10" t="str">
        <f>IF(D159="","",IF(Controls!$B$7="Normal",Controls!$B$8+Controls!$B$9*SQRT(-2*LN(D159/2147483647))*COS(2*PI()*N159/2147483647),Controls!$B$8+(Controls!$B$9-Controls!$B$8)*D159/2147483647))</f>
        <v/>
      </c>
      <c r="Y159" s="10" t="str">
        <f>IF(E159="","",IF(Controls!$B$7="Normal",Controls!$B$8+Controls!$B$9*SQRT(-2*LN(E159/2147483647))*COS(2*PI()*O159/2147483647),Controls!$B$8+(Controls!$B$9-Controls!$B$8)*E159/2147483647))</f>
        <v/>
      </c>
      <c r="Z159" s="10" t="str">
        <f>IF(F159="","",IF(Controls!$B$7="Normal",Controls!$B$8+Controls!$B$9*SQRT(-2*LN(F159/2147483647))*COS(2*PI()*P159/2147483647),Controls!$B$8+(Controls!$B$9-Controls!$B$8)*F159/2147483647))</f>
        <v/>
      </c>
      <c r="AA159" s="10" t="str">
        <f>IF(G159="","",IF(Controls!$B$7="Normal",Controls!$B$8+Controls!$B$9*SQRT(-2*LN(G159/2147483647))*COS(2*PI()*Q159/2147483647),Controls!$B$8+(Controls!$B$9-Controls!$B$8)*G159/2147483647))</f>
        <v/>
      </c>
      <c r="AB159" s="10" t="str">
        <f>IF(H159="","",IF(Controls!$B$7="Normal",Controls!$B$8+Controls!$B$9*SQRT(-2*LN(H159/2147483647))*COS(2*PI()*R159/2147483647),Controls!$B$8+(Controls!$B$9-Controls!$B$8)*H159/2147483647))</f>
        <v/>
      </c>
      <c r="AC159" s="10" t="str">
        <f>IF(I159="","",IF(Controls!$B$7="Normal",Controls!$B$8+Controls!$B$9*SQRT(-2*LN(I159/2147483647))*COS(2*PI()*S159/2147483647),Controls!$B$8+(Controls!$B$9-Controls!$B$8)*I159/2147483647))</f>
        <v/>
      </c>
      <c r="AD159" s="10" t="str">
        <f>IF(J159="","",IF(Controls!$B$7="Normal",Controls!$B$8+Controls!$B$9*SQRT(-2*LN(J159/2147483647))*COS(2*PI()*T159/2147483647),Controls!$B$8+(Controls!$B$9-Controls!$B$8)*J159/2147483647))</f>
        <v/>
      </c>
      <c r="AE159" s="10" t="str">
        <f>IF(K159="","",IF(Controls!$B$7="Normal",Controls!$B$8+Controls!$B$9*SQRT(-2*LN(K159/2147483647))*COS(2*PI()*U159/2147483647),Controls!$B$8+(Controls!$B$9-Controls!$B$8)*K159/2147483647))</f>
        <v/>
      </c>
    </row>
    <row r="160" ht="21.0" customHeight="1">
      <c r="A160" s="7" t="str">
        <f>IF(159&lt;=Controls!$B$5,Controls!$B$4+158,"")</f>
        <v/>
      </c>
      <c r="B160" s="10" t="str">
        <f>IF(OR($A160="",1&gt;Controls!$B$6),"",MOD(L159*48271,2147483647))</f>
        <v/>
      </c>
      <c r="C160" s="10" t="str">
        <f>IF(OR($A160="",2&gt;Controls!$B$6),"",MOD(M159*48271,2147483647))</f>
        <v/>
      </c>
      <c r="D160" s="10" t="str">
        <f>IF(OR($A160="",3&gt;Controls!$B$6),"",MOD(N159*48271,2147483647))</f>
        <v/>
      </c>
      <c r="E160" s="10" t="str">
        <f>IF(OR($A160="",4&gt;Controls!$B$6),"",MOD(O159*48271,2147483647))</f>
        <v/>
      </c>
      <c r="F160" s="10" t="str">
        <f>IF(OR($A160="",5&gt;Controls!$B$6),"",MOD(P159*48271,2147483647))</f>
        <v/>
      </c>
      <c r="G160" s="10" t="str">
        <f>IF(OR($A160="",6&gt;Controls!$B$6),"",MOD(Q159*48271,2147483647))</f>
        <v/>
      </c>
      <c r="H160" s="10" t="str">
        <f>IF(OR($A160="",7&gt;Controls!$B$6),"",MOD(R159*48271,2147483647))</f>
        <v/>
      </c>
      <c r="I160" s="10" t="str">
        <f>IF(OR($A160="",8&gt;Controls!$B$6),"",MOD(S159*48271,2147483647))</f>
        <v/>
      </c>
      <c r="J160" s="10" t="str">
        <f>IF(OR($A160="",9&gt;Controls!$B$6),"",MOD(T159*48271,2147483647))</f>
        <v/>
      </c>
      <c r="K160" s="10" t="str">
        <f>IF(OR($A160="",10&gt;Controls!$B$6),"",MOD(U159*48271,2147483647))</f>
        <v/>
      </c>
      <c r="L160" s="10" t="str">
        <f t="shared" ref="L160:U160" si="159">IF(B160="","",MOD(B160*48271,2147483647))</f>
        <v/>
      </c>
      <c r="M160" s="10" t="str">
        <f t="shared" si="159"/>
        <v/>
      </c>
      <c r="N160" s="10" t="str">
        <f t="shared" si="159"/>
        <v/>
      </c>
      <c r="O160" s="10" t="str">
        <f t="shared" si="159"/>
        <v/>
      </c>
      <c r="P160" s="10" t="str">
        <f t="shared" si="159"/>
        <v/>
      </c>
      <c r="Q160" s="10" t="str">
        <f t="shared" si="159"/>
        <v/>
      </c>
      <c r="R160" s="10" t="str">
        <f t="shared" si="159"/>
        <v/>
      </c>
      <c r="S160" s="10" t="str">
        <f t="shared" si="159"/>
        <v/>
      </c>
      <c r="T160" s="10" t="str">
        <f t="shared" si="159"/>
        <v/>
      </c>
      <c r="U160" s="10" t="str">
        <f t="shared" si="159"/>
        <v/>
      </c>
      <c r="V160" s="10" t="str">
        <f>IF(B160="","",IF(Controls!$B$7="Normal",Controls!$B$8+Controls!$B$9*SQRT(-2*LN(B160/2147483647))*COS(2*PI()*L160/2147483647),Controls!$B$8+(Controls!$B$9-Controls!$B$8)*B160/2147483647))</f>
        <v/>
      </c>
      <c r="W160" s="10" t="str">
        <f>IF(C160="","",IF(Controls!$B$7="Normal",Controls!$B$8+Controls!$B$9*SQRT(-2*LN(C160/2147483647))*COS(2*PI()*M160/2147483647),Controls!$B$8+(Controls!$B$9-Controls!$B$8)*C160/2147483647))</f>
        <v/>
      </c>
      <c r="X160" s="10" t="str">
        <f>IF(D160="","",IF(Controls!$B$7="Normal",Controls!$B$8+Controls!$B$9*SQRT(-2*LN(D160/2147483647))*COS(2*PI()*N160/2147483647),Controls!$B$8+(Controls!$B$9-Controls!$B$8)*D160/2147483647))</f>
        <v/>
      </c>
      <c r="Y160" s="10" t="str">
        <f>IF(E160="","",IF(Controls!$B$7="Normal",Controls!$B$8+Controls!$B$9*SQRT(-2*LN(E160/2147483647))*COS(2*PI()*O160/2147483647),Controls!$B$8+(Controls!$B$9-Controls!$B$8)*E160/2147483647))</f>
        <v/>
      </c>
      <c r="Z160" s="10" t="str">
        <f>IF(F160="","",IF(Controls!$B$7="Normal",Controls!$B$8+Controls!$B$9*SQRT(-2*LN(F160/2147483647))*COS(2*PI()*P160/2147483647),Controls!$B$8+(Controls!$B$9-Controls!$B$8)*F160/2147483647))</f>
        <v/>
      </c>
      <c r="AA160" s="10" t="str">
        <f>IF(G160="","",IF(Controls!$B$7="Normal",Controls!$B$8+Controls!$B$9*SQRT(-2*LN(G160/2147483647))*COS(2*PI()*Q160/2147483647),Controls!$B$8+(Controls!$B$9-Controls!$B$8)*G160/2147483647))</f>
        <v/>
      </c>
      <c r="AB160" s="10" t="str">
        <f>IF(H160="","",IF(Controls!$B$7="Normal",Controls!$B$8+Controls!$B$9*SQRT(-2*LN(H160/2147483647))*COS(2*PI()*R160/2147483647),Controls!$B$8+(Controls!$B$9-Controls!$B$8)*H160/2147483647))</f>
        <v/>
      </c>
      <c r="AC160" s="10" t="str">
        <f>IF(I160="","",IF(Controls!$B$7="Normal",Controls!$B$8+Controls!$B$9*SQRT(-2*LN(I160/2147483647))*COS(2*PI()*S160/2147483647),Controls!$B$8+(Controls!$B$9-Controls!$B$8)*I160/2147483647))</f>
        <v/>
      </c>
      <c r="AD160" s="10" t="str">
        <f>IF(J160="","",IF(Controls!$B$7="Normal",Controls!$B$8+Controls!$B$9*SQRT(-2*LN(J160/2147483647))*COS(2*PI()*T160/2147483647),Controls!$B$8+(Controls!$B$9-Controls!$B$8)*J160/2147483647))</f>
        <v/>
      </c>
      <c r="AE160" s="10" t="str">
        <f>IF(K160="","",IF(Controls!$B$7="Normal",Controls!$B$8+Controls!$B$9*SQRT(-2*LN(K160/2147483647))*COS(2*PI()*U160/2147483647),Controls!$B$8+(Controls!$B$9-Controls!$B$8)*K160/2147483647))</f>
        <v/>
      </c>
    </row>
    <row r="161" ht="21.0" customHeight="1">
      <c r="A161" s="7" t="str">
        <f>IF(160&lt;=Controls!$B$5,Controls!$B$4+159,"")</f>
        <v/>
      </c>
      <c r="B161" s="10" t="str">
        <f>IF(OR($A161="",1&gt;Controls!$B$6),"",MOD(L160*48271,2147483647))</f>
        <v/>
      </c>
      <c r="C161" s="10" t="str">
        <f>IF(OR($A161="",2&gt;Controls!$B$6),"",MOD(M160*48271,2147483647))</f>
        <v/>
      </c>
      <c r="D161" s="10" t="str">
        <f>IF(OR($A161="",3&gt;Controls!$B$6),"",MOD(N160*48271,2147483647))</f>
        <v/>
      </c>
      <c r="E161" s="10" t="str">
        <f>IF(OR($A161="",4&gt;Controls!$B$6),"",MOD(O160*48271,2147483647))</f>
        <v/>
      </c>
      <c r="F161" s="10" t="str">
        <f>IF(OR($A161="",5&gt;Controls!$B$6),"",MOD(P160*48271,2147483647))</f>
        <v/>
      </c>
      <c r="G161" s="10" t="str">
        <f>IF(OR($A161="",6&gt;Controls!$B$6),"",MOD(Q160*48271,2147483647))</f>
        <v/>
      </c>
      <c r="H161" s="10" t="str">
        <f>IF(OR($A161="",7&gt;Controls!$B$6),"",MOD(R160*48271,2147483647))</f>
        <v/>
      </c>
      <c r="I161" s="10" t="str">
        <f>IF(OR($A161="",8&gt;Controls!$B$6),"",MOD(S160*48271,2147483647))</f>
        <v/>
      </c>
      <c r="J161" s="10" t="str">
        <f>IF(OR($A161="",9&gt;Controls!$B$6),"",MOD(T160*48271,2147483647))</f>
        <v/>
      </c>
      <c r="K161" s="10" t="str">
        <f>IF(OR($A161="",10&gt;Controls!$B$6),"",MOD(U160*48271,2147483647))</f>
        <v/>
      </c>
      <c r="L161" s="10" t="str">
        <f t="shared" ref="L161:U161" si="160">IF(B161="","",MOD(B161*48271,2147483647))</f>
        <v/>
      </c>
      <c r="M161" s="10" t="str">
        <f t="shared" si="160"/>
        <v/>
      </c>
      <c r="N161" s="10" t="str">
        <f t="shared" si="160"/>
        <v/>
      </c>
      <c r="O161" s="10" t="str">
        <f t="shared" si="160"/>
        <v/>
      </c>
      <c r="P161" s="10" t="str">
        <f t="shared" si="160"/>
        <v/>
      </c>
      <c r="Q161" s="10" t="str">
        <f t="shared" si="160"/>
        <v/>
      </c>
      <c r="R161" s="10" t="str">
        <f t="shared" si="160"/>
        <v/>
      </c>
      <c r="S161" s="10" t="str">
        <f t="shared" si="160"/>
        <v/>
      </c>
      <c r="T161" s="10" t="str">
        <f t="shared" si="160"/>
        <v/>
      </c>
      <c r="U161" s="10" t="str">
        <f t="shared" si="160"/>
        <v/>
      </c>
      <c r="V161" s="10" t="str">
        <f>IF(B161="","",IF(Controls!$B$7="Normal",Controls!$B$8+Controls!$B$9*SQRT(-2*LN(B161/2147483647))*COS(2*PI()*L161/2147483647),Controls!$B$8+(Controls!$B$9-Controls!$B$8)*B161/2147483647))</f>
        <v/>
      </c>
      <c r="W161" s="10" t="str">
        <f>IF(C161="","",IF(Controls!$B$7="Normal",Controls!$B$8+Controls!$B$9*SQRT(-2*LN(C161/2147483647))*COS(2*PI()*M161/2147483647),Controls!$B$8+(Controls!$B$9-Controls!$B$8)*C161/2147483647))</f>
        <v/>
      </c>
      <c r="X161" s="10" t="str">
        <f>IF(D161="","",IF(Controls!$B$7="Normal",Controls!$B$8+Controls!$B$9*SQRT(-2*LN(D161/2147483647))*COS(2*PI()*N161/2147483647),Controls!$B$8+(Controls!$B$9-Controls!$B$8)*D161/2147483647))</f>
        <v/>
      </c>
      <c r="Y161" s="10" t="str">
        <f>IF(E161="","",IF(Controls!$B$7="Normal",Controls!$B$8+Controls!$B$9*SQRT(-2*LN(E161/2147483647))*COS(2*PI()*O161/2147483647),Controls!$B$8+(Controls!$B$9-Controls!$B$8)*E161/2147483647))</f>
        <v/>
      </c>
      <c r="Z161" s="10" t="str">
        <f>IF(F161="","",IF(Controls!$B$7="Normal",Controls!$B$8+Controls!$B$9*SQRT(-2*LN(F161/2147483647))*COS(2*PI()*P161/2147483647),Controls!$B$8+(Controls!$B$9-Controls!$B$8)*F161/2147483647))</f>
        <v/>
      </c>
      <c r="AA161" s="10" t="str">
        <f>IF(G161="","",IF(Controls!$B$7="Normal",Controls!$B$8+Controls!$B$9*SQRT(-2*LN(G161/2147483647))*COS(2*PI()*Q161/2147483647),Controls!$B$8+(Controls!$B$9-Controls!$B$8)*G161/2147483647))</f>
        <v/>
      </c>
      <c r="AB161" s="10" t="str">
        <f>IF(H161="","",IF(Controls!$B$7="Normal",Controls!$B$8+Controls!$B$9*SQRT(-2*LN(H161/2147483647))*COS(2*PI()*R161/2147483647),Controls!$B$8+(Controls!$B$9-Controls!$B$8)*H161/2147483647))</f>
        <v/>
      </c>
      <c r="AC161" s="10" t="str">
        <f>IF(I161="","",IF(Controls!$B$7="Normal",Controls!$B$8+Controls!$B$9*SQRT(-2*LN(I161/2147483647))*COS(2*PI()*S161/2147483647),Controls!$B$8+(Controls!$B$9-Controls!$B$8)*I161/2147483647))</f>
        <v/>
      </c>
      <c r="AD161" s="10" t="str">
        <f>IF(J161="","",IF(Controls!$B$7="Normal",Controls!$B$8+Controls!$B$9*SQRT(-2*LN(J161/2147483647))*COS(2*PI()*T161/2147483647),Controls!$B$8+(Controls!$B$9-Controls!$B$8)*J161/2147483647))</f>
        <v/>
      </c>
      <c r="AE161" s="10" t="str">
        <f>IF(K161="","",IF(Controls!$B$7="Normal",Controls!$B$8+Controls!$B$9*SQRT(-2*LN(K161/2147483647))*COS(2*PI()*U161/2147483647),Controls!$B$8+(Controls!$B$9-Controls!$B$8)*K161/2147483647))</f>
        <v/>
      </c>
    </row>
    <row r="162" ht="21.0" customHeight="1">
      <c r="A162" s="7" t="str">
        <f>IF(161&lt;=Controls!$B$5,Controls!$B$4+160,"")</f>
        <v/>
      </c>
      <c r="B162" s="10" t="str">
        <f>IF(OR($A162="",1&gt;Controls!$B$6),"",MOD(L161*48271,2147483647))</f>
        <v/>
      </c>
      <c r="C162" s="10" t="str">
        <f>IF(OR($A162="",2&gt;Controls!$B$6),"",MOD(M161*48271,2147483647))</f>
        <v/>
      </c>
      <c r="D162" s="10" t="str">
        <f>IF(OR($A162="",3&gt;Controls!$B$6),"",MOD(N161*48271,2147483647))</f>
        <v/>
      </c>
      <c r="E162" s="10" t="str">
        <f>IF(OR($A162="",4&gt;Controls!$B$6),"",MOD(O161*48271,2147483647))</f>
        <v/>
      </c>
      <c r="F162" s="10" t="str">
        <f>IF(OR($A162="",5&gt;Controls!$B$6),"",MOD(P161*48271,2147483647))</f>
        <v/>
      </c>
      <c r="G162" s="10" t="str">
        <f>IF(OR($A162="",6&gt;Controls!$B$6),"",MOD(Q161*48271,2147483647))</f>
        <v/>
      </c>
      <c r="H162" s="10" t="str">
        <f>IF(OR($A162="",7&gt;Controls!$B$6),"",MOD(R161*48271,2147483647))</f>
        <v/>
      </c>
      <c r="I162" s="10" t="str">
        <f>IF(OR($A162="",8&gt;Controls!$B$6),"",MOD(S161*48271,2147483647))</f>
        <v/>
      </c>
      <c r="J162" s="10" t="str">
        <f>IF(OR($A162="",9&gt;Controls!$B$6),"",MOD(T161*48271,2147483647))</f>
        <v/>
      </c>
      <c r="K162" s="10" t="str">
        <f>IF(OR($A162="",10&gt;Controls!$B$6),"",MOD(U161*48271,2147483647))</f>
        <v/>
      </c>
      <c r="L162" s="10" t="str">
        <f t="shared" ref="L162:U162" si="161">IF(B162="","",MOD(B162*48271,2147483647))</f>
        <v/>
      </c>
      <c r="M162" s="10" t="str">
        <f t="shared" si="161"/>
        <v/>
      </c>
      <c r="N162" s="10" t="str">
        <f t="shared" si="161"/>
        <v/>
      </c>
      <c r="O162" s="10" t="str">
        <f t="shared" si="161"/>
        <v/>
      </c>
      <c r="P162" s="10" t="str">
        <f t="shared" si="161"/>
        <v/>
      </c>
      <c r="Q162" s="10" t="str">
        <f t="shared" si="161"/>
        <v/>
      </c>
      <c r="R162" s="10" t="str">
        <f t="shared" si="161"/>
        <v/>
      </c>
      <c r="S162" s="10" t="str">
        <f t="shared" si="161"/>
        <v/>
      </c>
      <c r="T162" s="10" t="str">
        <f t="shared" si="161"/>
        <v/>
      </c>
      <c r="U162" s="10" t="str">
        <f t="shared" si="161"/>
        <v/>
      </c>
      <c r="V162" s="10" t="str">
        <f>IF(B162="","",IF(Controls!$B$7="Normal",Controls!$B$8+Controls!$B$9*SQRT(-2*LN(B162/2147483647))*COS(2*PI()*L162/2147483647),Controls!$B$8+(Controls!$B$9-Controls!$B$8)*B162/2147483647))</f>
        <v/>
      </c>
      <c r="W162" s="10" t="str">
        <f>IF(C162="","",IF(Controls!$B$7="Normal",Controls!$B$8+Controls!$B$9*SQRT(-2*LN(C162/2147483647))*COS(2*PI()*M162/2147483647),Controls!$B$8+(Controls!$B$9-Controls!$B$8)*C162/2147483647))</f>
        <v/>
      </c>
      <c r="X162" s="10" t="str">
        <f>IF(D162="","",IF(Controls!$B$7="Normal",Controls!$B$8+Controls!$B$9*SQRT(-2*LN(D162/2147483647))*COS(2*PI()*N162/2147483647),Controls!$B$8+(Controls!$B$9-Controls!$B$8)*D162/2147483647))</f>
        <v/>
      </c>
      <c r="Y162" s="10" t="str">
        <f>IF(E162="","",IF(Controls!$B$7="Normal",Controls!$B$8+Controls!$B$9*SQRT(-2*LN(E162/2147483647))*COS(2*PI()*O162/2147483647),Controls!$B$8+(Controls!$B$9-Controls!$B$8)*E162/2147483647))</f>
        <v/>
      </c>
      <c r="Z162" s="10" t="str">
        <f>IF(F162="","",IF(Controls!$B$7="Normal",Controls!$B$8+Controls!$B$9*SQRT(-2*LN(F162/2147483647))*COS(2*PI()*P162/2147483647),Controls!$B$8+(Controls!$B$9-Controls!$B$8)*F162/2147483647))</f>
        <v/>
      </c>
      <c r="AA162" s="10" t="str">
        <f>IF(G162="","",IF(Controls!$B$7="Normal",Controls!$B$8+Controls!$B$9*SQRT(-2*LN(G162/2147483647))*COS(2*PI()*Q162/2147483647),Controls!$B$8+(Controls!$B$9-Controls!$B$8)*G162/2147483647))</f>
        <v/>
      </c>
      <c r="AB162" s="10" t="str">
        <f>IF(H162="","",IF(Controls!$B$7="Normal",Controls!$B$8+Controls!$B$9*SQRT(-2*LN(H162/2147483647))*COS(2*PI()*R162/2147483647),Controls!$B$8+(Controls!$B$9-Controls!$B$8)*H162/2147483647))</f>
        <v/>
      </c>
      <c r="AC162" s="10" t="str">
        <f>IF(I162="","",IF(Controls!$B$7="Normal",Controls!$B$8+Controls!$B$9*SQRT(-2*LN(I162/2147483647))*COS(2*PI()*S162/2147483647),Controls!$B$8+(Controls!$B$9-Controls!$B$8)*I162/2147483647))</f>
        <v/>
      </c>
      <c r="AD162" s="10" t="str">
        <f>IF(J162="","",IF(Controls!$B$7="Normal",Controls!$B$8+Controls!$B$9*SQRT(-2*LN(J162/2147483647))*COS(2*PI()*T162/2147483647),Controls!$B$8+(Controls!$B$9-Controls!$B$8)*J162/2147483647))</f>
        <v/>
      </c>
      <c r="AE162" s="10" t="str">
        <f>IF(K162="","",IF(Controls!$B$7="Normal",Controls!$B$8+Controls!$B$9*SQRT(-2*LN(K162/2147483647))*COS(2*PI()*U162/2147483647),Controls!$B$8+(Controls!$B$9-Controls!$B$8)*K162/2147483647))</f>
        <v/>
      </c>
    </row>
    <row r="163" ht="21.0" customHeight="1">
      <c r="A163" s="7" t="str">
        <f>IF(162&lt;=Controls!$B$5,Controls!$B$4+161,"")</f>
        <v/>
      </c>
      <c r="B163" s="10" t="str">
        <f>IF(OR($A163="",1&gt;Controls!$B$6),"",MOD(L162*48271,2147483647))</f>
        <v/>
      </c>
      <c r="C163" s="10" t="str">
        <f>IF(OR($A163="",2&gt;Controls!$B$6),"",MOD(M162*48271,2147483647))</f>
        <v/>
      </c>
      <c r="D163" s="10" t="str">
        <f>IF(OR($A163="",3&gt;Controls!$B$6),"",MOD(N162*48271,2147483647))</f>
        <v/>
      </c>
      <c r="E163" s="10" t="str">
        <f>IF(OR($A163="",4&gt;Controls!$B$6),"",MOD(O162*48271,2147483647))</f>
        <v/>
      </c>
      <c r="F163" s="10" t="str">
        <f>IF(OR($A163="",5&gt;Controls!$B$6),"",MOD(P162*48271,2147483647))</f>
        <v/>
      </c>
      <c r="G163" s="10" t="str">
        <f>IF(OR($A163="",6&gt;Controls!$B$6),"",MOD(Q162*48271,2147483647))</f>
        <v/>
      </c>
      <c r="H163" s="10" t="str">
        <f>IF(OR($A163="",7&gt;Controls!$B$6),"",MOD(R162*48271,2147483647))</f>
        <v/>
      </c>
      <c r="I163" s="10" t="str">
        <f>IF(OR($A163="",8&gt;Controls!$B$6),"",MOD(S162*48271,2147483647))</f>
        <v/>
      </c>
      <c r="J163" s="10" t="str">
        <f>IF(OR($A163="",9&gt;Controls!$B$6),"",MOD(T162*48271,2147483647))</f>
        <v/>
      </c>
      <c r="K163" s="10" t="str">
        <f>IF(OR($A163="",10&gt;Controls!$B$6),"",MOD(U162*48271,2147483647))</f>
        <v/>
      </c>
      <c r="L163" s="10" t="str">
        <f t="shared" ref="L163:U163" si="162">IF(B163="","",MOD(B163*48271,2147483647))</f>
        <v/>
      </c>
      <c r="M163" s="10" t="str">
        <f t="shared" si="162"/>
        <v/>
      </c>
      <c r="N163" s="10" t="str">
        <f t="shared" si="162"/>
        <v/>
      </c>
      <c r="O163" s="10" t="str">
        <f t="shared" si="162"/>
        <v/>
      </c>
      <c r="P163" s="10" t="str">
        <f t="shared" si="162"/>
        <v/>
      </c>
      <c r="Q163" s="10" t="str">
        <f t="shared" si="162"/>
        <v/>
      </c>
      <c r="R163" s="10" t="str">
        <f t="shared" si="162"/>
        <v/>
      </c>
      <c r="S163" s="10" t="str">
        <f t="shared" si="162"/>
        <v/>
      </c>
      <c r="T163" s="10" t="str">
        <f t="shared" si="162"/>
        <v/>
      </c>
      <c r="U163" s="10" t="str">
        <f t="shared" si="162"/>
        <v/>
      </c>
      <c r="V163" s="10" t="str">
        <f>IF(B163="","",IF(Controls!$B$7="Normal",Controls!$B$8+Controls!$B$9*SQRT(-2*LN(B163/2147483647))*COS(2*PI()*L163/2147483647),Controls!$B$8+(Controls!$B$9-Controls!$B$8)*B163/2147483647))</f>
        <v/>
      </c>
      <c r="W163" s="10" t="str">
        <f>IF(C163="","",IF(Controls!$B$7="Normal",Controls!$B$8+Controls!$B$9*SQRT(-2*LN(C163/2147483647))*COS(2*PI()*M163/2147483647),Controls!$B$8+(Controls!$B$9-Controls!$B$8)*C163/2147483647))</f>
        <v/>
      </c>
      <c r="X163" s="10" t="str">
        <f>IF(D163="","",IF(Controls!$B$7="Normal",Controls!$B$8+Controls!$B$9*SQRT(-2*LN(D163/2147483647))*COS(2*PI()*N163/2147483647),Controls!$B$8+(Controls!$B$9-Controls!$B$8)*D163/2147483647))</f>
        <v/>
      </c>
      <c r="Y163" s="10" t="str">
        <f>IF(E163="","",IF(Controls!$B$7="Normal",Controls!$B$8+Controls!$B$9*SQRT(-2*LN(E163/2147483647))*COS(2*PI()*O163/2147483647),Controls!$B$8+(Controls!$B$9-Controls!$B$8)*E163/2147483647))</f>
        <v/>
      </c>
      <c r="Z163" s="10" t="str">
        <f>IF(F163="","",IF(Controls!$B$7="Normal",Controls!$B$8+Controls!$B$9*SQRT(-2*LN(F163/2147483647))*COS(2*PI()*P163/2147483647),Controls!$B$8+(Controls!$B$9-Controls!$B$8)*F163/2147483647))</f>
        <v/>
      </c>
      <c r="AA163" s="10" t="str">
        <f>IF(G163="","",IF(Controls!$B$7="Normal",Controls!$B$8+Controls!$B$9*SQRT(-2*LN(G163/2147483647))*COS(2*PI()*Q163/2147483647),Controls!$B$8+(Controls!$B$9-Controls!$B$8)*G163/2147483647))</f>
        <v/>
      </c>
      <c r="AB163" s="10" t="str">
        <f>IF(H163="","",IF(Controls!$B$7="Normal",Controls!$B$8+Controls!$B$9*SQRT(-2*LN(H163/2147483647))*COS(2*PI()*R163/2147483647),Controls!$B$8+(Controls!$B$9-Controls!$B$8)*H163/2147483647))</f>
        <v/>
      </c>
      <c r="AC163" s="10" t="str">
        <f>IF(I163="","",IF(Controls!$B$7="Normal",Controls!$B$8+Controls!$B$9*SQRT(-2*LN(I163/2147483647))*COS(2*PI()*S163/2147483647),Controls!$B$8+(Controls!$B$9-Controls!$B$8)*I163/2147483647))</f>
        <v/>
      </c>
      <c r="AD163" s="10" t="str">
        <f>IF(J163="","",IF(Controls!$B$7="Normal",Controls!$B$8+Controls!$B$9*SQRT(-2*LN(J163/2147483647))*COS(2*PI()*T163/2147483647),Controls!$B$8+(Controls!$B$9-Controls!$B$8)*J163/2147483647))</f>
        <v/>
      </c>
      <c r="AE163" s="10" t="str">
        <f>IF(K163="","",IF(Controls!$B$7="Normal",Controls!$B$8+Controls!$B$9*SQRT(-2*LN(K163/2147483647))*COS(2*PI()*U163/2147483647),Controls!$B$8+(Controls!$B$9-Controls!$B$8)*K163/2147483647))</f>
        <v/>
      </c>
    </row>
    <row r="164" ht="21.0" customHeight="1">
      <c r="A164" s="7" t="str">
        <f>IF(163&lt;=Controls!$B$5,Controls!$B$4+162,"")</f>
        <v/>
      </c>
      <c r="B164" s="10" t="str">
        <f>IF(OR($A164="",1&gt;Controls!$B$6),"",MOD(L163*48271,2147483647))</f>
        <v/>
      </c>
      <c r="C164" s="10" t="str">
        <f>IF(OR($A164="",2&gt;Controls!$B$6),"",MOD(M163*48271,2147483647))</f>
        <v/>
      </c>
      <c r="D164" s="10" t="str">
        <f>IF(OR($A164="",3&gt;Controls!$B$6),"",MOD(N163*48271,2147483647))</f>
        <v/>
      </c>
      <c r="E164" s="10" t="str">
        <f>IF(OR($A164="",4&gt;Controls!$B$6),"",MOD(O163*48271,2147483647))</f>
        <v/>
      </c>
      <c r="F164" s="10" t="str">
        <f>IF(OR($A164="",5&gt;Controls!$B$6),"",MOD(P163*48271,2147483647))</f>
        <v/>
      </c>
      <c r="G164" s="10" t="str">
        <f>IF(OR($A164="",6&gt;Controls!$B$6),"",MOD(Q163*48271,2147483647))</f>
        <v/>
      </c>
      <c r="H164" s="10" t="str">
        <f>IF(OR($A164="",7&gt;Controls!$B$6),"",MOD(R163*48271,2147483647))</f>
        <v/>
      </c>
      <c r="I164" s="10" t="str">
        <f>IF(OR($A164="",8&gt;Controls!$B$6),"",MOD(S163*48271,2147483647))</f>
        <v/>
      </c>
      <c r="J164" s="10" t="str">
        <f>IF(OR($A164="",9&gt;Controls!$B$6),"",MOD(T163*48271,2147483647))</f>
        <v/>
      </c>
      <c r="K164" s="10" t="str">
        <f>IF(OR($A164="",10&gt;Controls!$B$6),"",MOD(U163*48271,2147483647))</f>
        <v/>
      </c>
      <c r="L164" s="10" t="str">
        <f t="shared" ref="L164:U164" si="163">IF(B164="","",MOD(B164*48271,2147483647))</f>
        <v/>
      </c>
      <c r="M164" s="10" t="str">
        <f t="shared" si="163"/>
        <v/>
      </c>
      <c r="N164" s="10" t="str">
        <f t="shared" si="163"/>
        <v/>
      </c>
      <c r="O164" s="10" t="str">
        <f t="shared" si="163"/>
        <v/>
      </c>
      <c r="P164" s="10" t="str">
        <f t="shared" si="163"/>
        <v/>
      </c>
      <c r="Q164" s="10" t="str">
        <f t="shared" si="163"/>
        <v/>
      </c>
      <c r="R164" s="10" t="str">
        <f t="shared" si="163"/>
        <v/>
      </c>
      <c r="S164" s="10" t="str">
        <f t="shared" si="163"/>
        <v/>
      </c>
      <c r="T164" s="10" t="str">
        <f t="shared" si="163"/>
        <v/>
      </c>
      <c r="U164" s="10" t="str">
        <f t="shared" si="163"/>
        <v/>
      </c>
      <c r="V164" s="10" t="str">
        <f>IF(B164="","",IF(Controls!$B$7="Normal",Controls!$B$8+Controls!$B$9*SQRT(-2*LN(B164/2147483647))*COS(2*PI()*L164/2147483647),Controls!$B$8+(Controls!$B$9-Controls!$B$8)*B164/2147483647))</f>
        <v/>
      </c>
      <c r="W164" s="10" t="str">
        <f>IF(C164="","",IF(Controls!$B$7="Normal",Controls!$B$8+Controls!$B$9*SQRT(-2*LN(C164/2147483647))*COS(2*PI()*M164/2147483647),Controls!$B$8+(Controls!$B$9-Controls!$B$8)*C164/2147483647))</f>
        <v/>
      </c>
      <c r="X164" s="10" t="str">
        <f>IF(D164="","",IF(Controls!$B$7="Normal",Controls!$B$8+Controls!$B$9*SQRT(-2*LN(D164/2147483647))*COS(2*PI()*N164/2147483647),Controls!$B$8+(Controls!$B$9-Controls!$B$8)*D164/2147483647))</f>
        <v/>
      </c>
      <c r="Y164" s="10" t="str">
        <f>IF(E164="","",IF(Controls!$B$7="Normal",Controls!$B$8+Controls!$B$9*SQRT(-2*LN(E164/2147483647))*COS(2*PI()*O164/2147483647),Controls!$B$8+(Controls!$B$9-Controls!$B$8)*E164/2147483647))</f>
        <v/>
      </c>
      <c r="Z164" s="10" t="str">
        <f>IF(F164="","",IF(Controls!$B$7="Normal",Controls!$B$8+Controls!$B$9*SQRT(-2*LN(F164/2147483647))*COS(2*PI()*P164/2147483647),Controls!$B$8+(Controls!$B$9-Controls!$B$8)*F164/2147483647))</f>
        <v/>
      </c>
      <c r="AA164" s="10" t="str">
        <f>IF(G164="","",IF(Controls!$B$7="Normal",Controls!$B$8+Controls!$B$9*SQRT(-2*LN(G164/2147483647))*COS(2*PI()*Q164/2147483647),Controls!$B$8+(Controls!$B$9-Controls!$B$8)*G164/2147483647))</f>
        <v/>
      </c>
      <c r="AB164" s="10" t="str">
        <f>IF(H164="","",IF(Controls!$B$7="Normal",Controls!$B$8+Controls!$B$9*SQRT(-2*LN(H164/2147483647))*COS(2*PI()*R164/2147483647),Controls!$B$8+(Controls!$B$9-Controls!$B$8)*H164/2147483647))</f>
        <v/>
      </c>
      <c r="AC164" s="10" t="str">
        <f>IF(I164="","",IF(Controls!$B$7="Normal",Controls!$B$8+Controls!$B$9*SQRT(-2*LN(I164/2147483647))*COS(2*PI()*S164/2147483647),Controls!$B$8+(Controls!$B$9-Controls!$B$8)*I164/2147483647))</f>
        <v/>
      </c>
      <c r="AD164" s="10" t="str">
        <f>IF(J164="","",IF(Controls!$B$7="Normal",Controls!$B$8+Controls!$B$9*SQRT(-2*LN(J164/2147483647))*COS(2*PI()*T164/2147483647),Controls!$B$8+(Controls!$B$9-Controls!$B$8)*J164/2147483647))</f>
        <v/>
      </c>
      <c r="AE164" s="10" t="str">
        <f>IF(K164="","",IF(Controls!$B$7="Normal",Controls!$B$8+Controls!$B$9*SQRT(-2*LN(K164/2147483647))*COS(2*PI()*U164/2147483647),Controls!$B$8+(Controls!$B$9-Controls!$B$8)*K164/2147483647))</f>
        <v/>
      </c>
    </row>
    <row r="165" ht="21.0" customHeight="1">
      <c r="A165" s="7" t="str">
        <f>IF(164&lt;=Controls!$B$5,Controls!$B$4+163,"")</f>
        <v/>
      </c>
      <c r="B165" s="10" t="str">
        <f>IF(OR($A165="",1&gt;Controls!$B$6),"",MOD(L164*48271,2147483647))</f>
        <v/>
      </c>
      <c r="C165" s="10" t="str">
        <f>IF(OR($A165="",2&gt;Controls!$B$6),"",MOD(M164*48271,2147483647))</f>
        <v/>
      </c>
      <c r="D165" s="10" t="str">
        <f>IF(OR($A165="",3&gt;Controls!$B$6),"",MOD(N164*48271,2147483647))</f>
        <v/>
      </c>
      <c r="E165" s="10" t="str">
        <f>IF(OR($A165="",4&gt;Controls!$B$6),"",MOD(O164*48271,2147483647))</f>
        <v/>
      </c>
      <c r="F165" s="10" t="str">
        <f>IF(OR($A165="",5&gt;Controls!$B$6),"",MOD(P164*48271,2147483647))</f>
        <v/>
      </c>
      <c r="G165" s="10" t="str">
        <f>IF(OR($A165="",6&gt;Controls!$B$6),"",MOD(Q164*48271,2147483647))</f>
        <v/>
      </c>
      <c r="H165" s="10" t="str">
        <f>IF(OR($A165="",7&gt;Controls!$B$6),"",MOD(R164*48271,2147483647))</f>
        <v/>
      </c>
      <c r="I165" s="10" t="str">
        <f>IF(OR($A165="",8&gt;Controls!$B$6),"",MOD(S164*48271,2147483647))</f>
        <v/>
      </c>
      <c r="J165" s="10" t="str">
        <f>IF(OR($A165="",9&gt;Controls!$B$6),"",MOD(T164*48271,2147483647))</f>
        <v/>
      </c>
      <c r="K165" s="10" t="str">
        <f>IF(OR($A165="",10&gt;Controls!$B$6),"",MOD(U164*48271,2147483647))</f>
        <v/>
      </c>
      <c r="L165" s="10" t="str">
        <f t="shared" ref="L165:U165" si="164">IF(B165="","",MOD(B165*48271,2147483647))</f>
        <v/>
      </c>
      <c r="M165" s="10" t="str">
        <f t="shared" si="164"/>
        <v/>
      </c>
      <c r="N165" s="10" t="str">
        <f t="shared" si="164"/>
        <v/>
      </c>
      <c r="O165" s="10" t="str">
        <f t="shared" si="164"/>
        <v/>
      </c>
      <c r="P165" s="10" t="str">
        <f t="shared" si="164"/>
        <v/>
      </c>
      <c r="Q165" s="10" t="str">
        <f t="shared" si="164"/>
        <v/>
      </c>
      <c r="R165" s="10" t="str">
        <f t="shared" si="164"/>
        <v/>
      </c>
      <c r="S165" s="10" t="str">
        <f t="shared" si="164"/>
        <v/>
      </c>
      <c r="T165" s="10" t="str">
        <f t="shared" si="164"/>
        <v/>
      </c>
      <c r="U165" s="10" t="str">
        <f t="shared" si="164"/>
        <v/>
      </c>
      <c r="V165" s="10" t="str">
        <f>IF(B165="","",IF(Controls!$B$7="Normal",Controls!$B$8+Controls!$B$9*SQRT(-2*LN(B165/2147483647))*COS(2*PI()*L165/2147483647),Controls!$B$8+(Controls!$B$9-Controls!$B$8)*B165/2147483647))</f>
        <v/>
      </c>
      <c r="W165" s="10" t="str">
        <f>IF(C165="","",IF(Controls!$B$7="Normal",Controls!$B$8+Controls!$B$9*SQRT(-2*LN(C165/2147483647))*COS(2*PI()*M165/2147483647),Controls!$B$8+(Controls!$B$9-Controls!$B$8)*C165/2147483647))</f>
        <v/>
      </c>
      <c r="X165" s="10" t="str">
        <f>IF(D165="","",IF(Controls!$B$7="Normal",Controls!$B$8+Controls!$B$9*SQRT(-2*LN(D165/2147483647))*COS(2*PI()*N165/2147483647),Controls!$B$8+(Controls!$B$9-Controls!$B$8)*D165/2147483647))</f>
        <v/>
      </c>
      <c r="Y165" s="10" t="str">
        <f>IF(E165="","",IF(Controls!$B$7="Normal",Controls!$B$8+Controls!$B$9*SQRT(-2*LN(E165/2147483647))*COS(2*PI()*O165/2147483647),Controls!$B$8+(Controls!$B$9-Controls!$B$8)*E165/2147483647))</f>
        <v/>
      </c>
      <c r="Z165" s="10" t="str">
        <f>IF(F165="","",IF(Controls!$B$7="Normal",Controls!$B$8+Controls!$B$9*SQRT(-2*LN(F165/2147483647))*COS(2*PI()*P165/2147483647),Controls!$B$8+(Controls!$B$9-Controls!$B$8)*F165/2147483647))</f>
        <v/>
      </c>
      <c r="AA165" s="10" t="str">
        <f>IF(G165="","",IF(Controls!$B$7="Normal",Controls!$B$8+Controls!$B$9*SQRT(-2*LN(G165/2147483647))*COS(2*PI()*Q165/2147483647),Controls!$B$8+(Controls!$B$9-Controls!$B$8)*G165/2147483647))</f>
        <v/>
      </c>
      <c r="AB165" s="10" t="str">
        <f>IF(H165="","",IF(Controls!$B$7="Normal",Controls!$B$8+Controls!$B$9*SQRT(-2*LN(H165/2147483647))*COS(2*PI()*R165/2147483647),Controls!$B$8+(Controls!$B$9-Controls!$B$8)*H165/2147483647))</f>
        <v/>
      </c>
      <c r="AC165" s="10" t="str">
        <f>IF(I165="","",IF(Controls!$B$7="Normal",Controls!$B$8+Controls!$B$9*SQRT(-2*LN(I165/2147483647))*COS(2*PI()*S165/2147483647),Controls!$B$8+(Controls!$B$9-Controls!$B$8)*I165/2147483647))</f>
        <v/>
      </c>
      <c r="AD165" s="10" t="str">
        <f>IF(J165="","",IF(Controls!$B$7="Normal",Controls!$B$8+Controls!$B$9*SQRT(-2*LN(J165/2147483647))*COS(2*PI()*T165/2147483647),Controls!$B$8+(Controls!$B$9-Controls!$B$8)*J165/2147483647))</f>
        <v/>
      </c>
      <c r="AE165" s="10" t="str">
        <f>IF(K165="","",IF(Controls!$B$7="Normal",Controls!$B$8+Controls!$B$9*SQRT(-2*LN(K165/2147483647))*COS(2*PI()*U165/2147483647),Controls!$B$8+(Controls!$B$9-Controls!$B$8)*K165/2147483647))</f>
        <v/>
      </c>
    </row>
    <row r="166" ht="21.0" customHeight="1">
      <c r="A166" s="7" t="str">
        <f>IF(165&lt;=Controls!$B$5,Controls!$B$4+164,"")</f>
        <v/>
      </c>
      <c r="B166" s="10" t="str">
        <f>IF(OR($A166="",1&gt;Controls!$B$6),"",MOD(L165*48271,2147483647))</f>
        <v/>
      </c>
      <c r="C166" s="10" t="str">
        <f>IF(OR($A166="",2&gt;Controls!$B$6),"",MOD(M165*48271,2147483647))</f>
        <v/>
      </c>
      <c r="D166" s="10" t="str">
        <f>IF(OR($A166="",3&gt;Controls!$B$6),"",MOD(N165*48271,2147483647))</f>
        <v/>
      </c>
      <c r="E166" s="10" t="str">
        <f>IF(OR($A166="",4&gt;Controls!$B$6),"",MOD(O165*48271,2147483647))</f>
        <v/>
      </c>
      <c r="F166" s="10" t="str">
        <f>IF(OR($A166="",5&gt;Controls!$B$6),"",MOD(P165*48271,2147483647))</f>
        <v/>
      </c>
      <c r="G166" s="10" t="str">
        <f>IF(OR($A166="",6&gt;Controls!$B$6),"",MOD(Q165*48271,2147483647))</f>
        <v/>
      </c>
      <c r="H166" s="10" t="str">
        <f>IF(OR($A166="",7&gt;Controls!$B$6),"",MOD(R165*48271,2147483647))</f>
        <v/>
      </c>
      <c r="I166" s="10" t="str">
        <f>IF(OR($A166="",8&gt;Controls!$B$6),"",MOD(S165*48271,2147483647))</f>
        <v/>
      </c>
      <c r="J166" s="10" t="str">
        <f>IF(OR($A166="",9&gt;Controls!$B$6),"",MOD(T165*48271,2147483647))</f>
        <v/>
      </c>
      <c r="K166" s="10" t="str">
        <f>IF(OR($A166="",10&gt;Controls!$B$6),"",MOD(U165*48271,2147483647))</f>
        <v/>
      </c>
      <c r="L166" s="10" t="str">
        <f t="shared" ref="L166:U166" si="165">IF(B166="","",MOD(B166*48271,2147483647))</f>
        <v/>
      </c>
      <c r="M166" s="10" t="str">
        <f t="shared" si="165"/>
        <v/>
      </c>
      <c r="N166" s="10" t="str">
        <f t="shared" si="165"/>
        <v/>
      </c>
      <c r="O166" s="10" t="str">
        <f t="shared" si="165"/>
        <v/>
      </c>
      <c r="P166" s="10" t="str">
        <f t="shared" si="165"/>
        <v/>
      </c>
      <c r="Q166" s="10" t="str">
        <f t="shared" si="165"/>
        <v/>
      </c>
      <c r="R166" s="10" t="str">
        <f t="shared" si="165"/>
        <v/>
      </c>
      <c r="S166" s="10" t="str">
        <f t="shared" si="165"/>
        <v/>
      </c>
      <c r="T166" s="10" t="str">
        <f t="shared" si="165"/>
        <v/>
      </c>
      <c r="U166" s="10" t="str">
        <f t="shared" si="165"/>
        <v/>
      </c>
      <c r="V166" s="10" t="str">
        <f>IF(B166="","",IF(Controls!$B$7="Normal",Controls!$B$8+Controls!$B$9*SQRT(-2*LN(B166/2147483647))*COS(2*PI()*L166/2147483647),Controls!$B$8+(Controls!$B$9-Controls!$B$8)*B166/2147483647))</f>
        <v/>
      </c>
      <c r="W166" s="10" t="str">
        <f>IF(C166="","",IF(Controls!$B$7="Normal",Controls!$B$8+Controls!$B$9*SQRT(-2*LN(C166/2147483647))*COS(2*PI()*M166/2147483647),Controls!$B$8+(Controls!$B$9-Controls!$B$8)*C166/2147483647))</f>
        <v/>
      </c>
      <c r="X166" s="10" t="str">
        <f>IF(D166="","",IF(Controls!$B$7="Normal",Controls!$B$8+Controls!$B$9*SQRT(-2*LN(D166/2147483647))*COS(2*PI()*N166/2147483647),Controls!$B$8+(Controls!$B$9-Controls!$B$8)*D166/2147483647))</f>
        <v/>
      </c>
      <c r="Y166" s="10" t="str">
        <f>IF(E166="","",IF(Controls!$B$7="Normal",Controls!$B$8+Controls!$B$9*SQRT(-2*LN(E166/2147483647))*COS(2*PI()*O166/2147483647),Controls!$B$8+(Controls!$B$9-Controls!$B$8)*E166/2147483647))</f>
        <v/>
      </c>
      <c r="Z166" s="10" t="str">
        <f>IF(F166="","",IF(Controls!$B$7="Normal",Controls!$B$8+Controls!$B$9*SQRT(-2*LN(F166/2147483647))*COS(2*PI()*P166/2147483647),Controls!$B$8+(Controls!$B$9-Controls!$B$8)*F166/2147483647))</f>
        <v/>
      </c>
      <c r="AA166" s="10" t="str">
        <f>IF(G166="","",IF(Controls!$B$7="Normal",Controls!$B$8+Controls!$B$9*SQRT(-2*LN(G166/2147483647))*COS(2*PI()*Q166/2147483647),Controls!$B$8+(Controls!$B$9-Controls!$B$8)*G166/2147483647))</f>
        <v/>
      </c>
      <c r="AB166" s="10" t="str">
        <f>IF(H166="","",IF(Controls!$B$7="Normal",Controls!$B$8+Controls!$B$9*SQRT(-2*LN(H166/2147483647))*COS(2*PI()*R166/2147483647),Controls!$B$8+(Controls!$B$9-Controls!$B$8)*H166/2147483647))</f>
        <v/>
      </c>
      <c r="AC166" s="10" t="str">
        <f>IF(I166="","",IF(Controls!$B$7="Normal",Controls!$B$8+Controls!$B$9*SQRT(-2*LN(I166/2147483647))*COS(2*PI()*S166/2147483647),Controls!$B$8+(Controls!$B$9-Controls!$B$8)*I166/2147483647))</f>
        <v/>
      </c>
      <c r="AD166" s="10" t="str">
        <f>IF(J166="","",IF(Controls!$B$7="Normal",Controls!$B$8+Controls!$B$9*SQRT(-2*LN(J166/2147483647))*COS(2*PI()*T166/2147483647),Controls!$B$8+(Controls!$B$9-Controls!$B$8)*J166/2147483647))</f>
        <v/>
      </c>
      <c r="AE166" s="10" t="str">
        <f>IF(K166="","",IF(Controls!$B$7="Normal",Controls!$B$8+Controls!$B$9*SQRT(-2*LN(K166/2147483647))*COS(2*PI()*U166/2147483647),Controls!$B$8+(Controls!$B$9-Controls!$B$8)*K166/2147483647))</f>
        <v/>
      </c>
    </row>
    <row r="167" ht="21.0" customHeight="1">
      <c r="A167" s="7" t="str">
        <f>IF(166&lt;=Controls!$B$5,Controls!$B$4+165,"")</f>
        <v/>
      </c>
      <c r="B167" s="10" t="str">
        <f>IF(OR($A167="",1&gt;Controls!$B$6),"",MOD(L166*48271,2147483647))</f>
        <v/>
      </c>
      <c r="C167" s="10" t="str">
        <f>IF(OR($A167="",2&gt;Controls!$B$6),"",MOD(M166*48271,2147483647))</f>
        <v/>
      </c>
      <c r="D167" s="10" t="str">
        <f>IF(OR($A167="",3&gt;Controls!$B$6),"",MOD(N166*48271,2147483647))</f>
        <v/>
      </c>
      <c r="E167" s="10" t="str">
        <f>IF(OR($A167="",4&gt;Controls!$B$6),"",MOD(O166*48271,2147483647))</f>
        <v/>
      </c>
      <c r="F167" s="10" t="str">
        <f>IF(OR($A167="",5&gt;Controls!$B$6),"",MOD(P166*48271,2147483647))</f>
        <v/>
      </c>
      <c r="G167" s="10" t="str">
        <f>IF(OR($A167="",6&gt;Controls!$B$6),"",MOD(Q166*48271,2147483647))</f>
        <v/>
      </c>
      <c r="H167" s="10" t="str">
        <f>IF(OR($A167="",7&gt;Controls!$B$6),"",MOD(R166*48271,2147483647))</f>
        <v/>
      </c>
      <c r="I167" s="10" t="str">
        <f>IF(OR($A167="",8&gt;Controls!$B$6),"",MOD(S166*48271,2147483647))</f>
        <v/>
      </c>
      <c r="J167" s="10" t="str">
        <f>IF(OR($A167="",9&gt;Controls!$B$6),"",MOD(T166*48271,2147483647))</f>
        <v/>
      </c>
      <c r="K167" s="10" t="str">
        <f>IF(OR($A167="",10&gt;Controls!$B$6),"",MOD(U166*48271,2147483647))</f>
        <v/>
      </c>
      <c r="L167" s="10" t="str">
        <f t="shared" ref="L167:U167" si="166">IF(B167="","",MOD(B167*48271,2147483647))</f>
        <v/>
      </c>
      <c r="M167" s="10" t="str">
        <f t="shared" si="166"/>
        <v/>
      </c>
      <c r="N167" s="10" t="str">
        <f t="shared" si="166"/>
        <v/>
      </c>
      <c r="O167" s="10" t="str">
        <f t="shared" si="166"/>
        <v/>
      </c>
      <c r="P167" s="10" t="str">
        <f t="shared" si="166"/>
        <v/>
      </c>
      <c r="Q167" s="10" t="str">
        <f t="shared" si="166"/>
        <v/>
      </c>
      <c r="R167" s="10" t="str">
        <f t="shared" si="166"/>
        <v/>
      </c>
      <c r="S167" s="10" t="str">
        <f t="shared" si="166"/>
        <v/>
      </c>
      <c r="T167" s="10" t="str">
        <f t="shared" si="166"/>
        <v/>
      </c>
      <c r="U167" s="10" t="str">
        <f t="shared" si="166"/>
        <v/>
      </c>
      <c r="V167" s="10" t="str">
        <f>IF(B167="","",IF(Controls!$B$7="Normal",Controls!$B$8+Controls!$B$9*SQRT(-2*LN(B167/2147483647))*COS(2*PI()*L167/2147483647),Controls!$B$8+(Controls!$B$9-Controls!$B$8)*B167/2147483647))</f>
        <v/>
      </c>
      <c r="W167" s="10" t="str">
        <f>IF(C167="","",IF(Controls!$B$7="Normal",Controls!$B$8+Controls!$B$9*SQRT(-2*LN(C167/2147483647))*COS(2*PI()*M167/2147483647),Controls!$B$8+(Controls!$B$9-Controls!$B$8)*C167/2147483647))</f>
        <v/>
      </c>
      <c r="X167" s="10" t="str">
        <f>IF(D167="","",IF(Controls!$B$7="Normal",Controls!$B$8+Controls!$B$9*SQRT(-2*LN(D167/2147483647))*COS(2*PI()*N167/2147483647),Controls!$B$8+(Controls!$B$9-Controls!$B$8)*D167/2147483647))</f>
        <v/>
      </c>
      <c r="Y167" s="10" t="str">
        <f>IF(E167="","",IF(Controls!$B$7="Normal",Controls!$B$8+Controls!$B$9*SQRT(-2*LN(E167/2147483647))*COS(2*PI()*O167/2147483647),Controls!$B$8+(Controls!$B$9-Controls!$B$8)*E167/2147483647))</f>
        <v/>
      </c>
      <c r="Z167" s="10" t="str">
        <f>IF(F167="","",IF(Controls!$B$7="Normal",Controls!$B$8+Controls!$B$9*SQRT(-2*LN(F167/2147483647))*COS(2*PI()*P167/2147483647),Controls!$B$8+(Controls!$B$9-Controls!$B$8)*F167/2147483647))</f>
        <v/>
      </c>
      <c r="AA167" s="10" t="str">
        <f>IF(G167="","",IF(Controls!$B$7="Normal",Controls!$B$8+Controls!$B$9*SQRT(-2*LN(G167/2147483647))*COS(2*PI()*Q167/2147483647),Controls!$B$8+(Controls!$B$9-Controls!$B$8)*G167/2147483647))</f>
        <v/>
      </c>
      <c r="AB167" s="10" t="str">
        <f>IF(H167="","",IF(Controls!$B$7="Normal",Controls!$B$8+Controls!$B$9*SQRT(-2*LN(H167/2147483647))*COS(2*PI()*R167/2147483647),Controls!$B$8+(Controls!$B$9-Controls!$B$8)*H167/2147483647))</f>
        <v/>
      </c>
      <c r="AC167" s="10" t="str">
        <f>IF(I167="","",IF(Controls!$B$7="Normal",Controls!$B$8+Controls!$B$9*SQRT(-2*LN(I167/2147483647))*COS(2*PI()*S167/2147483647),Controls!$B$8+(Controls!$B$9-Controls!$B$8)*I167/2147483647))</f>
        <v/>
      </c>
      <c r="AD167" s="10" t="str">
        <f>IF(J167="","",IF(Controls!$B$7="Normal",Controls!$B$8+Controls!$B$9*SQRT(-2*LN(J167/2147483647))*COS(2*PI()*T167/2147483647),Controls!$B$8+(Controls!$B$9-Controls!$B$8)*J167/2147483647))</f>
        <v/>
      </c>
      <c r="AE167" s="10" t="str">
        <f>IF(K167="","",IF(Controls!$B$7="Normal",Controls!$B$8+Controls!$B$9*SQRT(-2*LN(K167/2147483647))*COS(2*PI()*U167/2147483647),Controls!$B$8+(Controls!$B$9-Controls!$B$8)*K167/2147483647))</f>
        <v/>
      </c>
    </row>
    <row r="168" ht="21.0" customHeight="1">
      <c r="A168" s="7" t="str">
        <f>IF(167&lt;=Controls!$B$5,Controls!$B$4+166,"")</f>
        <v/>
      </c>
      <c r="B168" s="10" t="str">
        <f>IF(OR($A168="",1&gt;Controls!$B$6),"",MOD(L167*48271,2147483647))</f>
        <v/>
      </c>
      <c r="C168" s="10" t="str">
        <f>IF(OR($A168="",2&gt;Controls!$B$6),"",MOD(M167*48271,2147483647))</f>
        <v/>
      </c>
      <c r="D168" s="10" t="str">
        <f>IF(OR($A168="",3&gt;Controls!$B$6),"",MOD(N167*48271,2147483647))</f>
        <v/>
      </c>
      <c r="E168" s="10" t="str">
        <f>IF(OR($A168="",4&gt;Controls!$B$6),"",MOD(O167*48271,2147483647))</f>
        <v/>
      </c>
      <c r="F168" s="10" t="str">
        <f>IF(OR($A168="",5&gt;Controls!$B$6),"",MOD(P167*48271,2147483647))</f>
        <v/>
      </c>
      <c r="G168" s="10" t="str">
        <f>IF(OR($A168="",6&gt;Controls!$B$6),"",MOD(Q167*48271,2147483647))</f>
        <v/>
      </c>
      <c r="H168" s="10" t="str">
        <f>IF(OR($A168="",7&gt;Controls!$B$6),"",MOD(R167*48271,2147483647))</f>
        <v/>
      </c>
      <c r="I168" s="10" t="str">
        <f>IF(OR($A168="",8&gt;Controls!$B$6),"",MOD(S167*48271,2147483647))</f>
        <v/>
      </c>
      <c r="J168" s="10" t="str">
        <f>IF(OR($A168="",9&gt;Controls!$B$6),"",MOD(T167*48271,2147483647))</f>
        <v/>
      </c>
      <c r="K168" s="10" t="str">
        <f>IF(OR($A168="",10&gt;Controls!$B$6),"",MOD(U167*48271,2147483647))</f>
        <v/>
      </c>
      <c r="L168" s="10" t="str">
        <f t="shared" ref="L168:U168" si="167">IF(B168="","",MOD(B168*48271,2147483647))</f>
        <v/>
      </c>
      <c r="M168" s="10" t="str">
        <f t="shared" si="167"/>
        <v/>
      </c>
      <c r="N168" s="10" t="str">
        <f t="shared" si="167"/>
        <v/>
      </c>
      <c r="O168" s="10" t="str">
        <f t="shared" si="167"/>
        <v/>
      </c>
      <c r="P168" s="10" t="str">
        <f t="shared" si="167"/>
        <v/>
      </c>
      <c r="Q168" s="10" t="str">
        <f t="shared" si="167"/>
        <v/>
      </c>
      <c r="R168" s="10" t="str">
        <f t="shared" si="167"/>
        <v/>
      </c>
      <c r="S168" s="10" t="str">
        <f t="shared" si="167"/>
        <v/>
      </c>
      <c r="T168" s="10" t="str">
        <f t="shared" si="167"/>
        <v/>
      </c>
      <c r="U168" s="10" t="str">
        <f t="shared" si="167"/>
        <v/>
      </c>
      <c r="V168" s="10" t="str">
        <f>IF(B168="","",IF(Controls!$B$7="Normal",Controls!$B$8+Controls!$B$9*SQRT(-2*LN(B168/2147483647))*COS(2*PI()*L168/2147483647),Controls!$B$8+(Controls!$B$9-Controls!$B$8)*B168/2147483647))</f>
        <v/>
      </c>
      <c r="W168" s="10" t="str">
        <f>IF(C168="","",IF(Controls!$B$7="Normal",Controls!$B$8+Controls!$B$9*SQRT(-2*LN(C168/2147483647))*COS(2*PI()*M168/2147483647),Controls!$B$8+(Controls!$B$9-Controls!$B$8)*C168/2147483647))</f>
        <v/>
      </c>
      <c r="X168" s="10" t="str">
        <f>IF(D168="","",IF(Controls!$B$7="Normal",Controls!$B$8+Controls!$B$9*SQRT(-2*LN(D168/2147483647))*COS(2*PI()*N168/2147483647),Controls!$B$8+(Controls!$B$9-Controls!$B$8)*D168/2147483647))</f>
        <v/>
      </c>
      <c r="Y168" s="10" t="str">
        <f>IF(E168="","",IF(Controls!$B$7="Normal",Controls!$B$8+Controls!$B$9*SQRT(-2*LN(E168/2147483647))*COS(2*PI()*O168/2147483647),Controls!$B$8+(Controls!$B$9-Controls!$B$8)*E168/2147483647))</f>
        <v/>
      </c>
      <c r="Z168" s="10" t="str">
        <f>IF(F168="","",IF(Controls!$B$7="Normal",Controls!$B$8+Controls!$B$9*SQRT(-2*LN(F168/2147483647))*COS(2*PI()*P168/2147483647),Controls!$B$8+(Controls!$B$9-Controls!$B$8)*F168/2147483647))</f>
        <v/>
      </c>
      <c r="AA168" s="10" t="str">
        <f>IF(G168="","",IF(Controls!$B$7="Normal",Controls!$B$8+Controls!$B$9*SQRT(-2*LN(G168/2147483647))*COS(2*PI()*Q168/2147483647),Controls!$B$8+(Controls!$B$9-Controls!$B$8)*G168/2147483647))</f>
        <v/>
      </c>
      <c r="AB168" s="10" t="str">
        <f>IF(H168="","",IF(Controls!$B$7="Normal",Controls!$B$8+Controls!$B$9*SQRT(-2*LN(H168/2147483647))*COS(2*PI()*R168/2147483647),Controls!$B$8+(Controls!$B$9-Controls!$B$8)*H168/2147483647))</f>
        <v/>
      </c>
      <c r="AC168" s="10" t="str">
        <f>IF(I168="","",IF(Controls!$B$7="Normal",Controls!$B$8+Controls!$B$9*SQRT(-2*LN(I168/2147483647))*COS(2*PI()*S168/2147483647),Controls!$B$8+(Controls!$B$9-Controls!$B$8)*I168/2147483647))</f>
        <v/>
      </c>
      <c r="AD168" s="10" t="str">
        <f>IF(J168="","",IF(Controls!$B$7="Normal",Controls!$B$8+Controls!$B$9*SQRT(-2*LN(J168/2147483647))*COS(2*PI()*T168/2147483647),Controls!$B$8+(Controls!$B$9-Controls!$B$8)*J168/2147483647))</f>
        <v/>
      </c>
      <c r="AE168" s="10" t="str">
        <f>IF(K168="","",IF(Controls!$B$7="Normal",Controls!$B$8+Controls!$B$9*SQRT(-2*LN(K168/2147483647))*COS(2*PI()*U168/2147483647),Controls!$B$8+(Controls!$B$9-Controls!$B$8)*K168/2147483647))</f>
        <v/>
      </c>
    </row>
    <row r="169" ht="21.0" customHeight="1">
      <c r="A169" s="7" t="str">
        <f>IF(168&lt;=Controls!$B$5,Controls!$B$4+167,"")</f>
        <v/>
      </c>
      <c r="B169" s="10" t="str">
        <f>IF(OR($A169="",1&gt;Controls!$B$6),"",MOD(L168*48271,2147483647))</f>
        <v/>
      </c>
      <c r="C169" s="10" t="str">
        <f>IF(OR($A169="",2&gt;Controls!$B$6),"",MOD(M168*48271,2147483647))</f>
        <v/>
      </c>
      <c r="D169" s="10" t="str">
        <f>IF(OR($A169="",3&gt;Controls!$B$6),"",MOD(N168*48271,2147483647))</f>
        <v/>
      </c>
      <c r="E169" s="10" t="str">
        <f>IF(OR($A169="",4&gt;Controls!$B$6),"",MOD(O168*48271,2147483647))</f>
        <v/>
      </c>
      <c r="F169" s="10" t="str">
        <f>IF(OR($A169="",5&gt;Controls!$B$6),"",MOD(P168*48271,2147483647))</f>
        <v/>
      </c>
      <c r="G169" s="10" t="str">
        <f>IF(OR($A169="",6&gt;Controls!$B$6),"",MOD(Q168*48271,2147483647))</f>
        <v/>
      </c>
      <c r="H169" s="10" t="str">
        <f>IF(OR($A169="",7&gt;Controls!$B$6),"",MOD(R168*48271,2147483647))</f>
        <v/>
      </c>
      <c r="I169" s="10" t="str">
        <f>IF(OR($A169="",8&gt;Controls!$B$6),"",MOD(S168*48271,2147483647))</f>
        <v/>
      </c>
      <c r="J169" s="10" t="str">
        <f>IF(OR($A169="",9&gt;Controls!$B$6),"",MOD(T168*48271,2147483647))</f>
        <v/>
      </c>
      <c r="K169" s="10" t="str">
        <f>IF(OR($A169="",10&gt;Controls!$B$6),"",MOD(U168*48271,2147483647))</f>
        <v/>
      </c>
      <c r="L169" s="10" t="str">
        <f t="shared" ref="L169:U169" si="168">IF(B169="","",MOD(B169*48271,2147483647))</f>
        <v/>
      </c>
      <c r="M169" s="10" t="str">
        <f t="shared" si="168"/>
        <v/>
      </c>
      <c r="N169" s="10" t="str">
        <f t="shared" si="168"/>
        <v/>
      </c>
      <c r="O169" s="10" t="str">
        <f t="shared" si="168"/>
        <v/>
      </c>
      <c r="P169" s="10" t="str">
        <f t="shared" si="168"/>
        <v/>
      </c>
      <c r="Q169" s="10" t="str">
        <f t="shared" si="168"/>
        <v/>
      </c>
      <c r="R169" s="10" t="str">
        <f t="shared" si="168"/>
        <v/>
      </c>
      <c r="S169" s="10" t="str">
        <f t="shared" si="168"/>
        <v/>
      </c>
      <c r="T169" s="10" t="str">
        <f t="shared" si="168"/>
        <v/>
      </c>
      <c r="U169" s="10" t="str">
        <f t="shared" si="168"/>
        <v/>
      </c>
      <c r="V169" s="10" t="str">
        <f>IF(B169="","",IF(Controls!$B$7="Normal",Controls!$B$8+Controls!$B$9*SQRT(-2*LN(B169/2147483647))*COS(2*PI()*L169/2147483647),Controls!$B$8+(Controls!$B$9-Controls!$B$8)*B169/2147483647))</f>
        <v/>
      </c>
      <c r="W169" s="10" t="str">
        <f>IF(C169="","",IF(Controls!$B$7="Normal",Controls!$B$8+Controls!$B$9*SQRT(-2*LN(C169/2147483647))*COS(2*PI()*M169/2147483647),Controls!$B$8+(Controls!$B$9-Controls!$B$8)*C169/2147483647))</f>
        <v/>
      </c>
      <c r="X169" s="10" t="str">
        <f>IF(D169="","",IF(Controls!$B$7="Normal",Controls!$B$8+Controls!$B$9*SQRT(-2*LN(D169/2147483647))*COS(2*PI()*N169/2147483647),Controls!$B$8+(Controls!$B$9-Controls!$B$8)*D169/2147483647))</f>
        <v/>
      </c>
      <c r="Y169" s="10" t="str">
        <f>IF(E169="","",IF(Controls!$B$7="Normal",Controls!$B$8+Controls!$B$9*SQRT(-2*LN(E169/2147483647))*COS(2*PI()*O169/2147483647),Controls!$B$8+(Controls!$B$9-Controls!$B$8)*E169/2147483647))</f>
        <v/>
      </c>
      <c r="Z169" s="10" t="str">
        <f>IF(F169="","",IF(Controls!$B$7="Normal",Controls!$B$8+Controls!$B$9*SQRT(-2*LN(F169/2147483647))*COS(2*PI()*P169/2147483647),Controls!$B$8+(Controls!$B$9-Controls!$B$8)*F169/2147483647))</f>
        <v/>
      </c>
      <c r="AA169" s="10" t="str">
        <f>IF(G169="","",IF(Controls!$B$7="Normal",Controls!$B$8+Controls!$B$9*SQRT(-2*LN(G169/2147483647))*COS(2*PI()*Q169/2147483647),Controls!$B$8+(Controls!$B$9-Controls!$B$8)*G169/2147483647))</f>
        <v/>
      </c>
      <c r="AB169" s="10" t="str">
        <f>IF(H169="","",IF(Controls!$B$7="Normal",Controls!$B$8+Controls!$B$9*SQRT(-2*LN(H169/2147483647))*COS(2*PI()*R169/2147483647),Controls!$B$8+(Controls!$B$9-Controls!$B$8)*H169/2147483647))</f>
        <v/>
      </c>
      <c r="AC169" s="10" t="str">
        <f>IF(I169="","",IF(Controls!$B$7="Normal",Controls!$B$8+Controls!$B$9*SQRT(-2*LN(I169/2147483647))*COS(2*PI()*S169/2147483647),Controls!$B$8+(Controls!$B$9-Controls!$B$8)*I169/2147483647))</f>
        <v/>
      </c>
      <c r="AD169" s="10" t="str">
        <f>IF(J169="","",IF(Controls!$B$7="Normal",Controls!$B$8+Controls!$B$9*SQRT(-2*LN(J169/2147483647))*COS(2*PI()*T169/2147483647),Controls!$B$8+(Controls!$B$9-Controls!$B$8)*J169/2147483647))</f>
        <v/>
      </c>
      <c r="AE169" s="10" t="str">
        <f>IF(K169="","",IF(Controls!$B$7="Normal",Controls!$B$8+Controls!$B$9*SQRT(-2*LN(K169/2147483647))*COS(2*PI()*U169/2147483647),Controls!$B$8+(Controls!$B$9-Controls!$B$8)*K169/2147483647))</f>
        <v/>
      </c>
    </row>
    <row r="170" ht="21.0" customHeight="1">
      <c r="A170" s="7" t="str">
        <f>IF(169&lt;=Controls!$B$5,Controls!$B$4+168,"")</f>
        <v/>
      </c>
      <c r="B170" s="10" t="str">
        <f>IF(OR($A170="",1&gt;Controls!$B$6),"",MOD(L169*48271,2147483647))</f>
        <v/>
      </c>
      <c r="C170" s="10" t="str">
        <f>IF(OR($A170="",2&gt;Controls!$B$6),"",MOD(M169*48271,2147483647))</f>
        <v/>
      </c>
      <c r="D170" s="10" t="str">
        <f>IF(OR($A170="",3&gt;Controls!$B$6),"",MOD(N169*48271,2147483647))</f>
        <v/>
      </c>
      <c r="E170" s="10" t="str">
        <f>IF(OR($A170="",4&gt;Controls!$B$6),"",MOD(O169*48271,2147483647))</f>
        <v/>
      </c>
      <c r="F170" s="10" t="str">
        <f>IF(OR($A170="",5&gt;Controls!$B$6),"",MOD(P169*48271,2147483647))</f>
        <v/>
      </c>
      <c r="G170" s="10" t="str">
        <f>IF(OR($A170="",6&gt;Controls!$B$6),"",MOD(Q169*48271,2147483647))</f>
        <v/>
      </c>
      <c r="H170" s="10" t="str">
        <f>IF(OR($A170="",7&gt;Controls!$B$6),"",MOD(R169*48271,2147483647))</f>
        <v/>
      </c>
      <c r="I170" s="10" t="str">
        <f>IF(OR($A170="",8&gt;Controls!$B$6),"",MOD(S169*48271,2147483647))</f>
        <v/>
      </c>
      <c r="J170" s="10" t="str">
        <f>IF(OR($A170="",9&gt;Controls!$B$6),"",MOD(T169*48271,2147483647))</f>
        <v/>
      </c>
      <c r="K170" s="10" t="str">
        <f>IF(OR($A170="",10&gt;Controls!$B$6),"",MOD(U169*48271,2147483647))</f>
        <v/>
      </c>
      <c r="L170" s="10" t="str">
        <f t="shared" ref="L170:U170" si="169">IF(B170="","",MOD(B170*48271,2147483647))</f>
        <v/>
      </c>
      <c r="M170" s="10" t="str">
        <f t="shared" si="169"/>
        <v/>
      </c>
      <c r="N170" s="10" t="str">
        <f t="shared" si="169"/>
        <v/>
      </c>
      <c r="O170" s="10" t="str">
        <f t="shared" si="169"/>
        <v/>
      </c>
      <c r="P170" s="10" t="str">
        <f t="shared" si="169"/>
        <v/>
      </c>
      <c r="Q170" s="10" t="str">
        <f t="shared" si="169"/>
        <v/>
      </c>
      <c r="R170" s="10" t="str">
        <f t="shared" si="169"/>
        <v/>
      </c>
      <c r="S170" s="10" t="str">
        <f t="shared" si="169"/>
        <v/>
      </c>
      <c r="T170" s="10" t="str">
        <f t="shared" si="169"/>
        <v/>
      </c>
      <c r="U170" s="10" t="str">
        <f t="shared" si="169"/>
        <v/>
      </c>
      <c r="V170" s="10" t="str">
        <f>IF(B170="","",IF(Controls!$B$7="Normal",Controls!$B$8+Controls!$B$9*SQRT(-2*LN(B170/2147483647))*COS(2*PI()*L170/2147483647),Controls!$B$8+(Controls!$B$9-Controls!$B$8)*B170/2147483647))</f>
        <v/>
      </c>
      <c r="W170" s="10" t="str">
        <f>IF(C170="","",IF(Controls!$B$7="Normal",Controls!$B$8+Controls!$B$9*SQRT(-2*LN(C170/2147483647))*COS(2*PI()*M170/2147483647),Controls!$B$8+(Controls!$B$9-Controls!$B$8)*C170/2147483647))</f>
        <v/>
      </c>
      <c r="X170" s="10" t="str">
        <f>IF(D170="","",IF(Controls!$B$7="Normal",Controls!$B$8+Controls!$B$9*SQRT(-2*LN(D170/2147483647))*COS(2*PI()*N170/2147483647),Controls!$B$8+(Controls!$B$9-Controls!$B$8)*D170/2147483647))</f>
        <v/>
      </c>
      <c r="Y170" s="10" t="str">
        <f>IF(E170="","",IF(Controls!$B$7="Normal",Controls!$B$8+Controls!$B$9*SQRT(-2*LN(E170/2147483647))*COS(2*PI()*O170/2147483647),Controls!$B$8+(Controls!$B$9-Controls!$B$8)*E170/2147483647))</f>
        <v/>
      </c>
      <c r="Z170" s="10" t="str">
        <f>IF(F170="","",IF(Controls!$B$7="Normal",Controls!$B$8+Controls!$B$9*SQRT(-2*LN(F170/2147483647))*COS(2*PI()*P170/2147483647),Controls!$B$8+(Controls!$B$9-Controls!$B$8)*F170/2147483647))</f>
        <v/>
      </c>
      <c r="AA170" s="10" t="str">
        <f>IF(G170="","",IF(Controls!$B$7="Normal",Controls!$B$8+Controls!$B$9*SQRT(-2*LN(G170/2147483647))*COS(2*PI()*Q170/2147483647),Controls!$B$8+(Controls!$B$9-Controls!$B$8)*G170/2147483647))</f>
        <v/>
      </c>
      <c r="AB170" s="10" t="str">
        <f>IF(H170="","",IF(Controls!$B$7="Normal",Controls!$B$8+Controls!$B$9*SQRT(-2*LN(H170/2147483647))*COS(2*PI()*R170/2147483647),Controls!$B$8+(Controls!$B$9-Controls!$B$8)*H170/2147483647))</f>
        <v/>
      </c>
      <c r="AC170" s="10" t="str">
        <f>IF(I170="","",IF(Controls!$B$7="Normal",Controls!$B$8+Controls!$B$9*SQRT(-2*LN(I170/2147483647))*COS(2*PI()*S170/2147483647),Controls!$B$8+(Controls!$B$9-Controls!$B$8)*I170/2147483647))</f>
        <v/>
      </c>
      <c r="AD170" s="10" t="str">
        <f>IF(J170="","",IF(Controls!$B$7="Normal",Controls!$B$8+Controls!$B$9*SQRT(-2*LN(J170/2147483647))*COS(2*PI()*T170/2147483647),Controls!$B$8+(Controls!$B$9-Controls!$B$8)*J170/2147483647))</f>
        <v/>
      </c>
      <c r="AE170" s="10" t="str">
        <f>IF(K170="","",IF(Controls!$B$7="Normal",Controls!$B$8+Controls!$B$9*SQRT(-2*LN(K170/2147483647))*COS(2*PI()*U170/2147483647),Controls!$B$8+(Controls!$B$9-Controls!$B$8)*K170/2147483647))</f>
        <v/>
      </c>
    </row>
    <row r="171" ht="21.0" customHeight="1">
      <c r="A171" s="7" t="str">
        <f>IF(170&lt;=Controls!$B$5,Controls!$B$4+169,"")</f>
        <v/>
      </c>
      <c r="B171" s="10" t="str">
        <f>IF(OR($A171="",1&gt;Controls!$B$6),"",MOD(L170*48271,2147483647))</f>
        <v/>
      </c>
      <c r="C171" s="10" t="str">
        <f>IF(OR($A171="",2&gt;Controls!$B$6),"",MOD(M170*48271,2147483647))</f>
        <v/>
      </c>
      <c r="D171" s="10" t="str">
        <f>IF(OR($A171="",3&gt;Controls!$B$6),"",MOD(N170*48271,2147483647))</f>
        <v/>
      </c>
      <c r="E171" s="10" t="str">
        <f>IF(OR($A171="",4&gt;Controls!$B$6),"",MOD(O170*48271,2147483647))</f>
        <v/>
      </c>
      <c r="F171" s="10" t="str">
        <f>IF(OR($A171="",5&gt;Controls!$B$6),"",MOD(P170*48271,2147483647))</f>
        <v/>
      </c>
      <c r="G171" s="10" t="str">
        <f>IF(OR($A171="",6&gt;Controls!$B$6),"",MOD(Q170*48271,2147483647))</f>
        <v/>
      </c>
      <c r="H171" s="10" t="str">
        <f>IF(OR($A171="",7&gt;Controls!$B$6),"",MOD(R170*48271,2147483647))</f>
        <v/>
      </c>
      <c r="I171" s="10" t="str">
        <f>IF(OR($A171="",8&gt;Controls!$B$6),"",MOD(S170*48271,2147483647))</f>
        <v/>
      </c>
      <c r="J171" s="10" t="str">
        <f>IF(OR($A171="",9&gt;Controls!$B$6),"",MOD(T170*48271,2147483647))</f>
        <v/>
      </c>
      <c r="K171" s="10" t="str">
        <f>IF(OR($A171="",10&gt;Controls!$B$6),"",MOD(U170*48271,2147483647))</f>
        <v/>
      </c>
      <c r="L171" s="10" t="str">
        <f t="shared" ref="L171:U171" si="170">IF(B171="","",MOD(B171*48271,2147483647))</f>
        <v/>
      </c>
      <c r="M171" s="10" t="str">
        <f t="shared" si="170"/>
        <v/>
      </c>
      <c r="N171" s="10" t="str">
        <f t="shared" si="170"/>
        <v/>
      </c>
      <c r="O171" s="10" t="str">
        <f t="shared" si="170"/>
        <v/>
      </c>
      <c r="P171" s="10" t="str">
        <f t="shared" si="170"/>
        <v/>
      </c>
      <c r="Q171" s="10" t="str">
        <f t="shared" si="170"/>
        <v/>
      </c>
      <c r="R171" s="10" t="str">
        <f t="shared" si="170"/>
        <v/>
      </c>
      <c r="S171" s="10" t="str">
        <f t="shared" si="170"/>
        <v/>
      </c>
      <c r="T171" s="10" t="str">
        <f t="shared" si="170"/>
        <v/>
      </c>
      <c r="U171" s="10" t="str">
        <f t="shared" si="170"/>
        <v/>
      </c>
      <c r="V171" s="10" t="str">
        <f>IF(B171="","",IF(Controls!$B$7="Normal",Controls!$B$8+Controls!$B$9*SQRT(-2*LN(B171/2147483647))*COS(2*PI()*L171/2147483647),Controls!$B$8+(Controls!$B$9-Controls!$B$8)*B171/2147483647))</f>
        <v/>
      </c>
      <c r="W171" s="10" t="str">
        <f>IF(C171="","",IF(Controls!$B$7="Normal",Controls!$B$8+Controls!$B$9*SQRT(-2*LN(C171/2147483647))*COS(2*PI()*M171/2147483647),Controls!$B$8+(Controls!$B$9-Controls!$B$8)*C171/2147483647))</f>
        <v/>
      </c>
      <c r="X171" s="10" t="str">
        <f>IF(D171="","",IF(Controls!$B$7="Normal",Controls!$B$8+Controls!$B$9*SQRT(-2*LN(D171/2147483647))*COS(2*PI()*N171/2147483647),Controls!$B$8+(Controls!$B$9-Controls!$B$8)*D171/2147483647))</f>
        <v/>
      </c>
      <c r="Y171" s="10" t="str">
        <f>IF(E171="","",IF(Controls!$B$7="Normal",Controls!$B$8+Controls!$B$9*SQRT(-2*LN(E171/2147483647))*COS(2*PI()*O171/2147483647),Controls!$B$8+(Controls!$B$9-Controls!$B$8)*E171/2147483647))</f>
        <v/>
      </c>
      <c r="Z171" s="10" t="str">
        <f>IF(F171="","",IF(Controls!$B$7="Normal",Controls!$B$8+Controls!$B$9*SQRT(-2*LN(F171/2147483647))*COS(2*PI()*P171/2147483647),Controls!$B$8+(Controls!$B$9-Controls!$B$8)*F171/2147483647))</f>
        <v/>
      </c>
      <c r="AA171" s="10" t="str">
        <f>IF(G171="","",IF(Controls!$B$7="Normal",Controls!$B$8+Controls!$B$9*SQRT(-2*LN(G171/2147483647))*COS(2*PI()*Q171/2147483647),Controls!$B$8+(Controls!$B$9-Controls!$B$8)*G171/2147483647))</f>
        <v/>
      </c>
      <c r="AB171" s="10" t="str">
        <f>IF(H171="","",IF(Controls!$B$7="Normal",Controls!$B$8+Controls!$B$9*SQRT(-2*LN(H171/2147483647))*COS(2*PI()*R171/2147483647),Controls!$B$8+(Controls!$B$9-Controls!$B$8)*H171/2147483647))</f>
        <v/>
      </c>
      <c r="AC171" s="10" t="str">
        <f>IF(I171="","",IF(Controls!$B$7="Normal",Controls!$B$8+Controls!$B$9*SQRT(-2*LN(I171/2147483647))*COS(2*PI()*S171/2147483647),Controls!$B$8+(Controls!$B$9-Controls!$B$8)*I171/2147483647))</f>
        <v/>
      </c>
      <c r="AD171" s="10" t="str">
        <f>IF(J171="","",IF(Controls!$B$7="Normal",Controls!$B$8+Controls!$B$9*SQRT(-2*LN(J171/2147483647))*COS(2*PI()*T171/2147483647),Controls!$B$8+(Controls!$B$9-Controls!$B$8)*J171/2147483647))</f>
        <v/>
      </c>
      <c r="AE171" s="10" t="str">
        <f>IF(K171="","",IF(Controls!$B$7="Normal",Controls!$B$8+Controls!$B$9*SQRT(-2*LN(K171/2147483647))*COS(2*PI()*U171/2147483647),Controls!$B$8+(Controls!$B$9-Controls!$B$8)*K171/2147483647))</f>
        <v/>
      </c>
    </row>
    <row r="172" ht="21.0" customHeight="1">
      <c r="A172" s="7" t="str">
        <f>IF(171&lt;=Controls!$B$5,Controls!$B$4+170,"")</f>
        <v/>
      </c>
      <c r="B172" s="10" t="str">
        <f>IF(OR($A172="",1&gt;Controls!$B$6),"",MOD(L171*48271,2147483647))</f>
        <v/>
      </c>
      <c r="C172" s="10" t="str">
        <f>IF(OR($A172="",2&gt;Controls!$B$6),"",MOD(M171*48271,2147483647))</f>
        <v/>
      </c>
      <c r="D172" s="10" t="str">
        <f>IF(OR($A172="",3&gt;Controls!$B$6),"",MOD(N171*48271,2147483647))</f>
        <v/>
      </c>
      <c r="E172" s="10" t="str">
        <f>IF(OR($A172="",4&gt;Controls!$B$6),"",MOD(O171*48271,2147483647))</f>
        <v/>
      </c>
      <c r="F172" s="10" t="str">
        <f>IF(OR($A172="",5&gt;Controls!$B$6),"",MOD(P171*48271,2147483647))</f>
        <v/>
      </c>
      <c r="G172" s="10" t="str">
        <f>IF(OR($A172="",6&gt;Controls!$B$6),"",MOD(Q171*48271,2147483647))</f>
        <v/>
      </c>
      <c r="H172" s="10" t="str">
        <f>IF(OR($A172="",7&gt;Controls!$B$6),"",MOD(R171*48271,2147483647))</f>
        <v/>
      </c>
      <c r="I172" s="10" t="str">
        <f>IF(OR($A172="",8&gt;Controls!$B$6),"",MOD(S171*48271,2147483647))</f>
        <v/>
      </c>
      <c r="J172" s="10" t="str">
        <f>IF(OR($A172="",9&gt;Controls!$B$6),"",MOD(T171*48271,2147483647))</f>
        <v/>
      </c>
      <c r="K172" s="10" t="str">
        <f>IF(OR($A172="",10&gt;Controls!$B$6),"",MOD(U171*48271,2147483647))</f>
        <v/>
      </c>
      <c r="L172" s="10" t="str">
        <f t="shared" ref="L172:U172" si="171">IF(B172="","",MOD(B172*48271,2147483647))</f>
        <v/>
      </c>
      <c r="M172" s="10" t="str">
        <f t="shared" si="171"/>
        <v/>
      </c>
      <c r="N172" s="10" t="str">
        <f t="shared" si="171"/>
        <v/>
      </c>
      <c r="O172" s="10" t="str">
        <f t="shared" si="171"/>
        <v/>
      </c>
      <c r="P172" s="10" t="str">
        <f t="shared" si="171"/>
        <v/>
      </c>
      <c r="Q172" s="10" t="str">
        <f t="shared" si="171"/>
        <v/>
      </c>
      <c r="R172" s="10" t="str">
        <f t="shared" si="171"/>
        <v/>
      </c>
      <c r="S172" s="10" t="str">
        <f t="shared" si="171"/>
        <v/>
      </c>
      <c r="T172" s="10" t="str">
        <f t="shared" si="171"/>
        <v/>
      </c>
      <c r="U172" s="10" t="str">
        <f t="shared" si="171"/>
        <v/>
      </c>
      <c r="V172" s="10" t="str">
        <f>IF(B172="","",IF(Controls!$B$7="Normal",Controls!$B$8+Controls!$B$9*SQRT(-2*LN(B172/2147483647))*COS(2*PI()*L172/2147483647),Controls!$B$8+(Controls!$B$9-Controls!$B$8)*B172/2147483647))</f>
        <v/>
      </c>
      <c r="W172" s="10" t="str">
        <f>IF(C172="","",IF(Controls!$B$7="Normal",Controls!$B$8+Controls!$B$9*SQRT(-2*LN(C172/2147483647))*COS(2*PI()*M172/2147483647),Controls!$B$8+(Controls!$B$9-Controls!$B$8)*C172/2147483647))</f>
        <v/>
      </c>
      <c r="X172" s="10" t="str">
        <f>IF(D172="","",IF(Controls!$B$7="Normal",Controls!$B$8+Controls!$B$9*SQRT(-2*LN(D172/2147483647))*COS(2*PI()*N172/2147483647),Controls!$B$8+(Controls!$B$9-Controls!$B$8)*D172/2147483647))</f>
        <v/>
      </c>
      <c r="Y172" s="10" t="str">
        <f>IF(E172="","",IF(Controls!$B$7="Normal",Controls!$B$8+Controls!$B$9*SQRT(-2*LN(E172/2147483647))*COS(2*PI()*O172/2147483647),Controls!$B$8+(Controls!$B$9-Controls!$B$8)*E172/2147483647))</f>
        <v/>
      </c>
      <c r="Z172" s="10" t="str">
        <f>IF(F172="","",IF(Controls!$B$7="Normal",Controls!$B$8+Controls!$B$9*SQRT(-2*LN(F172/2147483647))*COS(2*PI()*P172/2147483647),Controls!$B$8+(Controls!$B$9-Controls!$B$8)*F172/2147483647))</f>
        <v/>
      </c>
      <c r="AA172" s="10" t="str">
        <f>IF(G172="","",IF(Controls!$B$7="Normal",Controls!$B$8+Controls!$B$9*SQRT(-2*LN(G172/2147483647))*COS(2*PI()*Q172/2147483647),Controls!$B$8+(Controls!$B$9-Controls!$B$8)*G172/2147483647))</f>
        <v/>
      </c>
      <c r="AB172" s="10" t="str">
        <f>IF(H172="","",IF(Controls!$B$7="Normal",Controls!$B$8+Controls!$B$9*SQRT(-2*LN(H172/2147483647))*COS(2*PI()*R172/2147483647),Controls!$B$8+(Controls!$B$9-Controls!$B$8)*H172/2147483647))</f>
        <v/>
      </c>
      <c r="AC172" s="10" t="str">
        <f>IF(I172="","",IF(Controls!$B$7="Normal",Controls!$B$8+Controls!$B$9*SQRT(-2*LN(I172/2147483647))*COS(2*PI()*S172/2147483647),Controls!$B$8+(Controls!$B$9-Controls!$B$8)*I172/2147483647))</f>
        <v/>
      </c>
      <c r="AD172" s="10" t="str">
        <f>IF(J172="","",IF(Controls!$B$7="Normal",Controls!$B$8+Controls!$B$9*SQRT(-2*LN(J172/2147483647))*COS(2*PI()*T172/2147483647),Controls!$B$8+(Controls!$B$9-Controls!$B$8)*J172/2147483647))</f>
        <v/>
      </c>
      <c r="AE172" s="10" t="str">
        <f>IF(K172="","",IF(Controls!$B$7="Normal",Controls!$B$8+Controls!$B$9*SQRT(-2*LN(K172/2147483647))*COS(2*PI()*U172/2147483647),Controls!$B$8+(Controls!$B$9-Controls!$B$8)*K172/2147483647))</f>
        <v/>
      </c>
    </row>
    <row r="173" ht="21.0" customHeight="1">
      <c r="A173" s="7" t="str">
        <f>IF(172&lt;=Controls!$B$5,Controls!$B$4+171,"")</f>
        <v/>
      </c>
      <c r="B173" s="10" t="str">
        <f>IF(OR($A173="",1&gt;Controls!$B$6),"",MOD(L172*48271,2147483647))</f>
        <v/>
      </c>
      <c r="C173" s="10" t="str">
        <f>IF(OR($A173="",2&gt;Controls!$B$6),"",MOD(M172*48271,2147483647))</f>
        <v/>
      </c>
      <c r="D173" s="10" t="str">
        <f>IF(OR($A173="",3&gt;Controls!$B$6),"",MOD(N172*48271,2147483647))</f>
        <v/>
      </c>
      <c r="E173" s="10" t="str">
        <f>IF(OR($A173="",4&gt;Controls!$B$6),"",MOD(O172*48271,2147483647))</f>
        <v/>
      </c>
      <c r="F173" s="10" t="str">
        <f>IF(OR($A173="",5&gt;Controls!$B$6),"",MOD(P172*48271,2147483647))</f>
        <v/>
      </c>
      <c r="G173" s="10" t="str">
        <f>IF(OR($A173="",6&gt;Controls!$B$6),"",MOD(Q172*48271,2147483647))</f>
        <v/>
      </c>
      <c r="H173" s="10" t="str">
        <f>IF(OR($A173="",7&gt;Controls!$B$6),"",MOD(R172*48271,2147483647))</f>
        <v/>
      </c>
      <c r="I173" s="10" t="str">
        <f>IF(OR($A173="",8&gt;Controls!$B$6),"",MOD(S172*48271,2147483647))</f>
        <v/>
      </c>
      <c r="J173" s="10" t="str">
        <f>IF(OR($A173="",9&gt;Controls!$B$6),"",MOD(T172*48271,2147483647))</f>
        <v/>
      </c>
      <c r="K173" s="10" t="str">
        <f>IF(OR($A173="",10&gt;Controls!$B$6),"",MOD(U172*48271,2147483647))</f>
        <v/>
      </c>
      <c r="L173" s="10" t="str">
        <f t="shared" ref="L173:U173" si="172">IF(B173="","",MOD(B173*48271,2147483647))</f>
        <v/>
      </c>
      <c r="M173" s="10" t="str">
        <f t="shared" si="172"/>
        <v/>
      </c>
      <c r="N173" s="10" t="str">
        <f t="shared" si="172"/>
        <v/>
      </c>
      <c r="O173" s="10" t="str">
        <f t="shared" si="172"/>
        <v/>
      </c>
      <c r="P173" s="10" t="str">
        <f t="shared" si="172"/>
        <v/>
      </c>
      <c r="Q173" s="10" t="str">
        <f t="shared" si="172"/>
        <v/>
      </c>
      <c r="R173" s="10" t="str">
        <f t="shared" si="172"/>
        <v/>
      </c>
      <c r="S173" s="10" t="str">
        <f t="shared" si="172"/>
        <v/>
      </c>
      <c r="T173" s="10" t="str">
        <f t="shared" si="172"/>
        <v/>
      </c>
      <c r="U173" s="10" t="str">
        <f t="shared" si="172"/>
        <v/>
      </c>
      <c r="V173" s="10" t="str">
        <f>IF(B173="","",IF(Controls!$B$7="Normal",Controls!$B$8+Controls!$B$9*SQRT(-2*LN(B173/2147483647))*COS(2*PI()*L173/2147483647),Controls!$B$8+(Controls!$B$9-Controls!$B$8)*B173/2147483647))</f>
        <v/>
      </c>
      <c r="W173" s="10" t="str">
        <f>IF(C173="","",IF(Controls!$B$7="Normal",Controls!$B$8+Controls!$B$9*SQRT(-2*LN(C173/2147483647))*COS(2*PI()*M173/2147483647),Controls!$B$8+(Controls!$B$9-Controls!$B$8)*C173/2147483647))</f>
        <v/>
      </c>
      <c r="X173" s="10" t="str">
        <f>IF(D173="","",IF(Controls!$B$7="Normal",Controls!$B$8+Controls!$B$9*SQRT(-2*LN(D173/2147483647))*COS(2*PI()*N173/2147483647),Controls!$B$8+(Controls!$B$9-Controls!$B$8)*D173/2147483647))</f>
        <v/>
      </c>
      <c r="Y173" s="10" t="str">
        <f>IF(E173="","",IF(Controls!$B$7="Normal",Controls!$B$8+Controls!$B$9*SQRT(-2*LN(E173/2147483647))*COS(2*PI()*O173/2147483647),Controls!$B$8+(Controls!$B$9-Controls!$B$8)*E173/2147483647))</f>
        <v/>
      </c>
      <c r="Z173" s="10" t="str">
        <f>IF(F173="","",IF(Controls!$B$7="Normal",Controls!$B$8+Controls!$B$9*SQRT(-2*LN(F173/2147483647))*COS(2*PI()*P173/2147483647),Controls!$B$8+(Controls!$B$9-Controls!$B$8)*F173/2147483647))</f>
        <v/>
      </c>
      <c r="AA173" s="10" t="str">
        <f>IF(G173="","",IF(Controls!$B$7="Normal",Controls!$B$8+Controls!$B$9*SQRT(-2*LN(G173/2147483647))*COS(2*PI()*Q173/2147483647),Controls!$B$8+(Controls!$B$9-Controls!$B$8)*G173/2147483647))</f>
        <v/>
      </c>
      <c r="AB173" s="10" t="str">
        <f>IF(H173="","",IF(Controls!$B$7="Normal",Controls!$B$8+Controls!$B$9*SQRT(-2*LN(H173/2147483647))*COS(2*PI()*R173/2147483647),Controls!$B$8+(Controls!$B$9-Controls!$B$8)*H173/2147483647))</f>
        <v/>
      </c>
      <c r="AC173" s="10" t="str">
        <f>IF(I173="","",IF(Controls!$B$7="Normal",Controls!$B$8+Controls!$B$9*SQRT(-2*LN(I173/2147483647))*COS(2*PI()*S173/2147483647),Controls!$B$8+(Controls!$B$9-Controls!$B$8)*I173/2147483647))</f>
        <v/>
      </c>
      <c r="AD173" s="10" t="str">
        <f>IF(J173="","",IF(Controls!$B$7="Normal",Controls!$B$8+Controls!$B$9*SQRT(-2*LN(J173/2147483647))*COS(2*PI()*T173/2147483647),Controls!$B$8+(Controls!$B$9-Controls!$B$8)*J173/2147483647))</f>
        <v/>
      </c>
      <c r="AE173" s="10" t="str">
        <f>IF(K173="","",IF(Controls!$B$7="Normal",Controls!$B$8+Controls!$B$9*SQRT(-2*LN(K173/2147483647))*COS(2*PI()*U173/2147483647),Controls!$B$8+(Controls!$B$9-Controls!$B$8)*K173/2147483647))</f>
        <v/>
      </c>
    </row>
    <row r="174" ht="21.0" customHeight="1">
      <c r="A174" s="7" t="str">
        <f>IF(173&lt;=Controls!$B$5,Controls!$B$4+172,"")</f>
        <v/>
      </c>
      <c r="B174" s="10" t="str">
        <f>IF(OR($A174="",1&gt;Controls!$B$6),"",MOD(L173*48271,2147483647))</f>
        <v/>
      </c>
      <c r="C174" s="10" t="str">
        <f>IF(OR($A174="",2&gt;Controls!$B$6),"",MOD(M173*48271,2147483647))</f>
        <v/>
      </c>
      <c r="D174" s="10" t="str">
        <f>IF(OR($A174="",3&gt;Controls!$B$6),"",MOD(N173*48271,2147483647))</f>
        <v/>
      </c>
      <c r="E174" s="10" t="str">
        <f>IF(OR($A174="",4&gt;Controls!$B$6),"",MOD(O173*48271,2147483647))</f>
        <v/>
      </c>
      <c r="F174" s="10" t="str">
        <f>IF(OR($A174="",5&gt;Controls!$B$6),"",MOD(P173*48271,2147483647))</f>
        <v/>
      </c>
      <c r="G174" s="10" t="str">
        <f>IF(OR($A174="",6&gt;Controls!$B$6),"",MOD(Q173*48271,2147483647))</f>
        <v/>
      </c>
      <c r="H174" s="10" t="str">
        <f>IF(OR($A174="",7&gt;Controls!$B$6),"",MOD(R173*48271,2147483647))</f>
        <v/>
      </c>
      <c r="I174" s="10" t="str">
        <f>IF(OR($A174="",8&gt;Controls!$B$6),"",MOD(S173*48271,2147483647))</f>
        <v/>
      </c>
      <c r="J174" s="10" t="str">
        <f>IF(OR($A174="",9&gt;Controls!$B$6),"",MOD(T173*48271,2147483647))</f>
        <v/>
      </c>
      <c r="K174" s="10" t="str">
        <f>IF(OR($A174="",10&gt;Controls!$B$6),"",MOD(U173*48271,2147483647))</f>
        <v/>
      </c>
      <c r="L174" s="10" t="str">
        <f t="shared" ref="L174:U174" si="173">IF(B174="","",MOD(B174*48271,2147483647))</f>
        <v/>
      </c>
      <c r="M174" s="10" t="str">
        <f t="shared" si="173"/>
        <v/>
      </c>
      <c r="N174" s="10" t="str">
        <f t="shared" si="173"/>
        <v/>
      </c>
      <c r="O174" s="10" t="str">
        <f t="shared" si="173"/>
        <v/>
      </c>
      <c r="P174" s="10" t="str">
        <f t="shared" si="173"/>
        <v/>
      </c>
      <c r="Q174" s="10" t="str">
        <f t="shared" si="173"/>
        <v/>
      </c>
      <c r="R174" s="10" t="str">
        <f t="shared" si="173"/>
        <v/>
      </c>
      <c r="S174" s="10" t="str">
        <f t="shared" si="173"/>
        <v/>
      </c>
      <c r="T174" s="10" t="str">
        <f t="shared" si="173"/>
        <v/>
      </c>
      <c r="U174" s="10" t="str">
        <f t="shared" si="173"/>
        <v/>
      </c>
      <c r="V174" s="10" t="str">
        <f>IF(B174="","",IF(Controls!$B$7="Normal",Controls!$B$8+Controls!$B$9*SQRT(-2*LN(B174/2147483647))*COS(2*PI()*L174/2147483647),Controls!$B$8+(Controls!$B$9-Controls!$B$8)*B174/2147483647))</f>
        <v/>
      </c>
      <c r="W174" s="10" t="str">
        <f>IF(C174="","",IF(Controls!$B$7="Normal",Controls!$B$8+Controls!$B$9*SQRT(-2*LN(C174/2147483647))*COS(2*PI()*M174/2147483647),Controls!$B$8+(Controls!$B$9-Controls!$B$8)*C174/2147483647))</f>
        <v/>
      </c>
      <c r="X174" s="10" t="str">
        <f>IF(D174="","",IF(Controls!$B$7="Normal",Controls!$B$8+Controls!$B$9*SQRT(-2*LN(D174/2147483647))*COS(2*PI()*N174/2147483647),Controls!$B$8+(Controls!$B$9-Controls!$B$8)*D174/2147483647))</f>
        <v/>
      </c>
      <c r="Y174" s="10" t="str">
        <f>IF(E174="","",IF(Controls!$B$7="Normal",Controls!$B$8+Controls!$B$9*SQRT(-2*LN(E174/2147483647))*COS(2*PI()*O174/2147483647),Controls!$B$8+(Controls!$B$9-Controls!$B$8)*E174/2147483647))</f>
        <v/>
      </c>
      <c r="Z174" s="10" t="str">
        <f>IF(F174="","",IF(Controls!$B$7="Normal",Controls!$B$8+Controls!$B$9*SQRT(-2*LN(F174/2147483647))*COS(2*PI()*P174/2147483647),Controls!$B$8+(Controls!$B$9-Controls!$B$8)*F174/2147483647))</f>
        <v/>
      </c>
      <c r="AA174" s="10" t="str">
        <f>IF(G174="","",IF(Controls!$B$7="Normal",Controls!$B$8+Controls!$B$9*SQRT(-2*LN(G174/2147483647))*COS(2*PI()*Q174/2147483647),Controls!$B$8+(Controls!$B$9-Controls!$B$8)*G174/2147483647))</f>
        <v/>
      </c>
      <c r="AB174" s="10" t="str">
        <f>IF(H174="","",IF(Controls!$B$7="Normal",Controls!$B$8+Controls!$B$9*SQRT(-2*LN(H174/2147483647))*COS(2*PI()*R174/2147483647),Controls!$B$8+(Controls!$B$9-Controls!$B$8)*H174/2147483647))</f>
        <v/>
      </c>
      <c r="AC174" s="10" t="str">
        <f>IF(I174="","",IF(Controls!$B$7="Normal",Controls!$B$8+Controls!$B$9*SQRT(-2*LN(I174/2147483647))*COS(2*PI()*S174/2147483647),Controls!$B$8+(Controls!$B$9-Controls!$B$8)*I174/2147483647))</f>
        <v/>
      </c>
      <c r="AD174" s="10" t="str">
        <f>IF(J174="","",IF(Controls!$B$7="Normal",Controls!$B$8+Controls!$B$9*SQRT(-2*LN(J174/2147483647))*COS(2*PI()*T174/2147483647),Controls!$B$8+(Controls!$B$9-Controls!$B$8)*J174/2147483647))</f>
        <v/>
      </c>
      <c r="AE174" s="10" t="str">
        <f>IF(K174="","",IF(Controls!$B$7="Normal",Controls!$B$8+Controls!$B$9*SQRT(-2*LN(K174/2147483647))*COS(2*PI()*U174/2147483647),Controls!$B$8+(Controls!$B$9-Controls!$B$8)*K174/2147483647))</f>
        <v/>
      </c>
    </row>
    <row r="175" ht="21.0" customHeight="1">
      <c r="A175" s="7" t="str">
        <f>IF(174&lt;=Controls!$B$5,Controls!$B$4+173,"")</f>
        <v/>
      </c>
      <c r="B175" s="10" t="str">
        <f>IF(OR($A175="",1&gt;Controls!$B$6),"",MOD(L174*48271,2147483647))</f>
        <v/>
      </c>
      <c r="C175" s="10" t="str">
        <f>IF(OR($A175="",2&gt;Controls!$B$6),"",MOD(M174*48271,2147483647))</f>
        <v/>
      </c>
      <c r="D175" s="10" t="str">
        <f>IF(OR($A175="",3&gt;Controls!$B$6),"",MOD(N174*48271,2147483647))</f>
        <v/>
      </c>
      <c r="E175" s="10" t="str">
        <f>IF(OR($A175="",4&gt;Controls!$B$6),"",MOD(O174*48271,2147483647))</f>
        <v/>
      </c>
      <c r="F175" s="10" t="str">
        <f>IF(OR($A175="",5&gt;Controls!$B$6),"",MOD(P174*48271,2147483647))</f>
        <v/>
      </c>
      <c r="G175" s="10" t="str">
        <f>IF(OR($A175="",6&gt;Controls!$B$6),"",MOD(Q174*48271,2147483647))</f>
        <v/>
      </c>
      <c r="H175" s="10" t="str">
        <f>IF(OR($A175="",7&gt;Controls!$B$6),"",MOD(R174*48271,2147483647))</f>
        <v/>
      </c>
      <c r="I175" s="10" t="str">
        <f>IF(OR($A175="",8&gt;Controls!$B$6),"",MOD(S174*48271,2147483647))</f>
        <v/>
      </c>
      <c r="J175" s="10" t="str">
        <f>IF(OR($A175="",9&gt;Controls!$B$6),"",MOD(T174*48271,2147483647))</f>
        <v/>
      </c>
      <c r="K175" s="10" t="str">
        <f>IF(OR($A175="",10&gt;Controls!$B$6),"",MOD(U174*48271,2147483647))</f>
        <v/>
      </c>
      <c r="L175" s="10" t="str">
        <f t="shared" ref="L175:U175" si="174">IF(B175="","",MOD(B175*48271,2147483647))</f>
        <v/>
      </c>
      <c r="M175" s="10" t="str">
        <f t="shared" si="174"/>
        <v/>
      </c>
      <c r="N175" s="10" t="str">
        <f t="shared" si="174"/>
        <v/>
      </c>
      <c r="O175" s="10" t="str">
        <f t="shared" si="174"/>
        <v/>
      </c>
      <c r="P175" s="10" t="str">
        <f t="shared" si="174"/>
        <v/>
      </c>
      <c r="Q175" s="10" t="str">
        <f t="shared" si="174"/>
        <v/>
      </c>
      <c r="R175" s="10" t="str">
        <f t="shared" si="174"/>
        <v/>
      </c>
      <c r="S175" s="10" t="str">
        <f t="shared" si="174"/>
        <v/>
      </c>
      <c r="T175" s="10" t="str">
        <f t="shared" si="174"/>
        <v/>
      </c>
      <c r="U175" s="10" t="str">
        <f t="shared" si="174"/>
        <v/>
      </c>
      <c r="V175" s="10" t="str">
        <f>IF(B175="","",IF(Controls!$B$7="Normal",Controls!$B$8+Controls!$B$9*SQRT(-2*LN(B175/2147483647))*COS(2*PI()*L175/2147483647),Controls!$B$8+(Controls!$B$9-Controls!$B$8)*B175/2147483647))</f>
        <v/>
      </c>
      <c r="W175" s="10" t="str">
        <f>IF(C175="","",IF(Controls!$B$7="Normal",Controls!$B$8+Controls!$B$9*SQRT(-2*LN(C175/2147483647))*COS(2*PI()*M175/2147483647),Controls!$B$8+(Controls!$B$9-Controls!$B$8)*C175/2147483647))</f>
        <v/>
      </c>
      <c r="X175" s="10" t="str">
        <f>IF(D175="","",IF(Controls!$B$7="Normal",Controls!$B$8+Controls!$B$9*SQRT(-2*LN(D175/2147483647))*COS(2*PI()*N175/2147483647),Controls!$B$8+(Controls!$B$9-Controls!$B$8)*D175/2147483647))</f>
        <v/>
      </c>
      <c r="Y175" s="10" t="str">
        <f>IF(E175="","",IF(Controls!$B$7="Normal",Controls!$B$8+Controls!$B$9*SQRT(-2*LN(E175/2147483647))*COS(2*PI()*O175/2147483647),Controls!$B$8+(Controls!$B$9-Controls!$B$8)*E175/2147483647))</f>
        <v/>
      </c>
      <c r="Z175" s="10" t="str">
        <f>IF(F175="","",IF(Controls!$B$7="Normal",Controls!$B$8+Controls!$B$9*SQRT(-2*LN(F175/2147483647))*COS(2*PI()*P175/2147483647),Controls!$B$8+(Controls!$B$9-Controls!$B$8)*F175/2147483647))</f>
        <v/>
      </c>
      <c r="AA175" s="10" t="str">
        <f>IF(G175="","",IF(Controls!$B$7="Normal",Controls!$B$8+Controls!$B$9*SQRT(-2*LN(G175/2147483647))*COS(2*PI()*Q175/2147483647),Controls!$B$8+(Controls!$B$9-Controls!$B$8)*G175/2147483647))</f>
        <v/>
      </c>
      <c r="AB175" s="10" t="str">
        <f>IF(H175="","",IF(Controls!$B$7="Normal",Controls!$B$8+Controls!$B$9*SQRT(-2*LN(H175/2147483647))*COS(2*PI()*R175/2147483647),Controls!$B$8+(Controls!$B$9-Controls!$B$8)*H175/2147483647))</f>
        <v/>
      </c>
      <c r="AC175" s="10" t="str">
        <f>IF(I175="","",IF(Controls!$B$7="Normal",Controls!$B$8+Controls!$B$9*SQRT(-2*LN(I175/2147483647))*COS(2*PI()*S175/2147483647),Controls!$B$8+(Controls!$B$9-Controls!$B$8)*I175/2147483647))</f>
        <v/>
      </c>
      <c r="AD175" s="10" t="str">
        <f>IF(J175="","",IF(Controls!$B$7="Normal",Controls!$B$8+Controls!$B$9*SQRT(-2*LN(J175/2147483647))*COS(2*PI()*T175/2147483647),Controls!$B$8+(Controls!$B$9-Controls!$B$8)*J175/2147483647))</f>
        <v/>
      </c>
      <c r="AE175" s="10" t="str">
        <f>IF(K175="","",IF(Controls!$B$7="Normal",Controls!$B$8+Controls!$B$9*SQRT(-2*LN(K175/2147483647))*COS(2*PI()*U175/2147483647),Controls!$B$8+(Controls!$B$9-Controls!$B$8)*K175/2147483647))</f>
        <v/>
      </c>
    </row>
    <row r="176" ht="21.0" customHeight="1">
      <c r="A176" s="7" t="str">
        <f>IF(175&lt;=Controls!$B$5,Controls!$B$4+174,"")</f>
        <v/>
      </c>
      <c r="B176" s="10" t="str">
        <f>IF(OR($A176="",1&gt;Controls!$B$6),"",MOD(L175*48271,2147483647))</f>
        <v/>
      </c>
      <c r="C176" s="10" t="str">
        <f>IF(OR($A176="",2&gt;Controls!$B$6),"",MOD(M175*48271,2147483647))</f>
        <v/>
      </c>
      <c r="D176" s="10" t="str">
        <f>IF(OR($A176="",3&gt;Controls!$B$6),"",MOD(N175*48271,2147483647))</f>
        <v/>
      </c>
      <c r="E176" s="10" t="str">
        <f>IF(OR($A176="",4&gt;Controls!$B$6),"",MOD(O175*48271,2147483647))</f>
        <v/>
      </c>
      <c r="F176" s="10" t="str">
        <f>IF(OR($A176="",5&gt;Controls!$B$6),"",MOD(P175*48271,2147483647))</f>
        <v/>
      </c>
      <c r="G176" s="10" t="str">
        <f>IF(OR($A176="",6&gt;Controls!$B$6),"",MOD(Q175*48271,2147483647))</f>
        <v/>
      </c>
      <c r="H176" s="10" t="str">
        <f>IF(OR($A176="",7&gt;Controls!$B$6),"",MOD(R175*48271,2147483647))</f>
        <v/>
      </c>
      <c r="I176" s="10" t="str">
        <f>IF(OR($A176="",8&gt;Controls!$B$6),"",MOD(S175*48271,2147483647))</f>
        <v/>
      </c>
      <c r="J176" s="10" t="str">
        <f>IF(OR($A176="",9&gt;Controls!$B$6),"",MOD(T175*48271,2147483647))</f>
        <v/>
      </c>
      <c r="K176" s="10" t="str">
        <f>IF(OR($A176="",10&gt;Controls!$B$6),"",MOD(U175*48271,2147483647))</f>
        <v/>
      </c>
      <c r="L176" s="10" t="str">
        <f t="shared" ref="L176:U176" si="175">IF(B176="","",MOD(B176*48271,2147483647))</f>
        <v/>
      </c>
      <c r="M176" s="10" t="str">
        <f t="shared" si="175"/>
        <v/>
      </c>
      <c r="N176" s="10" t="str">
        <f t="shared" si="175"/>
        <v/>
      </c>
      <c r="O176" s="10" t="str">
        <f t="shared" si="175"/>
        <v/>
      </c>
      <c r="P176" s="10" t="str">
        <f t="shared" si="175"/>
        <v/>
      </c>
      <c r="Q176" s="10" t="str">
        <f t="shared" si="175"/>
        <v/>
      </c>
      <c r="R176" s="10" t="str">
        <f t="shared" si="175"/>
        <v/>
      </c>
      <c r="S176" s="10" t="str">
        <f t="shared" si="175"/>
        <v/>
      </c>
      <c r="T176" s="10" t="str">
        <f t="shared" si="175"/>
        <v/>
      </c>
      <c r="U176" s="10" t="str">
        <f t="shared" si="175"/>
        <v/>
      </c>
      <c r="V176" s="10" t="str">
        <f>IF(B176="","",IF(Controls!$B$7="Normal",Controls!$B$8+Controls!$B$9*SQRT(-2*LN(B176/2147483647))*COS(2*PI()*L176/2147483647),Controls!$B$8+(Controls!$B$9-Controls!$B$8)*B176/2147483647))</f>
        <v/>
      </c>
      <c r="W176" s="10" t="str">
        <f>IF(C176="","",IF(Controls!$B$7="Normal",Controls!$B$8+Controls!$B$9*SQRT(-2*LN(C176/2147483647))*COS(2*PI()*M176/2147483647),Controls!$B$8+(Controls!$B$9-Controls!$B$8)*C176/2147483647))</f>
        <v/>
      </c>
      <c r="X176" s="10" t="str">
        <f>IF(D176="","",IF(Controls!$B$7="Normal",Controls!$B$8+Controls!$B$9*SQRT(-2*LN(D176/2147483647))*COS(2*PI()*N176/2147483647),Controls!$B$8+(Controls!$B$9-Controls!$B$8)*D176/2147483647))</f>
        <v/>
      </c>
      <c r="Y176" s="10" t="str">
        <f>IF(E176="","",IF(Controls!$B$7="Normal",Controls!$B$8+Controls!$B$9*SQRT(-2*LN(E176/2147483647))*COS(2*PI()*O176/2147483647),Controls!$B$8+(Controls!$B$9-Controls!$B$8)*E176/2147483647))</f>
        <v/>
      </c>
      <c r="Z176" s="10" t="str">
        <f>IF(F176="","",IF(Controls!$B$7="Normal",Controls!$B$8+Controls!$B$9*SQRT(-2*LN(F176/2147483647))*COS(2*PI()*P176/2147483647),Controls!$B$8+(Controls!$B$9-Controls!$B$8)*F176/2147483647))</f>
        <v/>
      </c>
      <c r="AA176" s="10" t="str">
        <f>IF(G176="","",IF(Controls!$B$7="Normal",Controls!$B$8+Controls!$B$9*SQRT(-2*LN(G176/2147483647))*COS(2*PI()*Q176/2147483647),Controls!$B$8+(Controls!$B$9-Controls!$B$8)*G176/2147483647))</f>
        <v/>
      </c>
      <c r="AB176" s="10" t="str">
        <f>IF(H176="","",IF(Controls!$B$7="Normal",Controls!$B$8+Controls!$B$9*SQRT(-2*LN(H176/2147483647))*COS(2*PI()*R176/2147483647),Controls!$B$8+(Controls!$B$9-Controls!$B$8)*H176/2147483647))</f>
        <v/>
      </c>
      <c r="AC176" s="10" t="str">
        <f>IF(I176="","",IF(Controls!$B$7="Normal",Controls!$B$8+Controls!$B$9*SQRT(-2*LN(I176/2147483647))*COS(2*PI()*S176/2147483647),Controls!$B$8+(Controls!$B$9-Controls!$B$8)*I176/2147483647))</f>
        <v/>
      </c>
      <c r="AD176" s="10" t="str">
        <f>IF(J176="","",IF(Controls!$B$7="Normal",Controls!$B$8+Controls!$B$9*SQRT(-2*LN(J176/2147483647))*COS(2*PI()*T176/2147483647),Controls!$B$8+(Controls!$B$9-Controls!$B$8)*J176/2147483647))</f>
        <v/>
      </c>
      <c r="AE176" s="10" t="str">
        <f>IF(K176="","",IF(Controls!$B$7="Normal",Controls!$B$8+Controls!$B$9*SQRT(-2*LN(K176/2147483647))*COS(2*PI()*U176/2147483647),Controls!$B$8+(Controls!$B$9-Controls!$B$8)*K176/2147483647))</f>
        <v/>
      </c>
    </row>
    <row r="177" ht="21.0" customHeight="1">
      <c r="A177" s="7" t="str">
        <f>IF(176&lt;=Controls!$B$5,Controls!$B$4+175,"")</f>
        <v/>
      </c>
      <c r="B177" s="10" t="str">
        <f>IF(OR($A177="",1&gt;Controls!$B$6),"",MOD(L176*48271,2147483647))</f>
        <v/>
      </c>
      <c r="C177" s="10" t="str">
        <f>IF(OR($A177="",2&gt;Controls!$B$6),"",MOD(M176*48271,2147483647))</f>
        <v/>
      </c>
      <c r="D177" s="10" t="str">
        <f>IF(OR($A177="",3&gt;Controls!$B$6),"",MOD(N176*48271,2147483647))</f>
        <v/>
      </c>
      <c r="E177" s="10" t="str">
        <f>IF(OR($A177="",4&gt;Controls!$B$6),"",MOD(O176*48271,2147483647))</f>
        <v/>
      </c>
      <c r="F177" s="10" t="str">
        <f>IF(OR($A177="",5&gt;Controls!$B$6),"",MOD(P176*48271,2147483647))</f>
        <v/>
      </c>
      <c r="G177" s="10" t="str">
        <f>IF(OR($A177="",6&gt;Controls!$B$6),"",MOD(Q176*48271,2147483647))</f>
        <v/>
      </c>
      <c r="H177" s="10" t="str">
        <f>IF(OR($A177="",7&gt;Controls!$B$6),"",MOD(R176*48271,2147483647))</f>
        <v/>
      </c>
      <c r="I177" s="10" t="str">
        <f>IF(OR($A177="",8&gt;Controls!$B$6),"",MOD(S176*48271,2147483647))</f>
        <v/>
      </c>
      <c r="J177" s="10" t="str">
        <f>IF(OR($A177="",9&gt;Controls!$B$6),"",MOD(T176*48271,2147483647))</f>
        <v/>
      </c>
      <c r="K177" s="10" t="str">
        <f>IF(OR($A177="",10&gt;Controls!$B$6),"",MOD(U176*48271,2147483647))</f>
        <v/>
      </c>
      <c r="L177" s="10" t="str">
        <f t="shared" ref="L177:U177" si="176">IF(B177="","",MOD(B177*48271,2147483647))</f>
        <v/>
      </c>
      <c r="M177" s="10" t="str">
        <f t="shared" si="176"/>
        <v/>
      </c>
      <c r="N177" s="10" t="str">
        <f t="shared" si="176"/>
        <v/>
      </c>
      <c r="O177" s="10" t="str">
        <f t="shared" si="176"/>
        <v/>
      </c>
      <c r="P177" s="10" t="str">
        <f t="shared" si="176"/>
        <v/>
      </c>
      <c r="Q177" s="10" t="str">
        <f t="shared" si="176"/>
        <v/>
      </c>
      <c r="R177" s="10" t="str">
        <f t="shared" si="176"/>
        <v/>
      </c>
      <c r="S177" s="10" t="str">
        <f t="shared" si="176"/>
        <v/>
      </c>
      <c r="T177" s="10" t="str">
        <f t="shared" si="176"/>
        <v/>
      </c>
      <c r="U177" s="10" t="str">
        <f t="shared" si="176"/>
        <v/>
      </c>
      <c r="V177" s="10" t="str">
        <f>IF(B177="","",IF(Controls!$B$7="Normal",Controls!$B$8+Controls!$B$9*SQRT(-2*LN(B177/2147483647))*COS(2*PI()*L177/2147483647),Controls!$B$8+(Controls!$B$9-Controls!$B$8)*B177/2147483647))</f>
        <v/>
      </c>
      <c r="W177" s="10" t="str">
        <f>IF(C177="","",IF(Controls!$B$7="Normal",Controls!$B$8+Controls!$B$9*SQRT(-2*LN(C177/2147483647))*COS(2*PI()*M177/2147483647),Controls!$B$8+(Controls!$B$9-Controls!$B$8)*C177/2147483647))</f>
        <v/>
      </c>
      <c r="X177" s="10" t="str">
        <f>IF(D177="","",IF(Controls!$B$7="Normal",Controls!$B$8+Controls!$B$9*SQRT(-2*LN(D177/2147483647))*COS(2*PI()*N177/2147483647),Controls!$B$8+(Controls!$B$9-Controls!$B$8)*D177/2147483647))</f>
        <v/>
      </c>
      <c r="Y177" s="10" t="str">
        <f>IF(E177="","",IF(Controls!$B$7="Normal",Controls!$B$8+Controls!$B$9*SQRT(-2*LN(E177/2147483647))*COS(2*PI()*O177/2147483647),Controls!$B$8+(Controls!$B$9-Controls!$B$8)*E177/2147483647))</f>
        <v/>
      </c>
      <c r="Z177" s="10" t="str">
        <f>IF(F177="","",IF(Controls!$B$7="Normal",Controls!$B$8+Controls!$B$9*SQRT(-2*LN(F177/2147483647))*COS(2*PI()*P177/2147483647),Controls!$B$8+(Controls!$B$9-Controls!$B$8)*F177/2147483647))</f>
        <v/>
      </c>
      <c r="AA177" s="10" t="str">
        <f>IF(G177="","",IF(Controls!$B$7="Normal",Controls!$B$8+Controls!$B$9*SQRT(-2*LN(G177/2147483647))*COS(2*PI()*Q177/2147483647),Controls!$B$8+(Controls!$B$9-Controls!$B$8)*G177/2147483647))</f>
        <v/>
      </c>
      <c r="AB177" s="10" t="str">
        <f>IF(H177="","",IF(Controls!$B$7="Normal",Controls!$B$8+Controls!$B$9*SQRT(-2*LN(H177/2147483647))*COS(2*PI()*R177/2147483647),Controls!$B$8+(Controls!$B$9-Controls!$B$8)*H177/2147483647))</f>
        <v/>
      </c>
      <c r="AC177" s="10" t="str">
        <f>IF(I177="","",IF(Controls!$B$7="Normal",Controls!$B$8+Controls!$B$9*SQRT(-2*LN(I177/2147483647))*COS(2*PI()*S177/2147483647),Controls!$B$8+(Controls!$B$9-Controls!$B$8)*I177/2147483647))</f>
        <v/>
      </c>
      <c r="AD177" s="10" t="str">
        <f>IF(J177="","",IF(Controls!$B$7="Normal",Controls!$B$8+Controls!$B$9*SQRT(-2*LN(J177/2147483647))*COS(2*PI()*T177/2147483647),Controls!$B$8+(Controls!$B$9-Controls!$B$8)*J177/2147483647))</f>
        <v/>
      </c>
      <c r="AE177" s="10" t="str">
        <f>IF(K177="","",IF(Controls!$B$7="Normal",Controls!$B$8+Controls!$B$9*SQRT(-2*LN(K177/2147483647))*COS(2*PI()*U177/2147483647),Controls!$B$8+(Controls!$B$9-Controls!$B$8)*K177/2147483647))</f>
        <v/>
      </c>
    </row>
    <row r="178" ht="21.0" customHeight="1">
      <c r="A178" s="7" t="str">
        <f>IF(177&lt;=Controls!$B$5,Controls!$B$4+176,"")</f>
        <v/>
      </c>
      <c r="B178" s="10" t="str">
        <f>IF(OR($A178="",1&gt;Controls!$B$6),"",MOD(L177*48271,2147483647))</f>
        <v/>
      </c>
      <c r="C178" s="10" t="str">
        <f>IF(OR($A178="",2&gt;Controls!$B$6),"",MOD(M177*48271,2147483647))</f>
        <v/>
      </c>
      <c r="D178" s="10" t="str">
        <f>IF(OR($A178="",3&gt;Controls!$B$6),"",MOD(N177*48271,2147483647))</f>
        <v/>
      </c>
      <c r="E178" s="10" t="str">
        <f>IF(OR($A178="",4&gt;Controls!$B$6),"",MOD(O177*48271,2147483647))</f>
        <v/>
      </c>
      <c r="F178" s="10" t="str">
        <f>IF(OR($A178="",5&gt;Controls!$B$6),"",MOD(P177*48271,2147483647))</f>
        <v/>
      </c>
      <c r="G178" s="10" t="str">
        <f>IF(OR($A178="",6&gt;Controls!$B$6),"",MOD(Q177*48271,2147483647))</f>
        <v/>
      </c>
      <c r="H178" s="10" t="str">
        <f>IF(OR($A178="",7&gt;Controls!$B$6),"",MOD(R177*48271,2147483647))</f>
        <v/>
      </c>
      <c r="I178" s="10" t="str">
        <f>IF(OR($A178="",8&gt;Controls!$B$6),"",MOD(S177*48271,2147483647))</f>
        <v/>
      </c>
      <c r="J178" s="10" t="str">
        <f>IF(OR($A178="",9&gt;Controls!$B$6),"",MOD(T177*48271,2147483647))</f>
        <v/>
      </c>
      <c r="K178" s="10" t="str">
        <f>IF(OR($A178="",10&gt;Controls!$B$6),"",MOD(U177*48271,2147483647))</f>
        <v/>
      </c>
      <c r="L178" s="10" t="str">
        <f t="shared" ref="L178:U178" si="177">IF(B178="","",MOD(B178*48271,2147483647))</f>
        <v/>
      </c>
      <c r="M178" s="10" t="str">
        <f t="shared" si="177"/>
        <v/>
      </c>
      <c r="N178" s="10" t="str">
        <f t="shared" si="177"/>
        <v/>
      </c>
      <c r="O178" s="10" t="str">
        <f t="shared" si="177"/>
        <v/>
      </c>
      <c r="P178" s="10" t="str">
        <f t="shared" si="177"/>
        <v/>
      </c>
      <c r="Q178" s="10" t="str">
        <f t="shared" si="177"/>
        <v/>
      </c>
      <c r="R178" s="10" t="str">
        <f t="shared" si="177"/>
        <v/>
      </c>
      <c r="S178" s="10" t="str">
        <f t="shared" si="177"/>
        <v/>
      </c>
      <c r="T178" s="10" t="str">
        <f t="shared" si="177"/>
        <v/>
      </c>
      <c r="U178" s="10" t="str">
        <f t="shared" si="177"/>
        <v/>
      </c>
      <c r="V178" s="10" t="str">
        <f>IF(B178="","",IF(Controls!$B$7="Normal",Controls!$B$8+Controls!$B$9*SQRT(-2*LN(B178/2147483647))*COS(2*PI()*L178/2147483647),Controls!$B$8+(Controls!$B$9-Controls!$B$8)*B178/2147483647))</f>
        <v/>
      </c>
      <c r="W178" s="10" t="str">
        <f>IF(C178="","",IF(Controls!$B$7="Normal",Controls!$B$8+Controls!$B$9*SQRT(-2*LN(C178/2147483647))*COS(2*PI()*M178/2147483647),Controls!$B$8+(Controls!$B$9-Controls!$B$8)*C178/2147483647))</f>
        <v/>
      </c>
      <c r="X178" s="10" t="str">
        <f>IF(D178="","",IF(Controls!$B$7="Normal",Controls!$B$8+Controls!$B$9*SQRT(-2*LN(D178/2147483647))*COS(2*PI()*N178/2147483647),Controls!$B$8+(Controls!$B$9-Controls!$B$8)*D178/2147483647))</f>
        <v/>
      </c>
      <c r="Y178" s="10" t="str">
        <f>IF(E178="","",IF(Controls!$B$7="Normal",Controls!$B$8+Controls!$B$9*SQRT(-2*LN(E178/2147483647))*COS(2*PI()*O178/2147483647),Controls!$B$8+(Controls!$B$9-Controls!$B$8)*E178/2147483647))</f>
        <v/>
      </c>
      <c r="Z178" s="10" t="str">
        <f>IF(F178="","",IF(Controls!$B$7="Normal",Controls!$B$8+Controls!$B$9*SQRT(-2*LN(F178/2147483647))*COS(2*PI()*P178/2147483647),Controls!$B$8+(Controls!$B$9-Controls!$B$8)*F178/2147483647))</f>
        <v/>
      </c>
      <c r="AA178" s="10" t="str">
        <f>IF(G178="","",IF(Controls!$B$7="Normal",Controls!$B$8+Controls!$B$9*SQRT(-2*LN(G178/2147483647))*COS(2*PI()*Q178/2147483647),Controls!$B$8+(Controls!$B$9-Controls!$B$8)*G178/2147483647))</f>
        <v/>
      </c>
      <c r="AB178" s="10" t="str">
        <f>IF(H178="","",IF(Controls!$B$7="Normal",Controls!$B$8+Controls!$B$9*SQRT(-2*LN(H178/2147483647))*COS(2*PI()*R178/2147483647),Controls!$B$8+(Controls!$B$9-Controls!$B$8)*H178/2147483647))</f>
        <v/>
      </c>
      <c r="AC178" s="10" t="str">
        <f>IF(I178="","",IF(Controls!$B$7="Normal",Controls!$B$8+Controls!$B$9*SQRT(-2*LN(I178/2147483647))*COS(2*PI()*S178/2147483647),Controls!$B$8+(Controls!$B$9-Controls!$B$8)*I178/2147483647))</f>
        <v/>
      </c>
      <c r="AD178" s="10" t="str">
        <f>IF(J178="","",IF(Controls!$B$7="Normal",Controls!$B$8+Controls!$B$9*SQRT(-2*LN(J178/2147483647))*COS(2*PI()*T178/2147483647),Controls!$B$8+(Controls!$B$9-Controls!$B$8)*J178/2147483647))</f>
        <v/>
      </c>
      <c r="AE178" s="10" t="str">
        <f>IF(K178="","",IF(Controls!$B$7="Normal",Controls!$B$8+Controls!$B$9*SQRT(-2*LN(K178/2147483647))*COS(2*PI()*U178/2147483647),Controls!$B$8+(Controls!$B$9-Controls!$B$8)*K178/2147483647))</f>
        <v/>
      </c>
    </row>
    <row r="179" ht="21.0" customHeight="1">
      <c r="A179" s="7" t="str">
        <f>IF(178&lt;=Controls!$B$5,Controls!$B$4+177,"")</f>
        <v/>
      </c>
      <c r="B179" s="10" t="str">
        <f>IF(OR($A179="",1&gt;Controls!$B$6),"",MOD(L178*48271,2147483647))</f>
        <v/>
      </c>
      <c r="C179" s="10" t="str">
        <f>IF(OR($A179="",2&gt;Controls!$B$6),"",MOD(M178*48271,2147483647))</f>
        <v/>
      </c>
      <c r="D179" s="10" t="str">
        <f>IF(OR($A179="",3&gt;Controls!$B$6),"",MOD(N178*48271,2147483647))</f>
        <v/>
      </c>
      <c r="E179" s="10" t="str">
        <f>IF(OR($A179="",4&gt;Controls!$B$6),"",MOD(O178*48271,2147483647))</f>
        <v/>
      </c>
      <c r="F179" s="10" t="str">
        <f>IF(OR($A179="",5&gt;Controls!$B$6),"",MOD(P178*48271,2147483647))</f>
        <v/>
      </c>
      <c r="G179" s="10" t="str">
        <f>IF(OR($A179="",6&gt;Controls!$B$6),"",MOD(Q178*48271,2147483647))</f>
        <v/>
      </c>
      <c r="H179" s="10" t="str">
        <f>IF(OR($A179="",7&gt;Controls!$B$6),"",MOD(R178*48271,2147483647))</f>
        <v/>
      </c>
      <c r="I179" s="10" t="str">
        <f>IF(OR($A179="",8&gt;Controls!$B$6),"",MOD(S178*48271,2147483647))</f>
        <v/>
      </c>
      <c r="J179" s="10" t="str">
        <f>IF(OR($A179="",9&gt;Controls!$B$6),"",MOD(T178*48271,2147483647))</f>
        <v/>
      </c>
      <c r="K179" s="10" t="str">
        <f>IF(OR($A179="",10&gt;Controls!$B$6),"",MOD(U178*48271,2147483647))</f>
        <v/>
      </c>
      <c r="L179" s="10" t="str">
        <f t="shared" ref="L179:U179" si="178">IF(B179="","",MOD(B179*48271,2147483647))</f>
        <v/>
      </c>
      <c r="M179" s="10" t="str">
        <f t="shared" si="178"/>
        <v/>
      </c>
      <c r="N179" s="10" t="str">
        <f t="shared" si="178"/>
        <v/>
      </c>
      <c r="O179" s="10" t="str">
        <f t="shared" si="178"/>
        <v/>
      </c>
      <c r="P179" s="10" t="str">
        <f t="shared" si="178"/>
        <v/>
      </c>
      <c r="Q179" s="10" t="str">
        <f t="shared" si="178"/>
        <v/>
      </c>
      <c r="R179" s="10" t="str">
        <f t="shared" si="178"/>
        <v/>
      </c>
      <c r="S179" s="10" t="str">
        <f t="shared" si="178"/>
        <v/>
      </c>
      <c r="T179" s="10" t="str">
        <f t="shared" si="178"/>
        <v/>
      </c>
      <c r="U179" s="10" t="str">
        <f t="shared" si="178"/>
        <v/>
      </c>
      <c r="V179" s="10" t="str">
        <f>IF(B179="","",IF(Controls!$B$7="Normal",Controls!$B$8+Controls!$B$9*SQRT(-2*LN(B179/2147483647))*COS(2*PI()*L179/2147483647),Controls!$B$8+(Controls!$B$9-Controls!$B$8)*B179/2147483647))</f>
        <v/>
      </c>
      <c r="W179" s="10" t="str">
        <f>IF(C179="","",IF(Controls!$B$7="Normal",Controls!$B$8+Controls!$B$9*SQRT(-2*LN(C179/2147483647))*COS(2*PI()*M179/2147483647),Controls!$B$8+(Controls!$B$9-Controls!$B$8)*C179/2147483647))</f>
        <v/>
      </c>
      <c r="X179" s="10" t="str">
        <f>IF(D179="","",IF(Controls!$B$7="Normal",Controls!$B$8+Controls!$B$9*SQRT(-2*LN(D179/2147483647))*COS(2*PI()*N179/2147483647),Controls!$B$8+(Controls!$B$9-Controls!$B$8)*D179/2147483647))</f>
        <v/>
      </c>
      <c r="Y179" s="10" t="str">
        <f>IF(E179="","",IF(Controls!$B$7="Normal",Controls!$B$8+Controls!$B$9*SQRT(-2*LN(E179/2147483647))*COS(2*PI()*O179/2147483647),Controls!$B$8+(Controls!$B$9-Controls!$B$8)*E179/2147483647))</f>
        <v/>
      </c>
      <c r="Z179" s="10" t="str">
        <f>IF(F179="","",IF(Controls!$B$7="Normal",Controls!$B$8+Controls!$B$9*SQRT(-2*LN(F179/2147483647))*COS(2*PI()*P179/2147483647),Controls!$B$8+(Controls!$B$9-Controls!$B$8)*F179/2147483647))</f>
        <v/>
      </c>
      <c r="AA179" s="10" t="str">
        <f>IF(G179="","",IF(Controls!$B$7="Normal",Controls!$B$8+Controls!$B$9*SQRT(-2*LN(G179/2147483647))*COS(2*PI()*Q179/2147483647),Controls!$B$8+(Controls!$B$9-Controls!$B$8)*G179/2147483647))</f>
        <v/>
      </c>
      <c r="AB179" s="10" t="str">
        <f>IF(H179="","",IF(Controls!$B$7="Normal",Controls!$B$8+Controls!$B$9*SQRT(-2*LN(H179/2147483647))*COS(2*PI()*R179/2147483647),Controls!$B$8+(Controls!$B$9-Controls!$B$8)*H179/2147483647))</f>
        <v/>
      </c>
      <c r="AC179" s="10" t="str">
        <f>IF(I179="","",IF(Controls!$B$7="Normal",Controls!$B$8+Controls!$B$9*SQRT(-2*LN(I179/2147483647))*COS(2*PI()*S179/2147483647),Controls!$B$8+(Controls!$B$9-Controls!$B$8)*I179/2147483647))</f>
        <v/>
      </c>
      <c r="AD179" s="10" t="str">
        <f>IF(J179="","",IF(Controls!$B$7="Normal",Controls!$B$8+Controls!$B$9*SQRT(-2*LN(J179/2147483647))*COS(2*PI()*T179/2147483647),Controls!$B$8+(Controls!$B$9-Controls!$B$8)*J179/2147483647))</f>
        <v/>
      </c>
      <c r="AE179" s="10" t="str">
        <f>IF(K179="","",IF(Controls!$B$7="Normal",Controls!$B$8+Controls!$B$9*SQRT(-2*LN(K179/2147483647))*COS(2*PI()*U179/2147483647),Controls!$B$8+(Controls!$B$9-Controls!$B$8)*K179/2147483647))</f>
        <v/>
      </c>
    </row>
    <row r="180" ht="21.0" customHeight="1">
      <c r="A180" s="7" t="str">
        <f>IF(179&lt;=Controls!$B$5,Controls!$B$4+178,"")</f>
        <v/>
      </c>
      <c r="B180" s="10" t="str">
        <f>IF(OR($A180="",1&gt;Controls!$B$6),"",MOD(L179*48271,2147483647))</f>
        <v/>
      </c>
      <c r="C180" s="10" t="str">
        <f>IF(OR($A180="",2&gt;Controls!$B$6),"",MOD(M179*48271,2147483647))</f>
        <v/>
      </c>
      <c r="D180" s="10" t="str">
        <f>IF(OR($A180="",3&gt;Controls!$B$6),"",MOD(N179*48271,2147483647))</f>
        <v/>
      </c>
      <c r="E180" s="10" t="str">
        <f>IF(OR($A180="",4&gt;Controls!$B$6),"",MOD(O179*48271,2147483647))</f>
        <v/>
      </c>
      <c r="F180" s="10" t="str">
        <f>IF(OR($A180="",5&gt;Controls!$B$6),"",MOD(P179*48271,2147483647))</f>
        <v/>
      </c>
      <c r="G180" s="10" t="str">
        <f>IF(OR($A180="",6&gt;Controls!$B$6),"",MOD(Q179*48271,2147483647))</f>
        <v/>
      </c>
      <c r="H180" s="10" t="str">
        <f>IF(OR($A180="",7&gt;Controls!$B$6),"",MOD(R179*48271,2147483647))</f>
        <v/>
      </c>
      <c r="I180" s="10" t="str">
        <f>IF(OR($A180="",8&gt;Controls!$B$6),"",MOD(S179*48271,2147483647))</f>
        <v/>
      </c>
      <c r="J180" s="10" t="str">
        <f>IF(OR($A180="",9&gt;Controls!$B$6),"",MOD(T179*48271,2147483647))</f>
        <v/>
      </c>
      <c r="K180" s="10" t="str">
        <f>IF(OR($A180="",10&gt;Controls!$B$6),"",MOD(U179*48271,2147483647))</f>
        <v/>
      </c>
      <c r="L180" s="10" t="str">
        <f t="shared" ref="L180:U180" si="179">IF(B180="","",MOD(B180*48271,2147483647))</f>
        <v/>
      </c>
      <c r="M180" s="10" t="str">
        <f t="shared" si="179"/>
        <v/>
      </c>
      <c r="N180" s="10" t="str">
        <f t="shared" si="179"/>
        <v/>
      </c>
      <c r="O180" s="10" t="str">
        <f t="shared" si="179"/>
        <v/>
      </c>
      <c r="P180" s="10" t="str">
        <f t="shared" si="179"/>
        <v/>
      </c>
      <c r="Q180" s="10" t="str">
        <f t="shared" si="179"/>
        <v/>
      </c>
      <c r="R180" s="10" t="str">
        <f t="shared" si="179"/>
        <v/>
      </c>
      <c r="S180" s="10" t="str">
        <f t="shared" si="179"/>
        <v/>
      </c>
      <c r="T180" s="10" t="str">
        <f t="shared" si="179"/>
        <v/>
      </c>
      <c r="U180" s="10" t="str">
        <f t="shared" si="179"/>
        <v/>
      </c>
      <c r="V180" s="10" t="str">
        <f>IF(B180="","",IF(Controls!$B$7="Normal",Controls!$B$8+Controls!$B$9*SQRT(-2*LN(B180/2147483647))*COS(2*PI()*L180/2147483647),Controls!$B$8+(Controls!$B$9-Controls!$B$8)*B180/2147483647))</f>
        <v/>
      </c>
      <c r="W180" s="10" t="str">
        <f>IF(C180="","",IF(Controls!$B$7="Normal",Controls!$B$8+Controls!$B$9*SQRT(-2*LN(C180/2147483647))*COS(2*PI()*M180/2147483647),Controls!$B$8+(Controls!$B$9-Controls!$B$8)*C180/2147483647))</f>
        <v/>
      </c>
      <c r="X180" s="10" t="str">
        <f>IF(D180="","",IF(Controls!$B$7="Normal",Controls!$B$8+Controls!$B$9*SQRT(-2*LN(D180/2147483647))*COS(2*PI()*N180/2147483647),Controls!$B$8+(Controls!$B$9-Controls!$B$8)*D180/2147483647))</f>
        <v/>
      </c>
      <c r="Y180" s="10" t="str">
        <f>IF(E180="","",IF(Controls!$B$7="Normal",Controls!$B$8+Controls!$B$9*SQRT(-2*LN(E180/2147483647))*COS(2*PI()*O180/2147483647),Controls!$B$8+(Controls!$B$9-Controls!$B$8)*E180/2147483647))</f>
        <v/>
      </c>
      <c r="Z180" s="10" t="str">
        <f>IF(F180="","",IF(Controls!$B$7="Normal",Controls!$B$8+Controls!$B$9*SQRT(-2*LN(F180/2147483647))*COS(2*PI()*P180/2147483647),Controls!$B$8+(Controls!$B$9-Controls!$B$8)*F180/2147483647))</f>
        <v/>
      </c>
      <c r="AA180" s="10" t="str">
        <f>IF(G180="","",IF(Controls!$B$7="Normal",Controls!$B$8+Controls!$B$9*SQRT(-2*LN(G180/2147483647))*COS(2*PI()*Q180/2147483647),Controls!$B$8+(Controls!$B$9-Controls!$B$8)*G180/2147483647))</f>
        <v/>
      </c>
      <c r="AB180" s="10" t="str">
        <f>IF(H180="","",IF(Controls!$B$7="Normal",Controls!$B$8+Controls!$B$9*SQRT(-2*LN(H180/2147483647))*COS(2*PI()*R180/2147483647),Controls!$B$8+(Controls!$B$9-Controls!$B$8)*H180/2147483647))</f>
        <v/>
      </c>
      <c r="AC180" s="10" t="str">
        <f>IF(I180="","",IF(Controls!$B$7="Normal",Controls!$B$8+Controls!$B$9*SQRT(-2*LN(I180/2147483647))*COS(2*PI()*S180/2147483647),Controls!$B$8+(Controls!$B$9-Controls!$B$8)*I180/2147483647))</f>
        <v/>
      </c>
      <c r="AD180" s="10" t="str">
        <f>IF(J180="","",IF(Controls!$B$7="Normal",Controls!$B$8+Controls!$B$9*SQRT(-2*LN(J180/2147483647))*COS(2*PI()*T180/2147483647),Controls!$B$8+(Controls!$B$9-Controls!$B$8)*J180/2147483647))</f>
        <v/>
      </c>
      <c r="AE180" s="10" t="str">
        <f>IF(K180="","",IF(Controls!$B$7="Normal",Controls!$B$8+Controls!$B$9*SQRT(-2*LN(K180/2147483647))*COS(2*PI()*U180/2147483647),Controls!$B$8+(Controls!$B$9-Controls!$B$8)*K180/2147483647))</f>
        <v/>
      </c>
    </row>
    <row r="181" ht="21.0" customHeight="1">
      <c r="A181" s="7" t="str">
        <f>IF(180&lt;=Controls!$B$5,Controls!$B$4+179,"")</f>
        <v/>
      </c>
      <c r="B181" s="10" t="str">
        <f>IF(OR($A181="",1&gt;Controls!$B$6),"",MOD(L180*48271,2147483647))</f>
        <v/>
      </c>
      <c r="C181" s="10" t="str">
        <f>IF(OR($A181="",2&gt;Controls!$B$6),"",MOD(M180*48271,2147483647))</f>
        <v/>
      </c>
      <c r="D181" s="10" t="str">
        <f>IF(OR($A181="",3&gt;Controls!$B$6),"",MOD(N180*48271,2147483647))</f>
        <v/>
      </c>
      <c r="E181" s="10" t="str">
        <f>IF(OR($A181="",4&gt;Controls!$B$6),"",MOD(O180*48271,2147483647))</f>
        <v/>
      </c>
      <c r="F181" s="10" t="str">
        <f>IF(OR($A181="",5&gt;Controls!$B$6),"",MOD(P180*48271,2147483647))</f>
        <v/>
      </c>
      <c r="G181" s="10" t="str">
        <f>IF(OR($A181="",6&gt;Controls!$B$6),"",MOD(Q180*48271,2147483647))</f>
        <v/>
      </c>
      <c r="H181" s="10" t="str">
        <f>IF(OR($A181="",7&gt;Controls!$B$6),"",MOD(R180*48271,2147483647))</f>
        <v/>
      </c>
      <c r="I181" s="10" t="str">
        <f>IF(OR($A181="",8&gt;Controls!$B$6),"",MOD(S180*48271,2147483647))</f>
        <v/>
      </c>
      <c r="J181" s="10" t="str">
        <f>IF(OR($A181="",9&gt;Controls!$B$6),"",MOD(T180*48271,2147483647))</f>
        <v/>
      </c>
      <c r="K181" s="10" t="str">
        <f>IF(OR($A181="",10&gt;Controls!$B$6),"",MOD(U180*48271,2147483647))</f>
        <v/>
      </c>
      <c r="L181" s="10" t="str">
        <f t="shared" ref="L181:U181" si="180">IF(B181="","",MOD(B181*48271,2147483647))</f>
        <v/>
      </c>
      <c r="M181" s="10" t="str">
        <f t="shared" si="180"/>
        <v/>
      </c>
      <c r="N181" s="10" t="str">
        <f t="shared" si="180"/>
        <v/>
      </c>
      <c r="O181" s="10" t="str">
        <f t="shared" si="180"/>
        <v/>
      </c>
      <c r="P181" s="10" t="str">
        <f t="shared" si="180"/>
        <v/>
      </c>
      <c r="Q181" s="10" t="str">
        <f t="shared" si="180"/>
        <v/>
      </c>
      <c r="R181" s="10" t="str">
        <f t="shared" si="180"/>
        <v/>
      </c>
      <c r="S181" s="10" t="str">
        <f t="shared" si="180"/>
        <v/>
      </c>
      <c r="T181" s="10" t="str">
        <f t="shared" si="180"/>
        <v/>
      </c>
      <c r="U181" s="10" t="str">
        <f t="shared" si="180"/>
        <v/>
      </c>
      <c r="V181" s="10" t="str">
        <f>IF(B181="","",IF(Controls!$B$7="Normal",Controls!$B$8+Controls!$B$9*SQRT(-2*LN(B181/2147483647))*COS(2*PI()*L181/2147483647),Controls!$B$8+(Controls!$B$9-Controls!$B$8)*B181/2147483647))</f>
        <v/>
      </c>
      <c r="W181" s="10" t="str">
        <f>IF(C181="","",IF(Controls!$B$7="Normal",Controls!$B$8+Controls!$B$9*SQRT(-2*LN(C181/2147483647))*COS(2*PI()*M181/2147483647),Controls!$B$8+(Controls!$B$9-Controls!$B$8)*C181/2147483647))</f>
        <v/>
      </c>
      <c r="X181" s="10" t="str">
        <f>IF(D181="","",IF(Controls!$B$7="Normal",Controls!$B$8+Controls!$B$9*SQRT(-2*LN(D181/2147483647))*COS(2*PI()*N181/2147483647),Controls!$B$8+(Controls!$B$9-Controls!$B$8)*D181/2147483647))</f>
        <v/>
      </c>
      <c r="Y181" s="10" t="str">
        <f>IF(E181="","",IF(Controls!$B$7="Normal",Controls!$B$8+Controls!$B$9*SQRT(-2*LN(E181/2147483647))*COS(2*PI()*O181/2147483647),Controls!$B$8+(Controls!$B$9-Controls!$B$8)*E181/2147483647))</f>
        <v/>
      </c>
      <c r="Z181" s="10" t="str">
        <f>IF(F181="","",IF(Controls!$B$7="Normal",Controls!$B$8+Controls!$B$9*SQRT(-2*LN(F181/2147483647))*COS(2*PI()*P181/2147483647),Controls!$B$8+(Controls!$B$9-Controls!$B$8)*F181/2147483647))</f>
        <v/>
      </c>
      <c r="AA181" s="10" t="str">
        <f>IF(G181="","",IF(Controls!$B$7="Normal",Controls!$B$8+Controls!$B$9*SQRT(-2*LN(G181/2147483647))*COS(2*PI()*Q181/2147483647),Controls!$B$8+(Controls!$B$9-Controls!$B$8)*G181/2147483647))</f>
        <v/>
      </c>
      <c r="AB181" s="10" t="str">
        <f>IF(H181="","",IF(Controls!$B$7="Normal",Controls!$B$8+Controls!$B$9*SQRT(-2*LN(H181/2147483647))*COS(2*PI()*R181/2147483647),Controls!$B$8+(Controls!$B$9-Controls!$B$8)*H181/2147483647))</f>
        <v/>
      </c>
      <c r="AC181" s="10" t="str">
        <f>IF(I181="","",IF(Controls!$B$7="Normal",Controls!$B$8+Controls!$B$9*SQRT(-2*LN(I181/2147483647))*COS(2*PI()*S181/2147483647),Controls!$B$8+(Controls!$B$9-Controls!$B$8)*I181/2147483647))</f>
        <v/>
      </c>
      <c r="AD181" s="10" t="str">
        <f>IF(J181="","",IF(Controls!$B$7="Normal",Controls!$B$8+Controls!$B$9*SQRT(-2*LN(J181/2147483647))*COS(2*PI()*T181/2147483647),Controls!$B$8+(Controls!$B$9-Controls!$B$8)*J181/2147483647))</f>
        <v/>
      </c>
      <c r="AE181" s="10" t="str">
        <f>IF(K181="","",IF(Controls!$B$7="Normal",Controls!$B$8+Controls!$B$9*SQRT(-2*LN(K181/2147483647))*COS(2*PI()*U181/2147483647),Controls!$B$8+(Controls!$B$9-Controls!$B$8)*K181/2147483647))</f>
        <v/>
      </c>
    </row>
    <row r="182" ht="21.0" customHeight="1">
      <c r="A182" s="7" t="str">
        <f>IF(181&lt;=Controls!$B$5,Controls!$B$4+180,"")</f>
        <v/>
      </c>
      <c r="B182" s="10" t="str">
        <f>IF(OR($A182="",1&gt;Controls!$B$6),"",MOD(L181*48271,2147483647))</f>
        <v/>
      </c>
      <c r="C182" s="10" t="str">
        <f>IF(OR($A182="",2&gt;Controls!$B$6),"",MOD(M181*48271,2147483647))</f>
        <v/>
      </c>
      <c r="D182" s="10" t="str">
        <f>IF(OR($A182="",3&gt;Controls!$B$6),"",MOD(N181*48271,2147483647))</f>
        <v/>
      </c>
      <c r="E182" s="10" t="str">
        <f>IF(OR($A182="",4&gt;Controls!$B$6),"",MOD(O181*48271,2147483647))</f>
        <v/>
      </c>
      <c r="F182" s="10" t="str">
        <f>IF(OR($A182="",5&gt;Controls!$B$6),"",MOD(P181*48271,2147483647))</f>
        <v/>
      </c>
      <c r="G182" s="10" t="str">
        <f>IF(OR($A182="",6&gt;Controls!$B$6),"",MOD(Q181*48271,2147483647))</f>
        <v/>
      </c>
      <c r="H182" s="10" t="str">
        <f>IF(OR($A182="",7&gt;Controls!$B$6),"",MOD(R181*48271,2147483647))</f>
        <v/>
      </c>
      <c r="I182" s="10" t="str">
        <f>IF(OR($A182="",8&gt;Controls!$B$6),"",MOD(S181*48271,2147483647))</f>
        <v/>
      </c>
      <c r="J182" s="10" t="str">
        <f>IF(OR($A182="",9&gt;Controls!$B$6),"",MOD(T181*48271,2147483647))</f>
        <v/>
      </c>
      <c r="K182" s="10" t="str">
        <f>IF(OR($A182="",10&gt;Controls!$B$6),"",MOD(U181*48271,2147483647))</f>
        <v/>
      </c>
      <c r="L182" s="10" t="str">
        <f t="shared" ref="L182:U182" si="181">IF(B182="","",MOD(B182*48271,2147483647))</f>
        <v/>
      </c>
      <c r="M182" s="10" t="str">
        <f t="shared" si="181"/>
        <v/>
      </c>
      <c r="N182" s="10" t="str">
        <f t="shared" si="181"/>
        <v/>
      </c>
      <c r="O182" s="10" t="str">
        <f t="shared" si="181"/>
        <v/>
      </c>
      <c r="P182" s="10" t="str">
        <f t="shared" si="181"/>
        <v/>
      </c>
      <c r="Q182" s="10" t="str">
        <f t="shared" si="181"/>
        <v/>
      </c>
      <c r="R182" s="10" t="str">
        <f t="shared" si="181"/>
        <v/>
      </c>
      <c r="S182" s="10" t="str">
        <f t="shared" si="181"/>
        <v/>
      </c>
      <c r="T182" s="10" t="str">
        <f t="shared" si="181"/>
        <v/>
      </c>
      <c r="U182" s="10" t="str">
        <f t="shared" si="181"/>
        <v/>
      </c>
      <c r="V182" s="10" t="str">
        <f>IF(B182="","",IF(Controls!$B$7="Normal",Controls!$B$8+Controls!$B$9*SQRT(-2*LN(B182/2147483647))*COS(2*PI()*L182/2147483647),Controls!$B$8+(Controls!$B$9-Controls!$B$8)*B182/2147483647))</f>
        <v/>
      </c>
      <c r="W182" s="10" t="str">
        <f>IF(C182="","",IF(Controls!$B$7="Normal",Controls!$B$8+Controls!$B$9*SQRT(-2*LN(C182/2147483647))*COS(2*PI()*M182/2147483647),Controls!$B$8+(Controls!$B$9-Controls!$B$8)*C182/2147483647))</f>
        <v/>
      </c>
      <c r="X182" s="10" t="str">
        <f>IF(D182="","",IF(Controls!$B$7="Normal",Controls!$B$8+Controls!$B$9*SQRT(-2*LN(D182/2147483647))*COS(2*PI()*N182/2147483647),Controls!$B$8+(Controls!$B$9-Controls!$B$8)*D182/2147483647))</f>
        <v/>
      </c>
      <c r="Y182" s="10" t="str">
        <f>IF(E182="","",IF(Controls!$B$7="Normal",Controls!$B$8+Controls!$B$9*SQRT(-2*LN(E182/2147483647))*COS(2*PI()*O182/2147483647),Controls!$B$8+(Controls!$B$9-Controls!$B$8)*E182/2147483647))</f>
        <v/>
      </c>
      <c r="Z182" s="10" t="str">
        <f>IF(F182="","",IF(Controls!$B$7="Normal",Controls!$B$8+Controls!$B$9*SQRT(-2*LN(F182/2147483647))*COS(2*PI()*P182/2147483647),Controls!$B$8+(Controls!$B$9-Controls!$B$8)*F182/2147483647))</f>
        <v/>
      </c>
      <c r="AA182" s="10" t="str">
        <f>IF(G182="","",IF(Controls!$B$7="Normal",Controls!$B$8+Controls!$B$9*SQRT(-2*LN(G182/2147483647))*COS(2*PI()*Q182/2147483647),Controls!$B$8+(Controls!$B$9-Controls!$B$8)*G182/2147483647))</f>
        <v/>
      </c>
      <c r="AB182" s="10" t="str">
        <f>IF(H182="","",IF(Controls!$B$7="Normal",Controls!$B$8+Controls!$B$9*SQRT(-2*LN(H182/2147483647))*COS(2*PI()*R182/2147483647),Controls!$B$8+(Controls!$B$9-Controls!$B$8)*H182/2147483647))</f>
        <v/>
      </c>
      <c r="AC182" s="10" t="str">
        <f>IF(I182="","",IF(Controls!$B$7="Normal",Controls!$B$8+Controls!$B$9*SQRT(-2*LN(I182/2147483647))*COS(2*PI()*S182/2147483647),Controls!$B$8+(Controls!$B$9-Controls!$B$8)*I182/2147483647))</f>
        <v/>
      </c>
      <c r="AD182" s="10" t="str">
        <f>IF(J182="","",IF(Controls!$B$7="Normal",Controls!$B$8+Controls!$B$9*SQRT(-2*LN(J182/2147483647))*COS(2*PI()*T182/2147483647),Controls!$B$8+(Controls!$B$9-Controls!$B$8)*J182/2147483647))</f>
        <v/>
      </c>
      <c r="AE182" s="10" t="str">
        <f>IF(K182="","",IF(Controls!$B$7="Normal",Controls!$B$8+Controls!$B$9*SQRT(-2*LN(K182/2147483647))*COS(2*PI()*U182/2147483647),Controls!$B$8+(Controls!$B$9-Controls!$B$8)*K182/2147483647))</f>
        <v/>
      </c>
    </row>
    <row r="183" ht="21.0" customHeight="1">
      <c r="A183" s="7" t="str">
        <f>IF(182&lt;=Controls!$B$5,Controls!$B$4+181,"")</f>
        <v/>
      </c>
      <c r="B183" s="10" t="str">
        <f>IF(OR($A183="",1&gt;Controls!$B$6),"",MOD(L182*48271,2147483647))</f>
        <v/>
      </c>
      <c r="C183" s="10" t="str">
        <f>IF(OR($A183="",2&gt;Controls!$B$6),"",MOD(M182*48271,2147483647))</f>
        <v/>
      </c>
      <c r="D183" s="10" t="str">
        <f>IF(OR($A183="",3&gt;Controls!$B$6),"",MOD(N182*48271,2147483647))</f>
        <v/>
      </c>
      <c r="E183" s="10" t="str">
        <f>IF(OR($A183="",4&gt;Controls!$B$6),"",MOD(O182*48271,2147483647))</f>
        <v/>
      </c>
      <c r="F183" s="10" t="str">
        <f>IF(OR($A183="",5&gt;Controls!$B$6),"",MOD(P182*48271,2147483647))</f>
        <v/>
      </c>
      <c r="G183" s="10" t="str">
        <f>IF(OR($A183="",6&gt;Controls!$B$6),"",MOD(Q182*48271,2147483647))</f>
        <v/>
      </c>
      <c r="H183" s="10" t="str">
        <f>IF(OR($A183="",7&gt;Controls!$B$6),"",MOD(R182*48271,2147483647))</f>
        <v/>
      </c>
      <c r="I183" s="10" t="str">
        <f>IF(OR($A183="",8&gt;Controls!$B$6),"",MOD(S182*48271,2147483647))</f>
        <v/>
      </c>
      <c r="J183" s="10" t="str">
        <f>IF(OR($A183="",9&gt;Controls!$B$6),"",MOD(T182*48271,2147483647))</f>
        <v/>
      </c>
      <c r="K183" s="10" t="str">
        <f>IF(OR($A183="",10&gt;Controls!$B$6),"",MOD(U182*48271,2147483647))</f>
        <v/>
      </c>
      <c r="L183" s="10" t="str">
        <f t="shared" ref="L183:U183" si="182">IF(B183="","",MOD(B183*48271,2147483647))</f>
        <v/>
      </c>
      <c r="M183" s="10" t="str">
        <f t="shared" si="182"/>
        <v/>
      </c>
      <c r="N183" s="10" t="str">
        <f t="shared" si="182"/>
        <v/>
      </c>
      <c r="O183" s="10" t="str">
        <f t="shared" si="182"/>
        <v/>
      </c>
      <c r="P183" s="10" t="str">
        <f t="shared" si="182"/>
        <v/>
      </c>
      <c r="Q183" s="10" t="str">
        <f t="shared" si="182"/>
        <v/>
      </c>
      <c r="R183" s="10" t="str">
        <f t="shared" si="182"/>
        <v/>
      </c>
      <c r="S183" s="10" t="str">
        <f t="shared" si="182"/>
        <v/>
      </c>
      <c r="T183" s="10" t="str">
        <f t="shared" si="182"/>
        <v/>
      </c>
      <c r="U183" s="10" t="str">
        <f t="shared" si="182"/>
        <v/>
      </c>
      <c r="V183" s="10" t="str">
        <f>IF(B183="","",IF(Controls!$B$7="Normal",Controls!$B$8+Controls!$B$9*SQRT(-2*LN(B183/2147483647))*COS(2*PI()*L183/2147483647),Controls!$B$8+(Controls!$B$9-Controls!$B$8)*B183/2147483647))</f>
        <v/>
      </c>
      <c r="W183" s="10" t="str">
        <f>IF(C183="","",IF(Controls!$B$7="Normal",Controls!$B$8+Controls!$B$9*SQRT(-2*LN(C183/2147483647))*COS(2*PI()*M183/2147483647),Controls!$B$8+(Controls!$B$9-Controls!$B$8)*C183/2147483647))</f>
        <v/>
      </c>
      <c r="X183" s="10" t="str">
        <f>IF(D183="","",IF(Controls!$B$7="Normal",Controls!$B$8+Controls!$B$9*SQRT(-2*LN(D183/2147483647))*COS(2*PI()*N183/2147483647),Controls!$B$8+(Controls!$B$9-Controls!$B$8)*D183/2147483647))</f>
        <v/>
      </c>
      <c r="Y183" s="10" t="str">
        <f>IF(E183="","",IF(Controls!$B$7="Normal",Controls!$B$8+Controls!$B$9*SQRT(-2*LN(E183/2147483647))*COS(2*PI()*O183/2147483647),Controls!$B$8+(Controls!$B$9-Controls!$B$8)*E183/2147483647))</f>
        <v/>
      </c>
      <c r="Z183" s="10" t="str">
        <f>IF(F183="","",IF(Controls!$B$7="Normal",Controls!$B$8+Controls!$B$9*SQRT(-2*LN(F183/2147483647))*COS(2*PI()*P183/2147483647),Controls!$B$8+(Controls!$B$9-Controls!$B$8)*F183/2147483647))</f>
        <v/>
      </c>
      <c r="AA183" s="10" t="str">
        <f>IF(G183="","",IF(Controls!$B$7="Normal",Controls!$B$8+Controls!$B$9*SQRT(-2*LN(G183/2147483647))*COS(2*PI()*Q183/2147483647),Controls!$B$8+(Controls!$B$9-Controls!$B$8)*G183/2147483647))</f>
        <v/>
      </c>
      <c r="AB183" s="10" t="str">
        <f>IF(H183="","",IF(Controls!$B$7="Normal",Controls!$B$8+Controls!$B$9*SQRT(-2*LN(H183/2147483647))*COS(2*PI()*R183/2147483647),Controls!$B$8+(Controls!$B$9-Controls!$B$8)*H183/2147483647))</f>
        <v/>
      </c>
      <c r="AC183" s="10" t="str">
        <f>IF(I183="","",IF(Controls!$B$7="Normal",Controls!$B$8+Controls!$B$9*SQRT(-2*LN(I183/2147483647))*COS(2*PI()*S183/2147483647),Controls!$B$8+(Controls!$B$9-Controls!$B$8)*I183/2147483647))</f>
        <v/>
      </c>
      <c r="AD183" s="10" t="str">
        <f>IF(J183="","",IF(Controls!$B$7="Normal",Controls!$B$8+Controls!$B$9*SQRT(-2*LN(J183/2147483647))*COS(2*PI()*T183/2147483647),Controls!$B$8+(Controls!$B$9-Controls!$B$8)*J183/2147483647))</f>
        <v/>
      </c>
      <c r="AE183" s="10" t="str">
        <f>IF(K183="","",IF(Controls!$B$7="Normal",Controls!$B$8+Controls!$B$9*SQRT(-2*LN(K183/2147483647))*COS(2*PI()*U183/2147483647),Controls!$B$8+(Controls!$B$9-Controls!$B$8)*K183/2147483647))</f>
        <v/>
      </c>
    </row>
    <row r="184" ht="21.0" customHeight="1">
      <c r="A184" s="7" t="str">
        <f>IF(183&lt;=Controls!$B$5,Controls!$B$4+182,"")</f>
        <v/>
      </c>
      <c r="B184" s="10" t="str">
        <f>IF(OR($A184="",1&gt;Controls!$B$6),"",MOD(L183*48271,2147483647))</f>
        <v/>
      </c>
      <c r="C184" s="10" t="str">
        <f>IF(OR($A184="",2&gt;Controls!$B$6),"",MOD(M183*48271,2147483647))</f>
        <v/>
      </c>
      <c r="D184" s="10" t="str">
        <f>IF(OR($A184="",3&gt;Controls!$B$6),"",MOD(N183*48271,2147483647))</f>
        <v/>
      </c>
      <c r="E184" s="10" t="str">
        <f>IF(OR($A184="",4&gt;Controls!$B$6),"",MOD(O183*48271,2147483647))</f>
        <v/>
      </c>
      <c r="F184" s="10" t="str">
        <f>IF(OR($A184="",5&gt;Controls!$B$6),"",MOD(P183*48271,2147483647))</f>
        <v/>
      </c>
      <c r="G184" s="10" t="str">
        <f>IF(OR($A184="",6&gt;Controls!$B$6),"",MOD(Q183*48271,2147483647))</f>
        <v/>
      </c>
      <c r="H184" s="10" t="str">
        <f>IF(OR($A184="",7&gt;Controls!$B$6),"",MOD(R183*48271,2147483647))</f>
        <v/>
      </c>
      <c r="I184" s="10" t="str">
        <f>IF(OR($A184="",8&gt;Controls!$B$6),"",MOD(S183*48271,2147483647))</f>
        <v/>
      </c>
      <c r="J184" s="10" t="str">
        <f>IF(OR($A184="",9&gt;Controls!$B$6),"",MOD(T183*48271,2147483647))</f>
        <v/>
      </c>
      <c r="K184" s="10" t="str">
        <f>IF(OR($A184="",10&gt;Controls!$B$6),"",MOD(U183*48271,2147483647))</f>
        <v/>
      </c>
      <c r="L184" s="10" t="str">
        <f t="shared" ref="L184:U184" si="183">IF(B184="","",MOD(B184*48271,2147483647))</f>
        <v/>
      </c>
      <c r="M184" s="10" t="str">
        <f t="shared" si="183"/>
        <v/>
      </c>
      <c r="N184" s="10" t="str">
        <f t="shared" si="183"/>
        <v/>
      </c>
      <c r="O184" s="10" t="str">
        <f t="shared" si="183"/>
        <v/>
      </c>
      <c r="P184" s="10" t="str">
        <f t="shared" si="183"/>
        <v/>
      </c>
      <c r="Q184" s="10" t="str">
        <f t="shared" si="183"/>
        <v/>
      </c>
      <c r="R184" s="10" t="str">
        <f t="shared" si="183"/>
        <v/>
      </c>
      <c r="S184" s="10" t="str">
        <f t="shared" si="183"/>
        <v/>
      </c>
      <c r="T184" s="10" t="str">
        <f t="shared" si="183"/>
        <v/>
      </c>
      <c r="U184" s="10" t="str">
        <f t="shared" si="183"/>
        <v/>
      </c>
      <c r="V184" s="10" t="str">
        <f>IF(B184="","",IF(Controls!$B$7="Normal",Controls!$B$8+Controls!$B$9*SQRT(-2*LN(B184/2147483647))*COS(2*PI()*L184/2147483647),Controls!$B$8+(Controls!$B$9-Controls!$B$8)*B184/2147483647))</f>
        <v/>
      </c>
      <c r="W184" s="10" t="str">
        <f>IF(C184="","",IF(Controls!$B$7="Normal",Controls!$B$8+Controls!$B$9*SQRT(-2*LN(C184/2147483647))*COS(2*PI()*M184/2147483647),Controls!$B$8+(Controls!$B$9-Controls!$B$8)*C184/2147483647))</f>
        <v/>
      </c>
      <c r="X184" s="10" t="str">
        <f>IF(D184="","",IF(Controls!$B$7="Normal",Controls!$B$8+Controls!$B$9*SQRT(-2*LN(D184/2147483647))*COS(2*PI()*N184/2147483647),Controls!$B$8+(Controls!$B$9-Controls!$B$8)*D184/2147483647))</f>
        <v/>
      </c>
      <c r="Y184" s="10" t="str">
        <f>IF(E184="","",IF(Controls!$B$7="Normal",Controls!$B$8+Controls!$B$9*SQRT(-2*LN(E184/2147483647))*COS(2*PI()*O184/2147483647),Controls!$B$8+(Controls!$B$9-Controls!$B$8)*E184/2147483647))</f>
        <v/>
      </c>
      <c r="Z184" s="10" t="str">
        <f>IF(F184="","",IF(Controls!$B$7="Normal",Controls!$B$8+Controls!$B$9*SQRT(-2*LN(F184/2147483647))*COS(2*PI()*P184/2147483647),Controls!$B$8+(Controls!$B$9-Controls!$B$8)*F184/2147483647))</f>
        <v/>
      </c>
      <c r="AA184" s="10" t="str">
        <f>IF(G184="","",IF(Controls!$B$7="Normal",Controls!$B$8+Controls!$B$9*SQRT(-2*LN(G184/2147483647))*COS(2*PI()*Q184/2147483647),Controls!$B$8+(Controls!$B$9-Controls!$B$8)*G184/2147483647))</f>
        <v/>
      </c>
      <c r="AB184" s="10" t="str">
        <f>IF(H184="","",IF(Controls!$B$7="Normal",Controls!$B$8+Controls!$B$9*SQRT(-2*LN(H184/2147483647))*COS(2*PI()*R184/2147483647),Controls!$B$8+(Controls!$B$9-Controls!$B$8)*H184/2147483647))</f>
        <v/>
      </c>
      <c r="AC184" s="10" t="str">
        <f>IF(I184="","",IF(Controls!$B$7="Normal",Controls!$B$8+Controls!$B$9*SQRT(-2*LN(I184/2147483647))*COS(2*PI()*S184/2147483647),Controls!$B$8+(Controls!$B$9-Controls!$B$8)*I184/2147483647))</f>
        <v/>
      </c>
      <c r="AD184" s="10" t="str">
        <f>IF(J184="","",IF(Controls!$B$7="Normal",Controls!$B$8+Controls!$B$9*SQRT(-2*LN(J184/2147483647))*COS(2*PI()*T184/2147483647),Controls!$B$8+(Controls!$B$9-Controls!$B$8)*J184/2147483647))</f>
        <v/>
      </c>
      <c r="AE184" s="10" t="str">
        <f>IF(K184="","",IF(Controls!$B$7="Normal",Controls!$B$8+Controls!$B$9*SQRT(-2*LN(K184/2147483647))*COS(2*PI()*U184/2147483647),Controls!$B$8+(Controls!$B$9-Controls!$B$8)*K184/2147483647))</f>
        <v/>
      </c>
    </row>
    <row r="185" ht="21.0" customHeight="1">
      <c r="A185" s="7" t="str">
        <f>IF(184&lt;=Controls!$B$5,Controls!$B$4+183,"")</f>
        <v/>
      </c>
      <c r="B185" s="10" t="str">
        <f>IF(OR($A185="",1&gt;Controls!$B$6),"",MOD(L184*48271,2147483647))</f>
        <v/>
      </c>
      <c r="C185" s="10" t="str">
        <f>IF(OR($A185="",2&gt;Controls!$B$6),"",MOD(M184*48271,2147483647))</f>
        <v/>
      </c>
      <c r="D185" s="10" t="str">
        <f>IF(OR($A185="",3&gt;Controls!$B$6),"",MOD(N184*48271,2147483647))</f>
        <v/>
      </c>
      <c r="E185" s="10" t="str">
        <f>IF(OR($A185="",4&gt;Controls!$B$6),"",MOD(O184*48271,2147483647))</f>
        <v/>
      </c>
      <c r="F185" s="10" t="str">
        <f>IF(OR($A185="",5&gt;Controls!$B$6),"",MOD(P184*48271,2147483647))</f>
        <v/>
      </c>
      <c r="G185" s="10" t="str">
        <f>IF(OR($A185="",6&gt;Controls!$B$6),"",MOD(Q184*48271,2147483647))</f>
        <v/>
      </c>
      <c r="H185" s="10" t="str">
        <f>IF(OR($A185="",7&gt;Controls!$B$6),"",MOD(R184*48271,2147483647))</f>
        <v/>
      </c>
      <c r="I185" s="10" t="str">
        <f>IF(OR($A185="",8&gt;Controls!$B$6),"",MOD(S184*48271,2147483647))</f>
        <v/>
      </c>
      <c r="J185" s="10" t="str">
        <f>IF(OR($A185="",9&gt;Controls!$B$6),"",MOD(T184*48271,2147483647))</f>
        <v/>
      </c>
      <c r="K185" s="10" t="str">
        <f>IF(OR($A185="",10&gt;Controls!$B$6),"",MOD(U184*48271,2147483647))</f>
        <v/>
      </c>
      <c r="L185" s="10" t="str">
        <f t="shared" ref="L185:U185" si="184">IF(B185="","",MOD(B185*48271,2147483647))</f>
        <v/>
      </c>
      <c r="M185" s="10" t="str">
        <f t="shared" si="184"/>
        <v/>
      </c>
      <c r="N185" s="10" t="str">
        <f t="shared" si="184"/>
        <v/>
      </c>
      <c r="O185" s="10" t="str">
        <f t="shared" si="184"/>
        <v/>
      </c>
      <c r="P185" s="10" t="str">
        <f t="shared" si="184"/>
        <v/>
      </c>
      <c r="Q185" s="10" t="str">
        <f t="shared" si="184"/>
        <v/>
      </c>
      <c r="R185" s="10" t="str">
        <f t="shared" si="184"/>
        <v/>
      </c>
      <c r="S185" s="10" t="str">
        <f t="shared" si="184"/>
        <v/>
      </c>
      <c r="T185" s="10" t="str">
        <f t="shared" si="184"/>
        <v/>
      </c>
      <c r="U185" s="10" t="str">
        <f t="shared" si="184"/>
        <v/>
      </c>
      <c r="V185" s="10" t="str">
        <f>IF(B185="","",IF(Controls!$B$7="Normal",Controls!$B$8+Controls!$B$9*SQRT(-2*LN(B185/2147483647))*COS(2*PI()*L185/2147483647),Controls!$B$8+(Controls!$B$9-Controls!$B$8)*B185/2147483647))</f>
        <v/>
      </c>
      <c r="W185" s="10" t="str">
        <f>IF(C185="","",IF(Controls!$B$7="Normal",Controls!$B$8+Controls!$B$9*SQRT(-2*LN(C185/2147483647))*COS(2*PI()*M185/2147483647),Controls!$B$8+(Controls!$B$9-Controls!$B$8)*C185/2147483647))</f>
        <v/>
      </c>
      <c r="X185" s="10" t="str">
        <f>IF(D185="","",IF(Controls!$B$7="Normal",Controls!$B$8+Controls!$B$9*SQRT(-2*LN(D185/2147483647))*COS(2*PI()*N185/2147483647),Controls!$B$8+(Controls!$B$9-Controls!$B$8)*D185/2147483647))</f>
        <v/>
      </c>
      <c r="Y185" s="10" t="str">
        <f>IF(E185="","",IF(Controls!$B$7="Normal",Controls!$B$8+Controls!$B$9*SQRT(-2*LN(E185/2147483647))*COS(2*PI()*O185/2147483647),Controls!$B$8+(Controls!$B$9-Controls!$B$8)*E185/2147483647))</f>
        <v/>
      </c>
      <c r="Z185" s="10" t="str">
        <f>IF(F185="","",IF(Controls!$B$7="Normal",Controls!$B$8+Controls!$B$9*SQRT(-2*LN(F185/2147483647))*COS(2*PI()*P185/2147483647),Controls!$B$8+(Controls!$B$9-Controls!$B$8)*F185/2147483647))</f>
        <v/>
      </c>
      <c r="AA185" s="10" t="str">
        <f>IF(G185="","",IF(Controls!$B$7="Normal",Controls!$B$8+Controls!$B$9*SQRT(-2*LN(G185/2147483647))*COS(2*PI()*Q185/2147483647),Controls!$B$8+(Controls!$B$9-Controls!$B$8)*G185/2147483647))</f>
        <v/>
      </c>
      <c r="AB185" s="10" t="str">
        <f>IF(H185="","",IF(Controls!$B$7="Normal",Controls!$B$8+Controls!$B$9*SQRT(-2*LN(H185/2147483647))*COS(2*PI()*R185/2147483647),Controls!$B$8+(Controls!$B$9-Controls!$B$8)*H185/2147483647))</f>
        <v/>
      </c>
      <c r="AC185" s="10" t="str">
        <f>IF(I185="","",IF(Controls!$B$7="Normal",Controls!$B$8+Controls!$B$9*SQRT(-2*LN(I185/2147483647))*COS(2*PI()*S185/2147483647),Controls!$B$8+(Controls!$B$9-Controls!$B$8)*I185/2147483647))</f>
        <v/>
      </c>
      <c r="AD185" s="10" t="str">
        <f>IF(J185="","",IF(Controls!$B$7="Normal",Controls!$B$8+Controls!$B$9*SQRT(-2*LN(J185/2147483647))*COS(2*PI()*T185/2147483647),Controls!$B$8+(Controls!$B$9-Controls!$B$8)*J185/2147483647))</f>
        <v/>
      </c>
      <c r="AE185" s="10" t="str">
        <f>IF(K185="","",IF(Controls!$B$7="Normal",Controls!$B$8+Controls!$B$9*SQRT(-2*LN(K185/2147483647))*COS(2*PI()*U185/2147483647),Controls!$B$8+(Controls!$B$9-Controls!$B$8)*K185/2147483647))</f>
        <v/>
      </c>
    </row>
    <row r="186" ht="21.0" customHeight="1">
      <c r="A186" s="7" t="str">
        <f>IF(185&lt;=Controls!$B$5,Controls!$B$4+184,"")</f>
        <v/>
      </c>
      <c r="B186" s="10" t="str">
        <f>IF(OR($A186="",1&gt;Controls!$B$6),"",MOD(L185*48271,2147483647))</f>
        <v/>
      </c>
      <c r="C186" s="10" t="str">
        <f>IF(OR($A186="",2&gt;Controls!$B$6),"",MOD(M185*48271,2147483647))</f>
        <v/>
      </c>
      <c r="D186" s="10" t="str">
        <f>IF(OR($A186="",3&gt;Controls!$B$6),"",MOD(N185*48271,2147483647))</f>
        <v/>
      </c>
      <c r="E186" s="10" t="str">
        <f>IF(OR($A186="",4&gt;Controls!$B$6),"",MOD(O185*48271,2147483647))</f>
        <v/>
      </c>
      <c r="F186" s="10" t="str">
        <f>IF(OR($A186="",5&gt;Controls!$B$6),"",MOD(P185*48271,2147483647))</f>
        <v/>
      </c>
      <c r="G186" s="10" t="str">
        <f>IF(OR($A186="",6&gt;Controls!$B$6),"",MOD(Q185*48271,2147483647))</f>
        <v/>
      </c>
      <c r="H186" s="10" t="str">
        <f>IF(OR($A186="",7&gt;Controls!$B$6),"",MOD(R185*48271,2147483647))</f>
        <v/>
      </c>
      <c r="I186" s="10" t="str">
        <f>IF(OR($A186="",8&gt;Controls!$B$6),"",MOD(S185*48271,2147483647))</f>
        <v/>
      </c>
      <c r="J186" s="10" t="str">
        <f>IF(OR($A186="",9&gt;Controls!$B$6),"",MOD(T185*48271,2147483647))</f>
        <v/>
      </c>
      <c r="K186" s="10" t="str">
        <f>IF(OR($A186="",10&gt;Controls!$B$6),"",MOD(U185*48271,2147483647))</f>
        <v/>
      </c>
      <c r="L186" s="10" t="str">
        <f t="shared" ref="L186:U186" si="185">IF(B186="","",MOD(B186*48271,2147483647))</f>
        <v/>
      </c>
      <c r="M186" s="10" t="str">
        <f t="shared" si="185"/>
        <v/>
      </c>
      <c r="N186" s="10" t="str">
        <f t="shared" si="185"/>
        <v/>
      </c>
      <c r="O186" s="10" t="str">
        <f t="shared" si="185"/>
        <v/>
      </c>
      <c r="P186" s="10" t="str">
        <f t="shared" si="185"/>
        <v/>
      </c>
      <c r="Q186" s="10" t="str">
        <f t="shared" si="185"/>
        <v/>
      </c>
      <c r="R186" s="10" t="str">
        <f t="shared" si="185"/>
        <v/>
      </c>
      <c r="S186" s="10" t="str">
        <f t="shared" si="185"/>
        <v/>
      </c>
      <c r="T186" s="10" t="str">
        <f t="shared" si="185"/>
        <v/>
      </c>
      <c r="U186" s="10" t="str">
        <f t="shared" si="185"/>
        <v/>
      </c>
      <c r="V186" s="10" t="str">
        <f>IF(B186="","",IF(Controls!$B$7="Normal",Controls!$B$8+Controls!$B$9*SQRT(-2*LN(B186/2147483647))*COS(2*PI()*L186/2147483647),Controls!$B$8+(Controls!$B$9-Controls!$B$8)*B186/2147483647))</f>
        <v/>
      </c>
      <c r="W186" s="10" t="str">
        <f>IF(C186="","",IF(Controls!$B$7="Normal",Controls!$B$8+Controls!$B$9*SQRT(-2*LN(C186/2147483647))*COS(2*PI()*M186/2147483647),Controls!$B$8+(Controls!$B$9-Controls!$B$8)*C186/2147483647))</f>
        <v/>
      </c>
      <c r="X186" s="10" t="str">
        <f>IF(D186="","",IF(Controls!$B$7="Normal",Controls!$B$8+Controls!$B$9*SQRT(-2*LN(D186/2147483647))*COS(2*PI()*N186/2147483647),Controls!$B$8+(Controls!$B$9-Controls!$B$8)*D186/2147483647))</f>
        <v/>
      </c>
      <c r="Y186" s="10" t="str">
        <f>IF(E186="","",IF(Controls!$B$7="Normal",Controls!$B$8+Controls!$B$9*SQRT(-2*LN(E186/2147483647))*COS(2*PI()*O186/2147483647),Controls!$B$8+(Controls!$B$9-Controls!$B$8)*E186/2147483647))</f>
        <v/>
      </c>
      <c r="Z186" s="10" t="str">
        <f>IF(F186="","",IF(Controls!$B$7="Normal",Controls!$B$8+Controls!$B$9*SQRT(-2*LN(F186/2147483647))*COS(2*PI()*P186/2147483647),Controls!$B$8+(Controls!$B$9-Controls!$B$8)*F186/2147483647))</f>
        <v/>
      </c>
      <c r="AA186" s="10" t="str">
        <f>IF(G186="","",IF(Controls!$B$7="Normal",Controls!$B$8+Controls!$B$9*SQRT(-2*LN(G186/2147483647))*COS(2*PI()*Q186/2147483647),Controls!$B$8+(Controls!$B$9-Controls!$B$8)*G186/2147483647))</f>
        <v/>
      </c>
      <c r="AB186" s="10" t="str">
        <f>IF(H186="","",IF(Controls!$B$7="Normal",Controls!$B$8+Controls!$B$9*SQRT(-2*LN(H186/2147483647))*COS(2*PI()*R186/2147483647),Controls!$B$8+(Controls!$B$9-Controls!$B$8)*H186/2147483647))</f>
        <v/>
      </c>
      <c r="AC186" s="10" t="str">
        <f>IF(I186="","",IF(Controls!$B$7="Normal",Controls!$B$8+Controls!$B$9*SQRT(-2*LN(I186/2147483647))*COS(2*PI()*S186/2147483647),Controls!$B$8+(Controls!$B$9-Controls!$B$8)*I186/2147483647))</f>
        <v/>
      </c>
      <c r="AD186" s="10" t="str">
        <f>IF(J186="","",IF(Controls!$B$7="Normal",Controls!$B$8+Controls!$B$9*SQRT(-2*LN(J186/2147483647))*COS(2*PI()*T186/2147483647),Controls!$B$8+(Controls!$B$9-Controls!$B$8)*J186/2147483647))</f>
        <v/>
      </c>
      <c r="AE186" s="10" t="str">
        <f>IF(K186="","",IF(Controls!$B$7="Normal",Controls!$B$8+Controls!$B$9*SQRT(-2*LN(K186/2147483647))*COS(2*PI()*U186/2147483647),Controls!$B$8+(Controls!$B$9-Controls!$B$8)*K186/2147483647))</f>
        <v/>
      </c>
    </row>
    <row r="187" ht="21.0" customHeight="1">
      <c r="A187" s="7" t="str">
        <f>IF(186&lt;=Controls!$B$5,Controls!$B$4+185,"")</f>
        <v/>
      </c>
      <c r="B187" s="10" t="str">
        <f>IF(OR($A187="",1&gt;Controls!$B$6),"",MOD(L186*48271,2147483647))</f>
        <v/>
      </c>
      <c r="C187" s="10" t="str">
        <f>IF(OR($A187="",2&gt;Controls!$B$6),"",MOD(M186*48271,2147483647))</f>
        <v/>
      </c>
      <c r="D187" s="10" t="str">
        <f>IF(OR($A187="",3&gt;Controls!$B$6),"",MOD(N186*48271,2147483647))</f>
        <v/>
      </c>
      <c r="E187" s="10" t="str">
        <f>IF(OR($A187="",4&gt;Controls!$B$6),"",MOD(O186*48271,2147483647))</f>
        <v/>
      </c>
      <c r="F187" s="10" t="str">
        <f>IF(OR($A187="",5&gt;Controls!$B$6),"",MOD(P186*48271,2147483647))</f>
        <v/>
      </c>
      <c r="G187" s="10" t="str">
        <f>IF(OR($A187="",6&gt;Controls!$B$6),"",MOD(Q186*48271,2147483647))</f>
        <v/>
      </c>
      <c r="H187" s="10" t="str">
        <f>IF(OR($A187="",7&gt;Controls!$B$6),"",MOD(R186*48271,2147483647))</f>
        <v/>
      </c>
      <c r="I187" s="10" t="str">
        <f>IF(OR($A187="",8&gt;Controls!$B$6),"",MOD(S186*48271,2147483647))</f>
        <v/>
      </c>
      <c r="J187" s="10" t="str">
        <f>IF(OR($A187="",9&gt;Controls!$B$6),"",MOD(T186*48271,2147483647))</f>
        <v/>
      </c>
      <c r="K187" s="10" t="str">
        <f>IF(OR($A187="",10&gt;Controls!$B$6),"",MOD(U186*48271,2147483647))</f>
        <v/>
      </c>
      <c r="L187" s="10" t="str">
        <f t="shared" ref="L187:U187" si="186">IF(B187="","",MOD(B187*48271,2147483647))</f>
        <v/>
      </c>
      <c r="M187" s="10" t="str">
        <f t="shared" si="186"/>
        <v/>
      </c>
      <c r="N187" s="10" t="str">
        <f t="shared" si="186"/>
        <v/>
      </c>
      <c r="O187" s="10" t="str">
        <f t="shared" si="186"/>
        <v/>
      </c>
      <c r="P187" s="10" t="str">
        <f t="shared" si="186"/>
        <v/>
      </c>
      <c r="Q187" s="10" t="str">
        <f t="shared" si="186"/>
        <v/>
      </c>
      <c r="R187" s="10" t="str">
        <f t="shared" si="186"/>
        <v/>
      </c>
      <c r="S187" s="10" t="str">
        <f t="shared" si="186"/>
        <v/>
      </c>
      <c r="T187" s="10" t="str">
        <f t="shared" si="186"/>
        <v/>
      </c>
      <c r="U187" s="10" t="str">
        <f t="shared" si="186"/>
        <v/>
      </c>
      <c r="V187" s="10" t="str">
        <f>IF(B187="","",IF(Controls!$B$7="Normal",Controls!$B$8+Controls!$B$9*SQRT(-2*LN(B187/2147483647))*COS(2*PI()*L187/2147483647),Controls!$B$8+(Controls!$B$9-Controls!$B$8)*B187/2147483647))</f>
        <v/>
      </c>
      <c r="W187" s="10" t="str">
        <f>IF(C187="","",IF(Controls!$B$7="Normal",Controls!$B$8+Controls!$B$9*SQRT(-2*LN(C187/2147483647))*COS(2*PI()*M187/2147483647),Controls!$B$8+(Controls!$B$9-Controls!$B$8)*C187/2147483647))</f>
        <v/>
      </c>
      <c r="X187" s="10" t="str">
        <f>IF(D187="","",IF(Controls!$B$7="Normal",Controls!$B$8+Controls!$B$9*SQRT(-2*LN(D187/2147483647))*COS(2*PI()*N187/2147483647),Controls!$B$8+(Controls!$B$9-Controls!$B$8)*D187/2147483647))</f>
        <v/>
      </c>
      <c r="Y187" s="10" t="str">
        <f>IF(E187="","",IF(Controls!$B$7="Normal",Controls!$B$8+Controls!$B$9*SQRT(-2*LN(E187/2147483647))*COS(2*PI()*O187/2147483647),Controls!$B$8+(Controls!$B$9-Controls!$B$8)*E187/2147483647))</f>
        <v/>
      </c>
      <c r="Z187" s="10" t="str">
        <f>IF(F187="","",IF(Controls!$B$7="Normal",Controls!$B$8+Controls!$B$9*SQRT(-2*LN(F187/2147483647))*COS(2*PI()*P187/2147483647),Controls!$B$8+(Controls!$B$9-Controls!$B$8)*F187/2147483647))</f>
        <v/>
      </c>
      <c r="AA187" s="10" t="str">
        <f>IF(G187="","",IF(Controls!$B$7="Normal",Controls!$B$8+Controls!$B$9*SQRT(-2*LN(G187/2147483647))*COS(2*PI()*Q187/2147483647),Controls!$B$8+(Controls!$B$9-Controls!$B$8)*G187/2147483647))</f>
        <v/>
      </c>
      <c r="AB187" s="10" t="str">
        <f>IF(H187="","",IF(Controls!$B$7="Normal",Controls!$B$8+Controls!$B$9*SQRT(-2*LN(H187/2147483647))*COS(2*PI()*R187/2147483647),Controls!$B$8+(Controls!$B$9-Controls!$B$8)*H187/2147483647))</f>
        <v/>
      </c>
      <c r="AC187" s="10" t="str">
        <f>IF(I187="","",IF(Controls!$B$7="Normal",Controls!$B$8+Controls!$B$9*SQRT(-2*LN(I187/2147483647))*COS(2*PI()*S187/2147483647),Controls!$B$8+(Controls!$B$9-Controls!$B$8)*I187/2147483647))</f>
        <v/>
      </c>
      <c r="AD187" s="10" t="str">
        <f>IF(J187="","",IF(Controls!$B$7="Normal",Controls!$B$8+Controls!$B$9*SQRT(-2*LN(J187/2147483647))*COS(2*PI()*T187/2147483647),Controls!$B$8+(Controls!$B$9-Controls!$B$8)*J187/2147483647))</f>
        <v/>
      </c>
      <c r="AE187" s="10" t="str">
        <f>IF(K187="","",IF(Controls!$B$7="Normal",Controls!$B$8+Controls!$B$9*SQRT(-2*LN(K187/2147483647))*COS(2*PI()*U187/2147483647),Controls!$B$8+(Controls!$B$9-Controls!$B$8)*K187/2147483647))</f>
        <v/>
      </c>
    </row>
    <row r="188" ht="21.0" customHeight="1">
      <c r="A188" s="7" t="str">
        <f>IF(187&lt;=Controls!$B$5,Controls!$B$4+186,"")</f>
        <v/>
      </c>
      <c r="B188" s="10" t="str">
        <f>IF(OR($A188="",1&gt;Controls!$B$6),"",MOD(L187*48271,2147483647))</f>
        <v/>
      </c>
      <c r="C188" s="10" t="str">
        <f>IF(OR($A188="",2&gt;Controls!$B$6),"",MOD(M187*48271,2147483647))</f>
        <v/>
      </c>
      <c r="D188" s="10" t="str">
        <f>IF(OR($A188="",3&gt;Controls!$B$6),"",MOD(N187*48271,2147483647))</f>
        <v/>
      </c>
      <c r="E188" s="10" t="str">
        <f>IF(OR($A188="",4&gt;Controls!$B$6),"",MOD(O187*48271,2147483647))</f>
        <v/>
      </c>
      <c r="F188" s="10" t="str">
        <f>IF(OR($A188="",5&gt;Controls!$B$6),"",MOD(P187*48271,2147483647))</f>
        <v/>
      </c>
      <c r="G188" s="10" t="str">
        <f>IF(OR($A188="",6&gt;Controls!$B$6),"",MOD(Q187*48271,2147483647))</f>
        <v/>
      </c>
      <c r="H188" s="10" t="str">
        <f>IF(OR($A188="",7&gt;Controls!$B$6),"",MOD(R187*48271,2147483647))</f>
        <v/>
      </c>
      <c r="I188" s="10" t="str">
        <f>IF(OR($A188="",8&gt;Controls!$B$6),"",MOD(S187*48271,2147483647))</f>
        <v/>
      </c>
      <c r="J188" s="10" t="str">
        <f>IF(OR($A188="",9&gt;Controls!$B$6),"",MOD(T187*48271,2147483647))</f>
        <v/>
      </c>
      <c r="K188" s="10" t="str">
        <f>IF(OR($A188="",10&gt;Controls!$B$6),"",MOD(U187*48271,2147483647))</f>
        <v/>
      </c>
      <c r="L188" s="10" t="str">
        <f t="shared" ref="L188:U188" si="187">IF(B188="","",MOD(B188*48271,2147483647))</f>
        <v/>
      </c>
      <c r="M188" s="10" t="str">
        <f t="shared" si="187"/>
        <v/>
      </c>
      <c r="N188" s="10" t="str">
        <f t="shared" si="187"/>
        <v/>
      </c>
      <c r="O188" s="10" t="str">
        <f t="shared" si="187"/>
        <v/>
      </c>
      <c r="P188" s="10" t="str">
        <f t="shared" si="187"/>
        <v/>
      </c>
      <c r="Q188" s="10" t="str">
        <f t="shared" si="187"/>
        <v/>
      </c>
      <c r="R188" s="10" t="str">
        <f t="shared" si="187"/>
        <v/>
      </c>
      <c r="S188" s="10" t="str">
        <f t="shared" si="187"/>
        <v/>
      </c>
      <c r="T188" s="10" t="str">
        <f t="shared" si="187"/>
        <v/>
      </c>
      <c r="U188" s="10" t="str">
        <f t="shared" si="187"/>
        <v/>
      </c>
      <c r="V188" s="10" t="str">
        <f>IF(B188="","",IF(Controls!$B$7="Normal",Controls!$B$8+Controls!$B$9*SQRT(-2*LN(B188/2147483647))*COS(2*PI()*L188/2147483647),Controls!$B$8+(Controls!$B$9-Controls!$B$8)*B188/2147483647))</f>
        <v/>
      </c>
      <c r="W188" s="10" t="str">
        <f>IF(C188="","",IF(Controls!$B$7="Normal",Controls!$B$8+Controls!$B$9*SQRT(-2*LN(C188/2147483647))*COS(2*PI()*M188/2147483647),Controls!$B$8+(Controls!$B$9-Controls!$B$8)*C188/2147483647))</f>
        <v/>
      </c>
      <c r="X188" s="10" t="str">
        <f>IF(D188="","",IF(Controls!$B$7="Normal",Controls!$B$8+Controls!$B$9*SQRT(-2*LN(D188/2147483647))*COS(2*PI()*N188/2147483647),Controls!$B$8+(Controls!$B$9-Controls!$B$8)*D188/2147483647))</f>
        <v/>
      </c>
      <c r="Y188" s="10" t="str">
        <f>IF(E188="","",IF(Controls!$B$7="Normal",Controls!$B$8+Controls!$B$9*SQRT(-2*LN(E188/2147483647))*COS(2*PI()*O188/2147483647),Controls!$B$8+(Controls!$B$9-Controls!$B$8)*E188/2147483647))</f>
        <v/>
      </c>
      <c r="Z188" s="10" t="str">
        <f>IF(F188="","",IF(Controls!$B$7="Normal",Controls!$B$8+Controls!$B$9*SQRT(-2*LN(F188/2147483647))*COS(2*PI()*P188/2147483647),Controls!$B$8+(Controls!$B$9-Controls!$B$8)*F188/2147483647))</f>
        <v/>
      </c>
      <c r="AA188" s="10" t="str">
        <f>IF(G188="","",IF(Controls!$B$7="Normal",Controls!$B$8+Controls!$B$9*SQRT(-2*LN(G188/2147483647))*COS(2*PI()*Q188/2147483647),Controls!$B$8+(Controls!$B$9-Controls!$B$8)*G188/2147483647))</f>
        <v/>
      </c>
      <c r="AB188" s="10" t="str">
        <f>IF(H188="","",IF(Controls!$B$7="Normal",Controls!$B$8+Controls!$B$9*SQRT(-2*LN(H188/2147483647))*COS(2*PI()*R188/2147483647),Controls!$B$8+(Controls!$B$9-Controls!$B$8)*H188/2147483647))</f>
        <v/>
      </c>
      <c r="AC188" s="10" t="str">
        <f>IF(I188="","",IF(Controls!$B$7="Normal",Controls!$B$8+Controls!$B$9*SQRT(-2*LN(I188/2147483647))*COS(2*PI()*S188/2147483647),Controls!$B$8+(Controls!$B$9-Controls!$B$8)*I188/2147483647))</f>
        <v/>
      </c>
      <c r="AD188" s="10" t="str">
        <f>IF(J188="","",IF(Controls!$B$7="Normal",Controls!$B$8+Controls!$B$9*SQRT(-2*LN(J188/2147483647))*COS(2*PI()*T188/2147483647),Controls!$B$8+(Controls!$B$9-Controls!$B$8)*J188/2147483647))</f>
        <v/>
      </c>
      <c r="AE188" s="10" t="str">
        <f>IF(K188="","",IF(Controls!$B$7="Normal",Controls!$B$8+Controls!$B$9*SQRT(-2*LN(K188/2147483647))*COS(2*PI()*U188/2147483647),Controls!$B$8+(Controls!$B$9-Controls!$B$8)*K188/2147483647))</f>
        <v/>
      </c>
    </row>
    <row r="189" ht="21.0" customHeight="1">
      <c r="A189" s="7" t="str">
        <f>IF(188&lt;=Controls!$B$5,Controls!$B$4+187,"")</f>
        <v/>
      </c>
      <c r="B189" s="10" t="str">
        <f>IF(OR($A189="",1&gt;Controls!$B$6),"",MOD(L188*48271,2147483647))</f>
        <v/>
      </c>
      <c r="C189" s="10" t="str">
        <f>IF(OR($A189="",2&gt;Controls!$B$6),"",MOD(M188*48271,2147483647))</f>
        <v/>
      </c>
      <c r="D189" s="10" t="str">
        <f>IF(OR($A189="",3&gt;Controls!$B$6),"",MOD(N188*48271,2147483647))</f>
        <v/>
      </c>
      <c r="E189" s="10" t="str">
        <f>IF(OR($A189="",4&gt;Controls!$B$6),"",MOD(O188*48271,2147483647))</f>
        <v/>
      </c>
      <c r="F189" s="10" t="str">
        <f>IF(OR($A189="",5&gt;Controls!$B$6),"",MOD(P188*48271,2147483647))</f>
        <v/>
      </c>
      <c r="G189" s="10" t="str">
        <f>IF(OR($A189="",6&gt;Controls!$B$6),"",MOD(Q188*48271,2147483647))</f>
        <v/>
      </c>
      <c r="H189" s="10" t="str">
        <f>IF(OR($A189="",7&gt;Controls!$B$6),"",MOD(R188*48271,2147483647))</f>
        <v/>
      </c>
      <c r="I189" s="10" t="str">
        <f>IF(OR($A189="",8&gt;Controls!$B$6),"",MOD(S188*48271,2147483647))</f>
        <v/>
      </c>
      <c r="J189" s="10" t="str">
        <f>IF(OR($A189="",9&gt;Controls!$B$6),"",MOD(T188*48271,2147483647))</f>
        <v/>
      </c>
      <c r="K189" s="10" t="str">
        <f>IF(OR($A189="",10&gt;Controls!$B$6),"",MOD(U188*48271,2147483647))</f>
        <v/>
      </c>
      <c r="L189" s="10" t="str">
        <f t="shared" ref="L189:U189" si="188">IF(B189="","",MOD(B189*48271,2147483647))</f>
        <v/>
      </c>
      <c r="M189" s="10" t="str">
        <f t="shared" si="188"/>
        <v/>
      </c>
      <c r="N189" s="10" t="str">
        <f t="shared" si="188"/>
        <v/>
      </c>
      <c r="O189" s="10" t="str">
        <f t="shared" si="188"/>
        <v/>
      </c>
      <c r="P189" s="10" t="str">
        <f t="shared" si="188"/>
        <v/>
      </c>
      <c r="Q189" s="10" t="str">
        <f t="shared" si="188"/>
        <v/>
      </c>
      <c r="R189" s="10" t="str">
        <f t="shared" si="188"/>
        <v/>
      </c>
      <c r="S189" s="10" t="str">
        <f t="shared" si="188"/>
        <v/>
      </c>
      <c r="T189" s="10" t="str">
        <f t="shared" si="188"/>
        <v/>
      </c>
      <c r="U189" s="10" t="str">
        <f t="shared" si="188"/>
        <v/>
      </c>
      <c r="V189" s="10" t="str">
        <f>IF(B189="","",IF(Controls!$B$7="Normal",Controls!$B$8+Controls!$B$9*SQRT(-2*LN(B189/2147483647))*COS(2*PI()*L189/2147483647),Controls!$B$8+(Controls!$B$9-Controls!$B$8)*B189/2147483647))</f>
        <v/>
      </c>
      <c r="W189" s="10" t="str">
        <f>IF(C189="","",IF(Controls!$B$7="Normal",Controls!$B$8+Controls!$B$9*SQRT(-2*LN(C189/2147483647))*COS(2*PI()*M189/2147483647),Controls!$B$8+(Controls!$B$9-Controls!$B$8)*C189/2147483647))</f>
        <v/>
      </c>
      <c r="X189" s="10" t="str">
        <f>IF(D189="","",IF(Controls!$B$7="Normal",Controls!$B$8+Controls!$B$9*SQRT(-2*LN(D189/2147483647))*COS(2*PI()*N189/2147483647),Controls!$B$8+(Controls!$B$9-Controls!$B$8)*D189/2147483647))</f>
        <v/>
      </c>
      <c r="Y189" s="10" t="str">
        <f>IF(E189="","",IF(Controls!$B$7="Normal",Controls!$B$8+Controls!$B$9*SQRT(-2*LN(E189/2147483647))*COS(2*PI()*O189/2147483647),Controls!$B$8+(Controls!$B$9-Controls!$B$8)*E189/2147483647))</f>
        <v/>
      </c>
      <c r="Z189" s="10" t="str">
        <f>IF(F189="","",IF(Controls!$B$7="Normal",Controls!$B$8+Controls!$B$9*SQRT(-2*LN(F189/2147483647))*COS(2*PI()*P189/2147483647),Controls!$B$8+(Controls!$B$9-Controls!$B$8)*F189/2147483647))</f>
        <v/>
      </c>
      <c r="AA189" s="10" t="str">
        <f>IF(G189="","",IF(Controls!$B$7="Normal",Controls!$B$8+Controls!$B$9*SQRT(-2*LN(G189/2147483647))*COS(2*PI()*Q189/2147483647),Controls!$B$8+(Controls!$B$9-Controls!$B$8)*G189/2147483647))</f>
        <v/>
      </c>
      <c r="AB189" s="10" t="str">
        <f>IF(H189="","",IF(Controls!$B$7="Normal",Controls!$B$8+Controls!$B$9*SQRT(-2*LN(H189/2147483647))*COS(2*PI()*R189/2147483647),Controls!$B$8+(Controls!$B$9-Controls!$B$8)*H189/2147483647))</f>
        <v/>
      </c>
      <c r="AC189" s="10" t="str">
        <f>IF(I189="","",IF(Controls!$B$7="Normal",Controls!$B$8+Controls!$B$9*SQRT(-2*LN(I189/2147483647))*COS(2*PI()*S189/2147483647),Controls!$B$8+(Controls!$B$9-Controls!$B$8)*I189/2147483647))</f>
        <v/>
      </c>
      <c r="AD189" s="10" t="str">
        <f>IF(J189="","",IF(Controls!$B$7="Normal",Controls!$B$8+Controls!$B$9*SQRT(-2*LN(J189/2147483647))*COS(2*PI()*T189/2147483647),Controls!$B$8+(Controls!$B$9-Controls!$B$8)*J189/2147483647))</f>
        <v/>
      </c>
      <c r="AE189" s="10" t="str">
        <f>IF(K189="","",IF(Controls!$B$7="Normal",Controls!$B$8+Controls!$B$9*SQRT(-2*LN(K189/2147483647))*COS(2*PI()*U189/2147483647),Controls!$B$8+(Controls!$B$9-Controls!$B$8)*K189/2147483647))</f>
        <v/>
      </c>
    </row>
    <row r="190" ht="21.0" customHeight="1">
      <c r="A190" s="7" t="str">
        <f>IF(189&lt;=Controls!$B$5,Controls!$B$4+188,"")</f>
        <v/>
      </c>
      <c r="B190" s="10" t="str">
        <f>IF(OR($A190="",1&gt;Controls!$B$6),"",MOD(L189*48271,2147483647))</f>
        <v/>
      </c>
      <c r="C190" s="10" t="str">
        <f>IF(OR($A190="",2&gt;Controls!$B$6),"",MOD(M189*48271,2147483647))</f>
        <v/>
      </c>
      <c r="D190" s="10" t="str">
        <f>IF(OR($A190="",3&gt;Controls!$B$6),"",MOD(N189*48271,2147483647))</f>
        <v/>
      </c>
      <c r="E190" s="10" t="str">
        <f>IF(OR($A190="",4&gt;Controls!$B$6),"",MOD(O189*48271,2147483647))</f>
        <v/>
      </c>
      <c r="F190" s="10" t="str">
        <f>IF(OR($A190="",5&gt;Controls!$B$6),"",MOD(P189*48271,2147483647))</f>
        <v/>
      </c>
      <c r="G190" s="10" t="str">
        <f>IF(OR($A190="",6&gt;Controls!$B$6),"",MOD(Q189*48271,2147483647))</f>
        <v/>
      </c>
      <c r="H190" s="10" t="str">
        <f>IF(OR($A190="",7&gt;Controls!$B$6),"",MOD(R189*48271,2147483647))</f>
        <v/>
      </c>
      <c r="I190" s="10" t="str">
        <f>IF(OR($A190="",8&gt;Controls!$B$6),"",MOD(S189*48271,2147483647))</f>
        <v/>
      </c>
      <c r="J190" s="10" t="str">
        <f>IF(OR($A190="",9&gt;Controls!$B$6),"",MOD(T189*48271,2147483647))</f>
        <v/>
      </c>
      <c r="K190" s="10" t="str">
        <f>IF(OR($A190="",10&gt;Controls!$B$6),"",MOD(U189*48271,2147483647))</f>
        <v/>
      </c>
      <c r="L190" s="10" t="str">
        <f t="shared" ref="L190:U190" si="189">IF(B190="","",MOD(B190*48271,2147483647))</f>
        <v/>
      </c>
      <c r="M190" s="10" t="str">
        <f t="shared" si="189"/>
        <v/>
      </c>
      <c r="N190" s="10" t="str">
        <f t="shared" si="189"/>
        <v/>
      </c>
      <c r="O190" s="10" t="str">
        <f t="shared" si="189"/>
        <v/>
      </c>
      <c r="P190" s="10" t="str">
        <f t="shared" si="189"/>
        <v/>
      </c>
      <c r="Q190" s="10" t="str">
        <f t="shared" si="189"/>
        <v/>
      </c>
      <c r="R190" s="10" t="str">
        <f t="shared" si="189"/>
        <v/>
      </c>
      <c r="S190" s="10" t="str">
        <f t="shared" si="189"/>
        <v/>
      </c>
      <c r="T190" s="10" t="str">
        <f t="shared" si="189"/>
        <v/>
      </c>
      <c r="U190" s="10" t="str">
        <f t="shared" si="189"/>
        <v/>
      </c>
      <c r="V190" s="10" t="str">
        <f>IF(B190="","",IF(Controls!$B$7="Normal",Controls!$B$8+Controls!$B$9*SQRT(-2*LN(B190/2147483647))*COS(2*PI()*L190/2147483647),Controls!$B$8+(Controls!$B$9-Controls!$B$8)*B190/2147483647))</f>
        <v/>
      </c>
      <c r="W190" s="10" t="str">
        <f>IF(C190="","",IF(Controls!$B$7="Normal",Controls!$B$8+Controls!$B$9*SQRT(-2*LN(C190/2147483647))*COS(2*PI()*M190/2147483647),Controls!$B$8+(Controls!$B$9-Controls!$B$8)*C190/2147483647))</f>
        <v/>
      </c>
      <c r="X190" s="10" t="str">
        <f>IF(D190="","",IF(Controls!$B$7="Normal",Controls!$B$8+Controls!$B$9*SQRT(-2*LN(D190/2147483647))*COS(2*PI()*N190/2147483647),Controls!$B$8+(Controls!$B$9-Controls!$B$8)*D190/2147483647))</f>
        <v/>
      </c>
      <c r="Y190" s="10" t="str">
        <f>IF(E190="","",IF(Controls!$B$7="Normal",Controls!$B$8+Controls!$B$9*SQRT(-2*LN(E190/2147483647))*COS(2*PI()*O190/2147483647),Controls!$B$8+(Controls!$B$9-Controls!$B$8)*E190/2147483647))</f>
        <v/>
      </c>
      <c r="Z190" s="10" t="str">
        <f>IF(F190="","",IF(Controls!$B$7="Normal",Controls!$B$8+Controls!$B$9*SQRT(-2*LN(F190/2147483647))*COS(2*PI()*P190/2147483647),Controls!$B$8+(Controls!$B$9-Controls!$B$8)*F190/2147483647))</f>
        <v/>
      </c>
      <c r="AA190" s="10" t="str">
        <f>IF(G190="","",IF(Controls!$B$7="Normal",Controls!$B$8+Controls!$B$9*SQRT(-2*LN(G190/2147483647))*COS(2*PI()*Q190/2147483647),Controls!$B$8+(Controls!$B$9-Controls!$B$8)*G190/2147483647))</f>
        <v/>
      </c>
      <c r="AB190" s="10" t="str">
        <f>IF(H190="","",IF(Controls!$B$7="Normal",Controls!$B$8+Controls!$B$9*SQRT(-2*LN(H190/2147483647))*COS(2*PI()*R190/2147483647),Controls!$B$8+(Controls!$B$9-Controls!$B$8)*H190/2147483647))</f>
        <v/>
      </c>
      <c r="AC190" s="10" t="str">
        <f>IF(I190="","",IF(Controls!$B$7="Normal",Controls!$B$8+Controls!$B$9*SQRT(-2*LN(I190/2147483647))*COS(2*PI()*S190/2147483647),Controls!$B$8+(Controls!$B$9-Controls!$B$8)*I190/2147483647))</f>
        <v/>
      </c>
      <c r="AD190" s="10" t="str">
        <f>IF(J190="","",IF(Controls!$B$7="Normal",Controls!$B$8+Controls!$B$9*SQRT(-2*LN(J190/2147483647))*COS(2*PI()*T190/2147483647),Controls!$B$8+(Controls!$B$9-Controls!$B$8)*J190/2147483647))</f>
        <v/>
      </c>
      <c r="AE190" s="10" t="str">
        <f>IF(K190="","",IF(Controls!$B$7="Normal",Controls!$B$8+Controls!$B$9*SQRT(-2*LN(K190/2147483647))*COS(2*PI()*U190/2147483647),Controls!$B$8+(Controls!$B$9-Controls!$B$8)*K190/2147483647))</f>
        <v/>
      </c>
    </row>
    <row r="191" ht="21.0" customHeight="1">
      <c r="A191" s="7" t="str">
        <f>IF(190&lt;=Controls!$B$5,Controls!$B$4+189,"")</f>
        <v/>
      </c>
      <c r="B191" s="10" t="str">
        <f>IF(OR($A191="",1&gt;Controls!$B$6),"",MOD(L190*48271,2147483647))</f>
        <v/>
      </c>
      <c r="C191" s="10" t="str">
        <f>IF(OR($A191="",2&gt;Controls!$B$6),"",MOD(M190*48271,2147483647))</f>
        <v/>
      </c>
      <c r="D191" s="10" t="str">
        <f>IF(OR($A191="",3&gt;Controls!$B$6),"",MOD(N190*48271,2147483647))</f>
        <v/>
      </c>
      <c r="E191" s="10" t="str">
        <f>IF(OR($A191="",4&gt;Controls!$B$6),"",MOD(O190*48271,2147483647))</f>
        <v/>
      </c>
      <c r="F191" s="10" t="str">
        <f>IF(OR($A191="",5&gt;Controls!$B$6),"",MOD(P190*48271,2147483647))</f>
        <v/>
      </c>
      <c r="G191" s="10" t="str">
        <f>IF(OR($A191="",6&gt;Controls!$B$6),"",MOD(Q190*48271,2147483647))</f>
        <v/>
      </c>
      <c r="H191" s="10" t="str">
        <f>IF(OR($A191="",7&gt;Controls!$B$6),"",MOD(R190*48271,2147483647))</f>
        <v/>
      </c>
      <c r="I191" s="10" t="str">
        <f>IF(OR($A191="",8&gt;Controls!$B$6),"",MOD(S190*48271,2147483647))</f>
        <v/>
      </c>
      <c r="J191" s="10" t="str">
        <f>IF(OR($A191="",9&gt;Controls!$B$6),"",MOD(T190*48271,2147483647))</f>
        <v/>
      </c>
      <c r="K191" s="10" t="str">
        <f>IF(OR($A191="",10&gt;Controls!$B$6),"",MOD(U190*48271,2147483647))</f>
        <v/>
      </c>
      <c r="L191" s="10" t="str">
        <f t="shared" ref="L191:U191" si="190">IF(B191="","",MOD(B191*48271,2147483647))</f>
        <v/>
      </c>
      <c r="M191" s="10" t="str">
        <f t="shared" si="190"/>
        <v/>
      </c>
      <c r="N191" s="10" t="str">
        <f t="shared" si="190"/>
        <v/>
      </c>
      <c r="O191" s="10" t="str">
        <f t="shared" si="190"/>
        <v/>
      </c>
      <c r="P191" s="10" t="str">
        <f t="shared" si="190"/>
        <v/>
      </c>
      <c r="Q191" s="10" t="str">
        <f t="shared" si="190"/>
        <v/>
      </c>
      <c r="R191" s="10" t="str">
        <f t="shared" si="190"/>
        <v/>
      </c>
      <c r="S191" s="10" t="str">
        <f t="shared" si="190"/>
        <v/>
      </c>
      <c r="T191" s="10" t="str">
        <f t="shared" si="190"/>
        <v/>
      </c>
      <c r="U191" s="10" t="str">
        <f t="shared" si="190"/>
        <v/>
      </c>
      <c r="V191" s="10" t="str">
        <f>IF(B191="","",IF(Controls!$B$7="Normal",Controls!$B$8+Controls!$B$9*SQRT(-2*LN(B191/2147483647))*COS(2*PI()*L191/2147483647),Controls!$B$8+(Controls!$B$9-Controls!$B$8)*B191/2147483647))</f>
        <v/>
      </c>
      <c r="W191" s="10" t="str">
        <f>IF(C191="","",IF(Controls!$B$7="Normal",Controls!$B$8+Controls!$B$9*SQRT(-2*LN(C191/2147483647))*COS(2*PI()*M191/2147483647),Controls!$B$8+(Controls!$B$9-Controls!$B$8)*C191/2147483647))</f>
        <v/>
      </c>
      <c r="X191" s="10" t="str">
        <f>IF(D191="","",IF(Controls!$B$7="Normal",Controls!$B$8+Controls!$B$9*SQRT(-2*LN(D191/2147483647))*COS(2*PI()*N191/2147483647),Controls!$B$8+(Controls!$B$9-Controls!$B$8)*D191/2147483647))</f>
        <v/>
      </c>
      <c r="Y191" s="10" t="str">
        <f>IF(E191="","",IF(Controls!$B$7="Normal",Controls!$B$8+Controls!$B$9*SQRT(-2*LN(E191/2147483647))*COS(2*PI()*O191/2147483647),Controls!$B$8+(Controls!$B$9-Controls!$B$8)*E191/2147483647))</f>
        <v/>
      </c>
      <c r="Z191" s="10" t="str">
        <f>IF(F191="","",IF(Controls!$B$7="Normal",Controls!$B$8+Controls!$B$9*SQRT(-2*LN(F191/2147483647))*COS(2*PI()*P191/2147483647),Controls!$B$8+(Controls!$B$9-Controls!$B$8)*F191/2147483647))</f>
        <v/>
      </c>
      <c r="AA191" s="10" t="str">
        <f>IF(G191="","",IF(Controls!$B$7="Normal",Controls!$B$8+Controls!$B$9*SQRT(-2*LN(G191/2147483647))*COS(2*PI()*Q191/2147483647),Controls!$B$8+(Controls!$B$9-Controls!$B$8)*G191/2147483647))</f>
        <v/>
      </c>
      <c r="AB191" s="10" t="str">
        <f>IF(H191="","",IF(Controls!$B$7="Normal",Controls!$B$8+Controls!$B$9*SQRT(-2*LN(H191/2147483647))*COS(2*PI()*R191/2147483647),Controls!$B$8+(Controls!$B$9-Controls!$B$8)*H191/2147483647))</f>
        <v/>
      </c>
      <c r="AC191" s="10" t="str">
        <f>IF(I191="","",IF(Controls!$B$7="Normal",Controls!$B$8+Controls!$B$9*SQRT(-2*LN(I191/2147483647))*COS(2*PI()*S191/2147483647),Controls!$B$8+(Controls!$B$9-Controls!$B$8)*I191/2147483647))</f>
        <v/>
      </c>
      <c r="AD191" s="10" t="str">
        <f>IF(J191="","",IF(Controls!$B$7="Normal",Controls!$B$8+Controls!$B$9*SQRT(-2*LN(J191/2147483647))*COS(2*PI()*T191/2147483647),Controls!$B$8+(Controls!$B$9-Controls!$B$8)*J191/2147483647))</f>
        <v/>
      </c>
      <c r="AE191" s="10" t="str">
        <f>IF(K191="","",IF(Controls!$B$7="Normal",Controls!$B$8+Controls!$B$9*SQRT(-2*LN(K191/2147483647))*COS(2*PI()*U191/2147483647),Controls!$B$8+(Controls!$B$9-Controls!$B$8)*K191/2147483647))</f>
        <v/>
      </c>
    </row>
    <row r="192" ht="21.0" customHeight="1">
      <c r="A192" s="7" t="str">
        <f>IF(191&lt;=Controls!$B$5,Controls!$B$4+190,"")</f>
        <v/>
      </c>
      <c r="B192" s="10" t="str">
        <f>IF(OR($A192="",1&gt;Controls!$B$6),"",MOD(L191*48271,2147483647))</f>
        <v/>
      </c>
      <c r="C192" s="10" t="str">
        <f>IF(OR($A192="",2&gt;Controls!$B$6),"",MOD(M191*48271,2147483647))</f>
        <v/>
      </c>
      <c r="D192" s="10" t="str">
        <f>IF(OR($A192="",3&gt;Controls!$B$6),"",MOD(N191*48271,2147483647))</f>
        <v/>
      </c>
      <c r="E192" s="10" t="str">
        <f>IF(OR($A192="",4&gt;Controls!$B$6),"",MOD(O191*48271,2147483647))</f>
        <v/>
      </c>
      <c r="F192" s="10" t="str">
        <f>IF(OR($A192="",5&gt;Controls!$B$6),"",MOD(P191*48271,2147483647))</f>
        <v/>
      </c>
      <c r="G192" s="10" t="str">
        <f>IF(OR($A192="",6&gt;Controls!$B$6),"",MOD(Q191*48271,2147483647))</f>
        <v/>
      </c>
      <c r="H192" s="10" t="str">
        <f>IF(OR($A192="",7&gt;Controls!$B$6),"",MOD(R191*48271,2147483647))</f>
        <v/>
      </c>
      <c r="I192" s="10" t="str">
        <f>IF(OR($A192="",8&gt;Controls!$B$6),"",MOD(S191*48271,2147483647))</f>
        <v/>
      </c>
      <c r="J192" s="10" t="str">
        <f>IF(OR($A192="",9&gt;Controls!$B$6),"",MOD(T191*48271,2147483647))</f>
        <v/>
      </c>
      <c r="K192" s="10" t="str">
        <f>IF(OR($A192="",10&gt;Controls!$B$6),"",MOD(U191*48271,2147483647))</f>
        <v/>
      </c>
      <c r="L192" s="10" t="str">
        <f t="shared" ref="L192:U192" si="191">IF(B192="","",MOD(B192*48271,2147483647))</f>
        <v/>
      </c>
      <c r="M192" s="10" t="str">
        <f t="shared" si="191"/>
        <v/>
      </c>
      <c r="N192" s="10" t="str">
        <f t="shared" si="191"/>
        <v/>
      </c>
      <c r="O192" s="10" t="str">
        <f t="shared" si="191"/>
        <v/>
      </c>
      <c r="P192" s="10" t="str">
        <f t="shared" si="191"/>
        <v/>
      </c>
      <c r="Q192" s="10" t="str">
        <f t="shared" si="191"/>
        <v/>
      </c>
      <c r="R192" s="10" t="str">
        <f t="shared" si="191"/>
        <v/>
      </c>
      <c r="S192" s="10" t="str">
        <f t="shared" si="191"/>
        <v/>
      </c>
      <c r="T192" s="10" t="str">
        <f t="shared" si="191"/>
        <v/>
      </c>
      <c r="U192" s="10" t="str">
        <f t="shared" si="191"/>
        <v/>
      </c>
      <c r="V192" s="10" t="str">
        <f>IF(B192="","",IF(Controls!$B$7="Normal",Controls!$B$8+Controls!$B$9*SQRT(-2*LN(B192/2147483647))*COS(2*PI()*L192/2147483647),Controls!$B$8+(Controls!$B$9-Controls!$B$8)*B192/2147483647))</f>
        <v/>
      </c>
      <c r="W192" s="10" t="str">
        <f>IF(C192="","",IF(Controls!$B$7="Normal",Controls!$B$8+Controls!$B$9*SQRT(-2*LN(C192/2147483647))*COS(2*PI()*M192/2147483647),Controls!$B$8+(Controls!$B$9-Controls!$B$8)*C192/2147483647))</f>
        <v/>
      </c>
      <c r="X192" s="10" t="str">
        <f>IF(D192="","",IF(Controls!$B$7="Normal",Controls!$B$8+Controls!$B$9*SQRT(-2*LN(D192/2147483647))*COS(2*PI()*N192/2147483647),Controls!$B$8+(Controls!$B$9-Controls!$B$8)*D192/2147483647))</f>
        <v/>
      </c>
      <c r="Y192" s="10" t="str">
        <f>IF(E192="","",IF(Controls!$B$7="Normal",Controls!$B$8+Controls!$B$9*SQRT(-2*LN(E192/2147483647))*COS(2*PI()*O192/2147483647),Controls!$B$8+(Controls!$B$9-Controls!$B$8)*E192/2147483647))</f>
        <v/>
      </c>
      <c r="Z192" s="10" t="str">
        <f>IF(F192="","",IF(Controls!$B$7="Normal",Controls!$B$8+Controls!$B$9*SQRT(-2*LN(F192/2147483647))*COS(2*PI()*P192/2147483647),Controls!$B$8+(Controls!$B$9-Controls!$B$8)*F192/2147483647))</f>
        <v/>
      </c>
      <c r="AA192" s="10" t="str">
        <f>IF(G192="","",IF(Controls!$B$7="Normal",Controls!$B$8+Controls!$B$9*SQRT(-2*LN(G192/2147483647))*COS(2*PI()*Q192/2147483647),Controls!$B$8+(Controls!$B$9-Controls!$B$8)*G192/2147483647))</f>
        <v/>
      </c>
      <c r="AB192" s="10" t="str">
        <f>IF(H192="","",IF(Controls!$B$7="Normal",Controls!$B$8+Controls!$B$9*SQRT(-2*LN(H192/2147483647))*COS(2*PI()*R192/2147483647),Controls!$B$8+(Controls!$B$9-Controls!$B$8)*H192/2147483647))</f>
        <v/>
      </c>
      <c r="AC192" s="10" t="str">
        <f>IF(I192="","",IF(Controls!$B$7="Normal",Controls!$B$8+Controls!$B$9*SQRT(-2*LN(I192/2147483647))*COS(2*PI()*S192/2147483647),Controls!$B$8+(Controls!$B$9-Controls!$B$8)*I192/2147483647))</f>
        <v/>
      </c>
      <c r="AD192" s="10" t="str">
        <f>IF(J192="","",IF(Controls!$B$7="Normal",Controls!$B$8+Controls!$B$9*SQRT(-2*LN(J192/2147483647))*COS(2*PI()*T192/2147483647),Controls!$B$8+(Controls!$B$9-Controls!$B$8)*J192/2147483647))</f>
        <v/>
      </c>
      <c r="AE192" s="10" t="str">
        <f>IF(K192="","",IF(Controls!$B$7="Normal",Controls!$B$8+Controls!$B$9*SQRT(-2*LN(K192/2147483647))*COS(2*PI()*U192/2147483647),Controls!$B$8+(Controls!$B$9-Controls!$B$8)*K192/2147483647))</f>
        <v/>
      </c>
    </row>
    <row r="193" ht="21.0" customHeight="1">
      <c r="A193" s="7" t="str">
        <f>IF(192&lt;=Controls!$B$5,Controls!$B$4+191,"")</f>
        <v/>
      </c>
      <c r="B193" s="10" t="str">
        <f>IF(OR($A193="",1&gt;Controls!$B$6),"",MOD(L192*48271,2147483647))</f>
        <v/>
      </c>
      <c r="C193" s="10" t="str">
        <f>IF(OR($A193="",2&gt;Controls!$B$6),"",MOD(M192*48271,2147483647))</f>
        <v/>
      </c>
      <c r="D193" s="10" t="str">
        <f>IF(OR($A193="",3&gt;Controls!$B$6),"",MOD(N192*48271,2147483647))</f>
        <v/>
      </c>
      <c r="E193" s="10" t="str">
        <f>IF(OR($A193="",4&gt;Controls!$B$6),"",MOD(O192*48271,2147483647))</f>
        <v/>
      </c>
      <c r="F193" s="10" t="str">
        <f>IF(OR($A193="",5&gt;Controls!$B$6),"",MOD(P192*48271,2147483647))</f>
        <v/>
      </c>
      <c r="G193" s="10" t="str">
        <f>IF(OR($A193="",6&gt;Controls!$B$6),"",MOD(Q192*48271,2147483647))</f>
        <v/>
      </c>
      <c r="H193" s="10" t="str">
        <f>IF(OR($A193="",7&gt;Controls!$B$6),"",MOD(R192*48271,2147483647))</f>
        <v/>
      </c>
      <c r="I193" s="10" t="str">
        <f>IF(OR($A193="",8&gt;Controls!$B$6),"",MOD(S192*48271,2147483647))</f>
        <v/>
      </c>
      <c r="J193" s="10" t="str">
        <f>IF(OR($A193="",9&gt;Controls!$B$6),"",MOD(T192*48271,2147483647))</f>
        <v/>
      </c>
      <c r="K193" s="10" t="str">
        <f>IF(OR($A193="",10&gt;Controls!$B$6),"",MOD(U192*48271,2147483647))</f>
        <v/>
      </c>
      <c r="L193" s="10" t="str">
        <f t="shared" ref="L193:U193" si="192">IF(B193="","",MOD(B193*48271,2147483647))</f>
        <v/>
      </c>
      <c r="M193" s="10" t="str">
        <f t="shared" si="192"/>
        <v/>
      </c>
      <c r="N193" s="10" t="str">
        <f t="shared" si="192"/>
        <v/>
      </c>
      <c r="O193" s="10" t="str">
        <f t="shared" si="192"/>
        <v/>
      </c>
      <c r="P193" s="10" t="str">
        <f t="shared" si="192"/>
        <v/>
      </c>
      <c r="Q193" s="10" t="str">
        <f t="shared" si="192"/>
        <v/>
      </c>
      <c r="R193" s="10" t="str">
        <f t="shared" si="192"/>
        <v/>
      </c>
      <c r="S193" s="10" t="str">
        <f t="shared" si="192"/>
        <v/>
      </c>
      <c r="T193" s="10" t="str">
        <f t="shared" si="192"/>
        <v/>
      </c>
      <c r="U193" s="10" t="str">
        <f t="shared" si="192"/>
        <v/>
      </c>
      <c r="V193" s="10" t="str">
        <f>IF(B193="","",IF(Controls!$B$7="Normal",Controls!$B$8+Controls!$B$9*SQRT(-2*LN(B193/2147483647))*COS(2*PI()*L193/2147483647),Controls!$B$8+(Controls!$B$9-Controls!$B$8)*B193/2147483647))</f>
        <v/>
      </c>
      <c r="W193" s="10" t="str">
        <f>IF(C193="","",IF(Controls!$B$7="Normal",Controls!$B$8+Controls!$B$9*SQRT(-2*LN(C193/2147483647))*COS(2*PI()*M193/2147483647),Controls!$B$8+(Controls!$B$9-Controls!$B$8)*C193/2147483647))</f>
        <v/>
      </c>
      <c r="X193" s="10" t="str">
        <f>IF(D193="","",IF(Controls!$B$7="Normal",Controls!$B$8+Controls!$B$9*SQRT(-2*LN(D193/2147483647))*COS(2*PI()*N193/2147483647),Controls!$B$8+(Controls!$B$9-Controls!$B$8)*D193/2147483647))</f>
        <v/>
      </c>
      <c r="Y193" s="10" t="str">
        <f>IF(E193="","",IF(Controls!$B$7="Normal",Controls!$B$8+Controls!$B$9*SQRT(-2*LN(E193/2147483647))*COS(2*PI()*O193/2147483647),Controls!$B$8+(Controls!$B$9-Controls!$B$8)*E193/2147483647))</f>
        <v/>
      </c>
      <c r="Z193" s="10" t="str">
        <f>IF(F193="","",IF(Controls!$B$7="Normal",Controls!$B$8+Controls!$B$9*SQRT(-2*LN(F193/2147483647))*COS(2*PI()*P193/2147483647),Controls!$B$8+(Controls!$B$9-Controls!$B$8)*F193/2147483647))</f>
        <v/>
      </c>
      <c r="AA193" s="10" t="str">
        <f>IF(G193="","",IF(Controls!$B$7="Normal",Controls!$B$8+Controls!$B$9*SQRT(-2*LN(G193/2147483647))*COS(2*PI()*Q193/2147483647),Controls!$B$8+(Controls!$B$9-Controls!$B$8)*G193/2147483647))</f>
        <v/>
      </c>
      <c r="AB193" s="10" t="str">
        <f>IF(H193="","",IF(Controls!$B$7="Normal",Controls!$B$8+Controls!$B$9*SQRT(-2*LN(H193/2147483647))*COS(2*PI()*R193/2147483647),Controls!$B$8+(Controls!$B$9-Controls!$B$8)*H193/2147483647))</f>
        <v/>
      </c>
      <c r="AC193" s="10" t="str">
        <f>IF(I193="","",IF(Controls!$B$7="Normal",Controls!$B$8+Controls!$B$9*SQRT(-2*LN(I193/2147483647))*COS(2*PI()*S193/2147483647),Controls!$B$8+(Controls!$B$9-Controls!$B$8)*I193/2147483647))</f>
        <v/>
      </c>
      <c r="AD193" s="10" t="str">
        <f>IF(J193="","",IF(Controls!$B$7="Normal",Controls!$B$8+Controls!$B$9*SQRT(-2*LN(J193/2147483647))*COS(2*PI()*T193/2147483647),Controls!$B$8+(Controls!$B$9-Controls!$B$8)*J193/2147483647))</f>
        <v/>
      </c>
      <c r="AE193" s="10" t="str">
        <f>IF(K193="","",IF(Controls!$B$7="Normal",Controls!$B$8+Controls!$B$9*SQRT(-2*LN(K193/2147483647))*COS(2*PI()*U193/2147483647),Controls!$B$8+(Controls!$B$9-Controls!$B$8)*K193/2147483647))</f>
        <v/>
      </c>
    </row>
    <row r="194" ht="21.0" customHeight="1">
      <c r="A194" s="7" t="str">
        <f>IF(193&lt;=Controls!$B$5,Controls!$B$4+192,"")</f>
        <v/>
      </c>
      <c r="B194" s="10" t="str">
        <f>IF(OR($A194="",1&gt;Controls!$B$6),"",MOD(L193*48271,2147483647))</f>
        <v/>
      </c>
      <c r="C194" s="10" t="str">
        <f>IF(OR($A194="",2&gt;Controls!$B$6),"",MOD(M193*48271,2147483647))</f>
        <v/>
      </c>
      <c r="D194" s="10" t="str">
        <f>IF(OR($A194="",3&gt;Controls!$B$6),"",MOD(N193*48271,2147483647))</f>
        <v/>
      </c>
      <c r="E194" s="10" t="str">
        <f>IF(OR($A194="",4&gt;Controls!$B$6),"",MOD(O193*48271,2147483647))</f>
        <v/>
      </c>
      <c r="F194" s="10" t="str">
        <f>IF(OR($A194="",5&gt;Controls!$B$6),"",MOD(P193*48271,2147483647))</f>
        <v/>
      </c>
      <c r="G194" s="10" t="str">
        <f>IF(OR($A194="",6&gt;Controls!$B$6),"",MOD(Q193*48271,2147483647))</f>
        <v/>
      </c>
      <c r="H194" s="10" t="str">
        <f>IF(OR($A194="",7&gt;Controls!$B$6),"",MOD(R193*48271,2147483647))</f>
        <v/>
      </c>
      <c r="I194" s="10" t="str">
        <f>IF(OR($A194="",8&gt;Controls!$B$6),"",MOD(S193*48271,2147483647))</f>
        <v/>
      </c>
      <c r="J194" s="10" t="str">
        <f>IF(OR($A194="",9&gt;Controls!$B$6),"",MOD(T193*48271,2147483647))</f>
        <v/>
      </c>
      <c r="K194" s="10" t="str">
        <f>IF(OR($A194="",10&gt;Controls!$B$6),"",MOD(U193*48271,2147483647))</f>
        <v/>
      </c>
      <c r="L194" s="10" t="str">
        <f t="shared" ref="L194:U194" si="193">IF(B194="","",MOD(B194*48271,2147483647))</f>
        <v/>
      </c>
      <c r="M194" s="10" t="str">
        <f t="shared" si="193"/>
        <v/>
      </c>
      <c r="N194" s="10" t="str">
        <f t="shared" si="193"/>
        <v/>
      </c>
      <c r="O194" s="10" t="str">
        <f t="shared" si="193"/>
        <v/>
      </c>
      <c r="P194" s="10" t="str">
        <f t="shared" si="193"/>
        <v/>
      </c>
      <c r="Q194" s="10" t="str">
        <f t="shared" si="193"/>
        <v/>
      </c>
      <c r="R194" s="10" t="str">
        <f t="shared" si="193"/>
        <v/>
      </c>
      <c r="S194" s="10" t="str">
        <f t="shared" si="193"/>
        <v/>
      </c>
      <c r="T194" s="10" t="str">
        <f t="shared" si="193"/>
        <v/>
      </c>
      <c r="U194" s="10" t="str">
        <f t="shared" si="193"/>
        <v/>
      </c>
      <c r="V194" s="10" t="str">
        <f>IF(B194="","",IF(Controls!$B$7="Normal",Controls!$B$8+Controls!$B$9*SQRT(-2*LN(B194/2147483647))*COS(2*PI()*L194/2147483647),Controls!$B$8+(Controls!$B$9-Controls!$B$8)*B194/2147483647))</f>
        <v/>
      </c>
      <c r="W194" s="10" t="str">
        <f>IF(C194="","",IF(Controls!$B$7="Normal",Controls!$B$8+Controls!$B$9*SQRT(-2*LN(C194/2147483647))*COS(2*PI()*M194/2147483647),Controls!$B$8+(Controls!$B$9-Controls!$B$8)*C194/2147483647))</f>
        <v/>
      </c>
      <c r="X194" s="10" t="str">
        <f>IF(D194="","",IF(Controls!$B$7="Normal",Controls!$B$8+Controls!$B$9*SQRT(-2*LN(D194/2147483647))*COS(2*PI()*N194/2147483647),Controls!$B$8+(Controls!$B$9-Controls!$B$8)*D194/2147483647))</f>
        <v/>
      </c>
      <c r="Y194" s="10" t="str">
        <f>IF(E194="","",IF(Controls!$B$7="Normal",Controls!$B$8+Controls!$B$9*SQRT(-2*LN(E194/2147483647))*COS(2*PI()*O194/2147483647),Controls!$B$8+(Controls!$B$9-Controls!$B$8)*E194/2147483647))</f>
        <v/>
      </c>
      <c r="Z194" s="10" t="str">
        <f>IF(F194="","",IF(Controls!$B$7="Normal",Controls!$B$8+Controls!$B$9*SQRT(-2*LN(F194/2147483647))*COS(2*PI()*P194/2147483647),Controls!$B$8+(Controls!$B$9-Controls!$B$8)*F194/2147483647))</f>
        <v/>
      </c>
      <c r="AA194" s="10" t="str">
        <f>IF(G194="","",IF(Controls!$B$7="Normal",Controls!$B$8+Controls!$B$9*SQRT(-2*LN(G194/2147483647))*COS(2*PI()*Q194/2147483647),Controls!$B$8+(Controls!$B$9-Controls!$B$8)*G194/2147483647))</f>
        <v/>
      </c>
      <c r="AB194" s="10" t="str">
        <f>IF(H194="","",IF(Controls!$B$7="Normal",Controls!$B$8+Controls!$B$9*SQRT(-2*LN(H194/2147483647))*COS(2*PI()*R194/2147483647),Controls!$B$8+(Controls!$B$9-Controls!$B$8)*H194/2147483647))</f>
        <v/>
      </c>
      <c r="AC194" s="10" t="str">
        <f>IF(I194="","",IF(Controls!$B$7="Normal",Controls!$B$8+Controls!$B$9*SQRT(-2*LN(I194/2147483647))*COS(2*PI()*S194/2147483647),Controls!$B$8+(Controls!$B$9-Controls!$B$8)*I194/2147483647))</f>
        <v/>
      </c>
      <c r="AD194" s="10" t="str">
        <f>IF(J194="","",IF(Controls!$B$7="Normal",Controls!$B$8+Controls!$B$9*SQRT(-2*LN(J194/2147483647))*COS(2*PI()*T194/2147483647),Controls!$B$8+(Controls!$B$9-Controls!$B$8)*J194/2147483647))</f>
        <v/>
      </c>
      <c r="AE194" s="10" t="str">
        <f>IF(K194="","",IF(Controls!$B$7="Normal",Controls!$B$8+Controls!$B$9*SQRT(-2*LN(K194/2147483647))*COS(2*PI()*U194/2147483647),Controls!$B$8+(Controls!$B$9-Controls!$B$8)*K194/2147483647))</f>
        <v/>
      </c>
    </row>
    <row r="195" ht="21.0" customHeight="1">
      <c r="A195" s="7" t="str">
        <f>IF(194&lt;=Controls!$B$5,Controls!$B$4+193,"")</f>
        <v/>
      </c>
      <c r="B195" s="10" t="str">
        <f>IF(OR($A195="",1&gt;Controls!$B$6),"",MOD(L194*48271,2147483647))</f>
        <v/>
      </c>
      <c r="C195" s="10" t="str">
        <f>IF(OR($A195="",2&gt;Controls!$B$6),"",MOD(M194*48271,2147483647))</f>
        <v/>
      </c>
      <c r="D195" s="10" t="str">
        <f>IF(OR($A195="",3&gt;Controls!$B$6),"",MOD(N194*48271,2147483647))</f>
        <v/>
      </c>
      <c r="E195" s="10" t="str">
        <f>IF(OR($A195="",4&gt;Controls!$B$6),"",MOD(O194*48271,2147483647))</f>
        <v/>
      </c>
      <c r="F195" s="10" t="str">
        <f>IF(OR($A195="",5&gt;Controls!$B$6),"",MOD(P194*48271,2147483647))</f>
        <v/>
      </c>
      <c r="G195" s="10" t="str">
        <f>IF(OR($A195="",6&gt;Controls!$B$6),"",MOD(Q194*48271,2147483647))</f>
        <v/>
      </c>
      <c r="H195" s="10" t="str">
        <f>IF(OR($A195="",7&gt;Controls!$B$6),"",MOD(R194*48271,2147483647))</f>
        <v/>
      </c>
      <c r="I195" s="10" t="str">
        <f>IF(OR($A195="",8&gt;Controls!$B$6),"",MOD(S194*48271,2147483647))</f>
        <v/>
      </c>
      <c r="J195" s="10" t="str">
        <f>IF(OR($A195="",9&gt;Controls!$B$6),"",MOD(T194*48271,2147483647))</f>
        <v/>
      </c>
      <c r="K195" s="10" t="str">
        <f>IF(OR($A195="",10&gt;Controls!$B$6),"",MOD(U194*48271,2147483647))</f>
        <v/>
      </c>
      <c r="L195" s="10" t="str">
        <f t="shared" ref="L195:U195" si="194">IF(B195="","",MOD(B195*48271,2147483647))</f>
        <v/>
      </c>
      <c r="M195" s="10" t="str">
        <f t="shared" si="194"/>
        <v/>
      </c>
      <c r="N195" s="10" t="str">
        <f t="shared" si="194"/>
        <v/>
      </c>
      <c r="O195" s="10" t="str">
        <f t="shared" si="194"/>
        <v/>
      </c>
      <c r="P195" s="10" t="str">
        <f t="shared" si="194"/>
        <v/>
      </c>
      <c r="Q195" s="10" t="str">
        <f t="shared" si="194"/>
        <v/>
      </c>
      <c r="R195" s="10" t="str">
        <f t="shared" si="194"/>
        <v/>
      </c>
      <c r="S195" s="10" t="str">
        <f t="shared" si="194"/>
        <v/>
      </c>
      <c r="T195" s="10" t="str">
        <f t="shared" si="194"/>
        <v/>
      </c>
      <c r="U195" s="10" t="str">
        <f t="shared" si="194"/>
        <v/>
      </c>
      <c r="V195" s="10" t="str">
        <f>IF(B195="","",IF(Controls!$B$7="Normal",Controls!$B$8+Controls!$B$9*SQRT(-2*LN(B195/2147483647))*COS(2*PI()*L195/2147483647),Controls!$B$8+(Controls!$B$9-Controls!$B$8)*B195/2147483647))</f>
        <v/>
      </c>
      <c r="W195" s="10" t="str">
        <f>IF(C195="","",IF(Controls!$B$7="Normal",Controls!$B$8+Controls!$B$9*SQRT(-2*LN(C195/2147483647))*COS(2*PI()*M195/2147483647),Controls!$B$8+(Controls!$B$9-Controls!$B$8)*C195/2147483647))</f>
        <v/>
      </c>
      <c r="X195" s="10" t="str">
        <f>IF(D195="","",IF(Controls!$B$7="Normal",Controls!$B$8+Controls!$B$9*SQRT(-2*LN(D195/2147483647))*COS(2*PI()*N195/2147483647),Controls!$B$8+(Controls!$B$9-Controls!$B$8)*D195/2147483647))</f>
        <v/>
      </c>
      <c r="Y195" s="10" t="str">
        <f>IF(E195="","",IF(Controls!$B$7="Normal",Controls!$B$8+Controls!$B$9*SQRT(-2*LN(E195/2147483647))*COS(2*PI()*O195/2147483647),Controls!$B$8+(Controls!$B$9-Controls!$B$8)*E195/2147483647))</f>
        <v/>
      </c>
      <c r="Z195" s="10" t="str">
        <f>IF(F195="","",IF(Controls!$B$7="Normal",Controls!$B$8+Controls!$B$9*SQRT(-2*LN(F195/2147483647))*COS(2*PI()*P195/2147483647),Controls!$B$8+(Controls!$B$9-Controls!$B$8)*F195/2147483647))</f>
        <v/>
      </c>
      <c r="AA195" s="10" t="str">
        <f>IF(G195="","",IF(Controls!$B$7="Normal",Controls!$B$8+Controls!$B$9*SQRT(-2*LN(G195/2147483647))*COS(2*PI()*Q195/2147483647),Controls!$B$8+(Controls!$B$9-Controls!$B$8)*G195/2147483647))</f>
        <v/>
      </c>
      <c r="AB195" s="10" t="str">
        <f>IF(H195="","",IF(Controls!$B$7="Normal",Controls!$B$8+Controls!$B$9*SQRT(-2*LN(H195/2147483647))*COS(2*PI()*R195/2147483647),Controls!$B$8+(Controls!$B$9-Controls!$B$8)*H195/2147483647))</f>
        <v/>
      </c>
      <c r="AC195" s="10" t="str">
        <f>IF(I195="","",IF(Controls!$B$7="Normal",Controls!$B$8+Controls!$B$9*SQRT(-2*LN(I195/2147483647))*COS(2*PI()*S195/2147483647),Controls!$B$8+(Controls!$B$9-Controls!$B$8)*I195/2147483647))</f>
        <v/>
      </c>
      <c r="AD195" s="10" t="str">
        <f>IF(J195="","",IF(Controls!$B$7="Normal",Controls!$B$8+Controls!$B$9*SQRT(-2*LN(J195/2147483647))*COS(2*PI()*T195/2147483647),Controls!$B$8+(Controls!$B$9-Controls!$B$8)*J195/2147483647))</f>
        <v/>
      </c>
      <c r="AE195" s="10" t="str">
        <f>IF(K195="","",IF(Controls!$B$7="Normal",Controls!$B$8+Controls!$B$9*SQRT(-2*LN(K195/2147483647))*COS(2*PI()*U195/2147483647),Controls!$B$8+(Controls!$B$9-Controls!$B$8)*K195/2147483647))</f>
        <v/>
      </c>
    </row>
    <row r="196" ht="21.0" customHeight="1">
      <c r="A196" s="7" t="str">
        <f>IF(195&lt;=Controls!$B$5,Controls!$B$4+194,"")</f>
        <v/>
      </c>
      <c r="B196" s="10" t="str">
        <f>IF(OR($A196="",1&gt;Controls!$B$6),"",MOD(L195*48271,2147483647))</f>
        <v/>
      </c>
      <c r="C196" s="10" t="str">
        <f>IF(OR($A196="",2&gt;Controls!$B$6),"",MOD(M195*48271,2147483647))</f>
        <v/>
      </c>
      <c r="D196" s="10" t="str">
        <f>IF(OR($A196="",3&gt;Controls!$B$6),"",MOD(N195*48271,2147483647))</f>
        <v/>
      </c>
      <c r="E196" s="10" t="str">
        <f>IF(OR($A196="",4&gt;Controls!$B$6),"",MOD(O195*48271,2147483647))</f>
        <v/>
      </c>
      <c r="F196" s="10" t="str">
        <f>IF(OR($A196="",5&gt;Controls!$B$6),"",MOD(P195*48271,2147483647))</f>
        <v/>
      </c>
      <c r="G196" s="10" t="str">
        <f>IF(OR($A196="",6&gt;Controls!$B$6),"",MOD(Q195*48271,2147483647))</f>
        <v/>
      </c>
      <c r="H196" s="10" t="str">
        <f>IF(OR($A196="",7&gt;Controls!$B$6),"",MOD(R195*48271,2147483647))</f>
        <v/>
      </c>
      <c r="I196" s="10" t="str">
        <f>IF(OR($A196="",8&gt;Controls!$B$6),"",MOD(S195*48271,2147483647))</f>
        <v/>
      </c>
      <c r="J196" s="10" t="str">
        <f>IF(OR($A196="",9&gt;Controls!$B$6),"",MOD(T195*48271,2147483647))</f>
        <v/>
      </c>
      <c r="K196" s="10" t="str">
        <f>IF(OR($A196="",10&gt;Controls!$B$6),"",MOD(U195*48271,2147483647))</f>
        <v/>
      </c>
      <c r="L196" s="10" t="str">
        <f t="shared" ref="L196:U196" si="195">IF(B196="","",MOD(B196*48271,2147483647))</f>
        <v/>
      </c>
      <c r="M196" s="10" t="str">
        <f t="shared" si="195"/>
        <v/>
      </c>
      <c r="N196" s="10" t="str">
        <f t="shared" si="195"/>
        <v/>
      </c>
      <c r="O196" s="10" t="str">
        <f t="shared" si="195"/>
        <v/>
      </c>
      <c r="P196" s="10" t="str">
        <f t="shared" si="195"/>
        <v/>
      </c>
      <c r="Q196" s="10" t="str">
        <f t="shared" si="195"/>
        <v/>
      </c>
      <c r="R196" s="10" t="str">
        <f t="shared" si="195"/>
        <v/>
      </c>
      <c r="S196" s="10" t="str">
        <f t="shared" si="195"/>
        <v/>
      </c>
      <c r="T196" s="10" t="str">
        <f t="shared" si="195"/>
        <v/>
      </c>
      <c r="U196" s="10" t="str">
        <f t="shared" si="195"/>
        <v/>
      </c>
      <c r="V196" s="10" t="str">
        <f>IF(B196="","",IF(Controls!$B$7="Normal",Controls!$B$8+Controls!$B$9*SQRT(-2*LN(B196/2147483647))*COS(2*PI()*L196/2147483647),Controls!$B$8+(Controls!$B$9-Controls!$B$8)*B196/2147483647))</f>
        <v/>
      </c>
      <c r="W196" s="10" t="str">
        <f>IF(C196="","",IF(Controls!$B$7="Normal",Controls!$B$8+Controls!$B$9*SQRT(-2*LN(C196/2147483647))*COS(2*PI()*M196/2147483647),Controls!$B$8+(Controls!$B$9-Controls!$B$8)*C196/2147483647))</f>
        <v/>
      </c>
      <c r="X196" s="10" t="str">
        <f>IF(D196="","",IF(Controls!$B$7="Normal",Controls!$B$8+Controls!$B$9*SQRT(-2*LN(D196/2147483647))*COS(2*PI()*N196/2147483647),Controls!$B$8+(Controls!$B$9-Controls!$B$8)*D196/2147483647))</f>
        <v/>
      </c>
      <c r="Y196" s="10" t="str">
        <f>IF(E196="","",IF(Controls!$B$7="Normal",Controls!$B$8+Controls!$B$9*SQRT(-2*LN(E196/2147483647))*COS(2*PI()*O196/2147483647),Controls!$B$8+(Controls!$B$9-Controls!$B$8)*E196/2147483647))</f>
        <v/>
      </c>
      <c r="Z196" s="10" t="str">
        <f>IF(F196="","",IF(Controls!$B$7="Normal",Controls!$B$8+Controls!$B$9*SQRT(-2*LN(F196/2147483647))*COS(2*PI()*P196/2147483647),Controls!$B$8+(Controls!$B$9-Controls!$B$8)*F196/2147483647))</f>
        <v/>
      </c>
      <c r="AA196" s="10" t="str">
        <f>IF(G196="","",IF(Controls!$B$7="Normal",Controls!$B$8+Controls!$B$9*SQRT(-2*LN(G196/2147483647))*COS(2*PI()*Q196/2147483647),Controls!$B$8+(Controls!$B$9-Controls!$B$8)*G196/2147483647))</f>
        <v/>
      </c>
      <c r="AB196" s="10" t="str">
        <f>IF(H196="","",IF(Controls!$B$7="Normal",Controls!$B$8+Controls!$B$9*SQRT(-2*LN(H196/2147483647))*COS(2*PI()*R196/2147483647),Controls!$B$8+(Controls!$B$9-Controls!$B$8)*H196/2147483647))</f>
        <v/>
      </c>
      <c r="AC196" s="10" t="str">
        <f>IF(I196="","",IF(Controls!$B$7="Normal",Controls!$B$8+Controls!$B$9*SQRT(-2*LN(I196/2147483647))*COS(2*PI()*S196/2147483647),Controls!$B$8+(Controls!$B$9-Controls!$B$8)*I196/2147483647))</f>
        <v/>
      </c>
      <c r="AD196" s="10" t="str">
        <f>IF(J196="","",IF(Controls!$B$7="Normal",Controls!$B$8+Controls!$B$9*SQRT(-2*LN(J196/2147483647))*COS(2*PI()*T196/2147483647),Controls!$B$8+(Controls!$B$9-Controls!$B$8)*J196/2147483647))</f>
        <v/>
      </c>
      <c r="AE196" s="10" t="str">
        <f>IF(K196="","",IF(Controls!$B$7="Normal",Controls!$B$8+Controls!$B$9*SQRT(-2*LN(K196/2147483647))*COS(2*PI()*U196/2147483647),Controls!$B$8+(Controls!$B$9-Controls!$B$8)*K196/2147483647))</f>
        <v/>
      </c>
    </row>
    <row r="197" ht="21.0" customHeight="1">
      <c r="A197" s="7" t="str">
        <f>IF(196&lt;=Controls!$B$5,Controls!$B$4+195,"")</f>
        <v/>
      </c>
      <c r="B197" s="10" t="str">
        <f>IF(OR($A197="",1&gt;Controls!$B$6),"",MOD(L196*48271,2147483647))</f>
        <v/>
      </c>
      <c r="C197" s="10" t="str">
        <f>IF(OR($A197="",2&gt;Controls!$B$6),"",MOD(M196*48271,2147483647))</f>
        <v/>
      </c>
      <c r="D197" s="10" t="str">
        <f>IF(OR($A197="",3&gt;Controls!$B$6),"",MOD(N196*48271,2147483647))</f>
        <v/>
      </c>
      <c r="E197" s="10" t="str">
        <f>IF(OR($A197="",4&gt;Controls!$B$6),"",MOD(O196*48271,2147483647))</f>
        <v/>
      </c>
      <c r="F197" s="10" t="str">
        <f>IF(OR($A197="",5&gt;Controls!$B$6),"",MOD(P196*48271,2147483647))</f>
        <v/>
      </c>
      <c r="G197" s="10" t="str">
        <f>IF(OR($A197="",6&gt;Controls!$B$6),"",MOD(Q196*48271,2147483647))</f>
        <v/>
      </c>
      <c r="H197" s="10" t="str">
        <f>IF(OR($A197="",7&gt;Controls!$B$6),"",MOD(R196*48271,2147483647))</f>
        <v/>
      </c>
      <c r="I197" s="10" t="str">
        <f>IF(OR($A197="",8&gt;Controls!$B$6),"",MOD(S196*48271,2147483647))</f>
        <v/>
      </c>
      <c r="J197" s="10" t="str">
        <f>IF(OR($A197="",9&gt;Controls!$B$6),"",MOD(T196*48271,2147483647))</f>
        <v/>
      </c>
      <c r="K197" s="10" t="str">
        <f>IF(OR($A197="",10&gt;Controls!$B$6),"",MOD(U196*48271,2147483647))</f>
        <v/>
      </c>
      <c r="L197" s="10" t="str">
        <f t="shared" ref="L197:U197" si="196">IF(B197="","",MOD(B197*48271,2147483647))</f>
        <v/>
      </c>
      <c r="M197" s="10" t="str">
        <f t="shared" si="196"/>
        <v/>
      </c>
      <c r="N197" s="10" t="str">
        <f t="shared" si="196"/>
        <v/>
      </c>
      <c r="O197" s="10" t="str">
        <f t="shared" si="196"/>
        <v/>
      </c>
      <c r="P197" s="10" t="str">
        <f t="shared" si="196"/>
        <v/>
      </c>
      <c r="Q197" s="10" t="str">
        <f t="shared" si="196"/>
        <v/>
      </c>
      <c r="R197" s="10" t="str">
        <f t="shared" si="196"/>
        <v/>
      </c>
      <c r="S197" s="10" t="str">
        <f t="shared" si="196"/>
        <v/>
      </c>
      <c r="T197" s="10" t="str">
        <f t="shared" si="196"/>
        <v/>
      </c>
      <c r="U197" s="10" t="str">
        <f t="shared" si="196"/>
        <v/>
      </c>
      <c r="V197" s="10" t="str">
        <f>IF(B197="","",IF(Controls!$B$7="Normal",Controls!$B$8+Controls!$B$9*SQRT(-2*LN(B197/2147483647))*COS(2*PI()*L197/2147483647),Controls!$B$8+(Controls!$B$9-Controls!$B$8)*B197/2147483647))</f>
        <v/>
      </c>
      <c r="W197" s="10" t="str">
        <f>IF(C197="","",IF(Controls!$B$7="Normal",Controls!$B$8+Controls!$B$9*SQRT(-2*LN(C197/2147483647))*COS(2*PI()*M197/2147483647),Controls!$B$8+(Controls!$B$9-Controls!$B$8)*C197/2147483647))</f>
        <v/>
      </c>
      <c r="X197" s="10" t="str">
        <f>IF(D197="","",IF(Controls!$B$7="Normal",Controls!$B$8+Controls!$B$9*SQRT(-2*LN(D197/2147483647))*COS(2*PI()*N197/2147483647),Controls!$B$8+(Controls!$B$9-Controls!$B$8)*D197/2147483647))</f>
        <v/>
      </c>
      <c r="Y197" s="10" t="str">
        <f>IF(E197="","",IF(Controls!$B$7="Normal",Controls!$B$8+Controls!$B$9*SQRT(-2*LN(E197/2147483647))*COS(2*PI()*O197/2147483647),Controls!$B$8+(Controls!$B$9-Controls!$B$8)*E197/2147483647))</f>
        <v/>
      </c>
      <c r="Z197" s="10" t="str">
        <f>IF(F197="","",IF(Controls!$B$7="Normal",Controls!$B$8+Controls!$B$9*SQRT(-2*LN(F197/2147483647))*COS(2*PI()*P197/2147483647),Controls!$B$8+(Controls!$B$9-Controls!$B$8)*F197/2147483647))</f>
        <v/>
      </c>
      <c r="AA197" s="10" t="str">
        <f>IF(G197="","",IF(Controls!$B$7="Normal",Controls!$B$8+Controls!$B$9*SQRT(-2*LN(G197/2147483647))*COS(2*PI()*Q197/2147483647),Controls!$B$8+(Controls!$B$9-Controls!$B$8)*G197/2147483647))</f>
        <v/>
      </c>
      <c r="AB197" s="10" t="str">
        <f>IF(H197="","",IF(Controls!$B$7="Normal",Controls!$B$8+Controls!$B$9*SQRT(-2*LN(H197/2147483647))*COS(2*PI()*R197/2147483647),Controls!$B$8+(Controls!$B$9-Controls!$B$8)*H197/2147483647))</f>
        <v/>
      </c>
      <c r="AC197" s="10" t="str">
        <f>IF(I197="","",IF(Controls!$B$7="Normal",Controls!$B$8+Controls!$B$9*SQRT(-2*LN(I197/2147483647))*COS(2*PI()*S197/2147483647),Controls!$B$8+(Controls!$B$9-Controls!$B$8)*I197/2147483647))</f>
        <v/>
      </c>
      <c r="AD197" s="10" t="str">
        <f>IF(J197="","",IF(Controls!$B$7="Normal",Controls!$B$8+Controls!$B$9*SQRT(-2*LN(J197/2147483647))*COS(2*PI()*T197/2147483647),Controls!$B$8+(Controls!$B$9-Controls!$B$8)*J197/2147483647))</f>
        <v/>
      </c>
      <c r="AE197" s="10" t="str">
        <f>IF(K197="","",IF(Controls!$B$7="Normal",Controls!$B$8+Controls!$B$9*SQRT(-2*LN(K197/2147483647))*COS(2*PI()*U197/2147483647),Controls!$B$8+(Controls!$B$9-Controls!$B$8)*K197/2147483647))</f>
        <v/>
      </c>
    </row>
    <row r="198" ht="21.0" customHeight="1">
      <c r="A198" s="7" t="str">
        <f>IF(197&lt;=Controls!$B$5,Controls!$B$4+196,"")</f>
        <v/>
      </c>
      <c r="B198" s="10" t="str">
        <f>IF(OR($A198="",1&gt;Controls!$B$6),"",MOD(L197*48271,2147483647))</f>
        <v/>
      </c>
      <c r="C198" s="10" t="str">
        <f>IF(OR($A198="",2&gt;Controls!$B$6),"",MOD(M197*48271,2147483647))</f>
        <v/>
      </c>
      <c r="D198" s="10" t="str">
        <f>IF(OR($A198="",3&gt;Controls!$B$6),"",MOD(N197*48271,2147483647))</f>
        <v/>
      </c>
      <c r="E198" s="10" t="str">
        <f>IF(OR($A198="",4&gt;Controls!$B$6),"",MOD(O197*48271,2147483647))</f>
        <v/>
      </c>
      <c r="F198" s="10" t="str">
        <f>IF(OR($A198="",5&gt;Controls!$B$6),"",MOD(P197*48271,2147483647))</f>
        <v/>
      </c>
      <c r="G198" s="10" t="str">
        <f>IF(OR($A198="",6&gt;Controls!$B$6),"",MOD(Q197*48271,2147483647))</f>
        <v/>
      </c>
      <c r="H198" s="10" t="str">
        <f>IF(OR($A198="",7&gt;Controls!$B$6),"",MOD(R197*48271,2147483647))</f>
        <v/>
      </c>
      <c r="I198" s="10" t="str">
        <f>IF(OR($A198="",8&gt;Controls!$B$6),"",MOD(S197*48271,2147483647))</f>
        <v/>
      </c>
      <c r="J198" s="10" t="str">
        <f>IF(OR($A198="",9&gt;Controls!$B$6),"",MOD(T197*48271,2147483647))</f>
        <v/>
      </c>
      <c r="K198" s="10" t="str">
        <f>IF(OR($A198="",10&gt;Controls!$B$6),"",MOD(U197*48271,2147483647))</f>
        <v/>
      </c>
      <c r="L198" s="10" t="str">
        <f t="shared" ref="L198:U198" si="197">IF(B198="","",MOD(B198*48271,2147483647))</f>
        <v/>
      </c>
      <c r="M198" s="10" t="str">
        <f t="shared" si="197"/>
        <v/>
      </c>
      <c r="N198" s="10" t="str">
        <f t="shared" si="197"/>
        <v/>
      </c>
      <c r="O198" s="10" t="str">
        <f t="shared" si="197"/>
        <v/>
      </c>
      <c r="P198" s="10" t="str">
        <f t="shared" si="197"/>
        <v/>
      </c>
      <c r="Q198" s="10" t="str">
        <f t="shared" si="197"/>
        <v/>
      </c>
      <c r="R198" s="10" t="str">
        <f t="shared" si="197"/>
        <v/>
      </c>
      <c r="S198" s="10" t="str">
        <f t="shared" si="197"/>
        <v/>
      </c>
      <c r="T198" s="10" t="str">
        <f t="shared" si="197"/>
        <v/>
      </c>
      <c r="U198" s="10" t="str">
        <f t="shared" si="197"/>
        <v/>
      </c>
      <c r="V198" s="10" t="str">
        <f>IF(B198="","",IF(Controls!$B$7="Normal",Controls!$B$8+Controls!$B$9*SQRT(-2*LN(B198/2147483647))*COS(2*PI()*L198/2147483647),Controls!$B$8+(Controls!$B$9-Controls!$B$8)*B198/2147483647))</f>
        <v/>
      </c>
      <c r="W198" s="10" t="str">
        <f>IF(C198="","",IF(Controls!$B$7="Normal",Controls!$B$8+Controls!$B$9*SQRT(-2*LN(C198/2147483647))*COS(2*PI()*M198/2147483647),Controls!$B$8+(Controls!$B$9-Controls!$B$8)*C198/2147483647))</f>
        <v/>
      </c>
      <c r="X198" s="10" t="str">
        <f>IF(D198="","",IF(Controls!$B$7="Normal",Controls!$B$8+Controls!$B$9*SQRT(-2*LN(D198/2147483647))*COS(2*PI()*N198/2147483647),Controls!$B$8+(Controls!$B$9-Controls!$B$8)*D198/2147483647))</f>
        <v/>
      </c>
      <c r="Y198" s="10" t="str">
        <f>IF(E198="","",IF(Controls!$B$7="Normal",Controls!$B$8+Controls!$B$9*SQRT(-2*LN(E198/2147483647))*COS(2*PI()*O198/2147483647),Controls!$B$8+(Controls!$B$9-Controls!$B$8)*E198/2147483647))</f>
        <v/>
      </c>
      <c r="Z198" s="10" t="str">
        <f>IF(F198="","",IF(Controls!$B$7="Normal",Controls!$B$8+Controls!$B$9*SQRT(-2*LN(F198/2147483647))*COS(2*PI()*P198/2147483647),Controls!$B$8+(Controls!$B$9-Controls!$B$8)*F198/2147483647))</f>
        <v/>
      </c>
      <c r="AA198" s="10" t="str">
        <f>IF(G198="","",IF(Controls!$B$7="Normal",Controls!$B$8+Controls!$B$9*SQRT(-2*LN(G198/2147483647))*COS(2*PI()*Q198/2147483647),Controls!$B$8+(Controls!$B$9-Controls!$B$8)*G198/2147483647))</f>
        <v/>
      </c>
      <c r="AB198" s="10" t="str">
        <f>IF(H198="","",IF(Controls!$B$7="Normal",Controls!$B$8+Controls!$B$9*SQRT(-2*LN(H198/2147483647))*COS(2*PI()*R198/2147483647),Controls!$B$8+(Controls!$B$9-Controls!$B$8)*H198/2147483647))</f>
        <v/>
      </c>
      <c r="AC198" s="10" t="str">
        <f>IF(I198="","",IF(Controls!$B$7="Normal",Controls!$B$8+Controls!$B$9*SQRT(-2*LN(I198/2147483647))*COS(2*PI()*S198/2147483647),Controls!$B$8+(Controls!$B$9-Controls!$B$8)*I198/2147483647))</f>
        <v/>
      </c>
      <c r="AD198" s="10" t="str">
        <f>IF(J198="","",IF(Controls!$B$7="Normal",Controls!$B$8+Controls!$B$9*SQRT(-2*LN(J198/2147483647))*COS(2*PI()*T198/2147483647),Controls!$B$8+(Controls!$B$9-Controls!$B$8)*J198/2147483647))</f>
        <v/>
      </c>
      <c r="AE198" s="10" t="str">
        <f>IF(K198="","",IF(Controls!$B$7="Normal",Controls!$B$8+Controls!$B$9*SQRT(-2*LN(K198/2147483647))*COS(2*PI()*U198/2147483647),Controls!$B$8+(Controls!$B$9-Controls!$B$8)*K198/2147483647))</f>
        <v/>
      </c>
    </row>
    <row r="199" ht="21.0" customHeight="1">
      <c r="A199" s="7" t="str">
        <f>IF(198&lt;=Controls!$B$5,Controls!$B$4+197,"")</f>
        <v/>
      </c>
      <c r="B199" s="10" t="str">
        <f>IF(OR($A199="",1&gt;Controls!$B$6),"",MOD(L198*48271,2147483647))</f>
        <v/>
      </c>
      <c r="C199" s="10" t="str">
        <f>IF(OR($A199="",2&gt;Controls!$B$6),"",MOD(M198*48271,2147483647))</f>
        <v/>
      </c>
      <c r="D199" s="10" t="str">
        <f>IF(OR($A199="",3&gt;Controls!$B$6),"",MOD(N198*48271,2147483647))</f>
        <v/>
      </c>
      <c r="E199" s="10" t="str">
        <f>IF(OR($A199="",4&gt;Controls!$B$6),"",MOD(O198*48271,2147483647))</f>
        <v/>
      </c>
      <c r="F199" s="10" t="str">
        <f>IF(OR($A199="",5&gt;Controls!$B$6),"",MOD(P198*48271,2147483647))</f>
        <v/>
      </c>
      <c r="G199" s="10" t="str">
        <f>IF(OR($A199="",6&gt;Controls!$B$6),"",MOD(Q198*48271,2147483647))</f>
        <v/>
      </c>
      <c r="H199" s="10" t="str">
        <f>IF(OR($A199="",7&gt;Controls!$B$6),"",MOD(R198*48271,2147483647))</f>
        <v/>
      </c>
      <c r="I199" s="10" t="str">
        <f>IF(OR($A199="",8&gt;Controls!$B$6),"",MOD(S198*48271,2147483647))</f>
        <v/>
      </c>
      <c r="J199" s="10" t="str">
        <f>IF(OR($A199="",9&gt;Controls!$B$6),"",MOD(T198*48271,2147483647))</f>
        <v/>
      </c>
      <c r="K199" s="10" t="str">
        <f>IF(OR($A199="",10&gt;Controls!$B$6),"",MOD(U198*48271,2147483647))</f>
        <v/>
      </c>
      <c r="L199" s="10" t="str">
        <f t="shared" ref="L199:U199" si="198">IF(B199="","",MOD(B199*48271,2147483647))</f>
        <v/>
      </c>
      <c r="M199" s="10" t="str">
        <f t="shared" si="198"/>
        <v/>
      </c>
      <c r="N199" s="10" t="str">
        <f t="shared" si="198"/>
        <v/>
      </c>
      <c r="O199" s="10" t="str">
        <f t="shared" si="198"/>
        <v/>
      </c>
      <c r="P199" s="10" t="str">
        <f t="shared" si="198"/>
        <v/>
      </c>
      <c r="Q199" s="10" t="str">
        <f t="shared" si="198"/>
        <v/>
      </c>
      <c r="R199" s="10" t="str">
        <f t="shared" si="198"/>
        <v/>
      </c>
      <c r="S199" s="10" t="str">
        <f t="shared" si="198"/>
        <v/>
      </c>
      <c r="T199" s="10" t="str">
        <f t="shared" si="198"/>
        <v/>
      </c>
      <c r="U199" s="10" t="str">
        <f t="shared" si="198"/>
        <v/>
      </c>
      <c r="V199" s="10" t="str">
        <f>IF(B199="","",IF(Controls!$B$7="Normal",Controls!$B$8+Controls!$B$9*SQRT(-2*LN(B199/2147483647))*COS(2*PI()*L199/2147483647),Controls!$B$8+(Controls!$B$9-Controls!$B$8)*B199/2147483647))</f>
        <v/>
      </c>
      <c r="W199" s="10" t="str">
        <f>IF(C199="","",IF(Controls!$B$7="Normal",Controls!$B$8+Controls!$B$9*SQRT(-2*LN(C199/2147483647))*COS(2*PI()*M199/2147483647),Controls!$B$8+(Controls!$B$9-Controls!$B$8)*C199/2147483647))</f>
        <v/>
      </c>
      <c r="X199" s="10" t="str">
        <f>IF(D199="","",IF(Controls!$B$7="Normal",Controls!$B$8+Controls!$B$9*SQRT(-2*LN(D199/2147483647))*COS(2*PI()*N199/2147483647),Controls!$B$8+(Controls!$B$9-Controls!$B$8)*D199/2147483647))</f>
        <v/>
      </c>
      <c r="Y199" s="10" t="str">
        <f>IF(E199="","",IF(Controls!$B$7="Normal",Controls!$B$8+Controls!$B$9*SQRT(-2*LN(E199/2147483647))*COS(2*PI()*O199/2147483647),Controls!$B$8+(Controls!$B$9-Controls!$B$8)*E199/2147483647))</f>
        <v/>
      </c>
      <c r="Z199" s="10" t="str">
        <f>IF(F199="","",IF(Controls!$B$7="Normal",Controls!$B$8+Controls!$B$9*SQRT(-2*LN(F199/2147483647))*COS(2*PI()*P199/2147483647),Controls!$B$8+(Controls!$B$9-Controls!$B$8)*F199/2147483647))</f>
        <v/>
      </c>
      <c r="AA199" s="10" t="str">
        <f>IF(G199="","",IF(Controls!$B$7="Normal",Controls!$B$8+Controls!$B$9*SQRT(-2*LN(G199/2147483647))*COS(2*PI()*Q199/2147483647),Controls!$B$8+(Controls!$B$9-Controls!$B$8)*G199/2147483647))</f>
        <v/>
      </c>
      <c r="AB199" s="10" t="str">
        <f>IF(H199="","",IF(Controls!$B$7="Normal",Controls!$B$8+Controls!$B$9*SQRT(-2*LN(H199/2147483647))*COS(2*PI()*R199/2147483647),Controls!$B$8+(Controls!$B$9-Controls!$B$8)*H199/2147483647))</f>
        <v/>
      </c>
      <c r="AC199" s="10" t="str">
        <f>IF(I199="","",IF(Controls!$B$7="Normal",Controls!$B$8+Controls!$B$9*SQRT(-2*LN(I199/2147483647))*COS(2*PI()*S199/2147483647),Controls!$B$8+(Controls!$B$9-Controls!$B$8)*I199/2147483647))</f>
        <v/>
      </c>
      <c r="AD199" s="10" t="str">
        <f>IF(J199="","",IF(Controls!$B$7="Normal",Controls!$B$8+Controls!$B$9*SQRT(-2*LN(J199/2147483647))*COS(2*PI()*T199/2147483647),Controls!$B$8+(Controls!$B$9-Controls!$B$8)*J199/2147483647))</f>
        <v/>
      </c>
      <c r="AE199" s="10" t="str">
        <f>IF(K199="","",IF(Controls!$B$7="Normal",Controls!$B$8+Controls!$B$9*SQRT(-2*LN(K199/2147483647))*COS(2*PI()*U199/2147483647),Controls!$B$8+(Controls!$B$9-Controls!$B$8)*K199/2147483647))</f>
        <v/>
      </c>
    </row>
    <row r="200" ht="21.0" customHeight="1">
      <c r="A200" s="7" t="str">
        <f>IF(199&lt;=Controls!$B$5,Controls!$B$4+198,"")</f>
        <v/>
      </c>
      <c r="B200" s="10" t="str">
        <f>IF(OR($A200="",1&gt;Controls!$B$6),"",MOD(L199*48271,2147483647))</f>
        <v/>
      </c>
      <c r="C200" s="10" t="str">
        <f>IF(OR($A200="",2&gt;Controls!$B$6),"",MOD(M199*48271,2147483647))</f>
        <v/>
      </c>
      <c r="D200" s="10" t="str">
        <f>IF(OR($A200="",3&gt;Controls!$B$6),"",MOD(N199*48271,2147483647))</f>
        <v/>
      </c>
      <c r="E200" s="10" t="str">
        <f>IF(OR($A200="",4&gt;Controls!$B$6),"",MOD(O199*48271,2147483647))</f>
        <v/>
      </c>
      <c r="F200" s="10" t="str">
        <f>IF(OR($A200="",5&gt;Controls!$B$6),"",MOD(P199*48271,2147483647))</f>
        <v/>
      </c>
      <c r="G200" s="10" t="str">
        <f>IF(OR($A200="",6&gt;Controls!$B$6),"",MOD(Q199*48271,2147483647))</f>
        <v/>
      </c>
      <c r="H200" s="10" t="str">
        <f>IF(OR($A200="",7&gt;Controls!$B$6),"",MOD(R199*48271,2147483647))</f>
        <v/>
      </c>
      <c r="I200" s="10" t="str">
        <f>IF(OR($A200="",8&gt;Controls!$B$6),"",MOD(S199*48271,2147483647))</f>
        <v/>
      </c>
      <c r="J200" s="10" t="str">
        <f>IF(OR($A200="",9&gt;Controls!$B$6),"",MOD(T199*48271,2147483647))</f>
        <v/>
      </c>
      <c r="K200" s="10" t="str">
        <f>IF(OR($A200="",10&gt;Controls!$B$6),"",MOD(U199*48271,2147483647))</f>
        <v/>
      </c>
      <c r="L200" s="10" t="str">
        <f t="shared" ref="L200:U200" si="199">IF(B200="","",MOD(B200*48271,2147483647))</f>
        <v/>
      </c>
      <c r="M200" s="10" t="str">
        <f t="shared" si="199"/>
        <v/>
      </c>
      <c r="N200" s="10" t="str">
        <f t="shared" si="199"/>
        <v/>
      </c>
      <c r="O200" s="10" t="str">
        <f t="shared" si="199"/>
        <v/>
      </c>
      <c r="P200" s="10" t="str">
        <f t="shared" si="199"/>
        <v/>
      </c>
      <c r="Q200" s="10" t="str">
        <f t="shared" si="199"/>
        <v/>
      </c>
      <c r="R200" s="10" t="str">
        <f t="shared" si="199"/>
        <v/>
      </c>
      <c r="S200" s="10" t="str">
        <f t="shared" si="199"/>
        <v/>
      </c>
      <c r="T200" s="10" t="str">
        <f t="shared" si="199"/>
        <v/>
      </c>
      <c r="U200" s="10" t="str">
        <f t="shared" si="199"/>
        <v/>
      </c>
      <c r="V200" s="10" t="str">
        <f>IF(B200="","",IF(Controls!$B$7="Normal",Controls!$B$8+Controls!$B$9*SQRT(-2*LN(B200/2147483647))*COS(2*PI()*L200/2147483647),Controls!$B$8+(Controls!$B$9-Controls!$B$8)*B200/2147483647))</f>
        <v/>
      </c>
      <c r="W200" s="10" t="str">
        <f>IF(C200="","",IF(Controls!$B$7="Normal",Controls!$B$8+Controls!$B$9*SQRT(-2*LN(C200/2147483647))*COS(2*PI()*M200/2147483647),Controls!$B$8+(Controls!$B$9-Controls!$B$8)*C200/2147483647))</f>
        <v/>
      </c>
      <c r="X200" s="10" t="str">
        <f>IF(D200="","",IF(Controls!$B$7="Normal",Controls!$B$8+Controls!$B$9*SQRT(-2*LN(D200/2147483647))*COS(2*PI()*N200/2147483647),Controls!$B$8+(Controls!$B$9-Controls!$B$8)*D200/2147483647))</f>
        <v/>
      </c>
      <c r="Y200" s="10" t="str">
        <f>IF(E200="","",IF(Controls!$B$7="Normal",Controls!$B$8+Controls!$B$9*SQRT(-2*LN(E200/2147483647))*COS(2*PI()*O200/2147483647),Controls!$B$8+(Controls!$B$9-Controls!$B$8)*E200/2147483647))</f>
        <v/>
      </c>
      <c r="Z200" s="10" t="str">
        <f>IF(F200="","",IF(Controls!$B$7="Normal",Controls!$B$8+Controls!$B$9*SQRT(-2*LN(F200/2147483647))*COS(2*PI()*P200/2147483647),Controls!$B$8+(Controls!$B$9-Controls!$B$8)*F200/2147483647))</f>
        <v/>
      </c>
      <c r="AA200" s="10" t="str">
        <f>IF(G200="","",IF(Controls!$B$7="Normal",Controls!$B$8+Controls!$B$9*SQRT(-2*LN(G200/2147483647))*COS(2*PI()*Q200/2147483647),Controls!$B$8+(Controls!$B$9-Controls!$B$8)*G200/2147483647))</f>
        <v/>
      </c>
      <c r="AB200" s="10" t="str">
        <f>IF(H200="","",IF(Controls!$B$7="Normal",Controls!$B$8+Controls!$B$9*SQRT(-2*LN(H200/2147483647))*COS(2*PI()*R200/2147483647),Controls!$B$8+(Controls!$B$9-Controls!$B$8)*H200/2147483647))</f>
        <v/>
      </c>
      <c r="AC200" s="10" t="str">
        <f>IF(I200="","",IF(Controls!$B$7="Normal",Controls!$B$8+Controls!$B$9*SQRT(-2*LN(I200/2147483647))*COS(2*PI()*S200/2147483647),Controls!$B$8+(Controls!$B$9-Controls!$B$8)*I200/2147483647))</f>
        <v/>
      </c>
      <c r="AD200" s="10" t="str">
        <f>IF(J200="","",IF(Controls!$B$7="Normal",Controls!$B$8+Controls!$B$9*SQRT(-2*LN(J200/2147483647))*COS(2*PI()*T200/2147483647),Controls!$B$8+(Controls!$B$9-Controls!$B$8)*J200/2147483647))</f>
        <v/>
      </c>
      <c r="AE200" s="10" t="str">
        <f>IF(K200="","",IF(Controls!$B$7="Normal",Controls!$B$8+Controls!$B$9*SQRT(-2*LN(K200/2147483647))*COS(2*PI()*U200/2147483647),Controls!$B$8+(Controls!$B$9-Controls!$B$8)*K200/2147483647))</f>
        <v/>
      </c>
    </row>
    <row r="201" ht="21.0" customHeight="1">
      <c r="A201" s="7" t="str">
        <f>IF(200&lt;=Controls!$B$5,Controls!$B$4+199,"")</f>
        <v/>
      </c>
      <c r="B201" s="10" t="str">
        <f>IF(OR($A201="",1&gt;Controls!$B$6),"",MOD(L200*48271,2147483647))</f>
        <v/>
      </c>
      <c r="C201" s="10" t="str">
        <f>IF(OR($A201="",2&gt;Controls!$B$6),"",MOD(M200*48271,2147483647))</f>
        <v/>
      </c>
      <c r="D201" s="10" t="str">
        <f>IF(OR($A201="",3&gt;Controls!$B$6),"",MOD(N200*48271,2147483647))</f>
        <v/>
      </c>
      <c r="E201" s="10" t="str">
        <f>IF(OR($A201="",4&gt;Controls!$B$6),"",MOD(O200*48271,2147483647))</f>
        <v/>
      </c>
      <c r="F201" s="10" t="str">
        <f>IF(OR($A201="",5&gt;Controls!$B$6),"",MOD(P200*48271,2147483647))</f>
        <v/>
      </c>
      <c r="G201" s="10" t="str">
        <f>IF(OR($A201="",6&gt;Controls!$B$6),"",MOD(Q200*48271,2147483647))</f>
        <v/>
      </c>
      <c r="H201" s="10" t="str">
        <f>IF(OR($A201="",7&gt;Controls!$B$6),"",MOD(R200*48271,2147483647))</f>
        <v/>
      </c>
      <c r="I201" s="10" t="str">
        <f>IF(OR($A201="",8&gt;Controls!$B$6),"",MOD(S200*48271,2147483647))</f>
        <v/>
      </c>
      <c r="J201" s="10" t="str">
        <f>IF(OR($A201="",9&gt;Controls!$B$6),"",MOD(T200*48271,2147483647))</f>
        <v/>
      </c>
      <c r="K201" s="10" t="str">
        <f>IF(OR($A201="",10&gt;Controls!$B$6),"",MOD(U200*48271,2147483647))</f>
        <v/>
      </c>
      <c r="L201" s="10" t="str">
        <f t="shared" ref="L201:U201" si="200">IF(B201="","",MOD(B201*48271,2147483647))</f>
        <v/>
      </c>
      <c r="M201" s="10" t="str">
        <f t="shared" si="200"/>
        <v/>
      </c>
      <c r="N201" s="10" t="str">
        <f t="shared" si="200"/>
        <v/>
      </c>
      <c r="O201" s="10" t="str">
        <f t="shared" si="200"/>
        <v/>
      </c>
      <c r="P201" s="10" t="str">
        <f t="shared" si="200"/>
        <v/>
      </c>
      <c r="Q201" s="10" t="str">
        <f t="shared" si="200"/>
        <v/>
      </c>
      <c r="R201" s="10" t="str">
        <f t="shared" si="200"/>
        <v/>
      </c>
      <c r="S201" s="10" t="str">
        <f t="shared" si="200"/>
        <v/>
      </c>
      <c r="T201" s="10" t="str">
        <f t="shared" si="200"/>
        <v/>
      </c>
      <c r="U201" s="10" t="str">
        <f t="shared" si="200"/>
        <v/>
      </c>
      <c r="V201" s="10" t="str">
        <f>IF(B201="","",IF(Controls!$B$7="Normal",Controls!$B$8+Controls!$B$9*SQRT(-2*LN(B201/2147483647))*COS(2*PI()*L201/2147483647),Controls!$B$8+(Controls!$B$9-Controls!$B$8)*B201/2147483647))</f>
        <v/>
      </c>
      <c r="W201" s="10" t="str">
        <f>IF(C201="","",IF(Controls!$B$7="Normal",Controls!$B$8+Controls!$B$9*SQRT(-2*LN(C201/2147483647))*COS(2*PI()*M201/2147483647),Controls!$B$8+(Controls!$B$9-Controls!$B$8)*C201/2147483647))</f>
        <v/>
      </c>
      <c r="X201" s="10" t="str">
        <f>IF(D201="","",IF(Controls!$B$7="Normal",Controls!$B$8+Controls!$B$9*SQRT(-2*LN(D201/2147483647))*COS(2*PI()*N201/2147483647),Controls!$B$8+(Controls!$B$9-Controls!$B$8)*D201/2147483647))</f>
        <v/>
      </c>
      <c r="Y201" s="10" t="str">
        <f>IF(E201="","",IF(Controls!$B$7="Normal",Controls!$B$8+Controls!$B$9*SQRT(-2*LN(E201/2147483647))*COS(2*PI()*O201/2147483647),Controls!$B$8+(Controls!$B$9-Controls!$B$8)*E201/2147483647))</f>
        <v/>
      </c>
      <c r="Z201" s="10" t="str">
        <f>IF(F201="","",IF(Controls!$B$7="Normal",Controls!$B$8+Controls!$B$9*SQRT(-2*LN(F201/2147483647))*COS(2*PI()*P201/2147483647),Controls!$B$8+(Controls!$B$9-Controls!$B$8)*F201/2147483647))</f>
        <v/>
      </c>
      <c r="AA201" s="10" t="str">
        <f>IF(G201="","",IF(Controls!$B$7="Normal",Controls!$B$8+Controls!$B$9*SQRT(-2*LN(G201/2147483647))*COS(2*PI()*Q201/2147483647),Controls!$B$8+(Controls!$B$9-Controls!$B$8)*G201/2147483647))</f>
        <v/>
      </c>
      <c r="AB201" s="10" t="str">
        <f>IF(H201="","",IF(Controls!$B$7="Normal",Controls!$B$8+Controls!$B$9*SQRT(-2*LN(H201/2147483647))*COS(2*PI()*R201/2147483647),Controls!$B$8+(Controls!$B$9-Controls!$B$8)*H201/2147483647))</f>
        <v/>
      </c>
      <c r="AC201" s="10" t="str">
        <f>IF(I201="","",IF(Controls!$B$7="Normal",Controls!$B$8+Controls!$B$9*SQRT(-2*LN(I201/2147483647))*COS(2*PI()*S201/2147483647),Controls!$B$8+(Controls!$B$9-Controls!$B$8)*I201/2147483647))</f>
        <v/>
      </c>
      <c r="AD201" s="10" t="str">
        <f>IF(J201="","",IF(Controls!$B$7="Normal",Controls!$B$8+Controls!$B$9*SQRT(-2*LN(J201/2147483647))*COS(2*PI()*T201/2147483647),Controls!$B$8+(Controls!$B$9-Controls!$B$8)*J201/2147483647))</f>
        <v/>
      </c>
      <c r="AE201" s="10" t="str">
        <f>IF(K201="","",IF(Controls!$B$7="Normal",Controls!$B$8+Controls!$B$9*SQRT(-2*LN(K201/2147483647))*COS(2*PI()*U201/2147483647),Controls!$B$8+(Controls!$B$9-Controls!$B$8)*K201/2147483647))</f>
        <v/>
      </c>
    </row>
    <row r="202" ht="21.0" customHeight="1">
      <c r="A202" s="7" t="str">
        <f>IF(201&lt;=Controls!$B$5,Controls!$B$4+200,"")</f>
        <v/>
      </c>
      <c r="B202" s="10" t="str">
        <f>IF(OR($A202="",1&gt;Controls!$B$6),"",MOD(L201*48271,2147483647))</f>
        <v/>
      </c>
      <c r="C202" s="10" t="str">
        <f>IF(OR($A202="",2&gt;Controls!$B$6),"",MOD(M201*48271,2147483647))</f>
        <v/>
      </c>
      <c r="D202" s="10" t="str">
        <f>IF(OR($A202="",3&gt;Controls!$B$6),"",MOD(N201*48271,2147483647))</f>
        <v/>
      </c>
      <c r="E202" s="10" t="str">
        <f>IF(OR($A202="",4&gt;Controls!$B$6),"",MOD(O201*48271,2147483647))</f>
        <v/>
      </c>
      <c r="F202" s="10" t="str">
        <f>IF(OR($A202="",5&gt;Controls!$B$6),"",MOD(P201*48271,2147483647))</f>
        <v/>
      </c>
      <c r="G202" s="10" t="str">
        <f>IF(OR($A202="",6&gt;Controls!$B$6),"",MOD(Q201*48271,2147483647))</f>
        <v/>
      </c>
      <c r="H202" s="10" t="str">
        <f>IF(OR($A202="",7&gt;Controls!$B$6),"",MOD(R201*48271,2147483647))</f>
        <v/>
      </c>
      <c r="I202" s="10" t="str">
        <f>IF(OR($A202="",8&gt;Controls!$B$6),"",MOD(S201*48271,2147483647))</f>
        <v/>
      </c>
      <c r="J202" s="10" t="str">
        <f>IF(OR($A202="",9&gt;Controls!$B$6),"",MOD(T201*48271,2147483647))</f>
        <v/>
      </c>
      <c r="K202" s="10" t="str">
        <f>IF(OR($A202="",10&gt;Controls!$B$6),"",MOD(U201*48271,2147483647))</f>
        <v/>
      </c>
      <c r="L202" s="10" t="str">
        <f t="shared" ref="L202:U202" si="201">IF(B202="","",MOD(B202*48271,2147483647))</f>
        <v/>
      </c>
      <c r="M202" s="10" t="str">
        <f t="shared" si="201"/>
        <v/>
      </c>
      <c r="N202" s="10" t="str">
        <f t="shared" si="201"/>
        <v/>
      </c>
      <c r="O202" s="10" t="str">
        <f t="shared" si="201"/>
        <v/>
      </c>
      <c r="P202" s="10" t="str">
        <f t="shared" si="201"/>
        <v/>
      </c>
      <c r="Q202" s="10" t="str">
        <f t="shared" si="201"/>
        <v/>
      </c>
      <c r="R202" s="10" t="str">
        <f t="shared" si="201"/>
        <v/>
      </c>
      <c r="S202" s="10" t="str">
        <f t="shared" si="201"/>
        <v/>
      </c>
      <c r="T202" s="10" t="str">
        <f t="shared" si="201"/>
        <v/>
      </c>
      <c r="U202" s="10" t="str">
        <f t="shared" si="201"/>
        <v/>
      </c>
      <c r="V202" s="10" t="str">
        <f>IF(B202="","",IF(Controls!$B$7="Normal",Controls!$B$8+Controls!$B$9*SQRT(-2*LN(B202/2147483647))*COS(2*PI()*L202/2147483647),Controls!$B$8+(Controls!$B$9-Controls!$B$8)*B202/2147483647))</f>
        <v/>
      </c>
      <c r="W202" s="10" t="str">
        <f>IF(C202="","",IF(Controls!$B$7="Normal",Controls!$B$8+Controls!$B$9*SQRT(-2*LN(C202/2147483647))*COS(2*PI()*M202/2147483647),Controls!$B$8+(Controls!$B$9-Controls!$B$8)*C202/2147483647))</f>
        <v/>
      </c>
      <c r="X202" s="10" t="str">
        <f>IF(D202="","",IF(Controls!$B$7="Normal",Controls!$B$8+Controls!$B$9*SQRT(-2*LN(D202/2147483647))*COS(2*PI()*N202/2147483647),Controls!$B$8+(Controls!$B$9-Controls!$B$8)*D202/2147483647))</f>
        <v/>
      </c>
      <c r="Y202" s="10" t="str">
        <f>IF(E202="","",IF(Controls!$B$7="Normal",Controls!$B$8+Controls!$B$9*SQRT(-2*LN(E202/2147483647))*COS(2*PI()*O202/2147483647),Controls!$B$8+(Controls!$B$9-Controls!$B$8)*E202/2147483647))</f>
        <v/>
      </c>
      <c r="Z202" s="10" t="str">
        <f>IF(F202="","",IF(Controls!$B$7="Normal",Controls!$B$8+Controls!$B$9*SQRT(-2*LN(F202/2147483647))*COS(2*PI()*P202/2147483647),Controls!$B$8+(Controls!$B$9-Controls!$B$8)*F202/2147483647))</f>
        <v/>
      </c>
      <c r="AA202" s="10" t="str">
        <f>IF(G202="","",IF(Controls!$B$7="Normal",Controls!$B$8+Controls!$B$9*SQRT(-2*LN(G202/2147483647))*COS(2*PI()*Q202/2147483647),Controls!$B$8+(Controls!$B$9-Controls!$B$8)*G202/2147483647))</f>
        <v/>
      </c>
      <c r="AB202" s="10" t="str">
        <f>IF(H202="","",IF(Controls!$B$7="Normal",Controls!$B$8+Controls!$B$9*SQRT(-2*LN(H202/2147483647))*COS(2*PI()*R202/2147483647),Controls!$B$8+(Controls!$B$9-Controls!$B$8)*H202/2147483647))</f>
        <v/>
      </c>
      <c r="AC202" s="10" t="str">
        <f>IF(I202="","",IF(Controls!$B$7="Normal",Controls!$B$8+Controls!$B$9*SQRT(-2*LN(I202/2147483647))*COS(2*PI()*S202/2147483647),Controls!$B$8+(Controls!$B$9-Controls!$B$8)*I202/2147483647))</f>
        <v/>
      </c>
      <c r="AD202" s="10" t="str">
        <f>IF(J202="","",IF(Controls!$B$7="Normal",Controls!$B$8+Controls!$B$9*SQRT(-2*LN(J202/2147483647))*COS(2*PI()*T202/2147483647),Controls!$B$8+(Controls!$B$9-Controls!$B$8)*J202/2147483647))</f>
        <v/>
      </c>
      <c r="AE202" s="10" t="str">
        <f>IF(K202="","",IF(Controls!$B$7="Normal",Controls!$B$8+Controls!$B$9*SQRT(-2*LN(K202/2147483647))*COS(2*PI()*U202/2147483647),Controls!$B$8+(Controls!$B$9-Controls!$B$8)*K202/2147483647))</f>
        <v/>
      </c>
    </row>
    <row r="203" ht="21.0" customHeight="1">
      <c r="A203" s="7" t="str">
        <f>IF(202&lt;=Controls!$B$5,Controls!$B$4+201,"")</f>
        <v/>
      </c>
      <c r="B203" s="10" t="str">
        <f>IF(OR($A203="",1&gt;Controls!$B$6),"",MOD(L202*48271,2147483647))</f>
        <v/>
      </c>
      <c r="C203" s="10" t="str">
        <f>IF(OR($A203="",2&gt;Controls!$B$6),"",MOD(M202*48271,2147483647))</f>
        <v/>
      </c>
      <c r="D203" s="10" t="str">
        <f>IF(OR($A203="",3&gt;Controls!$B$6),"",MOD(N202*48271,2147483647))</f>
        <v/>
      </c>
      <c r="E203" s="10" t="str">
        <f>IF(OR($A203="",4&gt;Controls!$B$6),"",MOD(O202*48271,2147483647))</f>
        <v/>
      </c>
      <c r="F203" s="10" t="str">
        <f>IF(OR($A203="",5&gt;Controls!$B$6),"",MOD(P202*48271,2147483647))</f>
        <v/>
      </c>
      <c r="G203" s="10" t="str">
        <f>IF(OR($A203="",6&gt;Controls!$B$6),"",MOD(Q202*48271,2147483647))</f>
        <v/>
      </c>
      <c r="H203" s="10" t="str">
        <f>IF(OR($A203="",7&gt;Controls!$B$6),"",MOD(R202*48271,2147483647))</f>
        <v/>
      </c>
      <c r="I203" s="10" t="str">
        <f>IF(OR($A203="",8&gt;Controls!$B$6),"",MOD(S202*48271,2147483647))</f>
        <v/>
      </c>
      <c r="J203" s="10" t="str">
        <f>IF(OR($A203="",9&gt;Controls!$B$6),"",MOD(T202*48271,2147483647))</f>
        <v/>
      </c>
      <c r="K203" s="10" t="str">
        <f>IF(OR($A203="",10&gt;Controls!$B$6),"",MOD(U202*48271,2147483647))</f>
        <v/>
      </c>
      <c r="L203" s="10" t="str">
        <f t="shared" ref="L203:U203" si="202">IF(B203="","",MOD(B203*48271,2147483647))</f>
        <v/>
      </c>
      <c r="M203" s="10" t="str">
        <f t="shared" si="202"/>
        <v/>
      </c>
      <c r="N203" s="10" t="str">
        <f t="shared" si="202"/>
        <v/>
      </c>
      <c r="O203" s="10" t="str">
        <f t="shared" si="202"/>
        <v/>
      </c>
      <c r="P203" s="10" t="str">
        <f t="shared" si="202"/>
        <v/>
      </c>
      <c r="Q203" s="10" t="str">
        <f t="shared" si="202"/>
        <v/>
      </c>
      <c r="R203" s="10" t="str">
        <f t="shared" si="202"/>
        <v/>
      </c>
      <c r="S203" s="10" t="str">
        <f t="shared" si="202"/>
        <v/>
      </c>
      <c r="T203" s="10" t="str">
        <f t="shared" si="202"/>
        <v/>
      </c>
      <c r="U203" s="10" t="str">
        <f t="shared" si="202"/>
        <v/>
      </c>
      <c r="V203" s="10" t="str">
        <f>IF(B203="","",IF(Controls!$B$7="Normal",Controls!$B$8+Controls!$B$9*SQRT(-2*LN(B203/2147483647))*COS(2*PI()*L203/2147483647),Controls!$B$8+(Controls!$B$9-Controls!$B$8)*B203/2147483647))</f>
        <v/>
      </c>
      <c r="W203" s="10" t="str">
        <f>IF(C203="","",IF(Controls!$B$7="Normal",Controls!$B$8+Controls!$B$9*SQRT(-2*LN(C203/2147483647))*COS(2*PI()*M203/2147483647),Controls!$B$8+(Controls!$B$9-Controls!$B$8)*C203/2147483647))</f>
        <v/>
      </c>
      <c r="X203" s="10" t="str">
        <f>IF(D203="","",IF(Controls!$B$7="Normal",Controls!$B$8+Controls!$B$9*SQRT(-2*LN(D203/2147483647))*COS(2*PI()*N203/2147483647),Controls!$B$8+(Controls!$B$9-Controls!$B$8)*D203/2147483647))</f>
        <v/>
      </c>
      <c r="Y203" s="10" t="str">
        <f>IF(E203="","",IF(Controls!$B$7="Normal",Controls!$B$8+Controls!$B$9*SQRT(-2*LN(E203/2147483647))*COS(2*PI()*O203/2147483647),Controls!$B$8+(Controls!$B$9-Controls!$B$8)*E203/2147483647))</f>
        <v/>
      </c>
      <c r="Z203" s="10" t="str">
        <f>IF(F203="","",IF(Controls!$B$7="Normal",Controls!$B$8+Controls!$B$9*SQRT(-2*LN(F203/2147483647))*COS(2*PI()*P203/2147483647),Controls!$B$8+(Controls!$B$9-Controls!$B$8)*F203/2147483647))</f>
        <v/>
      </c>
      <c r="AA203" s="10" t="str">
        <f>IF(G203="","",IF(Controls!$B$7="Normal",Controls!$B$8+Controls!$B$9*SQRT(-2*LN(G203/2147483647))*COS(2*PI()*Q203/2147483647),Controls!$B$8+(Controls!$B$9-Controls!$B$8)*G203/2147483647))</f>
        <v/>
      </c>
      <c r="AB203" s="10" t="str">
        <f>IF(H203="","",IF(Controls!$B$7="Normal",Controls!$B$8+Controls!$B$9*SQRT(-2*LN(H203/2147483647))*COS(2*PI()*R203/2147483647),Controls!$B$8+(Controls!$B$9-Controls!$B$8)*H203/2147483647))</f>
        <v/>
      </c>
      <c r="AC203" s="10" t="str">
        <f>IF(I203="","",IF(Controls!$B$7="Normal",Controls!$B$8+Controls!$B$9*SQRT(-2*LN(I203/2147483647))*COS(2*PI()*S203/2147483647),Controls!$B$8+(Controls!$B$9-Controls!$B$8)*I203/2147483647))</f>
        <v/>
      </c>
      <c r="AD203" s="10" t="str">
        <f>IF(J203="","",IF(Controls!$B$7="Normal",Controls!$B$8+Controls!$B$9*SQRT(-2*LN(J203/2147483647))*COS(2*PI()*T203/2147483647),Controls!$B$8+(Controls!$B$9-Controls!$B$8)*J203/2147483647))</f>
        <v/>
      </c>
      <c r="AE203" s="10" t="str">
        <f>IF(K203="","",IF(Controls!$B$7="Normal",Controls!$B$8+Controls!$B$9*SQRT(-2*LN(K203/2147483647))*COS(2*PI()*U203/2147483647),Controls!$B$8+(Controls!$B$9-Controls!$B$8)*K203/2147483647))</f>
        <v/>
      </c>
    </row>
    <row r="204" ht="21.0" customHeight="1">
      <c r="A204" s="7" t="str">
        <f>IF(203&lt;=Controls!$B$5,Controls!$B$4+202,"")</f>
        <v/>
      </c>
      <c r="B204" s="10" t="str">
        <f>IF(OR($A204="",1&gt;Controls!$B$6),"",MOD(L203*48271,2147483647))</f>
        <v/>
      </c>
      <c r="C204" s="10" t="str">
        <f>IF(OR($A204="",2&gt;Controls!$B$6),"",MOD(M203*48271,2147483647))</f>
        <v/>
      </c>
      <c r="D204" s="10" t="str">
        <f>IF(OR($A204="",3&gt;Controls!$B$6),"",MOD(N203*48271,2147483647))</f>
        <v/>
      </c>
      <c r="E204" s="10" t="str">
        <f>IF(OR($A204="",4&gt;Controls!$B$6),"",MOD(O203*48271,2147483647))</f>
        <v/>
      </c>
      <c r="F204" s="10" t="str">
        <f>IF(OR($A204="",5&gt;Controls!$B$6),"",MOD(P203*48271,2147483647))</f>
        <v/>
      </c>
      <c r="G204" s="10" t="str">
        <f>IF(OR($A204="",6&gt;Controls!$B$6),"",MOD(Q203*48271,2147483647))</f>
        <v/>
      </c>
      <c r="H204" s="10" t="str">
        <f>IF(OR($A204="",7&gt;Controls!$B$6),"",MOD(R203*48271,2147483647))</f>
        <v/>
      </c>
      <c r="I204" s="10" t="str">
        <f>IF(OR($A204="",8&gt;Controls!$B$6),"",MOD(S203*48271,2147483647))</f>
        <v/>
      </c>
      <c r="J204" s="10" t="str">
        <f>IF(OR($A204="",9&gt;Controls!$B$6),"",MOD(T203*48271,2147483647))</f>
        <v/>
      </c>
      <c r="K204" s="10" t="str">
        <f>IF(OR($A204="",10&gt;Controls!$B$6),"",MOD(U203*48271,2147483647))</f>
        <v/>
      </c>
      <c r="L204" s="10" t="str">
        <f t="shared" ref="L204:U204" si="203">IF(B204="","",MOD(B204*48271,2147483647))</f>
        <v/>
      </c>
      <c r="M204" s="10" t="str">
        <f t="shared" si="203"/>
        <v/>
      </c>
      <c r="N204" s="10" t="str">
        <f t="shared" si="203"/>
        <v/>
      </c>
      <c r="O204" s="10" t="str">
        <f t="shared" si="203"/>
        <v/>
      </c>
      <c r="P204" s="10" t="str">
        <f t="shared" si="203"/>
        <v/>
      </c>
      <c r="Q204" s="10" t="str">
        <f t="shared" si="203"/>
        <v/>
      </c>
      <c r="R204" s="10" t="str">
        <f t="shared" si="203"/>
        <v/>
      </c>
      <c r="S204" s="10" t="str">
        <f t="shared" si="203"/>
        <v/>
      </c>
      <c r="T204" s="10" t="str">
        <f t="shared" si="203"/>
        <v/>
      </c>
      <c r="U204" s="10" t="str">
        <f t="shared" si="203"/>
        <v/>
      </c>
      <c r="V204" s="10" t="str">
        <f>IF(B204="","",IF(Controls!$B$7="Normal",Controls!$B$8+Controls!$B$9*SQRT(-2*LN(B204/2147483647))*COS(2*PI()*L204/2147483647),Controls!$B$8+(Controls!$B$9-Controls!$B$8)*B204/2147483647))</f>
        <v/>
      </c>
      <c r="W204" s="10" t="str">
        <f>IF(C204="","",IF(Controls!$B$7="Normal",Controls!$B$8+Controls!$B$9*SQRT(-2*LN(C204/2147483647))*COS(2*PI()*M204/2147483647),Controls!$B$8+(Controls!$B$9-Controls!$B$8)*C204/2147483647))</f>
        <v/>
      </c>
      <c r="X204" s="10" t="str">
        <f>IF(D204="","",IF(Controls!$B$7="Normal",Controls!$B$8+Controls!$B$9*SQRT(-2*LN(D204/2147483647))*COS(2*PI()*N204/2147483647),Controls!$B$8+(Controls!$B$9-Controls!$B$8)*D204/2147483647))</f>
        <v/>
      </c>
      <c r="Y204" s="10" t="str">
        <f>IF(E204="","",IF(Controls!$B$7="Normal",Controls!$B$8+Controls!$B$9*SQRT(-2*LN(E204/2147483647))*COS(2*PI()*O204/2147483647),Controls!$B$8+(Controls!$B$9-Controls!$B$8)*E204/2147483647))</f>
        <v/>
      </c>
      <c r="Z204" s="10" t="str">
        <f>IF(F204="","",IF(Controls!$B$7="Normal",Controls!$B$8+Controls!$B$9*SQRT(-2*LN(F204/2147483647))*COS(2*PI()*P204/2147483647),Controls!$B$8+(Controls!$B$9-Controls!$B$8)*F204/2147483647))</f>
        <v/>
      </c>
      <c r="AA204" s="10" t="str">
        <f>IF(G204="","",IF(Controls!$B$7="Normal",Controls!$B$8+Controls!$B$9*SQRT(-2*LN(G204/2147483647))*COS(2*PI()*Q204/2147483647),Controls!$B$8+(Controls!$B$9-Controls!$B$8)*G204/2147483647))</f>
        <v/>
      </c>
      <c r="AB204" s="10" t="str">
        <f>IF(H204="","",IF(Controls!$B$7="Normal",Controls!$B$8+Controls!$B$9*SQRT(-2*LN(H204/2147483647))*COS(2*PI()*R204/2147483647),Controls!$B$8+(Controls!$B$9-Controls!$B$8)*H204/2147483647))</f>
        <v/>
      </c>
      <c r="AC204" s="10" t="str">
        <f>IF(I204="","",IF(Controls!$B$7="Normal",Controls!$B$8+Controls!$B$9*SQRT(-2*LN(I204/2147483647))*COS(2*PI()*S204/2147483647),Controls!$B$8+(Controls!$B$9-Controls!$B$8)*I204/2147483647))</f>
        <v/>
      </c>
      <c r="AD204" s="10" t="str">
        <f>IF(J204="","",IF(Controls!$B$7="Normal",Controls!$B$8+Controls!$B$9*SQRT(-2*LN(J204/2147483647))*COS(2*PI()*T204/2147483647),Controls!$B$8+(Controls!$B$9-Controls!$B$8)*J204/2147483647))</f>
        <v/>
      </c>
      <c r="AE204" s="10" t="str">
        <f>IF(K204="","",IF(Controls!$B$7="Normal",Controls!$B$8+Controls!$B$9*SQRT(-2*LN(K204/2147483647))*COS(2*PI()*U204/2147483647),Controls!$B$8+(Controls!$B$9-Controls!$B$8)*K204/2147483647))</f>
        <v/>
      </c>
    </row>
    <row r="205" ht="21.0" customHeight="1">
      <c r="A205" s="7" t="str">
        <f>IF(204&lt;=Controls!$B$5,Controls!$B$4+203,"")</f>
        <v/>
      </c>
      <c r="B205" s="10" t="str">
        <f>IF(OR($A205="",1&gt;Controls!$B$6),"",MOD(L204*48271,2147483647))</f>
        <v/>
      </c>
      <c r="C205" s="10" t="str">
        <f>IF(OR($A205="",2&gt;Controls!$B$6),"",MOD(M204*48271,2147483647))</f>
        <v/>
      </c>
      <c r="D205" s="10" t="str">
        <f>IF(OR($A205="",3&gt;Controls!$B$6),"",MOD(N204*48271,2147483647))</f>
        <v/>
      </c>
      <c r="E205" s="10" t="str">
        <f>IF(OR($A205="",4&gt;Controls!$B$6),"",MOD(O204*48271,2147483647))</f>
        <v/>
      </c>
      <c r="F205" s="10" t="str">
        <f>IF(OR($A205="",5&gt;Controls!$B$6),"",MOD(P204*48271,2147483647))</f>
        <v/>
      </c>
      <c r="G205" s="10" t="str">
        <f>IF(OR($A205="",6&gt;Controls!$B$6),"",MOD(Q204*48271,2147483647))</f>
        <v/>
      </c>
      <c r="H205" s="10" t="str">
        <f>IF(OR($A205="",7&gt;Controls!$B$6),"",MOD(R204*48271,2147483647))</f>
        <v/>
      </c>
      <c r="I205" s="10" t="str">
        <f>IF(OR($A205="",8&gt;Controls!$B$6),"",MOD(S204*48271,2147483647))</f>
        <v/>
      </c>
      <c r="J205" s="10" t="str">
        <f>IF(OR($A205="",9&gt;Controls!$B$6),"",MOD(T204*48271,2147483647))</f>
        <v/>
      </c>
      <c r="K205" s="10" t="str">
        <f>IF(OR($A205="",10&gt;Controls!$B$6),"",MOD(U204*48271,2147483647))</f>
        <v/>
      </c>
      <c r="L205" s="10" t="str">
        <f t="shared" ref="L205:U205" si="204">IF(B205="","",MOD(B205*48271,2147483647))</f>
        <v/>
      </c>
      <c r="M205" s="10" t="str">
        <f t="shared" si="204"/>
        <v/>
      </c>
      <c r="N205" s="10" t="str">
        <f t="shared" si="204"/>
        <v/>
      </c>
      <c r="O205" s="10" t="str">
        <f t="shared" si="204"/>
        <v/>
      </c>
      <c r="P205" s="10" t="str">
        <f t="shared" si="204"/>
        <v/>
      </c>
      <c r="Q205" s="10" t="str">
        <f t="shared" si="204"/>
        <v/>
      </c>
      <c r="R205" s="10" t="str">
        <f t="shared" si="204"/>
        <v/>
      </c>
      <c r="S205" s="10" t="str">
        <f t="shared" si="204"/>
        <v/>
      </c>
      <c r="T205" s="10" t="str">
        <f t="shared" si="204"/>
        <v/>
      </c>
      <c r="U205" s="10" t="str">
        <f t="shared" si="204"/>
        <v/>
      </c>
      <c r="V205" s="10" t="str">
        <f>IF(B205="","",IF(Controls!$B$7="Normal",Controls!$B$8+Controls!$B$9*SQRT(-2*LN(B205/2147483647))*COS(2*PI()*L205/2147483647),Controls!$B$8+(Controls!$B$9-Controls!$B$8)*B205/2147483647))</f>
        <v/>
      </c>
      <c r="W205" s="10" t="str">
        <f>IF(C205="","",IF(Controls!$B$7="Normal",Controls!$B$8+Controls!$B$9*SQRT(-2*LN(C205/2147483647))*COS(2*PI()*M205/2147483647),Controls!$B$8+(Controls!$B$9-Controls!$B$8)*C205/2147483647))</f>
        <v/>
      </c>
      <c r="X205" s="10" t="str">
        <f>IF(D205="","",IF(Controls!$B$7="Normal",Controls!$B$8+Controls!$B$9*SQRT(-2*LN(D205/2147483647))*COS(2*PI()*N205/2147483647),Controls!$B$8+(Controls!$B$9-Controls!$B$8)*D205/2147483647))</f>
        <v/>
      </c>
      <c r="Y205" s="10" t="str">
        <f>IF(E205="","",IF(Controls!$B$7="Normal",Controls!$B$8+Controls!$B$9*SQRT(-2*LN(E205/2147483647))*COS(2*PI()*O205/2147483647),Controls!$B$8+(Controls!$B$9-Controls!$B$8)*E205/2147483647))</f>
        <v/>
      </c>
      <c r="Z205" s="10" t="str">
        <f>IF(F205="","",IF(Controls!$B$7="Normal",Controls!$B$8+Controls!$B$9*SQRT(-2*LN(F205/2147483647))*COS(2*PI()*P205/2147483647),Controls!$B$8+(Controls!$B$9-Controls!$B$8)*F205/2147483647))</f>
        <v/>
      </c>
      <c r="AA205" s="10" t="str">
        <f>IF(G205="","",IF(Controls!$B$7="Normal",Controls!$B$8+Controls!$B$9*SQRT(-2*LN(G205/2147483647))*COS(2*PI()*Q205/2147483647),Controls!$B$8+(Controls!$B$9-Controls!$B$8)*G205/2147483647))</f>
        <v/>
      </c>
      <c r="AB205" s="10" t="str">
        <f>IF(H205="","",IF(Controls!$B$7="Normal",Controls!$B$8+Controls!$B$9*SQRT(-2*LN(H205/2147483647))*COS(2*PI()*R205/2147483647),Controls!$B$8+(Controls!$B$9-Controls!$B$8)*H205/2147483647))</f>
        <v/>
      </c>
      <c r="AC205" s="10" t="str">
        <f>IF(I205="","",IF(Controls!$B$7="Normal",Controls!$B$8+Controls!$B$9*SQRT(-2*LN(I205/2147483647))*COS(2*PI()*S205/2147483647),Controls!$B$8+(Controls!$B$9-Controls!$B$8)*I205/2147483647))</f>
        <v/>
      </c>
      <c r="AD205" s="10" t="str">
        <f>IF(J205="","",IF(Controls!$B$7="Normal",Controls!$B$8+Controls!$B$9*SQRT(-2*LN(J205/2147483647))*COS(2*PI()*T205/2147483647),Controls!$B$8+(Controls!$B$9-Controls!$B$8)*J205/2147483647))</f>
        <v/>
      </c>
      <c r="AE205" s="10" t="str">
        <f>IF(K205="","",IF(Controls!$B$7="Normal",Controls!$B$8+Controls!$B$9*SQRT(-2*LN(K205/2147483647))*COS(2*PI()*U205/2147483647),Controls!$B$8+(Controls!$B$9-Controls!$B$8)*K205/2147483647))</f>
        <v/>
      </c>
    </row>
    <row r="206" ht="21.0" customHeight="1">
      <c r="A206" s="7" t="str">
        <f>IF(205&lt;=Controls!$B$5,Controls!$B$4+204,"")</f>
        <v/>
      </c>
      <c r="B206" s="10" t="str">
        <f>IF(OR($A206="",1&gt;Controls!$B$6),"",MOD(L205*48271,2147483647))</f>
        <v/>
      </c>
      <c r="C206" s="10" t="str">
        <f>IF(OR($A206="",2&gt;Controls!$B$6),"",MOD(M205*48271,2147483647))</f>
        <v/>
      </c>
      <c r="D206" s="10" t="str">
        <f>IF(OR($A206="",3&gt;Controls!$B$6),"",MOD(N205*48271,2147483647))</f>
        <v/>
      </c>
      <c r="E206" s="10" t="str">
        <f>IF(OR($A206="",4&gt;Controls!$B$6),"",MOD(O205*48271,2147483647))</f>
        <v/>
      </c>
      <c r="F206" s="10" t="str">
        <f>IF(OR($A206="",5&gt;Controls!$B$6),"",MOD(P205*48271,2147483647))</f>
        <v/>
      </c>
      <c r="G206" s="10" t="str">
        <f>IF(OR($A206="",6&gt;Controls!$B$6),"",MOD(Q205*48271,2147483647))</f>
        <v/>
      </c>
      <c r="H206" s="10" t="str">
        <f>IF(OR($A206="",7&gt;Controls!$B$6),"",MOD(R205*48271,2147483647))</f>
        <v/>
      </c>
      <c r="I206" s="10" t="str">
        <f>IF(OR($A206="",8&gt;Controls!$B$6),"",MOD(S205*48271,2147483647))</f>
        <v/>
      </c>
      <c r="J206" s="10" t="str">
        <f>IF(OR($A206="",9&gt;Controls!$B$6),"",MOD(T205*48271,2147483647))</f>
        <v/>
      </c>
      <c r="K206" s="10" t="str">
        <f>IF(OR($A206="",10&gt;Controls!$B$6),"",MOD(U205*48271,2147483647))</f>
        <v/>
      </c>
      <c r="L206" s="10" t="str">
        <f t="shared" ref="L206:U206" si="205">IF(B206="","",MOD(B206*48271,2147483647))</f>
        <v/>
      </c>
      <c r="M206" s="10" t="str">
        <f t="shared" si="205"/>
        <v/>
      </c>
      <c r="N206" s="10" t="str">
        <f t="shared" si="205"/>
        <v/>
      </c>
      <c r="O206" s="10" t="str">
        <f t="shared" si="205"/>
        <v/>
      </c>
      <c r="P206" s="10" t="str">
        <f t="shared" si="205"/>
        <v/>
      </c>
      <c r="Q206" s="10" t="str">
        <f t="shared" si="205"/>
        <v/>
      </c>
      <c r="R206" s="10" t="str">
        <f t="shared" si="205"/>
        <v/>
      </c>
      <c r="S206" s="10" t="str">
        <f t="shared" si="205"/>
        <v/>
      </c>
      <c r="T206" s="10" t="str">
        <f t="shared" si="205"/>
        <v/>
      </c>
      <c r="U206" s="10" t="str">
        <f t="shared" si="205"/>
        <v/>
      </c>
      <c r="V206" s="10" t="str">
        <f>IF(B206="","",IF(Controls!$B$7="Normal",Controls!$B$8+Controls!$B$9*SQRT(-2*LN(B206/2147483647))*COS(2*PI()*L206/2147483647),Controls!$B$8+(Controls!$B$9-Controls!$B$8)*B206/2147483647))</f>
        <v/>
      </c>
      <c r="W206" s="10" t="str">
        <f>IF(C206="","",IF(Controls!$B$7="Normal",Controls!$B$8+Controls!$B$9*SQRT(-2*LN(C206/2147483647))*COS(2*PI()*M206/2147483647),Controls!$B$8+(Controls!$B$9-Controls!$B$8)*C206/2147483647))</f>
        <v/>
      </c>
      <c r="X206" s="10" t="str">
        <f>IF(D206="","",IF(Controls!$B$7="Normal",Controls!$B$8+Controls!$B$9*SQRT(-2*LN(D206/2147483647))*COS(2*PI()*N206/2147483647),Controls!$B$8+(Controls!$B$9-Controls!$B$8)*D206/2147483647))</f>
        <v/>
      </c>
      <c r="Y206" s="10" t="str">
        <f>IF(E206="","",IF(Controls!$B$7="Normal",Controls!$B$8+Controls!$B$9*SQRT(-2*LN(E206/2147483647))*COS(2*PI()*O206/2147483647),Controls!$B$8+(Controls!$B$9-Controls!$B$8)*E206/2147483647))</f>
        <v/>
      </c>
      <c r="Z206" s="10" t="str">
        <f>IF(F206="","",IF(Controls!$B$7="Normal",Controls!$B$8+Controls!$B$9*SQRT(-2*LN(F206/2147483647))*COS(2*PI()*P206/2147483647),Controls!$B$8+(Controls!$B$9-Controls!$B$8)*F206/2147483647))</f>
        <v/>
      </c>
      <c r="AA206" s="10" t="str">
        <f>IF(G206="","",IF(Controls!$B$7="Normal",Controls!$B$8+Controls!$B$9*SQRT(-2*LN(G206/2147483647))*COS(2*PI()*Q206/2147483647),Controls!$B$8+(Controls!$B$9-Controls!$B$8)*G206/2147483647))</f>
        <v/>
      </c>
      <c r="AB206" s="10" t="str">
        <f>IF(H206="","",IF(Controls!$B$7="Normal",Controls!$B$8+Controls!$B$9*SQRT(-2*LN(H206/2147483647))*COS(2*PI()*R206/2147483647),Controls!$B$8+(Controls!$B$9-Controls!$B$8)*H206/2147483647))</f>
        <v/>
      </c>
      <c r="AC206" s="10" t="str">
        <f>IF(I206="","",IF(Controls!$B$7="Normal",Controls!$B$8+Controls!$B$9*SQRT(-2*LN(I206/2147483647))*COS(2*PI()*S206/2147483647),Controls!$B$8+(Controls!$B$9-Controls!$B$8)*I206/2147483647))</f>
        <v/>
      </c>
      <c r="AD206" s="10" t="str">
        <f>IF(J206="","",IF(Controls!$B$7="Normal",Controls!$B$8+Controls!$B$9*SQRT(-2*LN(J206/2147483647))*COS(2*PI()*T206/2147483647),Controls!$B$8+(Controls!$B$9-Controls!$B$8)*J206/2147483647))</f>
        <v/>
      </c>
      <c r="AE206" s="10" t="str">
        <f>IF(K206="","",IF(Controls!$B$7="Normal",Controls!$B$8+Controls!$B$9*SQRT(-2*LN(K206/2147483647))*COS(2*PI()*U206/2147483647),Controls!$B$8+(Controls!$B$9-Controls!$B$8)*K206/2147483647))</f>
        <v/>
      </c>
    </row>
    <row r="207" ht="21.0" customHeight="1">
      <c r="A207" s="7" t="str">
        <f>IF(206&lt;=Controls!$B$5,Controls!$B$4+205,"")</f>
        <v/>
      </c>
      <c r="B207" s="10" t="str">
        <f>IF(OR($A207="",1&gt;Controls!$B$6),"",MOD(L206*48271,2147483647))</f>
        <v/>
      </c>
      <c r="C207" s="10" t="str">
        <f>IF(OR($A207="",2&gt;Controls!$B$6),"",MOD(M206*48271,2147483647))</f>
        <v/>
      </c>
      <c r="D207" s="10" t="str">
        <f>IF(OR($A207="",3&gt;Controls!$B$6),"",MOD(N206*48271,2147483647))</f>
        <v/>
      </c>
      <c r="E207" s="10" t="str">
        <f>IF(OR($A207="",4&gt;Controls!$B$6),"",MOD(O206*48271,2147483647))</f>
        <v/>
      </c>
      <c r="F207" s="10" t="str">
        <f>IF(OR($A207="",5&gt;Controls!$B$6),"",MOD(P206*48271,2147483647))</f>
        <v/>
      </c>
      <c r="G207" s="10" t="str">
        <f>IF(OR($A207="",6&gt;Controls!$B$6),"",MOD(Q206*48271,2147483647))</f>
        <v/>
      </c>
      <c r="H207" s="10" t="str">
        <f>IF(OR($A207="",7&gt;Controls!$B$6),"",MOD(R206*48271,2147483647))</f>
        <v/>
      </c>
      <c r="I207" s="10" t="str">
        <f>IF(OR($A207="",8&gt;Controls!$B$6),"",MOD(S206*48271,2147483647))</f>
        <v/>
      </c>
      <c r="J207" s="10" t="str">
        <f>IF(OR($A207="",9&gt;Controls!$B$6),"",MOD(T206*48271,2147483647))</f>
        <v/>
      </c>
      <c r="K207" s="10" t="str">
        <f>IF(OR($A207="",10&gt;Controls!$B$6),"",MOD(U206*48271,2147483647))</f>
        <v/>
      </c>
      <c r="L207" s="10" t="str">
        <f t="shared" ref="L207:U207" si="206">IF(B207="","",MOD(B207*48271,2147483647))</f>
        <v/>
      </c>
      <c r="M207" s="10" t="str">
        <f t="shared" si="206"/>
        <v/>
      </c>
      <c r="N207" s="10" t="str">
        <f t="shared" si="206"/>
        <v/>
      </c>
      <c r="O207" s="10" t="str">
        <f t="shared" si="206"/>
        <v/>
      </c>
      <c r="P207" s="10" t="str">
        <f t="shared" si="206"/>
        <v/>
      </c>
      <c r="Q207" s="10" t="str">
        <f t="shared" si="206"/>
        <v/>
      </c>
      <c r="R207" s="10" t="str">
        <f t="shared" si="206"/>
        <v/>
      </c>
      <c r="S207" s="10" t="str">
        <f t="shared" si="206"/>
        <v/>
      </c>
      <c r="T207" s="10" t="str">
        <f t="shared" si="206"/>
        <v/>
      </c>
      <c r="U207" s="10" t="str">
        <f t="shared" si="206"/>
        <v/>
      </c>
      <c r="V207" s="10" t="str">
        <f>IF(B207="","",IF(Controls!$B$7="Normal",Controls!$B$8+Controls!$B$9*SQRT(-2*LN(B207/2147483647))*COS(2*PI()*L207/2147483647),Controls!$B$8+(Controls!$B$9-Controls!$B$8)*B207/2147483647))</f>
        <v/>
      </c>
      <c r="W207" s="10" t="str">
        <f>IF(C207="","",IF(Controls!$B$7="Normal",Controls!$B$8+Controls!$B$9*SQRT(-2*LN(C207/2147483647))*COS(2*PI()*M207/2147483647),Controls!$B$8+(Controls!$B$9-Controls!$B$8)*C207/2147483647))</f>
        <v/>
      </c>
      <c r="X207" s="10" t="str">
        <f>IF(D207="","",IF(Controls!$B$7="Normal",Controls!$B$8+Controls!$B$9*SQRT(-2*LN(D207/2147483647))*COS(2*PI()*N207/2147483647),Controls!$B$8+(Controls!$B$9-Controls!$B$8)*D207/2147483647))</f>
        <v/>
      </c>
      <c r="Y207" s="10" t="str">
        <f>IF(E207="","",IF(Controls!$B$7="Normal",Controls!$B$8+Controls!$B$9*SQRT(-2*LN(E207/2147483647))*COS(2*PI()*O207/2147483647),Controls!$B$8+(Controls!$B$9-Controls!$B$8)*E207/2147483647))</f>
        <v/>
      </c>
      <c r="Z207" s="10" t="str">
        <f>IF(F207="","",IF(Controls!$B$7="Normal",Controls!$B$8+Controls!$B$9*SQRT(-2*LN(F207/2147483647))*COS(2*PI()*P207/2147483647),Controls!$B$8+(Controls!$B$9-Controls!$B$8)*F207/2147483647))</f>
        <v/>
      </c>
      <c r="AA207" s="10" t="str">
        <f>IF(G207="","",IF(Controls!$B$7="Normal",Controls!$B$8+Controls!$B$9*SQRT(-2*LN(G207/2147483647))*COS(2*PI()*Q207/2147483647),Controls!$B$8+(Controls!$B$9-Controls!$B$8)*G207/2147483647))</f>
        <v/>
      </c>
      <c r="AB207" s="10" t="str">
        <f>IF(H207="","",IF(Controls!$B$7="Normal",Controls!$B$8+Controls!$B$9*SQRT(-2*LN(H207/2147483647))*COS(2*PI()*R207/2147483647),Controls!$B$8+(Controls!$B$9-Controls!$B$8)*H207/2147483647))</f>
        <v/>
      </c>
      <c r="AC207" s="10" t="str">
        <f>IF(I207="","",IF(Controls!$B$7="Normal",Controls!$B$8+Controls!$B$9*SQRT(-2*LN(I207/2147483647))*COS(2*PI()*S207/2147483647),Controls!$B$8+(Controls!$B$9-Controls!$B$8)*I207/2147483647))</f>
        <v/>
      </c>
      <c r="AD207" s="10" t="str">
        <f>IF(J207="","",IF(Controls!$B$7="Normal",Controls!$B$8+Controls!$B$9*SQRT(-2*LN(J207/2147483647))*COS(2*PI()*T207/2147483647),Controls!$B$8+(Controls!$B$9-Controls!$B$8)*J207/2147483647))</f>
        <v/>
      </c>
      <c r="AE207" s="10" t="str">
        <f>IF(K207="","",IF(Controls!$B$7="Normal",Controls!$B$8+Controls!$B$9*SQRT(-2*LN(K207/2147483647))*COS(2*PI()*U207/2147483647),Controls!$B$8+(Controls!$B$9-Controls!$B$8)*K207/2147483647))</f>
        <v/>
      </c>
    </row>
    <row r="208" ht="21.0" customHeight="1">
      <c r="A208" s="7" t="str">
        <f>IF(207&lt;=Controls!$B$5,Controls!$B$4+206,"")</f>
        <v/>
      </c>
      <c r="B208" s="10" t="str">
        <f>IF(OR($A208="",1&gt;Controls!$B$6),"",MOD(L207*48271,2147483647))</f>
        <v/>
      </c>
      <c r="C208" s="10" t="str">
        <f>IF(OR($A208="",2&gt;Controls!$B$6),"",MOD(M207*48271,2147483647))</f>
        <v/>
      </c>
      <c r="D208" s="10" t="str">
        <f>IF(OR($A208="",3&gt;Controls!$B$6),"",MOD(N207*48271,2147483647))</f>
        <v/>
      </c>
      <c r="E208" s="10" t="str">
        <f>IF(OR($A208="",4&gt;Controls!$B$6),"",MOD(O207*48271,2147483647))</f>
        <v/>
      </c>
      <c r="F208" s="10" t="str">
        <f>IF(OR($A208="",5&gt;Controls!$B$6),"",MOD(P207*48271,2147483647))</f>
        <v/>
      </c>
      <c r="G208" s="10" t="str">
        <f>IF(OR($A208="",6&gt;Controls!$B$6),"",MOD(Q207*48271,2147483647))</f>
        <v/>
      </c>
      <c r="H208" s="10" t="str">
        <f>IF(OR($A208="",7&gt;Controls!$B$6),"",MOD(R207*48271,2147483647))</f>
        <v/>
      </c>
      <c r="I208" s="10" t="str">
        <f>IF(OR($A208="",8&gt;Controls!$B$6),"",MOD(S207*48271,2147483647))</f>
        <v/>
      </c>
      <c r="J208" s="10" t="str">
        <f>IF(OR($A208="",9&gt;Controls!$B$6),"",MOD(T207*48271,2147483647))</f>
        <v/>
      </c>
      <c r="K208" s="10" t="str">
        <f>IF(OR($A208="",10&gt;Controls!$B$6),"",MOD(U207*48271,2147483647))</f>
        <v/>
      </c>
      <c r="L208" s="10" t="str">
        <f t="shared" ref="L208:U208" si="207">IF(B208="","",MOD(B208*48271,2147483647))</f>
        <v/>
      </c>
      <c r="M208" s="10" t="str">
        <f t="shared" si="207"/>
        <v/>
      </c>
      <c r="N208" s="10" t="str">
        <f t="shared" si="207"/>
        <v/>
      </c>
      <c r="O208" s="10" t="str">
        <f t="shared" si="207"/>
        <v/>
      </c>
      <c r="P208" s="10" t="str">
        <f t="shared" si="207"/>
        <v/>
      </c>
      <c r="Q208" s="10" t="str">
        <f t="shared" si="207"/>
        <v/>
      </c>
      <c r="R208" s="10" t="str">
        <f t="shared" si="207"/>
        <v/>
      </c>
      <c r="S208" s="10" t="str">
        <f t="shared" si="207"/>
        <v/>
      </c>
      <c r="T208" s="10" t="str">
        <f t="shared" si="207"/>
        <v/>
      </c>
      <c r="U208" s="10" t="str">
        <f t="shared" si="207"/>
        <v/>
      </c>
      <c r="V208" s="10" t="str">
        <f>IF(B208="","",IF(Controls!$B$7="Normal",Controls!$B$8+Controls!$B$9*SQRT(-2*LN(B208/2147483647))*COS(2*PI()*L208/2147483647),Controls!$B$8+(Controls!$B$9-Controls!$B$8)*B208/2147483647))</f>
        <v/>
      </c>
      <c r="W208" s="10" t="str">
        <f>IF(C208="","",IF(Controls!$B$7="Normal",Controls!$B$8+Controls!$B$9*SQRT(-2*LN(C208/2147483647))*COS(2*PI()*M208/2147483647),Controls!$B$8+(Controls!$B$9-Controls!$B$8)*C208/2147483647))</f>
        <v/>
      </c>
      <c r="X208" s="10" t="str">
        <f>IF(D208="","",IF(Controls!$B$7="Normal",Controls!$B$8+Controls!$B$9*SQRT(-2*LN(D208/2147483647))*COS(2*PI()*N208/2147483647),Controls!$B$8+(Controls!$B$9-Controls!$B$8)*D208/2147483647))</f>
        <v/>
      </c>
      <c r="Y208" s="10" t="str">
        <f>IF(E208="","",IF(Controls!$B$7="Normal",Controls!$B$8+Controls!$B$9*SQRT(-2*LN(E208/2147483647))*COS(2*PI()*O208/2147483647),Controls!$B$8+(Controls!$B$9-Controls!$B$8)*E208/2147483647))</f>
        <v/>
      </c>
      <c r="Z208" s="10" t="str">
        <f>IF(F208="","",IF(Controls!$B$7="Normal",Controls!$B$8+Controls!$B$9*SQRT(-2*LN(F208/2147483647))*COS(2*PI()*P208/2147483647),Controls!$B$8+(Controls!$B$9-Controls!$B$8)*F208/2147483647))</f>
        <v/>
      </c>
      <c r="AA208" s="10" t="str">
        <f>IF(G208="","",IF(Controls!$B$7="Normal",Controls!$B$8+Controls!$B$9*SQRT(-2*LN(G208/2147483647))*COS(2*PI()*Q208/2147483647),Controls!$B$8+(Controls!$B$9-Controls!$B$8)*G208/2147483647))</f>
        <v/>
      </c>
      <c r="AB208" s="10" t="str">
        <f>IF(H208="","",IF(Controls!$B$7="Normal",Controls!$B$8+Controls!$B$9*SQRT(-2*LN(H208/2147483647))*COS(2*PI()*R208/2147483647),Controls!$B$8+(Controls!$B$9-Controls!$B$8)*H208/2147483647))</f>
        <v/>
      </c>
      <c r="AC208" s="10" t="str">
        <f>IF(I208="","",IF(Controls!$B$7="Normal",Controls!$B$8+Controls!$B$9*SQRT(-2*LN(I208/2147483647))*COS(2*PI()*S208/2147483647),Controls!$B$8+(Controls!$B$9-Controls!$B$8)*I208/2147483647))</f>
        <v/>
      </c>
      <c r="AD208" s="10" t="str">
        <f>IF(J208="","",IF(Controls!$B$7="Normal",Controls!$B$8+Controls!$B$9*SQRT(-2*LN(J208/2147483647))*COS(2*PI()*T208/2147483647),Controls!$B$8+(Controls!$B$9-Controls!$B$8)*J208/2147483647))</f>
        <v/>
      </c>
      <c r="AE208" s="10" t="str">
        <f>IF(K208="","",IF(Controls!$B$7="Normal",Controls!$B$8+Controls!$B$9*SQRT(-2*LN(K208/2147483647))*COS(2*PI()*U208/2147483647),Controls!$B$8+(Controls!$B$9-Controls!$B$8)*K208/2147483647))</f>
        <v/>
      </c>
    </row>
    <row r="209" ht="21.0" customHeight="1">
      <c r="A209" s="7" t="str">
        <f>IF(208&lt;=Controls!$B$5,Controls!$B$4+207,"")</f>
        <v/>
      </c>
      <c r="B209" s="10" t="str">
        <f>IF(OR($A209="",1&gt;Controls!$B$6),"",MOD(L208*48271,2147483647))</f>
        <v/>
      </c>
      <c r="C209" s="10" t="str">
        <f>IF(OR($A209="",2&gt;Controls!$B$6),"",MOD(M208*48271,2147483647))</f>
        <v/>
      </c>
      <c r="D209" s="10" t="str">
        <f>IF(OR($A209="",3&gt;Controls!$B$6),"",MOD(N208*48271,2147483647))</f>
        <v/>
      </c>
      <c r="E209" s="10" t="str">
        <f>IF(OR($A209="",4&gt;Controls!$B$6),"",MOD(O208*48271,2147483647))</f>
        <v/>
      </c>
      <c r="F209" s="10" t="str">
        <f>IF(OR($A209="",5&gt;Controls!$B$6),"",MOD(P208*48271,2147483647))</f>
        <v/>
      </c>
      <c r="G209" s="10" t="str">
        <f>IF(OR($A209="",6&gt;Controls!$B$6),"",MOD(Q208*48271,2147483647))</f>
        <v/>
      </c>
      <c r="H209" s="10" t="str">
        <f>IF(OR($A209="",7&gt;Controls!$B$6),"",MOD(R208*48271,2147483647))</f>
        <v/>
      </c>
      <c r="I209" s="10" t="str">
        <f>IF(OR($A209="",8&gt;Controls!$B$6),"",MOD(S208*48271,2147483647))</f>
        <v/>
      </c>
      <c r="J209" s="10" t="str">
        <f>IF(OR($A209="",9&gt;Controls!$B$6),"",MOD(T208*48271,2147483647))</f>
        <v/>
      </c>
      <c r="K209" s="10" t="str">
        <f>IF(OR($A209="",10&gt;Controls!$B$6),"",MOD(U208*48271,2147483647))</f>
        <v/>
      </c>
      <c r="L209" s="10" t="str">
        <f t="shared" ref="L209:U209" si="208">IF(B209="","",MOD(B209*48271,2147483647))</f>
        <v/>
      </c>
      <c r="M209" s="10" t="str">
        <f t="shared" si="208"/>
        <v/>
      </c>
      <c r="N209" s="10" t="str">
        <f t="shared" si="208"/>
        <v/>
      </c>
      <c r="O209" s="10" t="str">
        <f t="shared" si="208"/>
        <v/>
      </c>
      <c r="P209" s="10" t="str">
        <f t="shared" si="208"/>
        <v/>
      </c>
      <c r="Q209" s="10" t="str">
        <f t="shared" si="208"/>
        <v/>
      </c>
      <c r="R209" s="10" t="str">
        <f t="shared" si="208"/>
        <v/>
      </c>
      <c r="S209" s="10" t="str">
        <f t="shared" si="208"/>
        <v/>
      </c>
      <c r="T209" s="10" t="str">
        <f t="shared" si="208"/>
        <v/>
      </c>
      <c r="U209" s="10" t="str">
        <f t="shared" si="208"/>
        <v/>
      </c>
      <c r="V209" s="10" t="str">
        <f>IF(B209="","",IF(Controls!$B$7="Normal",Controls!$B$8+Controls!$B$9*SQRT(-2*LN(B209/2147483647))*COS(2*PI()*L209/2147483647),Controls!$B$8+(Controls!$B$9-Controls!$B$8)*B209/2147483647))</f>
        <v/>
      </c>
      <c r="W209" s="10" t="str">
        <f>IF(C209="","",IF(Controls!$B$7="Normal",Controls!$B$8+Controls!$B$9*SQRT(-2*LN(C209/2147483647))*COS(2*PI()*M209/2147483647),Controls!$B$8+(Controls!$B$9-Controls!$B$8)*C209/2147483647))</f>
        <v/>
      </c>
      <c r="X209" s="10" t="str">
        <f>IF(D209="","",IF(Controls!$B$7="Normal",Controls!$B$8+Controls!$B$9*SQRT(-2*LN(D209/2147483647))*COS(2*PI()*N209/2147483647),Controls!$B$8+(Controls!$B$9-Controls!$B$8)*D209/2147483647))</f>
        <v/>
      </c>
      <c r="Y209" s="10" t="str">
        <f>IF(E209="","",IF(Controls!$B$7="Normal",Controls!$B$8+Controls!$B$9*SQRT(-2*LN(E209/2147483647))*COS(2*PI()*O209/2147483647),Controls!$B$8+(Controls!$B$9-Controls!$B$8)*E209/2147483647))</f>
        <v/>
      </c>
      <c r="Z209" s="10" t="str">
        <f>IF(F209="","",IF(Controls!$B$7="Normal",Controls!$B$8+Controls!$B$9*SQRT(-2*LN(F209/2147483647))*COS(2*PI()*P209/2147483647),Controls!$B$8+(Controls!$B$9-Controls!$B$8)*F209/2147483647))</f>
        <v/>
      </c>
      <c r="AA209" s="10" t="str">
        <f>IF(G209="","",IF(Controls!$B$7="Normal",Controls!$B$8+Controls!$B$9*SQRT(-2*LN(G209/2147483647))*COS(2*PI()*Q209/2147483647),Controls!$B$8+(Controls!$B$9-Controls!$B$8)*G209/2147483647))</f>
        <v/>
      </c>
      <c r="AB209" s="10" t="str">
        <f>IF(H209="","",IF(Controls!$B$7="Normal",Controls!$B$8+Controls!$B$9*SQRT(-2*LN(H209/2147483647))*COS(2*PI()*R209/2147483647),Controls!$B$8+(Controls!$B$9-Controls!$B$8)*H209/2147483647))</f>
        <v/>
      </c>
      <c r="AC209" s="10" t="str">
        <f>IF(I209="","",IF(Controls!$B$7="Normal",Controls!$B$8+Controls!$B$9*SQRT(-2*LN(I209/2147483647))*COS(2*PI()*S209/2147483647),Controls!$B$8+(Controls!$B$9-Controls!$B$8)*I209/2147483647))</f>
        <v/>
      </c>
      <c r="AD209" s="10" t="str">
        <f>IF(J209="","",IF(Controls!$B$7="Normal",Controls!$B$8+Controls!$B$9*SQRT(-2*LN(J209/2147483647))*COS(2*PI()*T209/2147483647),Controls!$B$8+(Controls!$B$9-Controls!$B$8)*J209/2147483647))</f>
        <v/>
      </c>
      <c r="AE209" s="10" t="str">
        <f>IF(K209="","",IF(Controls!$B$7="Normal",Controls!$B$8+Controls!$B$9*SQRT(-2*LN(K209/2147483647))*COS(2*PI()*U209/2147483647),Controls!$B$8+(Controls!$B$9-Controls!$B$8)*K209/2147483647))</f>
        <v/>
      </c>
    </row>
    <row r="210" ht="21.0" customHeight="1">
      <c r="A210" s="7" t="str">
        <f>IF(209&lt;=Controls!$B$5,Controls!$B$4+208,"")</f>
        <v/>
      </c>
      <c r="B210" s="10" t="str">
        <f>IF(OR($A210="",1&gt;Controls!$B$6),"",MOD(L209*48271,2147483647))</f>
        <v/>
      </c>
      <c r="C210" s="10" t="str">
        <f>IF(OR($A210="",2&gt;Controls!$B$6),"",MOD(M209*48271,2147483647))</f>
        <v/>
      </c>
      <c r="D210" s="10" t="str">
        <f>IF(OR($A210="",3&gt;Controls!$B$6),"",MOD(N209*48271,2147483647))</f>
        <v/>
      </c>
      <c r="E210" s="10" t="str">
        <f>IF(OR($A210="",4&gt;Controls!$B$6),"",MOD(O209*48271,2147483647))</f>
        <v/>
      </c>
      <c r="F210" s="10" t="str">
        <f>IF(OR($A210="",5&gt;Controls!$B$6),"",MOD(P209*48271,2147483647))</f>
        <v/>
      </c>
      <c r="G210" s="10" t="str">
        <f>IF(OR($A210="",6&gt;Controls!$B$6),"",MOD(Q209*48271,2147483647))</f>
        <v/>
      </c>
      <c r="H210" s="10" t="str">
        <f>IF(OR($A210="",7&gt;Controls!$B$6),"",MOD(R209*48271,2147483647))</f>
        <v/>
      </c>
      <c r="I210" s="10" t="str">
        <f>IF(OR($A210="",8&gt;Controls!$B$6),"",MOD(S209*48271,2147483647))</f>
        <v/>
      </c>
      <c r="J210" s="10" t="str">
        <f>IF(OR($A210="",9&gt;Controls!$B$6),"",MOD(T209*48271,2147483647))</f>
        <v/>
      </c>
      <c r="K210" s="10" t="str">
        <f>IF(OR($A210="",10&gt;Controls!$B$6),"",MOD(U209*48271,2147483647))</f>
        <v/>
      </c>
      <c r="L210" s="10" t="str">
        <f t="shared" ref="L210:U210" si="209">IF(B210="","",MOD(B210*48271,2147483647))</f>
        <v/>
      </c>
      <c r="M210" s="10" t="str">
        <f t="shared" si="209"/>
        <v/>
      </c>
      <c r="N210" s="10" t="str">
        <f t="shared" si="209"/>
        <v/>
      </c>
      <c r="O210" s="10" t="str">
        <f t="shared" si="209"/>
        <v/>
      </c>
      <c r="P210" s="10" t="str">
        <f t="shared" si="209"/>
        <v/>
      </c>
      <c r="Q210" s="10" t="str">
        <f t="shared" si="209"/>
        <v/>
      </c>
      <c r="R210" s="10" t="str">
        <f t="shared" si="209"/>
        <v/>
      </c>
      <c r="S210" s="10" t="str">
        <f t="shared" si="209"/>
        <v/>
      </c>
      <c r="T210" s="10" t="str">
        <f t="shared" si="209"/>
        <v/>
      </c>
      <c r="U210" s="10" t="str">
        <f t="shared" si="209"/>
        <v/>
      </c>
      <c r="V210" s="10" t="str">
        <f>IF(B210="","",IF(Controls!$B$7="Normal",Controls!$B$8+Controls!$B$9*SQRT(-2*LN(B210/2147483647))*COS(2*PI()*L210/2147483647),Controls!$B$8+(Controls!$B$9-Controls!$B$8)*B210/2147483647))</f>
        <v/>
      </c>
      <c r="W210" s="10" t="str">
        <f>IF(C210="","",IF(Controls!$B$7="Normal",Controls!$B$8+Controls!$B$9*SQRT(-2*LN(C210/2147483647))*COS(2*PI()*M210/2147483647),Controls!$B$8+(Controls!$B$9-Controls!$B$8)*C210/2147483647))</f>
        <v/>
      </c>
      <c r="X210" s="10" t="str">
        <f>IF(D210="","",IF(Controls!$B$7="Normal",Controls!$B$8+Controls!$B$9*SQRT(-2*LN(D210/2147483647))*COS(2*PI()*N210/2147483647),Controls!$B$8+(Controls!$B$9-Controls!$B$8)*D210/2147483647))</f>
        <v/>
      </c>
      <c r="Y210" s="10" t="str">
        <f>IF(E210="","",IF(Controls!$B$7="Normal",Controls!$B$8+Controls!$B$9*SQRT(-2*LN(E210/2147483647))*COS(2*PI()*O210/2147483647),Controls!$B$8+(Controls!$B$9-Controls!$B$8)*E210/2147483647))</f>
        <v/>
      </c>
      <c r="Z210" s="10" t="str">
        <f>IF(F210="","",IF(Controls!$B$7="Normal",Controls!$B$8+Controls!$B$9*SQRT(-2*LN(F210/2147483647))*COS(2*PI()*P210/2147483647),Controls!$B$8+(Controls!$B$9-Controls!$B$8)*F210/2147483647))</f>
        <v/>
      </c>
      <c r="AA210" s="10" t="str">
        <f>IF(G210="","",IF(Controls!$B$7="Normal",Controls!$B$8+Controls!$B$9*SQRT(-2*LN(G210/2147483647))*COS(2*PI()*Q210/2147483647),Controls!$B$8+(Controls!$B$9-Controls!$B$8)*G210/2147483647))</f>
        <v/>
      </c>
      <c r="AB210" s="10" t="str">
        <f>IF(H210="","",IF(Controls!$B$7="Normal",Controls!$B$8+Controls!$B$9*SQRT(-2*LN(H210/2147483647))*COS(2*PI()*R210/2147483647),Controls!$B$8+(Controls!$B$9-Controls!$B$8)*H210/2147483647))</f>
        <v/>
      </c>
      <c r="AC210" s="10" t="str">
        <f>IF(I210="","",IF(Controls!$B$7="Normal",Controls!$B$8+Controls!$B$9*SQRT(-2*LN(I210/2147483647))*COS(2*PI()*S210/2147483647),Controls!$B$8+(Controls!$B$9-Controls!$B$8)*I210/2147483647))</f>
        <v/>
      </c>
      <c r="AD210" s="10" t="str">
        <f>IF(J210="","",IF(Controls!$B$7="Normal",Controls!$B$8+Controls!$B$9*SQRT(-2*LN(J210/2147483647))*COS(2*PI()*T210/2147483647),Controls!$B$8+(Controls!$B$9-Controls!$B$8)*J210/2147483647))</f>
        <v/>
      </c>
      <c r="AE210" s="10" t="str">
        <f>IF(K210="","",IF(Controls!$B$7="Normal",Controls!$B$8+Controls!$B$9*SQRT(-2*LN(K210/2147483647))*COS(2*PI()*U210/2147483647),Controls!$B$8+(Controls!$B$9-Controls!$B$8)*K210/2147483647))</f>
        <v/>
      </c>
    </row>
    <row r="211" ht="21.0" customHeight="1">
      <c r="A211" s="7" t="str">
        <f>IF(210&lt;=Controls!$B$5,Controls!$B$4+209,"")</f>
        <v/>
      </c>
      <c r="B211" s="10" t="str">
        <f>IF(OR($A211="",1&gt;Controls!$B$6),"",MOD(L210*48271,2147483647))</f>
        <v/>
      </c>
      <c r="C211" s="10" t="str">
        <f>IF(OR($A211="",2&gt;Controls!$B$6),"",MOD(M210*48271,2147483647))</f>
        <v/>
      </c>
      <c r="D211" s="10" t="str">
        <f>IF(OR($A211="",3&gt;Controls!$B$6),"",MOD(N210*48271,2147483647))</f>
        <v/>
      </c>
      <c r="E211" s="10" t="str">
        <f>IF(OR($A211="",4&gt;Controls!$B$6),"",MOD(O210*48271,2147483647))</f>
        <v/>
      </c>
      <c r="F211" s="10" t="str">
        <f>IF(OR($A211="",5&gt;Controls!$B$6),"",MOD(P210*48271,2147483647))</f>
        <v/>
      </c>
      <c r="G211" s="10" t="str">
        <f>IF(OR($A211="",6&gt;Controls!$B$6),"",MOD(Q210*48271,2147483647))</f>
        <v/>
      </c>
      <c r="H211" s="10" t="str">
        <f>IF(OR($A211="",7&gt;Controls!$B$6),"",MOD(R210*48271,2147483647))</f>
        <v/>
      </c>
      <c r="I211" s="10" t="str">
        <f>IF(OR($A211="",8&gt;Controls!$B$6),"",MOD(S210*48271,2147483647))</f>
        <v/>
      </c>
      <c r="J211" s="10" t="str">
        <f>IF(OR($A211="",9&gt;Controls!$B$6),"",MOD(T210*48271,2147483647))</f>
        <v/>
      </c>
      <c r="K211" s="10" t="str">
        <f>IF(OR($A211="",10&gt;Controls!$B$6),"",MOD(U210*48271,2147483647))</f>
        <v/>
      </c>
      <c r="L211" s="10" t="str">
        <f t="shared" ref="L211:U211" si="210">IF(B211="","",MOD(B211*48271,2147483647))</f>
        <v/>
      </c>
      <c r="M211" s="10" t="str">
        <f t="shared" si="210"/>
        <v/>
      </c>
      <c r="N211" s="10" t="str">
        <f t="shared" si="210"/>
        <v/>
      </c>
      <c r="O211" s="10" t="str">
        <f t="shared" si="210"/>
        <v/>
      </c>
      <c r="P211" s="10" t="str">
        <f t="shared" si="210"/>
        <v/>
      </c>
      <c r="Q211" s="10" t="str">
        <f t="shared" si="210"/>
        <v/>
      </c>
      <c r="R211" s="10" t="str">
        <f t="shared" si="210"/>
        <v/>
      </c>
      <c r="S211" s="10" t="str">
        <f t="shared" si="210"/>
        <v/>
      </c>
      <c r="T211" s="10" t="str">
        <f t="shared" si="210"/>
        <v/>
      </c>
      <c r="U211" s="10" t="str">
        <f t="shared" si="210"/>
        <v/>
      </c>
      <c r="V211" s="10" t="str">
        <f>IF(B211="","",IF(Controls!$B$7="Normal",Controls!$B$8+Controls!$B$9*SQRT(-2*LN(B211/2147483647))*COS(2*PI()*L211/2147483647),Controls!$B$8+(Controls!$B$9-Controls!$B$8)*B211/2147483647))</f>
        <v/>
      </c>
      <c r="W211" s="10" t="str">
        <f>IF(C211="","",IF(Controls!$B$7="Normal",Controls!$B$8+Controls!$B$9*SQRT(-2*LN(C211/2147483647))*COS(2*PI()*M211/2147483647),Controls!$B$8+(Controls!$B$9-Controls!$B$8)*C211/2147483647))</f>
        <v/>
      </c>
      <c r="X211" s="10" t="str">
        <f>IF(D211="","",IF(Controls!$B$7="Normal",Controls!$B$8+Controls!$B$9*SQRT(-2*LN(D211/2147483647))*COS(2*PI()*N211/2147483647),Controls!$B$8+(Controls!$B$9-Controls!$B$8)*D211/2147483647))</f>
        <v/>
      </c>
      <c r="Y211" s="10" t="str">
        <f>IF(E211="","",IF(Controls!$B$7="Normal",Controls!$B$8+Controls!$B$9*SQRT(-2*LN(E211/2147483647))*COS(2*PI()*O211/2147483647),Controls!$B$8+(Controls!$B$9-Controls!$B$8)*E211/2147483647))</f>
        <v/>
      </c>
      <c r="Z211" s="10" t="str">
        <f>IF(F211="","",IF(Controls!$B$7="Normal",Controls!$B$8+Controls!$B$9*SQRT(-2*LN(F211/2147483647))*COS(2*PI()*P211/2147483647),Controls!$B$8+(Controls!$B$9-Controls!$B$8)*F211/2147483647))</f>
        <v/>
      </c>
      <c r="AA211" s="10" t="str">
        <f>IF(G211="","",IF(Controls!$B$7="Normal",Controls!$B$8+Controls!$B$9*SQRT(-2*LN(G211/2147483647))*COS(2*PI()*Q211/2147483647),Controls!$B$8+(Controls!$B$9-Controls!$B$8)*G211/2147483647))</f>
        <v/>
      </c>
      <c r="AB211" s="10" t="str">
        <f>IF(H211="","",IF(Controls!$B$7="Normal",Controls!$B$8+Controls!$B$9*SQRT(-2*LN(H211/2147483647))*COS(2*PI()*R211/2147483647),Controls!$B$8+(Controls!$B$9-Controls!$B$8)*H211/2147483647))</f>
        <v/>
      </c>
      <c r="AC211" s="10" t="str">
        <f>IF(I211="","",IF(Controls!$B$7="Normal",Controls!$B$8+Controls!$B$9*SQRT(-2*LN(I211/2147483647))*COS(2*PI()*S211/2147483647),Controls!$B$8+(Controls!$B$9-Controls!$B$8)*I211/2147483647))</f>
        <v/>
      </c>
      <c r="AD211" s="10" t="str">
        <f>IF(J211="","",IF(Controls!$B$7="Normal",Controls!$B$8+Controls!$B$9*SQRT(-2*LN(J211/2147483647))*COS(2*PI()*T211/2147483647),Controls!$B$8+(Controls!$B$9-Controls!$B$8)*J211/2147483647))</f>
        <v/>
      </c>
      <c r="AE211" s="10" t="str">
        <f>IF(K211="","",IF(Controls!$B$7="Normal",Controls!$B$8+Controls!$B$9*SQRT(-2*LN(K211/2147483647))*COS(2*PI()*U211/2147483647),Controls!$B$8+(Controls!$B$9-Controls!$B$8)*K211/2147483647))</f>
        <v/>
      </c>
    </row>
    <row r="212" ht="21.0" customHeight="1">
      <c r="A212" s="7" t="str">
        <f>IF(211&lt;=Controls!$B$5,Controls!$B$4+210,"")</f>
        <v/>
      </c>
      <c r="B212" s="10" t="str">
        <f>IF(OR($A212="",1&gt;Controls!$B$6),"",MOD(L211*48271,2147483647))</f>
        <v/>
      </c>
      <c r="C212" s="10" t="str">
        <f>IF(OR($A212="",2&gt;Controls!$B$6),"",MOD(M211*48271,2147483647))</f>
        <v/>
      </c>
      <c r="D212" s="10" t="str">
        <f>IF(OR($A212="",3&gt;Controls!$B$6),"",MOD(N211*48271,2147483647))</f>
        <v/>
      </c>
      <c r="E212" s="10" t="str">
        <f>IF(OR($A212="",4&gt;Controls!$B$6),"",MOD(O211*48271,2147483647))</f>
        <v/>
      </c>
      <c r="F212" s="10" t="str">
        <f>IF(OR($A212="",5&gt;Controls!$B$6),"",MOD(P211*48271,2147483647))</f>
        <v/>
      </c>
      <c r="G212" s="10" t="str">
        <f>IF(OR($A212="",6&gt;Controls!$B$6),"",MOD(Q211*48271,2147483647))</f>
        <v/>
      </c>
      <c r="H212" s="10" t="str">
        <f>IF(OR($A212="",7&gt;Controls!$B$6),"",MOD(R211*48271,2147483647))</f>
        <v/>
      </c>
      <c r="I212" s="10" t="str">
        <f>IF(OR($A212="",8&gt;Controls!$B$6),"",MOD(S211*48271,2147483647))</f>
        <v/>
      </c>
      <c r="J212" s="10" t="str">
        <f>IF(OR($A212="",9&gt;Controls!$B$6),"",MOD(T211*48271,2147483647))</f>
        <v/>
      </c>
      <c r="K212" s="10" t="str">
        <f>IF(OR($A212="",10&gt;Controls!$B$6),"",MOD(U211*48271,2147483647))</f>
        <v/>
      </c>
      <c r="L212" s="10" t="str">
        <f t="shared" ref="L212:U212" si="211">IF(B212="","",MOD(B212*48271,2147483647))</f>
        <v/>
      </c>
      <c r="M212" s="10" t="str">
        <f t="shared" si="211"/>
        <v/>
      </c>
      <c r="N212" s="10" t="str">
        <f t="shared" si="211"/>
        <v/>
      </c>
      <c r="O212" s="10" t="str">
        <f t="shared" si="211"/>
        <v/>
      </c>
      <c r="P212" s="10" t="str">
        <f t="shared" si="211"/>
        <v/>
      </c>
      <c r="Q212" s="10" t="str">
        <f t="shared" si="211"/>
        <v/>
      </c>
      <c r="R212" s="10" t="str">
        <f t="shared" si="211"/>
        <v/>
      </c>
      <c r="S212" s="10" t="str">
        <f t="shared" si="211"/>
        <v/>
      </c>
      <c r="T212" s="10" t="str">
        <f t="shared" si="211"/>
        <v/>
      </c>
      <c r="U212" s="10" t="str">
        <f t="shared" si="211"/>
        <v/>
      </c>
      <c r="V212" s="10" t="str">
        <f>IF(B212="","",IF(Controls!$B$7="Normal",Controls!$B$8+Controls!$B$9*SQRT(-2*LN(B212/2147483647))*COS(2*PI()*L212/2147483647),Controls!$B$8+(Controls!$B$9-Controls!$B$8)*B212/2147483647))</f>
        <v/>
      </c>
      <c r="W212" s="10" t="str">
        <f>IF(C212="","",IF(Controls!$B$7="Normal",Controls!$B$8+Controls!$B$9*SQRT(-2*LN(C212/2147483647))*COS(2*PI()*M212/2147483647),Controls!$B$8+(Controls!$B$9-Controls!$B$8)*C212/2147483647))</f>
        <v/>
      </c>
      <c r="X212" s="10" t="str">
        <f>IF(D212="","",IF(Controls!$B$7="Normal",Controls!$B$8+Controls!$B$9*SQRT(-2*LN(D212/2147483647))*COS(2*PI()*N212/2147483647),Controls!$B$8+(Controls!$B$9-Controls!$B$8)*D212/2147483647))</f>
        <v/>
      </c>
      <c r="Y212" s="10" t="str">
        <f>IF(E212="","",IF(Controls!$B$7="Normal",Controls!$B$8+Controls!$B$9*SQRT(-2*LN(E212/2147483647))*COS(2*PI()*O212/2147483647),Controls!$B$8+(Controls!$B$9-Controls!$B$8)*E212/2147483647))</f>
        <v/>
      </c>
      <c r="Z212" s="10" t="str">
        <f>IF(F212="","",IF(Controls!$B$7="Normal",Controls!$B$8+Controls!$B$9*SQRT(-2*LN(F212/2147483647))*COS(2*PI()*P212/2147483647),Controls!$B$8+(Controls!$B$9-Controls!$B$8)*F212/2147483647))</f>
        <v/>
      </c>
      <c r="AA212" s="10" t="str">
        <f>IF(G212="","",IF(Controls!$B$7="Normal",Controls!$B$8+Controls!$B$9*SQRT(-2*LN(G212/2147483647))*COS(2*PI()*Q212/2147483647),Controls!$B$8+(Controls!$B$9-Controls!$B$8)*G212/2147483647))</f>
        <v/>
      </c>
      <c r="AB212" s="10" t="str">
        <f>IF(H212="","",IF(Controls!$B$7="Normal",Controls!$B$8+Controls!$B$9*SQRT(-2*LN(H212/2147483647))*COS(2*PI()*R212/2147483647),Controls!$B$8+(Controls!$B$9-Controls!$B$8)*H212/2147483647))</f>
        <v/>
      </c>
      <c r="AC212" s="10" t="str">
        <f>IF(I212="","",IF(Controls!$B$7="Normal",Controls!$B$8+Controls!$B$9*SQRT(-2*LN(I212/2147483647))*COS(2*PI()*S212/2147483647),Controls!$B$8+(Controls!$B$9-Controls!$B$8)*I212/2147483647))</f>
        <v/>
      </c>
      <c r="AD212" s="10" t="str">
        <f>IF(J212="","",IF(Controls!$B$7="Normal",Controls!$B$8+Controls!$B$9*SQRT(-2*LN(J212/2147483647))*COS(2*PI()*T212/2147483647),Controls!$B$8+(Controls!$B$9-Controls!$B$8)*J212/2147483647))</f>
        <v/>
      </c>
      <c r="AE212" s="10" t="str">
        <f>IF(K212="","",IF(Controls!$B$7="Normal",Controls!$B$8+Controls!$B$9*SQRT(-2*LN(K212/2147483647))*COS(2*PI()*U212/2147483647),Controls!$B$8+(Controls!$B$9-Controls!$B$8)*K212/2147483647))</f>
        <v/>
      </c>
    </row>
    <row r="213" ht="21.0" customHeight="1">
      <c r="A213" s="7" t="str">
        <f>IF(212&lt;=Controls!$B$5,Controls!$B$4+211,"")</f>
        <v/>
      </c>
      <c r="B213" s="10" t="str">
        <f>IF(OR($A213="",1&gt;Controls!$B$6),"",MOD(L212*48271,2147483647))</f>
        <v/>
      </c>
      <c r="C213" s="10" t="str">
        <f>IF(OR($A213="",2&gt;Controls!$B$6),"",MOD(M212*48271,2147483647))</f>
        <v/>
      </c>
      <c r="D213" s="10" t="str">
        <f>IF(OR($A213="",3&gt;Controls!$B$6),"",MOD(N212*48271,2147483647))</f>
        <v/>
      </c>
      <c r="E213" s="10" t="str">
        <f>IF(OR($A213="",4&gt;Controls!$B$6),"",MOD(O212*48271,2147483647))</f>
        <v/>
      </c>
      <c r="F213" s="10" t="str">
        <f>IF(OR($A213="",5&gt;Controls!$B$6),"",MOD(P212*48271,2147483647))</f>
        <v/>
      </c>
      <c r="G213" s="10" t="str">
        <f>IF(OR($A213="",6&gt;Controls!$B$6),"",MOD(Q212*48271,2147483647))</f>
        <v/>
      </c>
      <c r="H213" s="10" t="str">
        <f>IF(OR($A213="",7&gt;Controls!$B$6),"",MOD(R212*48271,2147483647))</f>
        <v/>
      </c>
      <c r="I213" s="10" t="str">
        <f>IF(OR($A213="",8&gt;Controls!$B$6),"",MOD(S212*48271,2147483647))</f>
        <v/>
      </c>
      <c r="J213" s="10" t="str">
        <f>IF(OR($A213="",9&gt;Controls!$B$6),"",MOD(T212*48271,2147483647))</f>
        <v/>
      </c>
      <c r="K213" s="10" t="str">
        <f>IF(OR($A213="",10&gt;Controls!$B$6),"",MOD(U212*48271,2147483647))</f>
        <v/>
      </c>
      <c r="L213" s="10" t="str">
        <f t="shared" ref="L213:U213" si="212">IF(B213="","",MOD(B213*48271,2147483647))</f>
        <v/>
      </c>
      <c r="M213" s="10" t="str">
        <f t="shared" si="212"/>
        <v/>
      </c>
      <c r="N213" s="10" t="str">
        <f t="shared" si="212"/>
        <v/>
      </c>
      <c r="O213" s="10" t="str">
        <f t="shared" si="212"/>
        <v/>
      </c>
      <c r="P213" s="10" t="str">
        <f t="shared" si="212"/>
        <v/>
      </c>
      <c r="Q213" s="10" t="str">
        <f t="shared" si="212"/>
        <v/>
      </c>
      <c r="R213" s="10" t="str">
        <f t="shared" si="212"/>
        <v/>
      </c>
      <c r="S213" s="10" t="str">
        <f t="shared" si="212"/>
        <v/>
      </c>
      <c r="T213" s="10" t="str">
        <f t="shared" si="212"/>
        <v/>
      </c>
      <c r="U213" s="10" t="str">
        <f t="shared" si="212"/>
        <v/>
      </c>
      <c r="V213" s="10" t="str">
        <f>IF(B213="","",IF(Controls!$B$7="Normal",Controls!$B$8+Controls!$B$9*SQRT(-2*LN(B213/2147483647))*COS(2*PI()*L213/2147483647),Controls!$B$8+(Controls!$B$9-Controls!$B$8)*B213/2147483647))</f>
        <v/>
      </c>
      <c r="W213" s="10" t="str">
        <f>IF(C213="","",IF(Controls!$B$7="Normal",Controls!$B$8+Controls!$B$9*SQRT(-2*LN(C213/2147483647))*COS(2*PI()*M213/2147483647),Controls!$B$8+(Controls!$B$9-Controls!$B$8)*C213/2147483647))</f>
        <v/>
      </c>
      <c r="X213" s="10" t="str">
        <f>IF(D213="","",IF(Controls!$B$7="Normal",Controls!$B$8+Controls!$B$9*SQRT(-2*LN(D213/2147483647))*COS(2*PI()*N213/2147483647),Controls!$B$8+(Controls!$B$9-Controls!$B$8)*D213/2147483647))</f>
        <v/>
      </c>
      <c r="Y213" s="10" t="str">
        <f>IF(E213="","",IF(Controls!$B$7="Normal",Controls!$B$8+Controls!$B$9*SQRT(-2*LN(E213/2147483647))*COS(2*PI()*O213/2147483647),Controls!$B$8+(Controls!$B$9-Controls!$B$8)*E213/2147483647))</f>
        <v/>
      </c>
      <c r="Z213" s="10" t="str">
        <f>IF(F213="","",IF(Controls!$B$7="Normal",Controls!$B$8+Controls!$B$9*SQRT(-2*LN(F213/2147483647))*COS(2*PI()*P213/2147483647),Controls!$B$8+(Controls!$B$9-Controls!$B$8)*F213/2147483647))</f>
        <v/>
      </c>
      <c r="AA213" s="10" t="str">
        <f>IF(G213="","",IF(Controls!$B$7="Normal",Controls!$B$8+Controls!$B$9*SQRT(-2*LN(G213/2147483647))*COS(2*PI()*Q213/2147483647),Controls!$B$8+(Controls!$B$9-Controls!$B$8)*G213/2147483647))</f>
        <v/>
      </c>
      <c r="AB213" s="10" t="str">
        <f>IF(H213="","",IF(Controls!$B$7="Normal",Controls!$B$8+Controls!$B$9*SQRT(-2*LN(H213/2147483647))*COS(2*PI()*R213/2147483647),Controls!$B$8+(Controls!$B$9-Controls!$B$8)*H213/2147483647))</f>
        <v/>
      </c>
      <c r="AC213" s="10" t="str">
        <f>IF(I213="","",IF(Controls!$B$7="Normal",Controls!$B$8+Controls!$B$9*SQRT(-2*LN(I213/2147483647))*COS(2*PI()*S213/2147483647),Controls!$B$8+(Controls!$B$9-Controls!$B$8)*I213/2147483647))</f>
        <v/>
      </c>
      <c r="AD213" s="10" t="str">
        <f>IF(J213="","",IF(Controls!$B$7="Normal",Controls!$B$8+Controls!$B$9*SQRT(-2*LN(J213/2147483647))*COS(2*PI()*T213/2147483647),Controls!$B$8+(Controls!$B$9-Controls!$B$8)*J213/2147483647))</f>
        <v/>
      </c>
      <c r="AE213" s="10" t="str">
        <f>IF(K213="","",IF(Controls!$B$7="Normal",Controls!$B$8+Controls!$B$9*SQRT(-2*LN(K213/2147483647))*COS(2*PI()*U213/2147483647),Controls!$B$8+(Controls!$B$9-Controls!$B$8)*K213/2147483647))</f>
        <v/>
      </c>
    </row>
    <row r="214" ht="21.0" customHeight="1">
      <c r="A214" s="7" t="str">
        <f>IF(213&lt;=Controls!$B$5,Controls!$B$4+212,"")</f>
        <v/>
      </c>
      <c r="B214" s="10" t="str">
        <f>IF(OR($A214="",1&gt;Controls!$B$6),"",MOD(L213*48271,2147483647))</f>
        <v/>
      </c>
      <c r="C214" s="10" t="str">
        <f>IF(OR($A214="",2&gt;Controls!$B$6),"",MOD(M213*48271,2147483647))</f>
        <v/>
      </c>
      <c r="D214" s="10" t="str">
        <f>IF(OR($A214="",3&gt;Controls!$B$6),"",MOD(N213*48271,2147483647))</f>
        <v/>
      </c>
      <c r="E214" s="10" t="str">
        <f>IF(OR($A214="",4&gt;Controls!$B$6),"",MOD(O213*48271,2147483647))</f>
        <v/>
      </c>
      <c r="F214" s="10" t="str">
        <f>IF(OR($A214="",5&gt;Controls!$B$6),"",MOD(P213*48271,2147483647))</f>
        <v/>
      </c>
      <c r="G214" s="10" t="str">
        <f>IF(OR($A214="",6&gt;Controls!$B$6),"",MOD(Q213*48271,2147483647))</f>
        <v/>
      </c>
      <c r="H214" s="10" t="str">
        <f>IF(OR($A214="",7&gt;Controls!$B$6),"",MOD(R213*48271,2147483647))</f>
        <v/>
      </c>
      <c r="I214" s="10" t="str">
        <f>IF(OR($A214="",8&gt;Controls!$B$6),"",MOD(S213*48271,2147483647))</f>
        <v/>
      </c>
      <c r="J214" s="10" t="str">
        <f>IF(OR($A214="",9&gt;Controls!$B$6),"",MOD(T213*48271,2147483647))</f>
        <v/>
      </c>
      <c r="K214" s="10" t="str">
        <f>IF(OR($A214="",10&gt;Controls!$B$6),"",MOD(U213*48271,2147483647))</f>
        <v/>
      </c>
      <c r="L214" s="10" t="str">
        <f t="shared" ref="L214:U214" si="213">IF(B214="","",MOD(B214*48271,2147483647))</f>
        <v/>
      </c>
      <c r="M214" s="10" t="str">
        <f t="shared" si="213"/>
        <v/>
      </c>
      <c r="N214" s="10" t="str">
        <f t="shared" si="213"/>
        <v/>
      </c>
      <c r="O214" s="10" t="str">
        <f t="shared" si="213"/>
        <v/>
      </c>
      <c r="P214" s="10" t="str">
        <f t="shared" si="213"/>
        <v/>
      </c>
      <c r="Q214" s="10" t="str">
        <f t="shared" si="213"/>
        <v/>
      </c>
      <c r="R214" s="10" t="str">
        <f t="shared" si="213"/>
        <v/>
      </c>
      <c r="S214" s="10" t="str">
        <f t="shared" si="213"/>
        <v/>
      </c>
      <c r="T214" s="10" t="str">
        <f t="shared" si="213"/>
        <v/>
      </c>
      <c r="U214" s="10" t="str">
        <f t="shared" si="213"/>
        <v/>
      </c>
      <c r="V214" s="10" t="str">
        <f>IF(B214="","",IF(Controls!$B$7="Normal",Controls!$B$8+Controls!$B$9*SQRT(-2*LN(B214/2147483647))*COS(2*PI()*L214/2147483647),Controls!$B$8+(Controls!$B$9-Controls!$B$8)*B214/2147483647))</f>
        <v/>
      </c>
      <c r="W214" s="10" t="str">
        <f>IF(C214="","",IF(Controls!$B$7="Normal",Controls!$B$8+Controls!$B$9*SQRT(-2*LN(C214/2147483647))*COS(2*PI()*M214/2147483647),Controls!$B$8+(Controls!$B$9-Controls!$B$8)*C214/2147483647))</f>
        <v/>
      </c>
      <c r="X214" s="10" t="str">
        <f>IF(D214="","",IF(Controls!$B$7="Normal",Controls!$B$8+Controls!$B$9*SQRT(-2*LN(D214/2147483647))*COS(2*PI()*N214/2147483647),Controls!$B$8+(Controls!$B$9-Controls!$B$8)*D214/2147483647))</f>
        <v/>
      </c>
      <c r="Y214" s="10" t="str">
        <f>IF(E214="","",IF(Controls!$B$7="Normal",Controls!$B$8+Controls!$B$9*SQRT(-2*LN(E214/2147483647))*COS(2*PI()*O214/2147483647),Controls!$B$8+(Controls!$B$9-Controls!$B$8)*E214/2147483647))</f>
        <v/>
      </c>
      <c r="Z214" s="10" t="str">
        <f>IF(F214="","",IF(Controls!$B$7="Normal",Controls!$B$8+Controls!$B$9*SQRT(-2*LN(F214/2147483647))*COS(2*PI()*P214/2147483647),Controls!$B$8+(Controls!$B$9-Controls!$B$8)*F214/2147483647))</f>
        <v/>
      </c>
      <c r="AA214" s="10" t="str">
        <f>IF(G214="","",IF(Controls!$B$7="Normal",Controls!$B$8+Controls!$B$9*SQRT(-2*LN(G214/2147483647))*COS(2*PI()*Q214/2147483647),Controls!$B$8+(Controls!$B$9-Controls!$B$8)*G214/2147483647))</f>
        <v/>
      </c>
      <c r="AB214" s="10" t="str">
        <f>IF(H214="","",IF(Controls!$B$7="Normal",Controls!$B$8+Controls!$B$9*SQRT(-2*LN(H214/2147483647))*COS(2*PI()*R214/2147483647),Controls!$B$8+(Controls!$B$9-Controls!$B$8)*H214/2147483647))</f>
        <v/>
      </c>
      <c r="AC214" s="10" t="str">
        <f>IF(I214="","",IF(Controls!$B$7="Normal",Controls!$B$8+Controls!$B$9*SQRT(-2*LN(I214/2147483647))*COS(2*PI()*S214/2147483647),Controls!$B$8+(Controls!$B$9-Controls!$B$8)*I214/2147483647))</f>
        <v/>
      </c>
      <c r="AD214" s="10" t="str">
        <f>IF(J214="","",IF(Controls!$B$7="Normal",Controls!$B$8+Controls!$B$9*SQRT(-2*LN(J214/2147483647))*COS(2*PI()*T214/2147483647),Controls!$B$8+(Controls!$B$9-Controls!$B$8)*J214/2147483647))</f>
        <v/>
      </c>
      <c r="AE214" s="10" t="str">
        <f>IF(K214="","",IF(Controls!$B$7="Normal",Controls!$B$8+Controls!$B$9*SQRT(-2*LN(K214/2147483647))*COS(2*PI()*U214/2147483647),Controls!$B$8+(Controls!$B$9-Controls!$B$8)*K214/2147483647))</f>
        <v/>
      </c>
    </row>
    <row r="215" ht="21.0" customHeight="1">
      <c r="A215" s="7" t="str">
        <f>IF(214&lt;=Controls!$B$5,Controls!$B$4+213,"")</f>
        <v/>
      </c>
      <c r="B215" s="10" t="str">
        <f>IF(OR($A215="",1&gt;Controls!$B$6),"",MOD(L214*48271,2147483647))</f>
        <v/>
      </c>
      <c r="C215" s="10" t="str">
        <f>IF(OR($A215="",2&gt;Controls!$B$6),"",MOD(M214*48271,2147483647))</f>
        <v/>
      </c>
      <c r="D215" s="10" t="str">
        <f>IF(OR($A215="",3&gt;Controls!$B$6),"",MOD(N214*48271,2147483647))</f>
        <v/>
      </c>
      <c r="E215" s="10" t="str">
        <f>IF(OR($A215="",4&gt;Controls!$B$6),"",MOD(O214*48271,2147483647))</f>
        <v/>
      </c>
      <c r="F215" s="10" t="str">
        <f>IF(OR($A215="",5&gt;Controls!$B$6),"",MOD(P214*48271,2147483647))</f>
        <v/>
      </c>
      <c r="G215" s="10" t="str">
        <f>IF(OR($A215="",6&gt;Controls!$B$6),"",MOD(Q214*48271,2147483647))</f>
        <v/>
      </c>
      <c r="H215" s="10" t="str">
        <f>IF(OR($A215="",7&gt;Controls!$B$6),"",MOD(R214*48271,2147483647))</f>
        <v/>
      </c>
      <c r="I215" s="10" t="str">
        <f>IF(OR($A215="",8&gt;Controls!$B$6),"",MOD(S214*48271,2147483647))</f>
        <v/>
      </c>
      <c r="J215" s="10" t="str">
        <f>IF(OR($A215="",9&gt;Controls!$B$6),"",MOD(T214*48271,2147483647))</f>
        <v/>
      </c>
      <c r="K215" s="10" t="str">
        <f>IF(OR($A215="",10&gt;Controls!$B$6),"",MOD(U214*48271,2147483647))</f>
        <v/>
      </c>
      <c r="L215" s="10" t="str">
        <f t="shared" ref="L215:U215" si="214">IF(B215="","",MOD(B215*48271,2147483647))</f>
        <v/>
      </c>
      <c r="M215" s="10" t="str">
        <f t="shared" si="214"/>
        <v/>
      </c>
      <c r="N215" s="10" t="str">
        <f t="shared" si="214"/>
        <v/>
      </c>
      <c r="O215" s="10" t="str">
        <f t="shared" si="214"/>
        <v/>
      </c>
      <c r="P215" s="10" t="str">
        <f t="shared" si="214"/>
        <v/>
      </c>
      <c r="Q215" s="10" t="str">
        <f t="shared" si="214"/>
        <v/>
      </c>
      <c r="R215" s="10" t="str">
        <f t="shared" si="214"/>
        <v/>
      </c>
      <c r="S215" s="10" t="str">
        <f t="shared" si="214"/>
        <v/>
      </c>
      <c r="T215" s="10" t="str">
        <f t="shared" si="214"/>
        <v/>
      </c>
      <c r="U215" s="10" t="str">
        <f t="shared" si="214"/>
        <v/>
      </c>
      <c r="V215" s="10" t="str">
        <f>IF(B215="","",IF(Controls!$B$7="Normal",Controls!$B$8+Controls!$B$9*SQRT(-2*LN(B215/2147483647))*COS(2*PI()*L215/2147483647),Controls!$B$8+(Controls!$B$9-Controls!$B$8)*B215/2147483647))</f>
        <v/>
      </c>
      <c r="W215" s="10" t="str">
        <f>IF(C215="","",IF(Controls!$B$7="Normal",Controls!$B$8+Controls!$B$9*SQRT(-2*LN(C215/2147483647))*COS(2*PI()*M215/2147483647),Controls!$B$8+(Controls!$B$9-Controls!$B$8)*C215/2147483647))</f>
        <v/>
      </c>
      <c r="X215" s="10" t="str">
        <f>IF(D215="","",IF(Controls!$B$7="Normal",Controls!$B$8+Controls!$B$9*SQRT(-2*LN(D215/2147483647))*COS(2*PI()*N215/2147483647),Controls!$B$8+(Controls!$B$9-Controls!$B$8)*D215/2147483647))</f>
        <v/>
      </c>
      <c r="Y215" s="10" t="str">
        <f>IF(E215="","",IF(Controls!$B$7="Normal",Controls!$B$8+Controls!$B$9*SQRT(-2*LN(E215/2147483647))*COS(2*PI()*O215/2147483647),Controls!$B$8+(Controls!$B$9-Controls!$B$8)*E215/2147483647))</f>
        <v/>
      </c>
      <c r="Z215" s="10" t="str">
        <f>IF(F215="","",IF(Controls!$B$7="Normal",Controls!$B$8+Controls!$B$9*SQRT(-2*LN(F215/2147483647))*COS(2*PI()*P215/2147483647),Controls!$B$8+(Controls!$B$9-Controls!$B$8)*F215/2147483647))</f>
        <v/>
      </c>
      <c r="AA215" s="10" t="str">
        <f>IF(G215="","",IF(Controls!$B$7="Normal",Controls!$B$8+Controls!$B$9*SQRT(-2*LN(G215/2147483647))*COS(2*PI()*Q215/2147483647),Controls!$B$8+(Controls!$B$9-Controls!$B$8)*G215/2147483647))</f>
        <v/>
      </c>
      <c r="AB215" s="10" t="str">
        <f>IF(H215="","",IF(Controls!$B$7="Normal",Controls!$B$8+Controls!$B$9*SQRT(-2*LN(H215/2147483647))*COS(2*PI()*R215/2147483647),Controls!$B$8+(Controls!$B$9-Controls!$B$8)*H215/2147483647))</f>
        <v/>
      </c>
      <c r="AC215" s="10" t="str">
        <f>IF(I215="","",IF(Controls!$B$7="Normal",Controls!$B$8+Controls!$B$9*SQRT(-2*LN(I215/2147483647))*COS(2*PI()*S215/2147483647),Controls!$B$8+(Controls!$B$9-Controls!$B$8)*I215/2147483647))</f>
        <v/>
      </c>
      <c r="AD215" s="10" t="str">
        <f>IF(J215="","",IF(Controls!$B$7="Normal",Controls!$B$8+Controls!$B$9*SQRT(-2*LN(J215/2147483647))*COS(2*PI()*T215/2147483647),Controls!$B$8+(Controls!$B$9-Controls!$B$8)*J215/2147483647))</f>
        <v/>
      </c>
      <c r="AE215" s="10" t="str">
        <f>IF(K215="","",IF(Controls!$B$7="Normal",Controls!$B$8+Controls!$B$9*SQRT(-2*LN(K215/2147483647))*COS(2*PI()*U215/2147483647),Controls!$B$8+(Controls!$B$9-Controls!$B$8)*K215/2147483647))</f>
        <v/>
      </c>
    </row>
    <row r="216" ht="21.0" customHeight="1">
      <c r="A216" s="7" t="str">
        <f>IF(215&lt;=Controls!$B$5,Controls!$B$4+214,"")</f>
        <v/>
      </c>
      <c r="B216" s="10" t="str">
        <f>IF(OR($A216="",1&gt;Controls!$B$6),"",MOD(L215*48271,2147483647))</f>
        <v/>
      </c>
      <c r="C216" s="10" t="str">
        <f>IF(OR($A216="",2&gt;Controls!$B$6),"",MOD(M215*48271,2147483647))</f>
        <v/>
      </c>
      <c r="D216" s="10" t="str">
        <f>IF(OR($A216="",3&gt;Controls!$B$6),"",MOD(N215*48271,2147483647))</f>
        <v/>
      </c>
      <c r="E216" s="10" t="str">
        <f>IF(OR($A216="",4&gt;Controls!$B$6),"",MOD(O215*48271,2147483647))</f>
        <v/>
      </c>
      <c r="F216" s="10" t="str">
        <f>IF(OR($A216="",5&gt;Controls!$B$6),"",MOD(P215*48271,2147483647))</f>
        <v/>
      </c>
      <c r="G216" s="10" t="str">
        <f>IF(OR($A216="",6&gt;Controls!$B$6),"",MOD(Q215*48271,2147483647))</f>
        <v/>
      </c>
      <c r="H216" s="10" t="str">
        <f>IF(OR($A216="",7&gt;Controls!$B$6),"",MOD(R215*48271,2147483647))</f>
        <v/>
      </c>
      <c r="I216" s="10" t="str">
        <f>IF(OR($A216="",8&gt;Controls!$B$6),"",MOD(S215*48271,2147483647))</f>
        <v/>
      </c>
      <c r="J216" s="10" t="str">
        <f>IF(OR($A216="",9&gt;Controls!$B$6),"",MOD(T215*48271,2147483647))</f>
        <v/>
      </c>
      <c r="K216" s="10" t="str">
        <f>IF(OR($A216="",10&gt;Controls!$B$6),"",MOD(U215*48271,2147483647))</f>
        <v/>
      </c>
      <c r="L216" s="10" t="str">
        <f t="shared" ref="L216:U216" si="215">IF(B216="","",MOD(B216*48271,2147483647))</f>
        <v/>
      </c>
      <c r="M216" s="10" t="str">
        <f t="shared" si="215"/>
        <v/>
      </c>
      <c r="N216" s="10" t="str">
        <f t="shared" si="215"/>
        <v/>
      </c>
      <c r="O216" s="10" t="str">
        <f t="shared" si="215"/>
        <v/>
      </c>
      <c r="P216" s="10" t="str">
        <f t="shared" si="215"/>
        <v/>
      </c>
      <c r="Q216" s="10" t="str">
        <f t="shared" si="215"/>
        <v/>
      </c>
      <c r="R216" s="10" t="str">
        <f t="shared" si="215"/>
        <v/>
      </c>
      <c r="S216" s="10" t="str">
        <f t="shared" si="215"/>
        <v/>
      </c>
      <c r="T216" s="10" t="str">
        <f t="shared" si="215"/>
        <v/>
      </c>
      <c r="U216" s="10" t="str">
        <f t="shared" si="215"/>
        <v/>
      </c>
      <c r="V216" s="10" t="str">
        <f>IF(B216="","",IF(Controls!$B$7="Normal",Controls!$B$8+Controls!$B$9*SQRT(-2*LN(B216/2147483647))*COS(2*PI()*L216/2147483647),Controls!$B$8+(Controls!$B$9-Controls!$B$8)*B216/2147483647))</f>
        <v/>
      </c>
      <c r="W216" s="10" t="str">
        <f>IF(C216="","",IF(Controls!$B$7="Normal",Controls!$B$8+Controls!$B$9*SQRT(-2*LN(C216/2147483647))*COS(2*PI()*M216/2147483647),Controls!$B$8+(Controls!$B$9-Controls!$B$8)*C216/2147483647))</f>
        <v/>
      </c>
      <c r="X216" s="10" t="str">
        <f>IF(D216="","",IF(Controls!$B$7="Normal",Controls!$B$8+Controls!$B$9*SQRT(-2*LN(D216/2147483647))*COS(2*PI()*N216/2147483647),Controls!$B$8+(Controls!$B$9-Controls!$B$8)*D216/2147483647))</f>
        <v/>
      </c>
      <c r="Y216" s="10" t="str">
        <f>IF(E216="","",IF(Controls!$B$7="Normal",Controls!$B$8+Controls!$B$9*SQRT(-2*LN(E216/2147483647))*COS(2*PI()*O216/2147483647),Controls!$B$8+(Controls!$B$9-Controls!$B$8)*E216/2147483647))</f>
        <v/>
      </c>
      <c r="Z216" s="10" t="str">
        <f>IF(F216="","",IF(Controls!$B$7="Normal",Controls!$B$8+Controls!$B$9*SQRT(-2*LN(F216/2147483647))*COS(2*PI()*P216/2147483647),Controls!$B$8+(Controls!$B$9-Controls!$B$8)*F216/2147483647))</f>
        <v/>
      </c>
      <c r="AA216" s="10" t="str">
        <f>IF(G216="","",IF(Controls!$B$7="Normal",Controls!$B$8+Controls!$B$9*SQRT(-2*LN(G216/2147483647))*COS(2*PI()*Q216/2147483647),Controls!$B$8+(Controls!$B$9-Controls!$B$8)*G216/2147483647))</f>
        <v/>
      </c>
      <c r="AB216" s="10" t="str">
        <f>IF(H216="","",IF(Controls!$B$7="Normal",Controls!$B$8+Controls!$B$9*SQRT(-2*LN(H216/2147483647))*COS(2*PI()*R216/2147483647),Controls!$B$8+(Controls!$B$9-Controls!$B$8)*H216/2147483647))</f>
        <v/>
      </c>
      <c r="AC216" s="10" t="str">
        <f>IF(I216="","",IF(Controls!$B$7="Normal",Controls!$B$8+Controls!$B$9*SQRT(-2*LN(I216/2147483647))*COS(2*PI()*S216/2147483647),Controls!$B$8+(Controls!$B$9-Controls!$B$8)*I216/2147483647))</f>
        <v/>
      </c>
      <c r="AD216" s="10" t="str">
        <f>IF(J216="","",IF(Controls!$B$7="Normal",Controls!$B$8+Controls!$B$9*SQRT(-2*LN(J216/2147483647))*COS(2*PI()*T216/2147483647),Controls!$B$8+(Controls!$B$9-Controls!$B$8)*J216/2147483647))</f>
        <v/>
      </c>
      <c r="AE216" s="10" t="str">
        <f>IF(K216="","",IF(Controls!$B$7="Normal",Controls!$B$8+Controls!$B$9*SQRT(-2*LN(K216/2147483647))*COS(2*PI()*U216/2147483647),Controls!$B$8+(Controls!$B$9-Controls!$B$8)*K216/2147483647))</f>
        <v/>
      </c>
    </row>
    <row r="217" ht="21.0" customHeight="1">
      <c r="A217" s="7" t="str">
        <f>IF(216&lt;=Controls!$B$5,Controls!$B$4+215,"")</f>
        <v/>
      </c>
      <c r="B217" s="10" t="str">
        <f>IF(OR($A217="",1&gt;Controls!$B$6),"",MOD(L216*48271,2147483647))</f>
        <v/>
      </c>
      <c r="C217" s="10" t="str">
        <f>IF(OR($A217="",2&gt;Controls!$B$6),"",MOD(M216*48271,2147483647))</f>
        <v/>
      </c>
      <c r="D217" s="10" t="str">
        <f>IF(OR($A217="",3&gt;Controls!$B$6),"",MOD(N216*48271,2147483647))</f>
        <v/>
      </c>
      <c r="E217" s="10" t="str">
        <f>IF(OR($A217="",4&gt;Controls!$B$6),"",MOD(O216*48271,2147483647))</f>
        <v/>
      </c>
      <c r="F217" s="10" t="str">
        <f>IF(OR($A217="",5&gt;Controls!$B$6),"",MOD(P216*48271,2147483647))</f>
        <v/>
      </c>
      <c r="G217" s="10" t="str">
        <f>IF(OR($A217="",6&gt;Controls!$B$6),"",MOD(Q216*48271,2147483647))</f>
        <v/>
      </c>
      <c r="H217" s="10" t="str">
        <f>IF(OR($A217="",7&gt;Controls!$B$6),"",MOD(R216*48271,2147483647))</f>
        <v/>
      </c>
      <c r="I217" s="10" t="str">
        <f>IF(OR($A217="",8&gt;Controls!$B$6),"",MOD(S216*48271,2147483647))</f>
        <v/>
      </c>
      <c r="J217" s="10" t="str">
        <f>IF(OR($A217="",9&gt;Controls!$B$6),"",MOD(T216*48271,2147483647))</f>
        <v/>
      </c>
      <c r="K217" s="10" t="str">
        <f>IF(OR($A217="",10&gt;Controls!$B$6),"",MOD(U216*48271,2147483647))</f>
        <v/>
      </c>
      <c r="L217" s="10" t="str">
        <f t="shared" ref="L217:U217" si="216">IF(B217="","",MOD(B217*48271,2147483647))</f>
        <v/>
      </c>
      <c r="M217" s="10" t="str">
        <f t="shared" si="216"/>
        <v/>
      </c>
      <c r="N217" s="10" t="str">
        <f t="shared" si="216"/>
        <v/>
      </c>
      <c r="O217" s="10" t="str">
        <f t="shared" si="216"/>
        <v/>
      </c>
      <c r="P217" s="10" t="str">
        <f t="shared" si="216"/>
        <v/>
      </c>
      <c r="Q217" s="10" t="str">
        <f t="shared" si="216"/>
        <v/>
      </c>
      <c r="R217" s="10" t="str">
        <f t="shared" si="216"/>
        <v/>
      </c>
      <c r="S217" s="10" t="str">
        <f t="shared" si="216"/>
        <v/>
      </c>
      <c r="T217" s="10" t="str">
        <f t="shared" si="216"/>
        <v/>
      </c>
      <c r="U217" s="10" t="str">
        <f t="shared" si="216"/>
        <v/>
      </c>
      <c r="V217" s="10" t="str">
        <f>IF(B217="","",IF(Controls!$B$7="Normal",Controls!$B$8+Controls!$B$9*SQRT(-2*LN(B217/2147483647))*COS(2*PI()*L217/2147483647),Controls!$B$8+(Controls!$B$9-Controls!$B$8)*B217/2147483647))</f>
        <v/>
      </c>
      <c r="W217" s="10" t="str">
        <f>IF(C217="","",IF(Controls!$B$7="Normal",Controls!$B$8+Controls!$B$9*SQRT(-2*LN(C217/2147483647))*COS(2*PI()*M217/2147483647),Controls!$B$8+(Controls!$B$9-Controls!$B$8)*C217/2147483647))</f>
        <v/>
      </c>
      <c r="X217" s="10" t="str">
        <f>IF(D217="","",IF(Controls!$B$7="Normal",Controls!$B$8+Controls!$B$9*SQRT(-2*LN(D217/2147483647))*COS(2*PI()*N217/2147483647),Controls!$B$8+(Controls!$B$9-Controls!$B$8)*D217/2147483647))</f>
        <v/>
      </c>
      <c r="Y217" s="10" t="str">
        <f>IF(E217="","",IF(Controls!$B$7="Normal",Controls!$B$8+Controls!$B$9*SQRT(-2*LN(E217/2147483647))*COS(2*PI()*O217/2147483647),Controls!$B$8+(Controls!$B$9-Controls!$B$8)*E217/2147483647))</f>
        <v/>
      </c>
      <c r="Z217" s="10" t="str">
        <f>IF(F217="","",IF(Controls!$B$7="Normal",Controls!$B$8+Controls!$B$9*SQRT(-2*LN(F217/2147483647))*COS(2*PI()*P217/2147483647),Controls!$B$8+(Controls!$B$9-Controls!$B$8)*F217/2147483647))</f>
        <v/>
      </c>
      <c r="AA217" s="10" t="str">
        <f>IF(G217="","",IF(Controls!$B$7="Normal",Controls!$B$8+Controls!$B$9*SQRT(-2*LN(G217/2147483647))*COS(2*PI()*Q217/2147483647),Controls!$B$8+(Controls!$B$9-Controls!$B$8)*G217/2147483647))</f>
        <v/>
      </c>
      <c r="AB217" s="10" t="str">
        <f>IF(H217="","",IF(Controls!$B$7="Normal",Controls!$B$8+Controls!$B$9*SQRT(-2*LN(H217/2147483647))*COS(2*PI()*R217/2147483647),Controls!$B$8+(Controls!$B$9-Controls!$B$8)*H217/2147483647))</f>
        <v/>
      </c>
      <c r="AC217" s="10" t="str">
        <f>IF(I217="","",IF(Controls!$B$7="Normal",Controls!$B$8+Controls!$B$9*SQRT(-2*LN(I217/2147483647))*COS(2*PI()*S217/2147483647),Controls!$B$8+(Controls!$B$9-Controls!$B$8)*I217/2147483647))</f>
        <v/>
      </c>
      <c r="AD217" s="10" t="str">
        <f>IF(J217="","",IF(Controls!$B$7="Normal",Controls!$B$8+Controls!$B$9*SQRT(-2*LN(J217/2147483647))*COS(2*PI()*T217/2147483647),Controls!$B$8+(Controls!$B$9-Controls!$B$8)*J217/2147483647))</f>
        <v/>
      </c>
      <c r="AE217" s="10" t="str">
        <f>IF(K217="","",IF(Controls!$B$7="Normal",Controls!$B$8+Controls!$B$9*SQRT(-2*LN(K217/2147483647))*COS(2*PI()*U217/2147483647),Controls!$B$8+(Controls!$B$9-Controls!$B$8)*K217/2147483647))</f>
        <v/>
      </c>
    </row>
    <row r="218" ht="21.0" customHeight="1">
      <c r="A218" s="7" t="str">
        <f>IF(217&lt;=Controls!$B$5,Controls!$B$4+216,"")</f>
        <v/>
      </c>
      <c r="B218" s="10" t="str">
        <f>IF(OR($A218="",1&gt;Controls!$B$6),"",MOD(L217*48271,2147483647))</f>
        <v/>
      </c>
      <c r="C218" s="10" t="str">
        <f>IF(OR($A218="",2&gt;Controls!$B$6),"",MOD(M217*48271,2147483647))</f>
        <v/>
      </c>
      <c r="D218" s="10" t="str">
        <f>IF(OR($A218="",3&gt;Controls!$B$6),"",MOD(N217*48271,2147483647))</f>
        <v/>
      </c>
      <c r="E218" s="10" t="str">
        <f>IF(OR($A218="",4&gt;Controls!$B$6),"",MOD(O217*48271,2147483647))</f>
        <v/>
      </c>
      <c r="F218" s="10" t="str">
        <f>IF(OR($A218="",5&gt;Controls!$B$6),"",MOD(P217*48271,2147483647))</f>
        <v/>
      </c>
      <c r="G218" s="10" t="str">
        <f>IF(OR($A218="",6&gt;Controls!$B$6),"",MOD(Q217*48271,2147483647))</f>
        <v/>
      </c>
      <c r="H218" s="10" t="str">
        <f>IF(OR($A218="",7&gt;Controls!$B$6),"",MOD(R217*48271,2147483647))</f>
        <v/>
      </c>
      <c r="I218" s="10" t="str">
        <f>IF(OR($A218="",8&gt;Controls!$B$6),"",MOD(S217*48271,2147483647))</f>
        <v/>
      </c>
      <c r="J218" s="10" t="str">
        <f>IF(OR($A218="",9&gt;Controls!$B$6),"",MOD(T217*48271,2147483647))</f>
        <v/>
      </c>
      <c r="K218" s="10" t="str">
        <f>IF(OR($A218="",10&gt;Controls!$B$6),"",MOD(U217*48271,2147483647))</f>
        <v/>
      </c>
      <c r="L218" s="10" t="str">
        <f t="shared" ref="L218:U218" si="217">IF(B218="","",MOD(B218*48271,2147483647))</f>
        <v/>
      </c>
      <c r="M218" s="10" t="str">
        <f t="shared" si="217"/>
        <v/>
      </c>
      <c r="N218" s="10" t="str">
        <f t="shared" si="217"/>
        <v/>
      </c>
      <c r="O218" s="10" t="str">
        <f t="shared" si="217"/>
        <v/>
      </c>
      <c r="P218" s="10" t="str">
        <f t="shared" si="217"/>
        <v/>
      </c>
      <c r="Q218" s="10" t="str">
        <f t="shared" si="217"/>
        <v/>
      </c>
      <c r="R218" s="10" t="str">
        <f t="shared" si="217"/>
        <v/>
      </c>
      <c r="S218" s="10" t="str">
        <f t="shared" si="217"/>
        <v/>
      </c>
      <c r="T218" s="10" t="str">
        <f t="shared" si="217"/>
        <v/>
      </c>
      <c r="U218" s="10" t="str">
        <f t="shared" si="217"/>
        <v/>
      </c>
      <c r="V218" s="10" t="str">
        <f>IF(B218="","",IF(Controls!$B$7="Normal",Controls!$B$8+Controls!$B$9*SQRT(-2*LN(B218/2147483647))*COS(2*PI()*L218/2147483647),Controls!$B$8+(Controls!$B$9-Controls!$B$8)*B218/2147483647))</f>
        <v/>
      </c>
      <c r="W218" s="10" t="str">
        <f>IF(C218="","",IF(Controls!$B$7="Normal",Controls!$B$8+Controls!$B$9*SQRT(-2*LN(C218/2147483647))*COS(2*PI()*M218/2147483647),Controls!$B$8+(Controls!$B$9-Controls!$B$8)*C218/2147483647))</f>
        <v/>
      </c>
      <c r="X218" s="10" t="str">
        <f>IF(D218="","",IF(Controls!$B$7="Normal",Controls!$B$8+Controls!$B$9*SQRT(-2*LN(D218/2147483647))*COS(2*PI()*N218/2147483647),Controls!$B$8+(Controls!$B$9-Controls!$B$8)*D218/2147483647))</f>
        <v/>
      </c>
      <c r="Y218" s="10" t="str">
        <f>IF(E218="","",IF(Controls!$B$7="Normal",Controls!$B$8+Controls!$B$9*SQRT(-2*LN(E218/2147483647))*COS(2*PI()*O218/2147483647),Controls!$B$8+(Controls!$B$9-Controls!$B$8)*E218/2147483647))</f>
        <v/>
      </c>
      <c r="Z218" s="10" t="str">
        <f>IF(F218="","",IF(Controls!$B$7="Normal",Controls!$B$8+Controls!$B$9*SQRT(-2*LN(F218/2147483647))*COS(2*PI()*P218/2147483647),Controls!$B$8+(Controls!$B$9-Controls!$B$8)*F218/2147483647))</f>
        <v/>
      </c>
      <c r="AA218" s="10" t="str">
        <f>IF(G218="","",IF(Controls!$B$7="Normal",Controls!$B$8+Controls!$B$9*SQRT(-2*LN(G218/2147483647))*COS(2*PI()*Q218/2147483647),Controls!$B$8+(Controls!$B$9-Controls!$B$8)*G218/2147483647))</f>
        <v/>
      </c>
      <c r="AB218" s="10" t="str">
        <f>IF(H218="","",IF(Controls!$B$7="Normal",Controls!$B$8+Controls!$B$9*SQRT(-2*LN(H218/2147483647))*COS(2*PI()*R218/2147483647),Controls!$B$8+(Controls!$B$9-Controls!$B$8)*H218/2147483647))</f>
        <v/>
      </c>
      <c r="AC218" s="10" t="str">
        <f>IF(I218="","",IF(Controls!$B$7="Normal",Controls!$B$8+Controls!$B$9*SQRT(-2*LN(I218/2147483647))*COS(2*PI()*S218/2147483647),Controls!$B$8+(Controls!$B$9-Controls!$B$8)*I218/2147483647))</f>
        <v/>
      </c>
      <c r="AD218" s="10" t="str">
        <f>IF(J218="","",IF(Controls!$B$7="Normal",Controls!$B$8+Controls!$B$9*SQRT(-2*LN(J218/2147483647))*COS(2*PI()*T218/2147483647),Controls!$B$8+(Controls!$B$9-Controls!$B$8)*J218/2147483647))</f>
        <v/>
      </c>
      <c r="AE218" s="10" t="str">
        <f>IF(K218="","",IF(Controls!$B$7="Normal",Controls!$B$8+Controls!$B$9*SQRT(-2*LN(K218/2147483647))*COS(2*PI()*U218/2147483647),Controls!$B$8+(Controls!$B$9-Controls!$B$8)*K218/2147483647))</f>
        <v/>
      </c>
    </row>
    <row r="219" ht="21.0" customHeight="1">
      <c r="A219" s="7" t="str">
        <f>IF(218&lt;=Controls!$B$5,Controls!$B$4+217,"")</f>
        <v/>
      </c>
      <c r="B219" s="10" t="str">
        <f>IF(OR($A219="",1&gt;Controls!$B$6),"",MOD(L218*48271,2147483647))</f>
        <v/>
      </c>
      <c r="C219" s="10" t="str">
        <f>IF(OR($A219="",2&gt;Controls!$B$6),"",MOD(M218*48271,2147483647))</f>
        <v/>
      </c>
      <c r="D219" s="10" t="str">
        <f>IF(OR($A219="",3&gt;Controls!$B$6),"",MOD(N218*48271,2147483647))</f>
        <v/>
      </c>
      <c r="E219" s="10" t="str">
        <f>IF(OR($A219="",4&gt;Controls!$B$6),"",MOD(O218*48271,2147483647))</f>
        <v/>
      </c>
      <c r="F219" s="10" t="str">
        <f>IF(OR($A219="",5&gt;Controls!$B$6),"",MOD(P218*48271,2147483647))</f>
        <v/>
      </c>
      <c r="G219" s="10" t="str">
        <f>IF(OR($A219="",6&gt;Controls!$B$6),"",MOD(Q218*48271,2147483647))</f>
        <v/>
      </c>
      <c r="H219" s="10" t="str">
        <f>IF(OR($A219="",7&gt;Controls!$B$6),"",MOD(R218*48271,2147483647))</f>
        <v/>
      </c>
      <c r="I219" s="10" t="str">
        <f>IF(OR($A219="",8&gt;Controls!$B$6),"",MOD(S218*48271,2147483647))</f>
        <v/>
      </c>
      <c r="J219" s="10" t="str">
        <f>IF(OR($A219="",9&gt;Controls!$B$6),"",MOD(T218*48271,2147483647))</f>
        <v/>
      </c>
      <c r="K219" s="10" t="str">
        <f>IF(OR($A219="",10&gt;Controls!$B$6),"",MOD(U218*48271,2147483647))</f>
        <v/>
      </c>
      <c r="L219" s="10" t="str">
        <f t="shared" ref="L219:U219" si="218">IF(B219="","",MOD(B219*48271,2147483647))</f>
        <v/>
      </c>
      <c r="M219" s="10" t="str">
        <f t="shared" si="218"/>
        <v/>
      </c>
      <c r="N219" s="10" t="str">
        <f t="shared" si="218"/>
        <v/>
      </c>
      <c r="O219" s="10" t="str">
        <f t="shared" si="218"/>
        <v/>
      </c>
      <c r="P219" s="10" t="str">
        <f t="shared" si="218"/>
        <v/>
      </c>
      <c r="Q219" s="10" t="str">
        <f t="shared" si="218"/>
        <v/>
      </c>
      <c r="R219" s="10" t="str">
        <f t="shared" si="218"/>
        <v/>
      </c>
      <c r="S219" s="10" t="str">
        <f t="shared" si="218"/>
        <v/>
      </c>
      <c r="T219" s="10" t="str">
        <f t="shared" si="218"/>
        <v/>
      </c>
      <c r="U219" s="10" t="str">
        <f t="shared" si="218"/>
        <v/>
      </c>
      <c r="V219" s="10" t="str">
        <f>IF(B219="","",IF(Controls!$B$7="Normal",Controls!$B$8+Controls!$B$9*SQRT(-2*LN(B219/2147483647))*COS(2*PI()*L219/2147483647),Controls!$B$8+(Controls!$B$9-Controls!$B$8)*B219/2147483647))</f>
        <v/>
      </c>
      <c r="W219" s="10" t="str">
        <f>IF(C219="","",IF(Controls!$B$7="Normal",Controls!$B$8+Controls!$B$9*SQRT(-2*LN(C219/2147483647))*COS(2*PI()*M219/2147483647),Controls!$B$8+(Controls!$B$9-Controls!$B$8)*C219/2147483647))</f>
        <v/>
      </c>
      <c r="X219" s="10" t="str">
        <f>IF(D219="","",IF(Controls!$B$7="Normal",Controls!$B$8+Controls!$B$9*SQRT(-2*LN(D219/2147483647))*COS(2*PI()*N219/2147483647),Controls!$B$8+(Controls!$B$9-Controls!$B$8)*D219/2147483647))</f>
        <v/>
      </c>
      <c r="Y219" s="10" t="str">
        <f>IF(E219="","",IF(Controls!$B$7="Normal",Controls!$B$8+Controls!$B$9*SQRT(-2*LN(E219/2147483647))*COS(2*PI()*O219/2147483647),Controls!$B$8+(Controls!$B$9-Controls!$B$8)*E219/2147483647))</f>
        <v/>
      </c>
      <c r="Z219" s="10" t="str">
        <f>IF(F219="","",IF(Controls!$B$7="Normal",Controls!$B$8+Controls!$B$9*SQRT(-2*LN(F219/2147483647))*COS(2*PI()*P219/2147483647),Controls!$B$8+(Controls!$B$9-Controls!$B$8)*F219/2147483647))</f>
        <v/>
      </c>
      <c r="AA219" s="10" t="str">
        <f>IF(G219="","",IF(Controls!$B$7="Normal",Controls!$B$8+Controls!$B$9*SQRT(-2*LN(G219/2147483647))*COS(2*PI()*Q219/2147483647),Controls!$B$8+(Controls!$B$9-Controls!$B$8)*G219/2147483647))</f>
        <v/>
      </c>
      <c r="AB219" s="10" t="str">
        <f>IF(H219="","",IF(Controls!$B$7="Normal",Controls!$B$8+Controls!$B$9*SQRT(-2*LN(H219/2147483647))*COS(2*PI()*R219/2147483647),Controls!$B$8+(Controls!$B$9-Controls!$B$8)*H219/2147483647))</f>
        <v/>
      </c>
      <c r="AC219" s="10" t="str">
        <f>IF(I219="","",IF(Controls!$B$7="Normal",Controls!$B$8+Controls!$B$9*SQRT(-2*LN(I219/2147483647))*COS(2*PI()*S219/2147483647),Controls!$B$8+(Controls!$B$9-Controls!$B$8)*I219/2147483647))</f>
        <v/>
      </c>
      <c r="AD219" s="10" t="str">
        <f>IF(J219="","",IF(Controls!$B$7="Normal",Controls!$B$8+Controls!$B$9*SQRT(-2*LN(J219/2147483647))*COS(2*PI()*T219/2147483647),Controls!$B$8+(Controls!$B$9-Controls!$B$8)*J219/2147483647))</f>
        <v/>
      </c>
      <c r="AE219" s="10" t="str">
        <f>IF(K219="","",IF(Controls!$B$7="Normal",Controls!$B$8+Controls!$B$9*SQRT(-2*LN(K219/2147483647))*COS(2*PI()*U219/2147483647),Controls!$B$8+(Controls!$B$9-Controls!$B$8)*K219/2147483647))</f>
        <v/>
      </c>
    </row>
    <row r="220" ht="21.0" customHeight="1">
      <c r="A220" s="7" t="str">
        <f>IF(219&lt;=Controls!$B$5,Controls!$B$4+218,"")</f>
        <v/>
      </c>
      <c r="B220" s="10" t="str">
        <f>IF(OR($A220="",1&gt;Controls!$B$6),"",MOD(L219*48271,2147483647))</f>
        <v/>
      </c>
      <c r="C220" s="10" t="str">
        <f>IF(OR($A220="",2&gt;Controls!$B$6),"",MOD(M219*48271,2147483647))</f>
        <v/>
      </c>
      <c r="D220" s="10" t="str">
        <f>IF(OR($A220="",3&gt;Controls!$B$6),"",MOD(N219*48271,2147483647))</f>
        <v/>
      </c>
      <c r="E220" s="10" t="str">
        <f>IF(OR($A220="",4&gt;Controls!$B$6),"",MOD(O219*48271,2147483647))</f>
        <v/>
      </c>
      <c r="F220" s="10" t="str">
        <f>IF(OR($A220="",5&gt;Controls!$B$6),"",MOD(P219*48271,2147483647))</f>
        <v/>
      </c>
      <c r="G220" s="10" t="str">
        <f>IF(OR($A220="",6&gt;Controls!$B$6),"",MOD(Q219*48271,2147483647))</f>
        <v/>
      </c>
      <c r="H220" s="10" t="str">
        <f>IF(OR($A220="",7&gt;Controls!$B$6),"",MOD(R219*48271,2147483647))</f>
        <v/>
      </c>
      <c r="I220" s="10" t="str">
        <f>IF(OR($A220="",8&gt;Controls!$B$6),"",MOD(S219*48271,2147483647))</f>
        <v/>
      </c>
      <c r="J220" s="10" t="str">
        <f>IF(OR($A220="",9&gt;Controls!$B$6),"",MOD(T219*48271,2147483647))</f>
        <v/>
      </c>
      <c r="K220" s="10" t="str">
        <f>IF(OR($A220="",10&gt;Controls!$B$6),"",MOD(U219*48271,2147483647))</f>
        <v/>
      </c>
      <c r="L220" s="10" t="str">
        <f t="shared" ref="L220:U220" si="219">IF(B220="","",MOD(B220*48271,2147483647))</f>
        <v/>
      </c>
      <c r="M220" s="10" t="str">
        <f t="shared" si="219"/>
        <v/>
      </c>
      <c r="N220" s="10" t="str">
        <f t="shared" si="219"/>
        <v/>
      </c>
      <c r="O220" s="10" t="str">
        <f t="shared" si="219"/>
        <v/>
      </c>
      <c r="P220" s="10" t="str">
        <f t="shared" si="219"/>
        <v/>
      </c>
      <c r="Q220" s="10" t="str">
        <f t="shared" si="219"/>
        <v/>
      </c>
      <c r="R220" s="10" t="str">
        <f t="shared" si="219"/>
        <v/>
      </c>
      <c r="S220" s="10" t="str">
        <f t="shared" si="219"/>
        <v/>
      </c>
      <c r="T220" s="10" t="str">
        <f t="shared" si="219"/>
        <v/>
      </c>
      <c r="U220" s="10" t="str">
        <f t="shared" si="219"/>
        <v/>
      </c>
      <c r="V220" s="10" t="str">
        <f>IF(B220="","",IF(Controls!$B$7="Normal",Controls!$B$8+Controls!$B$9*SQRT(-2*LN(B220/2147483647))*COS(2*PI()*L220/2147483647),Controls!$B$8+(Controls!$B$9-Controls!$B$8)*B220/2147483647))</f>
        <v/>
      </c>
      <c r="W220" s="10" t="str">
        <f>IF(C220="","",IF(Controls!$B$7="Normal",Controls!$B$8+Controls!$B$9*SQRT(-2*LN(C220/2147483647))*COS(2*PI()*M220/2147483647),Controls!$B$8+(Controls!$B$9-Controls!$B$8)*C220/2147483647))</f>
        <v/>
      </c>
      <c r="X220" s="10" t="str">
        <f>IF(D220="","",IF(Controls!$B$7="Normal",Controls!$B$8+Controls!$B$9*SQRT(-2*LN(D220/2147483647))*COS(2*PI()*N220/2147483647),Controls!$B$8+(Controls!$B$9-Controls!$B$8)*D220/2147483647))</f>
        <v/>
      </c>
      <c r="Y220" s="10" t="str">
        <f>IF(E220="","",IF(Controls!$B$7="Normal",Controls!$B$8+Controls!$B$9*SQRT(-2*LN(E220/2147483647))*COS(2*PI()*O220/2147483647),Controls!$B$8+(Controls!$B$9-Controls!$B$8)*E220/2147483647))</f>
        <v/>
      </c>
      <c r="Z220" s="10" t="str">
        <f>IF(F220="","",IF(Controls!$B$7="Normal",Controls!$B$8+Controls!$B$9*SQRT(-2*LN(F220/2147483647))*COS(2*PI()*P220/2147483647),Controls!$B$8+(Controls!$B$9-Controls!$B$8)*F220/2147483647))</f>
        <v/>
      </c>
      <c r="AA220" s="10" t="str">
        <f>IF(G220="","",IF(Controls!$B$7="Normal",Controls!$B$8+Controls!$B$9*SQRT(-2*LN(G220/2147483647))*COS(2*PI()*Q220/2147483647),Controls!$B$8+(Controls!$B$9-Controls!$B$8)*G220/2147483647))</f>
        <v/>
      </c>
      <c r="AB220" s="10" t="str">
        <f>IF(H220="","",IF(Controls!$B$7="Normal",Controls!$B$8+Controls!$B$9*SQRT(-2*LN(H220/2147483647))*COS(2*PI()*R220/2147483647),Controls!$B$8+(Controls!$B$9-Controls!$B$8)*H220/2147483647))</f>
        <v/>
      </c>
      <c r="AC220" s="10" t="str">
        <f>IF(I220="","",IF(Controls!$B$7="Normal",Controls!$B$8+Controls!$B$9*SQRT(-2*LN(I220/2147483647))*COS(2*PI()*S220/2147483647),Controls!$B$8+(Controls!$B$9-Controls!$B$8)*I220/2147483647))</f>
        <v/>
      </c>
      <c r="AD220" s="10" t="str">
        <f>IF(J220="","",IF(Controls!$B$7="Normal",Controls!$B$8+Controls!$B$9*SQRT(-2*LN(J220/2147483647))*COS(2*PI()*T220/2147483647),Controls!$B$8+(Controls!$B$9-Controls!$B$8)*J220/2147483647))</f>
        <v/>
      </c>
      <c r="AE220" s="10" t="str">
        <f>IF(K220="","",IF(Controls!$B$7="Normal",Controls!$B$8+Controls!$B$9*SQRT(-2*LN(K220/2147483647))*COS(2*PI()*U220/2147483647),Controls!$B$8+(Controls!$B$9-Controls!$B$8)*K220/2147483647))</f>
        <v/>
      </c>
    </row>
    <row r="221" ht="21.0" customHeight="1">
      <c r="A221" s="7" t="str">
        <f>IF(220&lt;=Controls!$B$5,Controls!$B$4+219,"")</f>
        <v/>
      </c>
      <c r="B221" s="10" t="str">
        <f>IF(OR($A221="",1&gt;Controls!$B$6),"",MOD(L220*48271,2147483647))</f>
        <v/>
      </c>
      <c r="C221" s="10" t="str">
        <f>IF(OR($A221="",2&gt;Controls!$B$6),"",MOD(M220*48271,2147483647))</f>
        <v/>
      </c>
      <c r="D221" s="10" t="str">
        <f>IF(OR($A221="",3&gt;Controls!$B$6),"",MOD(N220*48271,2147483647))</f>
        <v/>
      </c>
      <c r="E221" s="10" t="str">
        <f>IF(OR($A221="",4&gt;Controls!$B$6),"",MOD(O220*48271,2147483647))</f>
        <v/>
      </c>
      <c r="F221" s="10" t="str">
        <f>IF(OR($A221="",5&gt;Controls!$B$6),"",MOD(P220*48271,2147483647))</f>
        <v/>
      </c>
      <c r="G221" s="10" t="str">
        <f>IF(OR($A221="",6&gt;Controls!$B$6),"",MOD(Q220*48271,2147483647))</f>
        <v/>
      </c>
      <c r="H221" s="10" t="str">
        <f>IF(OR($A221="",7&gt;Controls!$B$6),"",MOD(R220*48271,2147483647))</f>
        <v/>
      </c>
      <c r="I221" s="10" t="str">
        <f>IF(OR($A221="",8&gt;Controls!$B$6),"",MOD(S220*48271,2147483647))</f>
        <v/>
      </c>
      <c r="J221" s="10" t="str">
        <f>IF(OR($A221="",9&gt;Controls!$B$6),"",MOD(T220*48271,2147483647))</f>
        <v/>
      </c>
      <c r="K221" s="10" t="str">
        <f>IF(OR($A221="",10&gt;Controls!$B$6),"",MOD(U220*48271,2147483647))</f>
        <v/>
      </c>
      <c r="L221" s="10" t="str">
        <f t="shared" ref="L221:U221" si="220">IF(B221="","",MOD(B221*48271,2147483647))</f>
        <v/>
      </c>
      <c r="M221" s="10" t="str">
        <f t="shared" si="220"/>
        <v/>
      </c>
      <c r="N221" s="10" t="str">
        <f t="shared" si="220"/>
        <v/>
      </c>
      <c r="O221" s="10" t="str">
        <f t="shared" si="220"/>
        <v/>
      </c>
      <c r="P221" s="10" t="str">
        <f t="shared" si="220"/>
        <v/>
      </c>
      <c r="Q221" s="10" t="str">
        <f t="shared" si="220"/>
        <v/>
      </c>
      <c r="R221" s="10" t="str">
        <f t="shared" si="220"/>
        <v/>
      </c>
      <c r="S221" s="10" t="str">
        <f t="shared" si="220"/>
        <v/>
      </c>
      <c r="T221" s="10" t="str">
        <f t="shared" si="220"/>
        <v/>
      </c>
      <c r="U221" s="10" t="str">
        <f t="shared" si="220"/>
        <v/>
      </c>
      <c r="V221" s="10" t="str">
        <f>IF(B221="","",IF(Controls!$B$7="Normal",Controls!$B$8+Controls!$B$9*SQRT(-2*LN(B221/2147483647))*COS(2*PI()*L221/2147483647),Controls!$B$8+(Controls!$B$9-Controls!$B$8)*B221/2147483647))</f>
        <v/>
      </c>
      <c r="W221" s="10" t="str">
        <f>IF(C221="","",IF(Controls!$B$7="Normal",Controls!$B$8+Controls!$B$9*SQRT(-2*LN(C221/2147483647))*COS(2*PI()*M221/2147483647),Controls!$B$8+(Controls!$B$9-Controls!$B$8)*C221/2147483647))</f>
        <v/>
      </c>
      <c r="X221" s="10" t="str">
        <f>IF(D221="","",IF(Controls!$B$7="Normal",Controls!$B$8+Controls!$B$9*SQRT(-2*LN(D221/2147483647))*COS(2*PI()*N221/2147483647),Controls!$B$8+(Controls!$B$9-Controls!$B$8)*D221/2147483647))</f>
        <v/>
      </c>
      <c r="Y221" s="10" t="str">
        <f>IF(E221="","",IF(Controls!$B$7="Normal",Controls!$B$8+Controls!$B$9*SQRT(-2*LN(E221/2147483647))*COS(2*PI()*O221/2147483647),Controls!$B$8+(Controls!$B$9-Controls!$B$8)*E221/2147483647))</f>
        <v/>
      </c>
      <c r="Z221" s="10" t="str">
        <f>IF(F221="","",IF(Controls!$B$7="Normal",Controls!$B$8+Controls!$B$9*SQRT(-2*LN(F221/2147483647))*COS(2*PI()*P221/2147483647),Controls!$B$8+(Controls!$B$9-Controls!$B$8)*F221/2147483647))</f>
        <v/>
      </c>
      <c r="AA221" s="10" t="str">
        <f>IF(G221="","",IF(Controls!$B$7="Normal",Controls!$B$8+Controls!$B$9*SQRT(-2*LN(G221/2147483647))*COS(2*PI()*Q221/2147483647),Controls!$B$8+(Controls!$B$9-Controls!$B$8)*G221/2147483647))</f>
        <v/>
      </c>
      <c r="AB221" s="10" t="str">
        <f>IF(H221="","",IF(Controls!$B$7="Normal",Controls!$B$8+Controls!$B$9*SQRT(-2*LN(H221/2147483647))*COS(2*PI()*R221/2147483647),Controls!$B$8+(Controls!$B$9-Controls!$B$8)*H221/2147483647))</f>
        <v/>
      </c>
      <c r="AC221" s="10" t="str">
        <f>IF(I221="","",IF(Controls!$B$7="Normal",Controls!$B$8+Controls!$B$9*SQRT(-2*LN(I221/2147483647))*COS(2*PI()*S221/2147483647),Controls!$B$8+(Controls!$B$9-Controls!$B$8)*I221/2147483647))</f>
        <v/>
      </c>
      <c r="AD221" s="10" t="str">
        <f>IF(J221="","",IF(Controls!$B$7="Normal",Controls!$B$8+Controls!$B$9*SQRT(-2*LN(J221/2147483647))*COS(2*PI()*T221/2147483647),Controls!$B$8+(Controls!$B$9-Controls!$B$8)*J221/2147483647))</f>
        <v/>
      </c>
      <c r="AE221" s="10" t="str">
        <f>IF(K221="","",IF(Controls!$B$7="Normal",Controls!$B$8+Controls!$B$9*SQRT(-2*LN(K221/2147483647))*COS(2*PI()*U221/2147483647),Controls!$B$8+(Controls!$B$9-Controls!$B$8)*K221/2147483647))</f>
        <v/>
      </c>
    </row>
    <row r="222" ht="21.0" customHeight="1">
      <c r="A222" s="7" t="str">
        <f>IF(221&lt;=Controls!$B$5,Controls!$B$4+220,"")</f>
        <v/>
      </c>
      <c r="B222" s="10" t="str">
        <f>IF(OR($A222="",1&gt;Controls!$B$6),"",MOD(L221*48271,2147483647))</f>
        <v/>
      </c>
      <c r="C222" s="10" t="str">
        <f>IF(OR($A222="",2&gt;Controls!$B$6),"",MOD(M221*48271,2147483647))</f>
        <v/>
      </c>
      <c r="D222" s="10" t="str">
        <f>IF(OR($A222="",3&gt;Controls!$B$6),"",MOD(N221*48271,2147483647))</f>
        <v/>
      </c>
      <c r="E222" s="10" t="str">
        <f>IF(OR($A222="",4&gt;Controls!$B$6),"",MOD(O221*48271,2147483647))</f>
        <v/>
      </c>
      <c r="F222" s="10" t="str">
        <f>IF(OR($A222="",5&gt;Controls!$B$6),"",MOD(P221*48271,2147483647))</f>
        <v/>
      </c>
      <c r="G222" s="10" t="str">
        <f>IF(OR($A222="",6&gt;Controls!$B$6),"",MOD(Q221*48271,2147483647))</f>
        <v/>
      </c>
      <c r="H222" s="10" t="str">
        <f>IF(OR($A222="",7&gt;Controls!$B$6),"",MOD(R221*48271,2147483647))</f>
        <v/>
      </c>
      <c r="I222" s="10" t="str">
        <f>IF(OR($A222="",8&gt;Controls!$B$6),"",MOD(S221*48271,2147483647))</f>
        <v/>
      </c>
      <c r="J222" s="10" t="str">
        <f>IF(OR($A222="",9&gt;Controls!$B$6),"",MOD(T221*48271,2147483647))</f>
        <v/>
      </c>
      <c r="K222" s="10" t="str">
        <f>IF(OR($A222="",10&gt;Controls!$B$6),"",MOD(U221*48271,2147483647))</f>
        <v/>
      </c>
      <c r="L222" s="10" t="str">
        <f t="shared" ref="L222:U222" si="221">IF(B222="","",MOD(B222*48271,2147483647))</f>
        <v/>
      </c>
      <c r="M222" s="10" t="str">
        <f t="shared" si="221"/>
        <v/>
      </c>
      <c r="N222" s="10" t="str">
        <f t="shared" si="221"/>
        <v/>
      </c>
      <c r="O222" s="10" t="str">
        <f t="shared" si="221"/>
        <v/>
      </c>
      <c r="P222" s="10" t="str">
        <f t="shared" si="221"/>
        <v/>
      </c>
      <c r="Q222" s="10" t="str">
        <f t="shared" si="221"/>
        <v/>
      </c>
      <c r="R222" s="10" t="str">
        <f t="shared" si="221"/>
        <v/>
      </c>
      <c r="S222" s="10" t="str">
        <f t="shared" si="221"/>
        <v/>
      </c>
      <c r="T222" s="10" t="str">
        <f t="shared" si="221"/>
        <v/>
      </c>
      <c r="U222" s="10" t="str">
        <f t="shared" si="221"/>
        <v/>
      </c>
      <c r="V222" s="10" t="str">
        <f>IF(B222="","",IF(Controls!$B$7="Normal",Controls!$B$8+Controls!$B$9*SQRT(-2*LN(B222/2147483647))*COS(2*PI()*L222/2147483647),Controls!$B$8+(Controls!$B$9-Controls!$B$8)*B222/2147483647))</f>
        <v/>
      </c>
      <c r="W222" s="10" t="str">
        <f>IF(C222="","",IF(Controls!$B$7="Normal",Controls!$B$8+Controls!$B$9*SQRT(-2*LN(C222/2147483647))*COS(2*PI()*M222/2147483647),Controls!$B$8+(Controls!$B$9-Controls!$B$8)*C222/2147483647))</f>
        <v/>
      </c>
      <c r="X222" s="10" t="str">
        <f>IF(D222="","",IF(Controls!$B$7="Normal",Controls!$B$8+Controls!$B$9*SQRT(-2*LN(D222/2147483647))*COS(2*PI()*N222/2147483647),Controls!$B$8+(Controls!$B$9-Controls!$B$8)*D222/2147483647))</f>
        <v/>
      </c>
      <c r="Y222" s="10" t="str">
        <f>IF(E222="","",IF(Controls!$B$7="Normal",Controls!$B$8+Controls!$B$9*SQRT(-2*LN(E222/2147483647))*COS(2*PI()*O222/2147483647),Controls!$B$8+(Controls!$B$9-Controls!$B$8)*E222/2147483647))</f>
        <v/>
      </c>
      <c r="Z222" s="10" t="str">
        <f>IF(F222="","",IF(Controls!$B$7="Normal",Controls!$B$8+Controls!$B$9*SQRT(-2*LN(F222/2147483647))*COS(2*PI()*P222/2147483647),Controls!$B$8+(Controls!$B$9-Controls!$B$8)*F222/2147483647))</f>
        <v/>
      </c>
      <c r="AA222" s="10" t="str">
        <f>IF(G222="","",IF(Controls!$B$7="Normal",Controls!$B$8+Controls!$B$9*SQRT(-2*LN(G222/2147483647))*COS(2*PI()*Q222/2147483647),Controls!$B$8+(Controls!$B$9-Controls!$B$8)*G222/2147483647))</f>
        <v/>
      </c>
      <c r="AB222" s="10" t="str">
        <f>IF(H222="","",IF(Controls!$B$7="Normal",Controls!$B$8+Controls!$B$9*SQRT(-2*LN(H222/2147483647))*COS(2*PI()*R222/2147483647),Controls!$B$8+(Controls!$B$9-Controls!$B$8)*H222/2147483647))</f>
        <v/>
      </c>
      <c r="AC222" s="10" t="str">
        <f>IF(I222="","",IF(Controls!$B$7="Normal",Controls!$B$8+Controls!$B$9*SQRT(-2*LN(I222/2147483647))*COS(2*PI()*S222/2147483647),Controls!$B$8+(Controls!$B$9-Controls!$B$8)*I222/2147483647))</f>
        <v/>
      </c>
      <c r="AD222" s="10" t="str">
        <f>IF(J222="","",IF(Controls!$B$7="Normal",Controls!$B$8+Controls!$B$9*SQRT(-2*LN(J222/2147483647))*COS(2*PI()*T222/2147483647),Controls!$B$8+(Controls!$B$9-Controls!$B$8)*J222/2147483647))</f>
        <v/>
      </c>
      <c r="AE222" s="10" t="str">
        <f>IF(K222="","",IF(Controls!$B$7="Normal",Controls!$B$8+Controls!$B$9*SQRT(-2*LN(K222/2147483647))*COS(2*PI()*U222/2147483647),Controls!$B$8+(Controls!$B$9-Controls!$B$8)*K222/2147483647))</f>
        <v/>
      </c>
    </row>
    <row r="223" ht="21.0" customHeight="1">
      <c r="A223" s="7" t="str">
        <f>IF(222&lt;=Controls!$B$5,Controls!$B$4+221,"")</f>
        <v/>
      </c>
      <c r="B223" s="10" t="str">
        <f>IF(OR($A223="",1&gt;Controls!$B$6),"",MOD(L222*48271,2147483647))</f>
        <v/>
      </c>
      <c r="C223" s="10" t="str">
        <f>IF(OR($A223="",2&gt;Controls!$B$6),"",MOD(M222*48271,2147483647))</f>
        <v/>
      </c>
      <c r="D223" s="10" t="str">
        <f>IF(OR($A223="",3&gt;Controls!$B$6),"",MOD(N222*48271,2147483647))</f>
        <v/>
      </c>
      <c r="E223" s="10" t="str">
        <f>IF(OR($A223="",4&gt;Controls!$B$6),"",MOD(O222*48271,2147483647))</f>
        <v/>
      </c>
      <c r="F223" s="10" t="str">
        <f>IF(OR($A223="",5&gt;Controls!$B$6),"",MOD(P222*48271,2147483647))</f>
        <v/>
      </c>
      <c r="G223" s="10" t="str">
        <f>IF(OR($A223="",6&gt;Controls!$B$6),"",MOD(Q222*48271,2147483647))</f>
        <v/>
      </c>
      <c r="H223" s="10" t="str">
        <f>IF(OR($A223="",7&gt;Controls!$B$6),"",MOD(R222*48271,2147483647))</f>
        <v/>
      </c>
      <c r="I223" s="10" t="str">
        <f>IF(OR($A223="",8&gt;Controls!$B$6),"",MOD(S222*48271,2147483647))</f>
        <v/>
      </c>
      <c r="J223" s="10" t="str">
        <f>IF(OR($A223="",9&gt;Controls!$B$6),"",MOD(T222*48271,2147483647))</f>
        <v/>
      </c>
      <c r="K223" s="10" t="str">
        <f>IF(OR($A223="",10&gt;Controls!$B$6),"",MOD(U222*48271,2147483647))</f>
        <v/>
      </c>
      <c r="L223" s="10" t="str">
        <f t="shared" ref="L223:U223" si="222">IF(B223="","",MOD(B223*48271,2147483647))</f>
        <v/>
      </c>
      <c r="M223" s="10" t="str">
        <f t="shared" si="222"/>
        <v/>
      </c>
      <c r="N223" s="10" t="str">
        <f t="shared" si="222"/>
        <v/>
      </c>
      <c r="O223" s="10" t="str">
        <f t="shared" si="222"/>
        <v/>
      </c>
      <c r="P223" s="10" t="str">
        <f t="shared" si="222"/>
        <v/>
      </c>
      <c r="Q223" s="10" t="str">
        <f t="shared" si="222"/>
        <v/>
      </c>
      <c r="R223" s="10" t="str">
        <f t="shared" si="222"/>
        <v/>
      </c>
      <c r="S223" s="10" t="str">
        <f t="shared" si="222"/>
        <v/>
      </c>
      <c r="T223" s="10" t="str">
        <f t="shared" si="222"/>
        <v/>
      </c>
      <c r="U223" s="10" t="str">
        <f t="shared" si="222"/>
        <v/>
      </c>
      <c r="V223" s="10" t="str">
        <f>IF(B223="","",IF(Controls!$B$7="Normal",Controls!$B$8+Controls!$B$9*SQRT(-2*LN(B223/2147483647))*COS(2*PI()*L223/2147483647),Controls!$B$8+(Controls!$B$9-Controls!$B$8)*B223/2147483647))</f>
        <v/>
      </c>
      <c r="W223" s="10" t="str">
        <f>IF(C223="","",IF(Controls!$B$7="Normal",Controls!$B$8+Controls!$B$9*SQRT(-2*LN(C223/2147483647))*COS(2*PI()*M223/2147483647),Controls!$B$8+(Controls!$B$9-Controls!$B$8)*C223/2147483647))</f>
        <v/>
      </c>
      <c r="X223" s="10" t="str">
        <f>IF(D223="","",IF(Controls!$B$7="Normal",Controls!$B$8+Controls!$B$9*SQRT(-2*LN(D223/2147483647))*COS(2*PI()*N223/2147483647),Controls!$B$8+(Controls!$B$9-Controls!$B$8)*D223/2147483647))</f>
        <v/>
      </c>
      <c r="Y223" s="10" t="str">
        <f>IF(E223="","",IF(Controls!$B$7="Normal",Controls!$B$8+Controls!$B$9*SQRT(-2*LN(E223/2147483647))*COS(2*PI()*O223/2147483647),Controls!$B$8+(Controls!$B$9-Controls!$B$8)*E223/2147483647))</f>
        <v/>
      </c>
      <c r="Z223" s="10" t="str">
        <f>IF(F223="","",IF(Controls!$B$7="Normal",Controls!$B$8+Controls!$B$9*SQRT(-2*LN(F223/2147483647))*COS(2*PI()*P223/2147483647),Controls!$B$8+(Controls!$B$9-Controls!$B$8)*F223/2147483647))</f>
        <v/>
      </c>
      <c r="AA223" s="10" t="str">
        <f>IF(G223="","",IF(Controls!$B$7="Normal",Controls!$B$8+Controls!$B$9*SQRT(-2*LN(G223/2147483647))*COS(2*PI()*Q223/2147483647),Controls!$B$8+(Controls!$B$9-Controls!$B$8)*G223/2147483647))</f>
        <v/>
      </c>
      <c r="AB223" s="10" t="str">
        <f>IF(H223="","",IF(Controls!$B$7="Normal",Controls!$B$8+Controls!$B$9*SQRT(-2*LN(H223/2147483647))*COS(2*PI()*R223/2147483647),Controls!$B$8+(Controls!$B$9-Controls!$B$8)*H223/2147483647))</f>
        <v/>
      </c>
      <c r="AC223" s="10" t="str">
        <f>IF(I223="","",IF(Controls!$B$7="Normal",Controls!$B$8+Controls!$B$9*SQRT(-2*LN(I223/2147483647))*COS(2*PI()*S223/2147483647),Controls!$B$8+(Controls!$B$9-Controls!$B$8)*I223/2147483647))</f>
        <v/>
      </c>
      <c r="AD223" s="10" t="str">
        <f>IF(J223="","",IF(Controls!$B$7="Normal",Controls!$B$8+Controls!$B$9*SQRT(-2*LN(J223/2147483647))*COS(2*PI()*T223/2147483647),Controls!$B$8+(Controls!$B$9-Controls!$B$8)*J223/2147483647))</f>
        <v/>
      </c>
      <c r="AE223" s="10" t="str">
        <f>IF(K223="","",IF(Controls!$B$7="Normal",Controls!$B$8+Controls!$B$9*SQRT(-2*LN(K223/2147483647))*COS(2*PI()*U223/2147483647),Controls!$B$8+(Controls!$B$9-Controls!$B$8)*K223/2147483647))</f>
        <v/>
      </c>
    </row>
    <row r="224" ht="21.0" customHeight="1">
      <c r="A224" s="7" t="str">
        <f>IF(223&lt;=Controls!$B$5,Controls!$B$4+222,"")</f>
        <v/>
      </c>
      <c r="B224" s="10" t="str">
        <f>IF(OR($A224="",1&gt;Controls!$B$6),"",MOD(L223*48271,2147483647))</f>
        <v/>
      </c>
      <c r="C224" s="10" t="str">
        <f>IF(OR($A224="",2&gt;Controls!$B$6),"",MOD(M223*48271,2147483647))</f>
        <v/>
      </c>
      <c r="D224" s="10" t="str">
        <f>IF(OR($A224="",3&gt;Controls!$B$6),"",MOD(N223*48271,2147483647))</f>
        <v/>
      </c>
      <c r="E224" s="10" t="str">
        <f>IF(OR($A224="",4&gt;Controls!$B$6),"",MOD(O223*48271,2147483647))</f>
        <v/>
      </c>
      <c r="F224" s="10" t="str">
        <f>IF(OR($A224="",5&gt;Controls!$B$6),"",MOD(P223*48271,2147483647))</f>
        <v/>
      </c>
      <c r="G224" s="10" t="str">
        <f>IF(OR($A224="",6&gt;Controls!$B$6),"",MOD(Q223*48271,2147483647))</f>
        <v/>
      </c>
      <c r="H224" s="10" t="str">
        <f>IF(OR($A224="",7&gt;Controls!$B$6),"",MOD(R223*48271,2147483647))</f>
        <v/>
      </c>
      <c r="I224" s="10" t="str">
        <f>IF(OR($A224="",8&gt;Controls!$B$6),"",MOD(S223*48271,2147483647))</f>
        <v/>
      </c>
      <c r="J224" s="10" t="str">
        <f>IF(OR($A224="",9&gt;Controls!$B$6),"",MOD(T223*48271,2147483647))</f>
        <v/>
      </c>
      <c r="K224" s="10" t="str">
        <f>IF(OR($A224="",10&gt;Controls!$B$6),"",MOD(U223*48271,2147483647))</f>
        <v/>
      </c>
      <c r="L224" s="10" t="str">
        <f t="shared" ref="L224:U224" si="223">IF(B224="","",MOD(B224*48271,2147483647))</f>
        <v/>
      </c>
      <c r="M224" s="10" t="str">
        <f t="shared" si="223"/>
        <v/>
      </c>
      <c r="N224" s="10" t="str">
        <f t="shared" si="223"/>
        <v/>
      </c>
      <c r="O224" s="10" t="str">
        <f t="shared" si="223"/>
        <v/>
      </c>
      <c r="P224" s="10" t="str">
        <f t="shared" si="223"/>
        <v/>
      </c>
      <c r="Q224" s="10" t="str">
        <f t="shared" si="223"/>
        <v/>
      </c>
      <c r="R224" s="10" t="str">
        <f t="shared" si="223"/>
        <v/>
      </c>
      <c r="S224" s="10" t="str">
        <f t="shared" si="223"/>
        <v/>
      </c>
      <c r="T224" s="10" t="str">
        <f t="shared" si="223"/>
        <v/>
      </c>
      <c r="U224" s="10" t="str">
        <f t="shared" si="223"/>
        <v/>
      </c>
      <c r="V224" s="10" t="str">
        <f>IF(B224="","",IF(Controls!$B$7="Normal",Controls!$B$8+Controls!$B$9*SQRT(-2*LN(B224/2147483647))*COS(2*PI()*L224/2147483647),Controls!$B$8+(Controls!$B$9-Controls!$B$8)*B224/2147483647))</f>
        <v/>
      </c>
      <c r="W224" s="10" t="str">
        <f>IF(C224="","",IF(Controls!$B$7="Normal",Controls!$B$8+Controls!$B$9*SQRT(-2*LN(C224/2147483647))*COS(2*PI()*M224/2147483647),Controls!$B$8+(Controls!$B$9-Controls!$B$8)*C224/2147483647))</f>
        <v/>
      </c>
      <c r="X224" s="10" t="str">
        <f>IF(D224="","",IF(Controls!$B$7="Normal",Controls!$B$8+Controls!$B$9*SQRT(-2*LN(D224/2147483647))*COS(2*PI()*N224/2147483647),Controls!$B$8+(Controls!$B$9-Controls!$B$8)*D224/2147483647))</f>
        <v/>
      </c>
      <c r="Y224" s="10" t="str">
        <f>IF(E224="","",IF(Controls!$B$7="Normal",Controls!$B$8+Controls!$B$9*SQRT(-2*LN(E224/2147483647))*COS(2*PI()*O224/2147483647),Controls!$B$8+(Controls!$B$9-Controls!$B$8)*E224/2147483647))</f>
        <v/>
      </c>
      <c r="Z224" s="10" t="str">
        <f>IF(F224="","",IF(Controls!$B$7="Normal",Controls!$B$8+Controls!$B$9*SQRT(-2*LN(F224/2147483647))*COS(2*PI()*P224/2147483647),Controls!$B$8+(Controls!$B$9-Controls!$B$8)*F224/2147483647))</f>
        <v/>
      </c>
      <c r="AA224" s="10" t="str">
        <f>IF(G224="","",IF(Controls!$B$7="Normal",Controls!$B$8+Controls!$B$9*SQRT(-2*LN(G224/2147483647))*COS(2*PI()*Q224/2147483647),Controls!$B$8+(Controls!$B$9-Controls!$B$8)*G224/2147483647))</f>
        <v/>
      </c>
      <c r="AB224" s="10" t="str">
        <f>IF(H224="","",IF(Controls!$B$7="Normal",Controls!$B$8+Controls!$B$9*SQRT(-2*LN(H224/2147483647))*COS(2*PI()*R224/2147483647),Controls!$B$8+(Controls!$B$9-Controls!$B$8)*H224/2147483647))</f>
        <v/>
      </c>
      <c r="AC224" s="10" t="str">
        <f>IF(I224="","",IF(Controls!$B$7="Normal",Controls!$B$8+Controls!$B$9*SQRT(-2*LN(I224/2147483647))*COS(2*PI()*S224/2147483647),Controls!$B$8+(Controls!$B$9-Controls!$B$8)*I224/2147483647))</f>
        <v/>
      </c>
      <c r="AD224" s="10" t="str">
        <f>IF(J224="","",IF(Controls!$B$7="Normal",Controls!$B$8+Controls!$B$9*SQRT(-2*LN(J224/2147483647))*COS(2*PI()*T224/2147483647),Controls!$B$8+(Controls!$B$9-Controls!$B$8)*J224/2147483647))</f>
        <v/>
      </c>
      <c r="AE224" s="10" t="str">
        <f>IF(K224="","",IF(Controls!$B$7="Normal",Controls!$B$8+Controls!$B$9*SQRT(-2*LN(K224/2147483647))*COS(2*PI()*U224/2147483647),Controls!$B$8+(Controls!$B$9-Controls!$B$8)*K224/2147483647))</f>
        <v/>
      </c>
    </row>
    <row r="225" ht="21.0" customHeight="1">
      <c r="A225" s="7" t="str">
        <f>IF(224&lt;=Controls!$B$5,Controls!$B$4+223,"")</f>
        <v/>
      </c>
      <c r="B225" s="10" t="str">
        <f>IF(OR($A225="",1&gt;Controls!$B$6),"",MOD(L224*48271,2147483647))</f>
        <v/>
      </c>
      <c r="C225" s="10" t="str">
        <f>IF(OR($A225="",2&gt;Controls!$B$6),"",MOD(M224*48271,2147483647))</f>
        <v/>
      </c>
      <c r="D225" s="10" t="str">
        <f>IF(OR($A225="",3&gt;Controls!$B$6),"",MOD(N224*48271,2147483647))</f>
        <v/>
      </c>
      <c r="E225" s="10" t="str">
        <f>IF(OR($A225="",4&gt;Controls!$B$6),"",MOD(O224*48271,2147483647))</f>
        <v/>
      </c>
      <c r="F225" s="10" t="str">
        <f>IF(OR($A225="",5&gt;Controls!$B$6),"",MOD(P224*48271,2147483647))</f>
        <v/>
      </c>
      <c r="G225" s="10" t="str">
        <f>IF(OR($A225="",6&gt;Controls!$B$6),"",MOD(Q224*48271,2147483647))</f>
        <v/>
      </c>
      <c r="H225" s="10" t="str">
        <f>IF(OR($A225="",7&gt;Controls!$B$6),"",MOD(R224*48271,2147483647))</f>
        <v/>
      </c>
      <c r="I225" s="10" t="str">
        <f>IF(OR($A225="",8&gt;Controls!$B$6),"",MOD(S224*48271,2147483647))</f>
        <v/>
      </c>
      <c r="J225" s="10" t="str">
        <f>IF(OR($A225="",9&gt;Controls!$B$6),"",MOD(T224*48271,2147483647))</f>
        <v/>
      </c>
      <c r="K225" s="10" t="str">
        <f>IF(OR($A225="",10&gt;Controls!$B$6),"",MOD(U224*48271,2147483647))</f>
        <v/>
      </c>
      <c r="L225" s="10" t="str">
        <f t="shared" ref="L225:U225" si="224">IF(B225="","",MOD(B225*48271,2147483647))</f>
        <v/>
      </c>
      <c r="M225" s="10" t="str">
        <f t="shared" si="224"/>
        <v/>
      </c>
      <c r="N225" s="10" t="str">
        <f t="shared" si="224"/>
        <v/>
      </c>
      <c r="O225" s="10" t="str">
        <f t="shared" si="224"/>
        <v/>
      </c>
      <c r="P225" s="10" t="str">
        <f t="shared" si="224"/>
        <v/>
      </c>
      <c r="Q225" s="10" t="str">
        <f t="shared" si="224"/>
        <v/>
      </c>
      <c r="R225" s="10" t="str">
        <f t="shared" si="224"/>
        <v/>
      </c>
      <c r="S225" s="10" t="str">
        <f t="shared" si="224"/>
        <v/>
      </c>
      <c r="T225" s="10" t="str">
        <f t="shared" si="224"/>
        <v/>
      </c>
      <c r="U225" s="10" t="str">
        <f t="shared" si="224"/>
        <v/>
      </c>
      <c r="V225" s="10" t="str">
        <f>IF(B225="","",IF(Controls!$B$7="Normal",Controls!$B$8+Controls!$B$9*SQRT(-2*LN(B225/2147483647))*COS(2*PI()*L225/2147483647),Controls!$B$8+(Controls!$B$9-Controls!$B$8)*B225/2147483647))</f>
        <v/>
      </c>
      <c r="W225" s="10" t="str">
        <f>IF(C225="","",IF(Controls!$B$7="Normal",Controls!$B$8+Controls!$B$9*SQRT(-2*LN(C225/2147483647))*COS(2*PI()*M225/2147483647),Controls!$B$8+(Controls!$B$9-Controls!$B$8)*C225/2147483647))</f>
        <v/>
      </c>
      <c r="X225" s="10" t="str">
        <f>IF(D225="","",IF(Controls!$B$7="Normal",Controls!$B$8+Controls!$B$9*SQRT(-2*LN(D225/2147483647))*COS(2*PI()*N225/2147483647),Controls!$B$8+(Controls!$B$9-Controls!$B$8)*D225/2147483647))</f>
        <v/>
      </c>
      <c r="Y225" s="10" t="str">
        <f>IF(E225="","",IF(Controls!$B$7="Normal",Controls!$B$8+Controls!$B$9*SQRT(-2*LN(E225/2147483647))*COS(2*PI()*O225/2147483647),Controls!$B$8+(Controls!$B$9-Controls!$B$8)*E225/2147483647))</f>
        <v/>
      </c>
      <c r="Z225" s="10" t="str">
        <f>IF(F225="","",IF(Controls!$B$7="Normal",Controls!$B$8+Controls!$B$9*SQRT(-2*LN(F225/2147483647))*COS(2*PI()*P225/2147483647),Controls!$B$8+(Controls!$B$9-Controls!$B$8)*F225/2147483647))</f>
        <v/>
      </c>
      <c r="AA225" s="10" t="str">
        <f>IF(G225="","",IF(Controls!$B$7="Normal",Controls!$B$8+Controls!$B$9*SQRT(-2*LN(G225/2147483647))*COS(2*PI()*Q225/2147483647),Controls!$B$8+(Controls!$B$9-Controls!$B$8)*G225/2147483647))</f>
        <v/>
      </c>
      <c r="AB225" s="10" t="str">
        <f>IF(H225="","",IF(Controls!$B$7="Normal",Controls!$B$8+Controls!$B$9*SQRT(-2*LN(H225/2147483647))*COS(2*PI()*R225/2147483647),Controls!$B$8+(Controls!$B$9-Controls!$B$8)*H225/2147483647))</f>
        <v/>
      </c>
      <c r="AC225" s="10" t="str">
        <f>IF(I225="","",IF(Controls!$B$7="Normal",Controls!$B$8+Controls!$B$9*SQRT(-2*LN(I225/2147483647))*COS(2*PI()*S225/2147483647),Controls!$B$8+(Controls!$B$9-Controls!$B$8)*I225/2147483647))</f>
        <v/>
      </c>
      <c r="AD225" s="10" t="str">
        <f>IF(J225="","",IF(Controls!$B$7="Normal",Controls!$B$8+Controls!$B$9*SQRT(-2*LN(J225/2147483647))*COS(2*PI()*T225/2147483647),Controls!$B$8+(Controls!$B$9-Controls!$B$8)*J225/2147483647))</f>
        <v/>
      </c>
      <c r="AE225" s="10" t="str">
        <f>IF(K225="","",IF(Controls!$B$7="Normal",Controls!$B$8+Controls!$B$9*SQRT(-2*LN(K225/2147483647))*COS(2*PI()*U225/2147483647),Controls!$B$8+(Controls!$B$9-Controls!$B$8)*K225/2147483647))</f>
        <v/>
      </c>
    </row>
    <row r="226" ht="21.0" customHeight="1">
      <c r="A226" s="7" t="str">
        <f>IF(225&lt;=Controls!$B$5,Controls!$B$4+224,"")</f>
        <v/>
      </c>
      <c r="B226" s="10" t="str">
        <f>IF(OR($A226="",1&gt;Controls!$B$6),"",MOD(L225*48271,2147483647))</f>
        <v/>
      </c>
      <c r="C226" s="10" t="str">
        <f>IF(OR($A226="",2&gt;Controls!$B$6),"",MOD(M225*48271,2147483647))</f>
        <v/>
      </c>
      <c r="D226" s="10" t="str">
        <f>IF(OR($A226="",3&gt;Controls!$B$6),"",MOD(N225*48271,2147483647))</f>
        <v/>
      </c>
      <c r="E226" s="10" t="str">
        <f>IF(OR($A226="",4&gt;Controls!$B$6),"",MOD(O225*48271,2147483647))</f>
        <v/>
      </c>
      <c r="F226" s="10" t="str">
        <f>IF(OR($A226="",5&gt;Controls!$B$6),"",MOD(P225*48271,2147483647))</f>
        <v/>
      </c>
      <c r="G226" s="10" t="str">
        <f>IF(OR($A226="",6&gt;Controls!$B$6),"",MOD(Q225*48271,2147483647))</f>
        <v/>
      </c>
      <c r="H226" s="10" t="str">
        <f>IF(OR($A226="",7&gt;Controls!$B$6),"",MOD(R225*48271,2147483647))</f>
        <v/>
      </c>
      <c r="I226" s="10" t="str">
        <f>IF(OR($A226="",8&gt;Controls!$B$6),"",MOD(S225*48271,2147483647))</f>
        <v/>
      </c>
      <c r="J226" s="10" t="str">
        <f>IF(OR($A226="",9&gt;Controls!$B$6),"",MOD(T225*48271,2147483647))</f>
        <v/>
      </c>
      <c r="K226" s="10" t="str">
        <f>IF(OR($A226="",10&gt;Controls!$B$6),"",MOD(U225*48271,2147483647))</f>
        <v/>
      </c>
      <c r="L226" s="10" t="str">
        <f t="shared" ref="L226:U226" si="225">IF(B226="","",MOD(B226*48271,2147483647))</f>
        <v/>
      </c>
      <c r="M226" s="10" t="str">
        <f t="shared" si="225"/>
        <v/>
      </c>
      <c r="N226" s="10" t="str">
        <f t="shared" si="225"/>
        <v/>
      </c>
      <c r="O226" s="10" t="str">
        <f t="shared" si="225"/>
        <v/>
      </c>
      <c r="P226" s="10" t="str">
        <f t="shared" si="225"/>
        <v/>
      </c>
      <c r="Q226" s="10" t="str">
        <f t="shared" si="225"/>
        <v/>
      </c>
      <c r="R226" s="10" t="str">
        <f t="shared" si="225"/>
        <v/>
      </c>
      <c r="S226" s="10" t="str">
        <f t="shared" si="225"/>
        <v/>
      </c>
      <c r="T226" s="10" t="str">
        <f t="shared" si="225"/>
        <v/>
      </c>
      <c r="U226" s="10" t="str">
        <f t="shared" si="225"/>
        <v/>
      </c>
      <c r="V226" s="10" t="str">
        <f>IF(B226="","",IF(Controls!$B$7="Normal",Controls!$B$8+Controls!$B$9*SQRT(-2*LN(B226/2147483647))*COS(2*PI()*L226/2147483647),Controls!$B$8+(Controls!$B$9-Controls!$B$8)*B226/2147483647))</f>
        <v/>
      </c>
      <c r="W226" s="10" t="str">
        <f>IF(C226="","",IF(Controls!$B$7="Normal",Controls!$B$8+Controls!$B$9*SQRT(-2*LN(C226/2147483647))*COS(2*PI()*M226/2147483647),Controls!$B$8+(Controls!$B$9-Controls!$B$8)*C226/2147483647))</f>
        <v/>
      </c>
      <c r="X226" s="10" t="str">
        <f>IF(D226="","",IF(Controls!$B$7="Normal",Controls!$B$8+Controls!$B$9*SQRT(-2*LN(D226/2147483647))*COS(2*PI()*N226/2147483647),Controls!$B$8+(Controls!$B$9-Controls!$B$8)*D226/2147483647))</f>
        <v/>
      </c>
      <c r="Y226" s="10" t="str">
        <f>IF(E226="","",IF(Controls!$B$7="Normal",Controls!$B$8+Controls!$B$9*SQRT(-2*LN(E226/2147483647))*COS(2*PI()*O226/2147483647),Controls!$B$8+(Controls!$B$9-Controls!$B$8)*E226/2147483647))</f>
        <v/>
      </c>
      <c r="Z226" s="10" t="str">
        <f>IF(F226="","",IF(Controls!$B$7="Normal",Controls!$B$8+Controls!$B$9*SQRT(-2*LN(F226/2147483647))*COS(2*PI()*P226/2147483647),Controls!$B$8+(Controls!$B$9-Controls!$B$8)*F226/2147483647))</f>
        <v/>
      </c>
      <c r="AA226" s="10" t="str">
        <f>IF(G226="","",IF(Controls!$B$7="Normal",Controls!$B$8+Controls!$B$9*SQRT(-2*LN(G226/2147483647))*COS(2*PI()*Q226/2147483647),Controls!$B$8+(Controls!$B$9-Controls!$B$8)*G226/2147483647))</f>
        <v/>
      </c>
      <c r="AB226" s="10" t="str">
        <f>IF(H226="","",IF(Controls!$B$7="Normal",Controls!$B$8+Controls!$B$9*SQRT(-2*LN(H226/2147483647))*COS(2*PI()*R226/2147483647),Controls!$B$8+(Controls!$B$9-Controls!$B$8)*H226/2147483647))</f>
        <v/>
      </c>
      <c r="AC226" s="10" t="str">
        <f>IF(I226="","",IF(Controls!$B$7="Normal",Controls!$B$8+Controls!$B$9*SQRT(-2*LN(I226/2147483647))*COS(2*PI()*S226/2147483647),Controls!$B$8+(Controls!$B$9-Controls!$B$8)*I226/2147483647))</f>
        <v/>
      </c>
      <c r="AD226" s="10" t="str">
        <f>IF(J226="","",IF(Controls!$B$7="Normal",Controls!$B$8+Controls!$B$9*SQRT(-2*LN(J226/2147483647))*COS(2*PI()*T226/2147483647),Controls!$B$8+(Controls!$B$9-Controls!$B$8)*J226/2147483647))</f>
        <v/>
      </c>
      <c r="AE226" s="10" t="str">
        <f>IF(K226="","",IF(Controls!$B$7="Normal",Controls!$B$8+Controls!$B$9*SQRT(-2*LN(K226/2147483647))*COS(2*PI()*U226/2147483647),Controls!$B$8+(Controls!$B$9-Controls!$B$8)*K226/2147483647))</f>
        <v/>
      </c>
    </row>
    <row r="227" ht="21.0" customHeight="1">
      <c r="A227" s="7" t="str">
        <f>IF(226&lt;=Controls!$B$5,Controls!$B$4+225,"")</f>
        <v/>
      </c>
      <c r="B227" s="10" t="str">
        <f>IF(OR($A227="",1&gt;Controls!$B$6),"",MOD(L226*48271,2147483647))</f>
        <v/>
      </c>
      <c r="C227" s="10" t="str">
        <f>IF(OR($A227="",2&gt;Controls!$B$6),"",MOD(M226*48271,2147483647))</f>
        <v/>
      </c>
      <c r="D227" s="10" t="str">
        <f>IF(OR($A227="",3&gt;Controls!$B$6),"",MOD(N226*48271,2147483647))</f>
        <v/>
      </c>
      <c r="E227" s="10" t="str">
        <f>IF(OR($A227="",4&gt;Controls!$B$6),"",MOD(O226*48271,2147483647))</f>
        <v/>
      </c>
      <c r="F227" s="10" t="str">
        <f>IF(OR($A227="",5&gt;Controls!$B$6),"",MOD(P226*48271,2147483647))</f>
        <v/>
      </c>
      <c r="G227" s="10" t="str">
        <f>IF(OR($A227="",6&gt;Controls!$B$6),"",MOD(Q226*48271,2147483647))</f>
        <v/>
      </c>
      <c r="H227" s="10" t="str">
        <f>IF(OR($A227="",7&gt;Controls!$B$6),"",MOD(R226*48271,2147483647))</f>
        <v/>
      </c>
      <c r="I227" s="10" t="str">
        <f>IF(OR($A227="",8&gt;Controls!$B$6),"",MOD(S226*48271,2147483647))</f>
        <v/>
      </c>
      <c r="J227" s="10" t="str">
        <f>IF(OR($A227="",9&gt;Controls!$B$6),"",MOD(T226*48271,2147483647))</f>
        <v/>
      </c>
      <c r="K227" s="10" t="str">
        <f>IF(OR($A227="",10&gt;Controls!$B$6),"",MOD(U226*48271,2147483647))</f>
        <v/>
      </c>
      <c r="L227" s="10" t="str">
        <f t="shared" ref="L227:U227" si="226">IF(B227="","",MOD(B227*48271,2147483647))</f>
        <v/>
      </c>
      <c r="M227" s="10" t="str">
        <f t="shared" si="226"/>
        <v/>
      </c>
      <c r="N227" s="10" t="str">
        <f t="shared" si="226"/>
        <v/>
      </c>
      <c r="O227" s="10" t="str">
        <f t="shared" si="226"/>
        <v/>
      </c>
      <c r="P227" s="10" t="str">
        <f t="shared" si="226"/>
        <v/>
      </c>
      <c r="Q227" s="10" t="str">
        <f t="shared" si="226"/>
        <v/>
      </c>
      <c r="R227" s="10" t="str">
        <f t="shared" si="226"/>
        <v/>
      </c>
      <c r="S227" s="10" t="str">
        <f t="shared" si="226"/>
        <v/>
      </c>
      <c r="T227" s="10" t="str">
        <f t="shared" si="226"/>
        <v/>
      </c>
      <c r="U227" s="10" t="str">
        <f t="shared" si="226"/>
        <v/>
      </c>
      <c r="V227" s="10" t="str">
        <f>IF(B227="","",IF(Controls!$B$7="Normal",Controls!$B$8+Controls!$B$9*SQRT(-2*LN(B227/2147483647))*COS(2*PI()*L227/2147483647),Controls!$B$8+(Controls!$B$9-Controls!$B$8)*B227/2147483647))</f>
        <v/>
      </c>
      <c r="W227" s="10" t="str">
        <f>IF(C227="","",IF(Controls!$B$7="Normal",Controls!$B$8+Controls!$B$9*SQRT(-2*LN(C227/2147483647))*COS(2*PI()*M227/2147483647),Controls!$B$8+(Controls!$B$9-Controls!$B$8)*C227/2147483647))</f>
        <v/>
      </c>
      <c r="X227" s="10" t="str">
        <f>IF(D227="","",IF(Controls!$B$7="Normal",Controls!$B$8+Controls!$B$9*SQRT(-2*LN(D227/2147483647))*COS(2*PI()*N227/2147483647),Controls!$B$8+(Controls!$B$9-Controls!$B$8)*D227/2147483647))</f>
        <v/>
      </c>
      <c r="Y227" s="10" t="str">
        <f>IF(E227="","",IF(Controls!$B$7="Normal",Controls!$B$8+Controls!$B$9*SQRT(-2*LN(E227/2147483647))*COS(2*PI()*O227/2147483647),Controls!$B$8+(Controls!$B$9-Controls!$B$8)*E227/2147483647))</f>
        <v/>
      </c>
      <c r="Z227" s="10" t="str">
        <f>IF(F227="","",IF(Controls!$B$7="Normal",Controls!$B$8+Controls!$B$9*SQRT(-2*LN(F227/2147483647))*COS(2*PI()*P227/2147483647),Controls!$B$8+(Controls!$B$9-Controls!$B$8)*F227/2147483647))</f>
        <v/>
      </c>
      <c r="AA227" s="10" t="str">
        <f>IF(G227="","",IF(Controls!$B$7="Normal",Controls!$B$8+Controls!$B$9*SQRT(-2*LN(G227/2147483647))*COS(2*PI()*Q227/2147483647),Controls!$B$8+(Controls!$B$9-Controls!$B$8)*G227/2147483647))</f>
        <v/>
      </c>
      <c r="AB227" s="10" t="str">
        <f>IF(H227="","",IF(Controls!$B$7="Normal",Controls!$B$8+Controls!$B$9*SQRT(-2*LN(H227/2147483647))*COS(2*PI()*R227/2147483647),Controls!$B$8+(Controls!$B$9-Controls!$B$8)*H227/2147483647))</f>
        <v/>
      </c>
      <c r="AC227" s="10" t="str">
        <f>IF(I227="","",IF(Controls!$B$7="Normal",Controls!$B$8+Controls!$B$9*SQRT(-2*LN(I227/2147483647))*COS(2*PI()*S227/2147483647),Controls!$B$8+(Controls!$B$9-Controls!$B$8)*I227/2147483647))</f>
        <v/>
      </c>
      <c r="AD227" s="10" t="str">
        <f>IF(J227="","",IF(Controls!$B$7="Normal",Controls!$B$8+Controls!$B$9*SQRT(-2*LN(J227/2147483647))*COS(2*PI()*T227/2147483647),Controls!$B$8+(Controls!$B$9-Controls!$B$8)*J227/2147483647))</f>
        <v/>
      </c>
      <c r="AE227" s="10" t="str">
        <f>IF(K227="","",IF(Controls!$B$7="Normal",Controls!$B$8+Controls!$B$9*SQRT(-2*LN(K227/2147483647))*COS(2*PI()*U227/2147483647),Controls!$B$8+(Controls!$B$9-Controls!$B$8)*K227/2147483647))</f>
        <v/>
      </c>
    </row>
    <row r="228" ht="21.0" customHeight="1">
      <c r="A228" s="7" t="str">
        <f>IF(227&lt;=Controls!$B$5,Controls!$B$4+226,"")</f>
        <v/>
      </c>
      <c r="B228" s="10" t="str">
        <f>IF(OR($A228="",1&gt;Controls!$B$6),"",MOD(L227*48271,2147483647))</f>
        <v/>
      </c>
      <c r="C228" s="10" t="str">
        <f>IF(OR($A228="",2&gt;Controls!$B$6),"",MOD(M227*48271,2147483647))</f>
        <v/>
      </c>
      <c r="D228" s="10" t="str">
        <f>IF(OR($A228="",3&gt;Controls!$B$6),"",MOD(N227*48271,2147483647))</f>
        <v/>
      </c>
      <c r="E228" s="10" t="str">
        <f>IF(OR($A228="",4&gt;Controls!$B$6),"",MOD(O227*48271,2147483647))</f>
        <v/>
      </c>
      <c r="F228" s="10" t="str">
        <f>IF(OR($A228="",5&gt;Controls!$B$6),"",MOD(P227*48271,2147483647))</f>
        <v/>
      </c>
      <c r="G228" s="10" t="str">
        <f>IF(OR($A228="",6&gt;Controls!$B$6),"",MOD(Q227*48271,2147483647))</f>
        <v/>
      </c>
      <c r="H228" s="10" t="str">
        <f>IF(OR($A228="",7&gt;Controls!$B$6),"",MOD(R227*48271,2147483647))</f>
        <v/>
      </c>
      <c r="I228" s="10" t="str">
        <f>IF(OR($A228="",8&gt;Controls!$B$6),"",MOD(S227*48271,2147483647))</f>
        <v/>
      </c>
      <c r="J228" s="10" t="str">
        <f>IF(OR($A228="",9&gt;Controls!$B$6),"",MOD(T227*48271,2147483647))</f>
        <v/>
      </c>
      <c r="K228" s="10" t="str">
        <f>IF(OR($A228="",10&gt;Controls!$B$6),"",MOD(U227*48271,2147483647))</f>
        <v/>
      </c>
      <c r="L228" s="10" t="str">
        <f t="shared" ref="L228:U228" si="227">IF(B228="","",MOD(B228*48271,2147483647))</f>
        <v/>
      </c>
      <c r="M228" s="10" t="str">
        <f t="shared" si="227"/>
        <v/>
      </c>
      <c r="N228" s="10" t="str">
        <f t="shared" si="227"/>
        <v/>
      </c>
      <c r="O228" s="10" t="str">
        <f t="shared" si="227"/>
        <v/>
      </c>
      <c r="P228" s="10" t="str">
        <f t="shared" si="227"/>
        <v/>
      </c>
      <c r="Q228" s="10" t="str">
        <f t="shared" si="227"/>
        <v/>
      </c>
      <c r="R228" s="10" t="str">
        <f t="shared" si="227"/>
        <v/>
      </c>
      <c r="S228" s="10" t="str">
        <f t="shared" si="227"/>
        <v/>
      </c>
      <c r="T228" s="10" t="str">
        <f t="shared" si="227"/>
        <v/>
      </c>
      <c r="U228" s="10" t="str">
        <f t="shared" si="227"/>
        <v/>
      </c>
      <c r="V228" s="10" t="str">
        <f>IF(B228="","",IF(Controls!$B$7="Normal",Controls!$B$8+Controls!$B$9*SQRT(-2*LN(B228/2147483647))*COS(2*PI()*L228/2147483647),Controls!$B$8+(Controls!$B$9-Controls!$B$8)*B228/2147483647))</f>
        <v/>
      </c>
      <c r="W228" s="10" t="str">
        <f>IF(C228="","",IF(Controls!$B$7="Normal",Controls!$B$8+Controls!$B$9*SQRT(-2*LN(C228/2147483647))*COS(2*PI()*M228/2147483647),Controls!$B$8+(Controls!$B$9-Controls!$B$8)*C228/2147483647))</f>
        <v/>
      </c>
      <c r="X228" s="10" t="str">
        <f>IF(D228="","",IF(Controls!$B$7="Normal",Controls!$B$8+Controls!$B$9*SQRT(-2*LN(D228/2147483647))*COS(2*PI()*N228/2147483647),Controls!$B$8+(Controls!$B$9-Controls!$B$8)*D228/2147483647))</f>
        <v/>
      </c>
      <c r="Y228" s="10" t="str">
        <f>IF(E228="","",IF(Controls!$B$7="Normal",Controls!$B$8+Controls!$B$9*SQRT(-2*LN(E228/2147483647))*COS(2*PI()*O228/2147483647),Controls!$B$8+(Controls!$B$9-Controls!$B$8)*E228/2147483647))</f>
        <v/>
      </c>
      <c r="Z228" s="10" t="str">
        <f>IF(F228="","",IF(Controls!$B$7="Normal",Controls!$B$8+Controls!$B$9*SQRT(-2*LN(F228/2147483647))*COS(2*PI()*P228/2147483647),Controls!$B$8+(Controls!$B$9-Controls!$B$8)*F228/2147483647))</f>
        <v/>
      </c>
      <c r="AA228" s="10" t="str">
        <f>IF(G228="","",IF(Controls!$B$7="Normal",Controls!$B$8+Controls!$B$9*SQRT(-2*LN(G228/2147483647))*COS(2*PI()*Q228/2147483647),Controls!$B$8+(Controls!$B$9-Controls!$B$8)*G228/2147483647))</f>
        <v/>
      </c>
      <c r="AB228" s="10" t="str">
        <f>IF(H228="","",IF(Controls!$B$7="Normal",Controls!$B$8+Controls!$B$9*SQRT(-2*LN(H228/2147483647))*COS(2*PI()*R228/2147483647),Controls!$B$8+(Controls!$B$9-Controls!$B$8)*H228/2147483647))</f>
        <v/>
      </c>
      <c r="AC228" s="10" t="str">
        <f>IF(I228="","",IF(Controls!$B$7="Normal",Controls!$B$8+Controls!$B$9*SQRT(-2*LN(I228/2147483647))*COS(2*PI()*S228/2147483647),Controls!$B$8+(Controls!$B$9-Controls!$B$8)*I228/2147483647))</f>
        <v/>
      </c>
      <c r="AD228" s="10" t="str">
        <f>IF(J228="","",IF(Controls!$B$7="Normal",Controls!$B$8+Controls!$B$9*SQRT(-2*LN(J228/2147483647))*COS(2*PI()*T228/2147483647),Controls!$B$8+(Controls!$B$9-Controls!$B$8)*J228/2147483647))</f>
        <v/>
      </c>
      <c r="AE228" s="10" t="str">
        <f>IF(K228="","",IF(Controls!$B$7="Normal",Controls!$B$8+Controls!$B$9*SQRT(-2*LN(K228/2147483647))*COS(2*PI()*U228/2147483647),Controls!$B$8+(Controls!$B$9-Controls!$B$8)*K228/2147483647))</f>
        <v/>
      </c>
    </row>
    <row r="229" ht="21.0" customHeight="1">
      <c r="A229" s="7" t="str">
        <f>IF(228&lt;=Controls!$B$5,Controls!$B$4+227,"")</f>
        <v/>
      </c>
      <c r="B229" s="10" t="str">
        <f>IF(OR($A229="",1&gt;Controls!$B$6),"",MOD(L228*48271,2147483647))</f>
        <v/>
      </c>
      <c r="C229" s="10" t="str">
        <f>IF(OR($A229="",2&gt;Controls!$B$6),"",MOD(M228*48271,2147483647))</f>
        <v/>
      </c>
      <c r="D229" s="10" t="str">
        <f>IF(OR($A229="",3&gt;Controls!$B$6),"",MOD(N228*48271,2147483647))</f>
        <v/>
      </c>
      <c r="E229" s="10" t="str">
        <f>IF(OR($A229="",4&gt;Controls!$B$6),"",MOD(O228*48271,2147483647))</f>
        <v/>
      </c>
      <c r="F229" s="10" t="str">
        <f>IF(OR($A229="",5&gt;Controls!$B$6),"",MOD(P228*48271,2147483647))</f>
        <v/>
      </c>
      <c r="G229" s="10" t="str">
        <f>IF(OR($A229="",6&gt;Controls!$B$6),"",MOD(Q228*48271,2147483647))</f>
        <v/>
      </c>
      <c r="H229" s="10" t="str">
        <f>IF(OR($A229="",7&gt;Controls!$B$6),"",MOD(R228*48271,2147483647))</f>
        <v/>
      </c>
      <c r="I229" s="10" t="str">
        <f>IF(OR($A229="",8&gt;Controls!$B$6),"",MOD(S228*48271,2147483647))</f>
        <v/>
      </c>
      <c r="J229" s="10" t="str">
        <f>IF(OR($A229="",9&gt;Controls!$B$6),"",MOD(T228*48271,2147483647))</f>
        <v/>
      </c>
      <c r="K229" s="10" t="str">
        <f>IF(OR($A229="",10&gt;Controls!$B$6),"",MOD(U228*48271,2147483647))</f>
        <v/>
      </c>
      <c r="L229" s="10" t="str">
        <f t="shared" ref="L229:U229" si="228">IF(B229="","",MOD(B229*48271,2147483647))</f>
        <v/>
      </c>
      <c r="M229" s="10" t="str">
        <f t="shared" si="228"/>
        <v/>
      </c>
      <c r="N229" s="10" t="str">
        <f t="shared" si="228"/>
        <v/>
      </c>
      <c r="O229" s="10" t="str">
        <f t="shared" si="228"/>
        <v/>
      </c>
      <c r="P229" s="10" t="str">
        <f t="shared" si="228"/>
        <v/>
      </c>
      <c r="Q229" s="10" t="str">
        <f t="shared" si="228"/>
        <v/>
      </c>
      <c r="R229" s="10" t="str">
        <f t="shared" si="228"/>
        <v/>
      </c>
      <c r="S229" s="10" t="str">
        <f t="shared" si="228"/>
        <v/>
      </c>
      <c r="T229" s="10" t="str">
        <f t="shared" si="228"/>
        <v/>
      </c>
      <c r="U229" s="10" t="str">
        <f t="shared" si="228"/>
        <v/>
      </c>
      <c r="V229" s="10" t="str">
        <f>IF(B229="","",IF(Controls!$B$7="Normal",Controls!$B$8+Controls!$B$9*SQRT(-2*LN(B229/2147483647))*COS(2*PI()*L229/2147483647),Controls!$B$8+(Controls!$B$9-Controls!$B$8)*B229/2147483647))</f>
        <v/>
      </c>
      <c r="W229" s="10" t="str">
        <f>IF(C229="","",IF(Controls!$B$7="Normal",Controls!$B$8+Controls!$B$9*SQRT(-2*LN(C229/2147483647))*COS(2*PI()*M229/2147483647),Controls!$B$8+(Controls!$B$9-Controls!$B$8)*C229/2147483647))</f>
        <v/>
      </c>
      <c r="X229" s="10" t="str">
        <f>IF(D229="","",IF(Controls!$B$7="Normal",Controls!$B$8+Controls!$B$9*SQRT(-2*LN(D229/2147483647))*COS(2*PI()*N229/2147483647),Controls!$B$8+(Controls!$B$9-Controls!$B$8)*D229/2147483647))</f>
        <v/>
      </c>
      <c r="Y229" s="10" t="str">
        <f>IF(E229="","",IF(Controls!$B$7="Normal",Controls!$B$8+Controls!$B$9*SQRT(-2*LN(E229/2147483647))*COS(2*PI()*O229/2147483647),Controls!$B$8+(Controls!$B$9-Controls!$B$8)*E229/2147483647))</f>
        <v/>
      </c>
      <c r="Z229" s="10" t="str">
        <f>IF(F229="","",IF(Controls!$B$7="Normal",Controls!$B$8+Controls!$B$9*SQRT(-2*LN(F229/2147483647))*COS(2*PI()*P229/2147483647),Controls!$B$8+(Controls!$B$9-Controls!$B$8)*F229/2147483647))</f>
        <v/>
      </c>
      <c r="AA229" s="10" t="str">
        <f>IF(G229="","",IF(Controls!$B$7="Normal",Controls!$B$8+Controls!$B$9*SQRT(-2*LN(G229/2147483647))*COS(2*PI()*Q229/2147483647),Controls!$B$8+(Controls!$B$9-Controls!$B$8)*G229/2147483647))</f>
        <v/>
      </c>
      <c r="AB229" s="10" t="str">
        <f>IF(H229="","",IF(Controls!$B$7="Normal",Controls!$B$8+Controls!$B$9*SQRT(-2*LN(H229/2147483647))*COS(2*PI()*R229/2147483647),Controls!$B$8+(Controls!$B$9-Controls!$B$8)*H229/2147483647))</f>
        <v/>
      </c>
      <c r="AC229" s="10" t="str">
        <f>IF(I229="","",IF(Controls!$B$7="Normal",Controls!$B$8+Controls!$B$9*SQRT(-2*LN(I229/2147483647))*COS(2*PI()*S229/2147483647),Controls!$B$8+(Controls!$B$9-Controls!$B$8)*I229/2147483647))</f>
        <v/>
      </c>
      <c r="AD229" s="10" t="str">
        <f>IF(J229="","",IF(Controls!$B$7="Normal",Controls!$B$8+Controls!$B$9*SQRT(-2*LN(J229/2147483647))*COS(2*PI()*T229/2147483647),Controls!$B$8+(Controls!$B$9-Controls!$B$8)*J229/2147483647))</f>
        <v/>
      </c>
      <c r="AE229" s="10" t="str">
        <f>IF(K229="","",IF(Controls!$B$7="Normal",Controls!$B$8+Controls!$B$9*SQRT(-2*LN(K229/2147483647))*COS(2*PI()*U229/2147483647),Controls!$B$8+(Controls!$B$9-Controls!$B$8)*K229/2147483647))</f>
        <v/>
      </c>
    </row>
    <row r="230" ht="21.0" customHeight="1">
      <c r="A230" s="7" t="str">
        <f>IF(229&lt;=Controls!$B$5,Controls!$B$4+228,"")</f>
        <v/>
      </c>
      <c r="B230" s="10" t="str">
        <f>IF(OR($A230="",1&gt;Controls!$B$6),"",MOD(L229*48271,2147483647))</f>
        <v/>
      </c>
      <c r="C230" s="10" t="str">
        <f>IF(OR($A230="",2&gt;Controls!$B$6),"",MOD(M229*48271,2147483647))</f>
        <v/>
      </c>
      <c r="D230" s="10" t="str">
        <f>IF(OR($A230="",3&gt;Controls!$B$6),"",MOD(N229*48271,2147483647))</f>
        <v/>
      </c>
      <c r="E230" s="10" t="str">
        <f>IF(OR($A230="",4&gt;Controls!$B$6),"",MOD(O229*48271,2147483647))</f>
        <v/>
      </c>
      <c r="F230" s="10" t="str">
        <f>IF(OR($A230="",5&gt;Controls!$B$6),"",MOD(P229*48271,2147483647))</f>
        <v/>
      </c>
      <c r="G230" s="10" t="str">
        <f>IF(OR($A230="",6&gt;Controls!$B$6),"",MOD(Q229*48271,2147483647))</f>
        <v/>
      </c>
      <c r="H230" s="10" t="str">
        <f>IF(OR($A230="",7&gt;Controls!$B$6),"",MOD(R229*48271,2147483647))</f>
        <v/>
      </c>
      <c r="I230" s="10" t="str">
        <f>IF(OR($A230="",8&gt;Controls!$B$6),"",MOD(S229*48271,2147483647))</f>
        <v/>
      </c>
      <c r="J230" s="10" t="str">
        <f>IF(OR($A230="",9&gt;Controls!$B$6),"",MOD(T229*48271,2147483647))</f>
        <v/>
      </c>
      <c r="K230" s="10" t="str">
        <f>IF(OR($A230="",10&gt;Controls!$B$6),"",MOD(U229*48271,2147483647))</f>
        <v/>
      </c>
      <c r="L230" s="10" t="str">
        <f t="shared" ref="L230:U230" si="229">IF(B230="","",MOD(B230*48271,2147483647))</f>
        <v/>
      </c>
      <c r="M230" s="10" t="str">
        <f t="shared" si="229"/>
        <v/>
      </c>
      <c r="N230" s="10" t="str">
        <f t="shared" si="229"/>
        <v/>
      </c>
      <c r="O230" s="10" t="str">
        <f t="shared" si="229"/>
        <v/>
      </c>
      <c r="P230" s="10" t="str">
        <f t="shared" si="229"/>
        <v/>
      </c>
      <c r="Q230" s="10" t="str">
        <f t="shared" si="229"/>
        <v/>
      </c>
      <c r="R230" s="10" t="str">
        <f t="shared" si="229"/>
        <v/>
      </c>
      <c r="S230" s="10" t="str">
        <f t="shared" si="229"/>
        <v/>
      </c>
      <c r="T230" s="10" t="str">
        <f t="shared" si="229"/>
        <v/>
      </c>
      <c r="U230" s="10" t="str">
        <f t="shared" si="229"/>
        <v/>
      </c>
      <c r="V230" s="10" t="str">
        <f>IF(B230="","",IF(Controls!$B$7="Normal",Controls!$B$8+Controls!$B$9*SQRT(-2*LN(B230/2147483647))*COS(2*PI()*L230/2147483647),Controls!$B$8+(Controls!$B$9-Controls!$B$8)*B230/2147483647))</f>
        <v/>
      </c>
      <c r="W230" s="10" t="str">
        <f>IF(C230="","",IF(Controls!$B$7="Normal",Controls!$B$8+Controls!$B$9*SQRT(-2*LN(C230/2147483647))*COS(2*PI()*M230/2147483647),Controls!$B$8+(Controls!$B$9-Controls!$B$8)*C230/2147483647))</f>
        <v/>
      </c>
      <c r="X230" s="10" t="str">
        <f>IF(D230="","",IF(Controls!$B$7="Normal",Controls!$B$8+Controls!$B$9*SQRT(-2*LN(D230/2147483647))*COS(2*PI()*N230/2147483647),Controls!$B$8+(Controls!$B$9-Controls!$B$8)*D230/2147483647))</f>
        <v/>
      </c>
      <c r="Y230" s="10" t="str">
        <f>IF(E230="","",IF(Controls!$B$7="Normal",Controls!$B$8+Controls!$B$9*SQRT(-2*LN(E230/2147483647))*COS(2*PI()*O230/2147483647),Controls!$B$8+(Controls!$B$9-Controls!$B$8)*E230/2147483647))</f>
        <v/>
      </c>
      <c r="Z230" s="10" t="str">
        <f>IF(F230="","",IF(Controls!$B$7="Normal",Controls!$B$8+Controls!$B$9*SQRT(-2*LN(F230/2147483647))*COS(2*PI()*P230/2147483647),Controls!$B$8+(Controls!$B$9-Controls!$B$8)*F230/2147483647))</f>
        <v/>
      </c>
      <c r="AA230" s="10" t="str">
        <f>IF(G230="","",IF(Controls!$B$7="Normal",Controls!$B$8+Controls!$B$9*SQRT(-2*LN(G230/2147483647))*COS(2*PI()*Q230/2147483647),Controls!$B$8+(Controls!$B$9-Controls!$B$8)*G230/2147483647))</f>
        <v/>
      </c>
      <c r="AB230" s="10" t="str">
        <f>IF(H230="","",IF(Controls!$B$7="Normal",Controls!$B$8+Controls!$B$9*SQRT(-2*LN(H230/2147483647))*COS(2*PI()*R230/2147483647),Controls!$B$8+(Controls!$B$9-Controls!$B$8)*H230/2147483647))</f>
        <v/>
      </c>
      <c r="AC230" s="10" t="str">
        <f>IF(I230="","",IF(Controls!$B$7="Normal",Controls!$B$8+Controls!$B$9*SQRT(-2*LN(I230/2147483647))*COS(2*PI()*S230/2147483647),Controls!$B$8+(Controls!$B$9-Controls!$B$8)*I230/2147483647))</f>
        <v/>
      </c>
      <c r="AD230" s="10" t="str">
        <f>IF(J230="","",IF(Controls!$B$7="Normal",Controls!$B$8+Controls!$B$9*SQRT(-2*LN(J230/2147483647))*COS(2*PI()*T230/2147483647),Controls!$B$8+(Controls!$B$9-Controls!$B$8)*J230/2147483647))</f>
        <v/>
      </c>
      <c r="AE230" s="10" t="str">
        <f>IF(K230="","",IF(Controls!$B$7="Normal",Controls!$B$8+Controls!$B$9*SQRT(-2*LN(K230/2147483647))*COS(2*PI()*U230/2147483647),Controls!$B$8+(Controls!$B$9-Controls!$B$8)*K230/2147483647))</f>
        <v/>
      </c>
    </row>
    <row r="231" ht="21.0" customHeight="1">
      <c r="A231" s="7" t="str">
        <f>IF(230&lt;=Controls!$B$5,Controls!$B$4+229,"")</f>
        <v/>
      </c>
      <c r="B231" s="10" t="str">
        <f>IF(OR($A231="",1&gt;Controls!$B$6),"",MOD(L230*48271,2147483647))</f>
        <v/>
      </c>
      <c r="C231" s="10" t="str">
        <f>IF(OR($A231="",2&gt;Controls!$B$6),"",MOD(M230*48271,2147483647))</f>
        <v/>
      </c>
      <c r="D231" s="10" t="str">
        <f>IF(OR($A231="",3&gt;Controls!$B$6),"",MOD(N230*48271,2147483647))</f>
        <v/>
      </c>
      <c r="E231" s="10" t="str">
        <f>IF(OR($A231="",4&gt;Controls!$B$6),"",MOD(O230*48271,2147483647))</f>
        <v/>
      </c>
      <c r="F231" s="10" t="str">
        <f>IF(OR($A231="",5&gt;Controls!$B$6),"",MOD(P230*48271,2147483647))</f>
        <v/>
      </c>
      <c r="G231" s="10" t="str">
        <f>IF(OR($A231="",6&gt;Controls!$B$6),"",MOD(Q230*48271,2147483647))</f>
        <v/>
      </c>
      <c r="H231" s="10" t="str">
        <f>IF(OR($A231="",7&gt;Controls!$B$6),"",MOD(R230*48271,2147483647))</f>
        <v/>
      </c>
      <c r="I231" s="10" t="str">
        <f>IF(OR($A231="",8&gt;Controls!$B$6),"",MOD(S230*48271,2147483647))</f>
        <v/>
      </c>
      <c r="J231" s="10" t="str">
        <f>IF(OR($A231="",9&gt;Controls!$B$6),"",MOD(T230*48271,2147483647))</f>
        <v/>
      </c>
      <c r="K231" s="10" t="str">
        <f>IF(OR($A231="",10&gt;Controls!$B$6),"",MOD(U230*48271,2147483647))</f>
        <v/>
      </c>
      <c r="L231" s="10" t="str">
        <f t="shared" ref="L231:U231" si="230">IF(B231="","",MOD(B231*48271,2147483647))</f>
        <v/>
      </c>
      <c r="M231" s="10" t="str">
        <f t="shared" si="230"/>
        <v/>
      </c>
      <c r="N231" s="10" t="str">
        <f t="shared" si="230"/>
        <v/>
      </c>
      <c r="O231" s="10" t="str">
        <f t="shared" si="230"/>
        <v/>
      </c>
      <c r="P231" s="10" t="str">
        <f t="shared" si="230"/>
        <v/>
      </c>
      <c r="Q231" s="10" t="str">
        <f t="shared" si="230"/>
        <v/>
      </c>
      <c r="R231" s="10" t="str">
        <f t="shared" si="230"/>
        <v/>
      </c>
      <c r="S231" s="10" t="str">
        <f t="shared" si="230"/>
        <v/>
      </c>
      <c r="T231" s="10" t="str">
        <f t="shared" si="230"/>
        <v/>
      </c>
      <c r="U231" s="10" t="str">
        <f t="shared" si="230"/>
        <v/>
      </c>
      <c r="V231" s="10" t="str">
        <f>IF(B231="","",IF(Controls!$B$7="Normal",Controls!$B$8+Controls!$B$9*SQRT(-2*LN(B231/2147483647))*COS(2*PI()*L231/2147483647),Controls!$B$8+(Controls!$B$9-Controls!$B$8)*B231/2147483647))</f>
        <v/>
      </c>
      <c r="W231" s="10" t="str">
        <f>IF(C231="","",IF(Controls!$B$7="Normal",Controls!$B$8+Controls!$B$9*SQRT(-2*LN(C231/2147483647))*COS(2*PI()*M231/2147483647),Controls!$B$8+(Controls!$B$9-Controls!$B$8)*C231/2147483647))</f>
        <v/>
      </c>
      <c r="X231" s="10" t="str">
        <f>IF(D231="","",IF(Controls!$B$7="Normal",Controls!$B$8+Controls!$B$9*SQRT(-2*LN(D231/2147483647))*COS(2*PI()*N231/2147483647),Controls!$B$8+(Controls!$B$9-Controls!$B$8)*D231/2147483647))</f>
        <v/>
      </c>
      <c r="Y231" s="10" t="str">
        <f>IF(E231="","",IF(Controls!$B$7="Normal",Controls!$B$8+Controls!$B$9*SQRT(-2*LN(E231/2147483647))*COS(2*PI()*O231/2147483647),Controls!$B$8+(Controls!$B$9-Controls!$B$8)*E231/2147483647))</f>
        <v/>
      </c>
      <c r="Z231" s="10" t="str">
        <f>IF(F231="","",IF(Controls!$B$7="Normal",Controls!$B$8+Controls!$B$9*SQRT(-2*LN(F231/2147483647))*COS(2*PI()*P231/2147483647),Controls!$B$8+(Controls!$B$9-Controls!$B$8)*F231/2147483647))</f>
        <v/>
      </c>
      <c r="AA231" s="10" t="str">
        <f>IF(G231="","",IF(Controls!$B$7="Normal",Controls!$B$8+Controls!$B$9*SQRT(-2*LN(G231/2147483647))*COS(2*PI()*Q231/2147483647),Controls!$B$8+(Controls!$B$9-Controls!$B$8)*G231/2147483647))</f>
        <v/>
      </c>
      <c r="AB231" s="10" t="str">
        <f>IF(H231="","",IF(Controls!$B$7="Normal",Controls!$B$8+Controls!$B$9*SQRT(-2*LN(H231/2147483647))*COS(2*PI()*R231/2147483647),Controls!$B$8+(Controls!$B$9-Controls!$B$8)*H231/2147483647))</f>
        <v/>
      </c>
      <c r="AC231" s="10" t="str">
        <f>IF(I231="","",IF(Controls!$B$7="Normal",Controls!$B$8+Controls!$B$9*SQRT(-2*LN(I231/2147483647))*COS(2*PI()*S231/2147483647),Controls!$B$8+(Controls!$B$9-Controls!$B$8)*I231/2147483647))</f>
        <v/>
      </c>
      <c r="AD231" s="10" t="str">
        <f>IF(J231="","",IF(Controls!$B$7="Normal",Controls!$B$8+Controls!$B$9*SQRT(-2*LN(J231/2147483647))*COS(2*PI()*T231/2147483647),Controls!$B$8+(Controls!$B$9-Controls!$B$8)*J231/2147483647))</f>
        <v/>
      </c>
      <c r="AE231" s="10" t="str">
        <f>IF(K231="","",IF(Controls!$B$7="Normal",Controls!$B$8+Controls!$B$9*SQRT(-2*LN(K231/2147483647))*COS(2*PI()*U231/2147483647),Controls!$B$8+(Controls!$B$9-Controls!$B$8)*K231/2147483647))</f>
        <v/>
      </c>
    </row>
    <row r="232" ht="21.0" customHeight="1">
      <c r="A232" s="7" t="str">
        <f>IF(231&lt;=Controls!$B$5,Controls!$B$4+230,"")</f>
        <v/>
      </c>
      <c r="B232" s="10" t="str">
        <f>IF(OR($A232="",1&gt;Controls!$B$6),"",MOD(L231*48271,2147483647))</f>
        <v/>
      </c>
      <c r="C232" s="10" t="str">
        <f>IF(OR($A232="",2&gt;Controls!$B$6),"",MOD(M231*48271,2147483647))</f>
        <v/>
      </c>
      <c r="D232" s="10" t="str">
        <f>IF(OR($A232="",3&gt;Controls!$B$6),"",MOD(N231*48271,2147483647))</f>
        <v/>
      </c>
      <c r="E232" s="10" t="str">
        <f>IF(OR($A232="",4&gt;Controls!$B$6),"",MOD(O231*48271,2147483647))</f>
        <v/>
      </c>
      <c r="F232" s="10" t="str">
        <f>IF(OR($A232="",5&gt;Controls!$B$6),"",MOD(P231*48271,2147483647))</f>
        <v/>
      </c>
      <c r="G232" s="10" t="str">
        <f>IF(OR($A232="",6&gt;Controls!$B$6),"",MOD(Q231*48271,2147483647))</f>
        <v/>
      </c>
      <c r="H232" s="10" t="str">
        <f>IF(OR($A232="",7&gt;Controls!$B$6),"",MOD(R231*48271,2147483647))</f>
        <v/>
      </c>
      <c r="I232" s="10" t="str">
        <f>IF(OR($A232="",8&gt;Controls!$B$6),"",MOD(S231*48271,2147483647))</f>
        <v/>
      </c>
      <c r="J232" s="10" t="str">
        <f>IF(OR($A232="",9&gt;Controls!$B$6),"",MOD(T231*48271,2147483647))</f>
        <v/>
      </c>
      <c r="K232" s="10" t="str">
        <f>IF(OR($A232="",10&gt;Controls!$B$6),"",MOD(U231*48271,2147483647))</f>
        <v/>
      </c>
      <c r="L232" s="10" t="str">
        <f t="shared" ref="L232:U232" si="231">IF(B232="","",MOD(B232*48271,2147483647))</f>
        <v/>
      </c>
      <c r="M232" s="10" t="str">
        <f t="shared" si="231"/>
        <v/>
      </c>
      <c r="N232" s="10" t="str">
        <f t="shared" si="231"/>
        <v/>
      </c>
      <c r="O232" s="10" t="str">
        <f t="shared" si="231"/>
        <v/>
      </c>
      <c r="P232" s="10" t="str">
        <f t="shared" si="231"/>
        <v/>
      </c>
      <c r="Q232" s="10" t="str">
        <f t="shared" si="231"/>
        <v/>
      </c>
      <c r="R232" s="10" t="str">
        <f t="shared" si="231"/>
        <v/>
      </c>
      <c r="S232" s="10" t="str">
        <f t="shared" si="231"/>
        <v/>
      </c>
      <c r="T232" s="10" t="str">
        <f t="shared" si="231"/>
        <v/>
      </c>
      <c r="U232" s="10" t="str">
        <f t="shared" si="231"/>
        <v/>
      </c>
      <c r="V232" s="10" t="str">
        <f>IF(B232="","",IF(Controls!$B$7="Normal",Controls!$B$8+Controls!$B$9*SQRT(-2*LN(B232/2147483647))*COS(2*PI()*L232/2147483647),Controls!$B$8+(Controls!$B$9-Controls!$B$8)*B232/2147483647))</f>
        <v/>
      </c>
      <c r="W232" s="10" t="str">
        <f>IF(C232="","",IF(Controls!$B$7="Normal",Controls!$B$8+Controls!$B$9*SQRT(-2*LN(C232/2147483647))*COS(2*PI()*M232/2147483647),Controls!$B$8+(Controls!$B$9-Controls!$B$8)*C232/2147483647))</f>
        <v/>
      </c>
      <c r="X232" s="10" t="str">
        <f>IF(D232="","",IF(Controls!$B$7="Normal",Controls!$B$8+Controls!$B$9*SQRT(-2*LN(D232/2147483647))*COS(2*PI()*N232/2147483647),Controls!$B$8+(Controls!$B$9-Controls!$B$8)*D232/2147483647))</f>
        <v/>
      </c>
      <c r="Y232" s="10" t="str">
        <f>IF(E232="","",IF(Controls!$B$7="Normal",Controls!$B$8+Controls!$B$9*SQRT(-2*LN(E232/2147483647))*COS(2*PI()*O232/2147483647),Controls!$B$8+(Controls!$B$9-Controls!$B$8)*E232/2147483647))</f>
        <v/>
      </c>
      <c r="Z232" s="10" t="str">
        <f>IF(F232="","",IF(Controls!$B$7="Normal",Controls!$B$8+Controls!$B$9*SQRT(-2*LN(F232/2147483647))*COS(2*PI()*P232/2147483647),Controls!$B$8+(Controls!$B$9-Controls!$B$8)*F232/2147483647))</f>
        <v/>
      </c>
      <c r="AA232" s="10" t="str">
        <f>IF(G232="","",IF(Controls!$B$7="Normal",Controls!$B$8+Controls!$B$9*SQRT(-2*LN(G232/2147483647))*COS(2*PI()*Q232/2147483647),Controls!$B$8+(Controls!$B$9-Controls!$B$8)*G232/2147483647))</f>
        <v/>
      </c>
      <c r="AB232" s="10" t="str">
        <f>IF(H232="","",IF(Controls!$B$7="Normal",Controls!$B$8+Controls!$B$9*SQRT(-2*LN(H232/2147483647))*COS(2*PI()*R232/2147483647),Controls!$B$8+(Controls!$B$9-Controls!$B$8)*H232/2147483647))</f>
        <v/>
      </c>
      <c r="AC232" s="10" t="str">
        <f>IF(I232="","",IF(Controls!$B$7="Normal",Controls!$B$8+Controls!$B$9*SQRT(-2*LN(I232/2147483647))*COS(2*PI()*S232/2147483647),Controls!$B$8+(Controls!$B$9-Controls!$B$8)*I232/2147483647))</f>
        <v/>
      </c>
      <c r="AD232" s="10" t="str">
        <f>IF(J232="","",IF(Controls!$B$7="Normal",Controls!$B$8+Controls!$B$9*SQRT(-2*LN(J232/2147483647))*COS(2*PI()*T232/2147483647),Controls!$B$8+(Controls!$B$9-Controls!$B$8)*J232/2147483647))</f>
        <v/>
      </c>
      <c r="AE232" s="10" t="str">
        <f>IF(K232="","",IF(Controls!$B$7="Normal",Controls!$B$8+Controls!$B$9*SQRT(-2*LN(K232/2147483647))*COS(2*PI()*U232/2147483647),Controls!$B$8+(Controls!$B$9-Controls!$B$8)*K232/2147483647))</f>
        <v/>
      </c>
    </row>
    <row r="233" ht="21.0" customHeight="1">
      <c r="A233" s="7" t="str">
        <f>IF(232&lt;=Controls!$B$5,Controls!$B$4+231,"")</f>
        <v/>
      </c>
      <c r="B233" s="10" t="str">
        <f>IF(OR($A233="",1&gt;Controls!$B$6),"",MOD(L232*48271,2147483647))</f>
        <v/>
      </c>
      <c r="C233" s="10" t="str">
        <f>IF(OR($A233="",2&gt;Controls!$B$6),"",MOD(M232*48271,2147483647))</f>
        <v/>
      </c>
      <c r="D233" s="10" t="str">
        <f>IF(OR($A233="",3&gt;Controls!$B$6),"",MOD(N232*48271,2147483647))</f>
        <v/>
      </c>
      <c r="E233" s="10" t="str">
        <f>IF(OR($A233="",4&gt;Controls!$B$6),"",MOD(O232*48271,2147483647))</f>
        <v/>
      </c>
      <c r="F233" s="10" t="str">
        <f>IF(OR($A233="",5&gt;Controls!$B$6),"",MOD(P232*48271,2147483647))</f>
        <v/>
      </c>
      <c r="G233" s="10" t="str">
        <f>IF(OR($A233="",6&gt;Controls!$B$6),"",MOD(Q232*48271,2147483647))</f>
        <v/>
      </c>
      <c r="H233" s="10" t="str">
        <f>IF(OR($A233="",7&gt;Controls!$B$6),"",MOD(R232*48271,2147483647))</f>
        <v/>
      </c>
      <c r="I233" s="10" t="str">
        <f>IF(OR($A233="",8&gt;Controls!$B$6),"",MOD(S232*48271,2147483647))</f>
        <v/>
      </c>
      <c r="J233" s="10" t="str">
        <f>IF(OR($A233="",9&gt;Controls!$B$6),"",MOD(T232*48271,2147483647))</f>
        <v/>
      </c>
      <c r="K233" s="10" t="str">
        <f>IF(OR($A233="",10&gt;Controls!$B$6),"",MOD(U232*48271,2147483647))</f>
        <v/>
      </c>
      <c r="L233" s="10" t="str">
        <f t="shared" ref="L233:U233" si="232">IF(B233="","",MOD(B233*48271,2147483647))</f>
        <v/>
      </c>
      <c r="M233" s="10" t="str">
        <f t="shared" si="232"/>
        <v/>
      </c>
      <c r="N233" s="10" t="str">
        <f t="shared" si="232"/>
        <v/>
      </c>
      <c r="O233" s="10" t="str">
        <f t="shared" si="232"/>
        <v/>
      </c>
      <c r="P233" s="10" t="str">
        <f t="shared" si="232"/>
        <v/>
      </c>
      <c r="Q233" s="10" t="str">
        <f t="shared" si="232"/>
        <v/>
      </c>
      <c r="R233" s="10" t="str">
        <f t="shared" si="232"/>
        <v/>
      </c>
      <c r="S233" s="10" t="str">
        <f t="shared" si="232"/>
        <v/>
      </c>
      <c r="T233" s="10" t="str">
        <f t="shared" si="232"/>
        <v/>
      </c>
      <c r="U233" s="10" t="str">
        <f t="shared" si="232"/>
        <v/>
      </c>
      <c r="V233" s="10" t="str">
        <f>IF(B233="","",IF(Controls!$B$7="Normal",Controls!$B$8+Controls!$B$9*SQRT(-2*LN(B233/2147483647))*COS(2*PI()*L233/2147483647),Controls!$B$8+(Controls!$B$9-Controls!$B$8)*B233/2147483647))</f>
        <v/>
      </c>
      <c r="W233" s="10" t="str">
        <f>IF(C233="","",IF(Controls!$B$7="Normal",Controls!$B$8+Controls!$B$9*SQRT(-2*LN(C233/2147483647))*COS(2*PI()*M233/2147483647),Controls!$B$8+(Controls!$B$9-Controls!$B$8)*C233/2147483647))</f>
        <v/>
      </c>
      <c r="X233" s="10" t="str">
        <f>IF(D233="","",IF(Controls!$B$7="Normal",Controls!$B$8+Controls!$B$9*SQRT(-2*LN(D233/2147483647))*COS(2*PI()*N233/2147483647),Controls!$B$8+(Controls!$B$9-Controls!$B$8)*D233/2147483647))</f>
        <v/>
      </c>
      <c r="Y233" s="10" t="str">
        <f>IF(E233="","",IF(Controls!$B$7="Normal",Controls!$B$8+Controls!$B$9*SQRT(-2*LN(E233/2147483647))*COS(2*PI()*O233/2147483647),Controls!$B$8+(Controls!$B$9-Controls!$B$8)*E233/2147483647))</f>
        <v/>
      </c>
      <c r="Z233" s="10" t="str">
        <f>IF(F233="","",IF(Controls!$B$7="Normal",Controls!$B$8+Controls!$B$9*SQRT(-2*LN(F233/2147483647))*COS(2*PI()*P233/2147483647),Controls!$B$8+(Controls!$B$9-Controls!$B$8)*F233/2147483647))</f>
        <v/>
      </c>
      <c r="AA233" s="10" t="str">
        <f>IF(G233="","",IF(Controls!$B$7="Normal",Controls!$B$8+Controls!$B$9*SQRT(-2*LN(G233/2147483647))*COS(2*PI()*Q233/2147483647),Controls!$B$8+(Controls!$B$9-Controls!$B$8)*G233/2147483647))</f>
        <v/>
      </c>
      <c r="AB233" s="10" t="str">
        <f>IF(H233="","",IF(Controls!$B$7="Normal",Controls!$B$8+Controls!$B$9*SQRT(-2*LN(H233/2147483647))*COS(2*PI()*R233/2147483647),Controls!$B$8+(Controls!$B$9-Controls!$B$8)*H233/2147483647))</f>
        <v/>
      </c>
      <c r="AC233" s="10" t="str">
        <f>IF(I233="","",IF(Controls!$B$7="Normal",Controls!$B$8+Controls!$B$9*SQRT(-2*LN(I233/2147483647))*COS(2*PI()*S233/2147483647),Controls!$B$8+(Controls!$B$9-Controls!$B$8)*I233/2147483647))</f>
        <v/>
      </c>
      <c r="AD233" s="10" t="str">
        <f>IF(J233="","",IF(Controls!$B$7="Normal",Controls!$B$8+Controls!$B$9*SQRT(-2*LN(J233/2147483647))*COS(2*PI()*T233/2147483647),Controls!$B$8+(Controls!$B$9-Controls!$B$8)*J233/2147483647))</f>
        <v/>
      </c>
      <c r="AE233" s="10" t="str">
        <f>IF(K233="","",IF(Controls!$B$7="Normal",Controls!$B$8+Controls!$B$9*SQRT(-2*LN(K233/2147483647))*COS(2*PI()*U233/2147483647),Controls!$B$8+(Controls!$B$9-Controls!$B$8)*K233/2147483647))</f>
        <v/>
      </c>
    </row>
    <row r="234" ht="21.0" customHeight="1">
      <c r="A234" s="7" t="str">
        <f>IF(233&lt;=Controls!$B$5,Controls!$B$4+232,"")</f>
        <v/>
      </c>
      <c r="B234" s="10" t="str">
        <f>IF(OR($A234="",1&gt;Controls!$B$6),"",MOD(L233*48271,2147483647))</f>
        <v/>
      </c>
      <c r="C234" s="10" t="str">
        <f>IF(OR($A234="",2&gt;Controls!$B$6),"",MOD(M233*48271,2147483647))</f>
        <v/>
      </c>
      <c r="D234" s="10" t="str">
        <f>IF(OR($A234="",3&gt;Controls!$B$6),"",MOD(N233*48271,2147483647))</f>
        <v/>
      </c>
      <c r="E234" s="10" t="str">
        <f>IF(OR($A234="",4&gt;Controls!$B$6),"",MOD(O233*48271,2147483647))</f>
        <v/>
      </c>
      <c r="F234" s="10" t="str">
        <f>IF(OR($A234="",5&gt;Controls!$B$6),"",MOD(P233*48271,2147483647))</f>
        <v/>
      </c>
      <c r="G234" s="10" t="str">
        <f>IF(OR($A234="",6&gt;Controls!$B$6),"",MOD(Q233*48271,2147483647))</f>
        <v/>
      </c>
      <c r="H234" s="10" t="str">
        <f>IF(OR($A234="",7&gt;Controls!$B$6),"",MOD(R233*48271,2147483647))</f>
        <v/>
      </c>
      <c r="I234" s="10" t="str">
        <f>IF(OR($A234="",8&gt;Controls!$B$6),"",MOD(S233*48271,2147483647))</f>
        <v/>
      </c>
      <c r="J234" s="10" t="str">
        <f>IF(OR($A234="",9&gt;Controls!$B$6),"",MOD(T233*48271,2147483647))</f>
        <v/>
      </c>
      <c r="K234" s="10" t="str">
        <f>IF(OR($A234="",10&gt;Controls!$B$6),"",MOD(U233*48271,2147483647))</f>
        <v/>
      </c>
      <c r="L234" s="10" t="str">
        <f t="shared" ref="L234:U234" si="233">IF(B234="","",MOD(B234*48271,2147483647))</f>
        <v/>
      </c>
      <c r="M234" s="10" t="str">
        <f t="shared" si="233"/>
        <v/>
      </c>
      <c r="N234" s="10" t="str">
        <f t="shared" si="233"/>
        <v/>
      </c>
      <c r="O234" s="10" t="str">
        <f t="shared" si="233"/>
        <v/>
      </c>
      <c r="P234" s="10" t="str">
        <f t="shared" si="233"/>
        <v/>
      </c>
      <c r="Q234" s="10" t="str">
        <f t="shared" si="233"/>
        <v/>
      </c>
      <c r="R234" s="10" t="str">
        <f t="shared" si="233"/>
        <v/>
      </c>
      <c r="S234" s="10" t="str">
        <f t="shared" si="233"/>
        <v/>
      </c>
      <c r="T234" s="10" t="str">
        <f t="shared" si="233"/>
        <v/>
      </c>
      <c r="U234" s="10" t="str">
        <f t="shared" si="233"/>
        <v/>
      </c>
      <c r="V234" s="10" t="str">
        <f>IF(B234="","",IF(Controls!$B$7="Normal",Controls!$B$8+Controls!$B$9*SQRT(-2*LN(B234/2147483647))*COS(2*PI()*L234/2147483647),Controls!$B$8+(Controls!$B$9-Controls!$B$8)*B234/2147483647))</f>
        <v/>
      </c>
      <c r="W234" s="10" t="str">
        <f>IF(C234="","",IF(Controls!$B$7="Normal",Controls!$B$8+Controls!$B$9*SQRT(-2*LN(C234/2147483647))*COS(2*PI()*M234/2147483647),Controls!$B$8+(Controls!$B$9-Controls!$B$8)*C234/2147483647))</f>
        <v/>
      </c>
      <c r="X234" s="10" t="str">
        <f>IF(D234="","",IF(Controls!$B$7="Normal",Controls!$B$8+Controls!$B$9*SQRT(-2*LN(D234/2147483647))*COS(2*PI()*N234/2147483647),Controls!$B$8+(Controls!$B$9-Controls!$B$8)*D234/2147483647))</f>
        <v/>
      </c>
      <c r="Y234" s="10" t="str">
        <f>IF(E234="","",IF(Controls!$B$7="Normal",Controls!$B$8+Controls!$B$9*SQRT(-2*LN(E234/2147483647))*COS(2*PI()*O234/2147483647),Controls!$B$8+(Controls!$B$9-Controls!$B$8)*E234/2147483647))</f>
        <v/>
      </c>
      <c r="Z234" s="10" t="str">
        <f>IF(F234="","",IF(Controls!$B$7="Normal",Controls!$B$8+Controls!$B$9*SQRT(-2*LN(F234/2147483647))*COS(2*PI()*P234/2147483647),Controls!$B$8+(Controls!$B$9-Controls!$B$8)*F234/2147483647))</f>
        <v/>
      </c>
      <c r="AA234" s="10" t="str">
        <f>IF(G234="","",IF(Controls!$B$7="Normal",Controls!$B$8+Controls!$B$9*SQRT(-2*LN(G234/2147483647))*COS(2*PI()*Q234/2147483647),Controls!$B$8+(Controls!$B$9-Controls!$B$8)*G234/2147483647))</f>
        <v/>
      </c>
      <c r="AB234" s="10" t="str">
        <f>IF(H234="","",IF(Controls!$B$7="Normal",Controls!$B$8+Controls!$B$9*SQRT(-2*LN(H234/2147483647))*COS(2*PI()*R234/2147483647),Controls!$B$8+(Controls!$B$9-Controls!$B$8)*H234/2147483647))</f>
        <v/>
      </c>
      <c r="AC234" s="10" t="str">
        <f>IF(I234="","",IF(Controls!$B$7="Normal",Controls!$B$8+Controls!$B$9*SQRT(-2*LN(I234/2147483647))*COS(2*PI()*S234/2147483647),Controls!$B$8+(Controls!$B$9-Controls!$B$8)*I234/2147483647))</f>
        <v/>
      </c>
      <c r="AD234" s="10" t="str">
        <f>IF(J234="","",IF(Controls!$B$7="Normal",Controls!$B$8+Controls!$B$9*SQRT(-2*LN(J234/2147483647))*COS(2*PI()*T234/2147483647),Controls!$B$8+(Controls!$B$9-Controls!$B$8)*J234/2147483647))</f>
        <v/>
      </c>
      <c r="AE234" s="10" t="str">
        <f>IF(K234="","",IF(Controls!$B$7="Normal",Controls!$B$8+Controls!$B$9*SQRT(-2*LN(K234/2147483647))*COS(2*PI()*U234/2147483647),Controls!$B$8+(Controls!$B$9-Controls!$B$8)*K234/2147483647))</f>
        <v/>
      </c>
    </row>
    <row r="235" ht="21.0" customHeight="1">
      <c r="A235" s="7" t="str">
        <f>IF(234&lt;=Controls!$B$5,Controls!$B$4+233,"")</f>
        <v/>
      </c>
      <c r="B235" s="10" t="str">
        <f>IF(OR($A235="",1&gt;Controls!$B$6),"",MOD(L234*48271,2147483647))</f>
        <v/>
      </c>
      <c r="C235" s="10" t="str">
        <f>IF(OR($A235="",2&gt;Controls!$B$6),"",MOD(M234*48271,2147483647))</f>
        <v/>
      </c>
      <c r="D235" s="10" t="str">
        <f>IF(OR($A235="",3&gt;Controls!$B$6),"",MOD(N234*48271,2147483647))</f>
        <v/>
      </c>
      <c r="E235" s="10" t="str">
        <f>IF(OR($A235="",4&gt;Controls!$B$6),"",MOD(O234*48271,2147483647))</f>
        <v/>
      </c>
      <c r="F235" s="10" t="str">
        <f>IF(OR($A235="",5&gt;Controls!$B$6),"",MOD(P234*48271,2147483647))</f>
        <v/>
      </c>
      <c r="G235" s="10" t="str">
        <f>IF(OR($A235="",6&gt;Controls!$B$6),"",MOD(Q234*48271,2147483647))</f>
        <v/>
      </c>
      <c r="H235" s="10" t="str">
        <f>IF(OR($A235="",7&gt;Controls!$B$6),"",MOD(R234*48271,2147483647))</f>
        <v/>
      </c>
      <c r="I235" s="10" t="str">
        <f>IF(OR($A235="",8&gt;Controls!$B$6),"",MOD(S234*48271,2147483647))</f>
        <v/>
      </c>
      <c r="J235" s="10" t="str">
        <f>IF(OR($A235="",9&gt;Controls!$B$6),"",MOD(T234*48271,2147483647))</f>
        <v/>
      </c>
      <c r="K235" s="10" t="str">
        <f>IF(OR($A235="",10&gt;Controls!$B$6),"",MOD(U234*48271,2147483647))</f>
        <v/>
      </c>
      <c r="L235" s="10" t="str">
        <f t="shared" ref="L235:U235" si="234">IF(B235="","",MOD(B235*48271,2147483647))</f>
        <v/>
      </c>
      <c r="M235" s="10" t="str">
        <f t="shared" si="234"/>
        <v/>
      </c>
      <c r="N235" s="10" t="str">
        <f t="shared" si="234"/>
        <v/>
      </c>
      <c r="O235" s="10" t="str">
        <f t="shared" si="234"/>
        <v/>
      </c>
      <c r="P235" s="10" t="str">
        <f t="shared" si="234"/>
        <v/>
      </c>
      <c r="Q235" s="10" t="str">
        <f t="shared" si="234"/>
        <v/>
      </c>
      <c r="R235" s="10" t="str">
        <f t="shared" si="234"/>
        <v/>
      </c>
      <c r="S235" s="10" t="str">
        <f t="shared" si="234"/>
        <v/>
      </c>
      <c r="T235" s="10" t="str">
        <f t="shared" si="234"/>
        <v/>
      </c>
      <c r="U235" s="10" t="str">
        <f t="shared" si="234"/>
        <v/>
      </c>
      <c r="V235" s="10" t="str">
        <f>IF(B235="","",IF(Controls!$B$7="Normal",Controls!$B$8+Controls!$B$9*SQRT(-2*LN(B235/2147483647))*COS(2*PI()*L235/2147483647),Controls!$B$8+(Controls!$B$9-Controls!$B$8)*B235/2147483647))</f>
        <v/>
      </c>
      <c r="W235" s="10" t="str">
        <f>IF(C235="","",IF(Controls!$B$7="Normal",Controls!$B$8+Controls!$B$9*SQRT(-2*LN(C235/2147483647))*COS(2*PI()*M235/2147483647),Controls!$B$8+(Controls!$B$9-Controls!$B$8)*C235/2147483647))</f>
        <v/>
      </c>
      <c r="X235" s="10" t="str">
        <f>IF(D235="","",IF(Controls!$B$7="Normal",Controls!$B$8+Controls!$B$9*SQRT(-2*LN(D235/2147483647))*COS(2*PI()*N235/2147483647),Controls!$B$8+(Controls!$B$9-Controls!$B$8)*D235/2147483647))</f>
        <v/>
      </c>
      <c r="Y235" s="10" t="str">
        <f>IF(E235="","",IF(Controls!$B$7="Normal",Controls!$B$8+Controls!$B$9*SQRT(-2*LN(E235/2147483647))*COS(2*PI()*O235/2147483647),Controls!$B$8+(Controls!$B$9-Controls!$B$8)*E235/2147483647))</f>
        <v/>
      </c>
      <c r="Z235" s="10" t="str">
        <f>IF(F235="","",IF(Controls!$B$7="Normal",Controls!$B$8+Controls!$B$9*SQRT(-2*LN(F235/2147483647))*COS(2*PI()*P235/2147483647),Controls!$B$8+(Controls!$B$9-Controls!$B$8)*F235/2147483647))</f>
        <v/>
      </c>
      <c r="AA235" s="10" t="str">
        <f>IF(G235="","",IF(Controls!$B$7="Normal",Controls!$B$8+Controls!$B$9*SQRT(-2*LN(G235/2147483647))*COS(2*PI()*Q235/2147483647),Controls!$B$8+(Controls!$B$9-Controls!$B$8)*G235/2147483647))</f>
        <v/>
      </c>
      <c r="AB235" s="10" t="str">
        <f>IF(H235="","",IF(Controls!$B$7="Normal",Controls!$B$8+Controls!$B$9*SQRT(-2*LN(H235/2147483647))*COS(2*PI()*R235/2147483647),Controls!$B$8+(Controls!$B$9-Controls!$B$8)*H235/2147483647))</f>
        <v/>
      </c>
      <c r="AC235" s="10" t="str">
        <f>IF(I235="","",IF(Controls!$B$7="Normal",Controls!$B$8+Controls!$B$9*SQRT(-2*LN(I235/2147483647))*COS(2*PI()*S235/2147483647),Controls!$B$8+(Controls!$B$9-Controls!$B$8)*I235/2147483647))</f>
        <v/>
      </c>
      <c r="AD235" s="10" t="str">
        <f>IF(J235="","",IF(Controls!$B$7="Normal",Controls!$B$8+Controls!$B$9*SQRT(-2*LN(J235/2147483647))*COS(2*PI()*T235/2147483647),Controls!$B$8+(Controls!$B$9-Controls!$B$8)*J235/2147483647))</f>
        <v/>
      </c>
      <c r="AE235" s="10" t="str">
        <f>IF(K235="","",IF(Controls!$B$7="Normal",Controls!$B$8+Controls!$B$9*SQRT(-2*LN(K235/2147483647))*COS(2*PI()*U235/2147483647),Controls!$B$8+(Controls!$B$9-Controls!$B$8)*K235/2147483647))</f>
        <v/>
      </c>
    </row>
    <row r="236" ht="21.0" customHeight="1">
      <c r="A236" s="7" t="str">
        <f>IF(235&lt;=Controls!$B$5,Controls!$B$4+234,"")</f>
        <v/>
      </c>
      <c r="B236" s="10" t="str">
        <f>IF(OR($A236="",1&gt;Controls!$B$6),"",MOD(L235*48271,2147483647))</f>
        <v/>
      </c>
      <c r="C236" s="10" t="str">
        <f>IF(OR($A236="",2&gt;Controls!$B$6),"",MOD(M235*48271,2147483647))</f>
        <v/>
      </c>
      <c r="D236" s="10" t="str">
        <f>IF(OR($A236="",3&gt;Controls!$B$6),"",MOD(N235*48271,2147483647))</f>
        <v/>
      </c>
      <c r="E236" s="10" t="str">
        <f>IF(OR($A236="",4&gt;Controls!$B$6),"",MOD(O235*48271,2147483647))</f>
        <v/>
      </c>
      <c r="F236" s="10" t="str">
        <f>IF(OR($A236="",5&gt;Controls!$B$6),"",MOD(P235*48271,2147483647))</f>
        <v/>
      </c>
      <c r="G236" s="10" t="str">
        <f>IF(OR($A236="",6&gt;Controls!$B$6),"",MOD(Q235*48271,2147483647))</f>
        <v/>
      </c>
      <c r="H236" s="10" t="str">
        <f>IF(OR($A236="",7&gt;Controls!$B$6),"",MOD(R235*48271,2147483647))</f>
        <v/>
      </c>
      <c r="I236" s="10" t="str">
        <f>IF(OR($A236="",8&gt;Controls!$B$6),"",MOD(S235*48271,2147483647))</f>
        <v/>
      </c>
      <c r="J236" s="10" t="str">
        <f>IF(OR($A236="",9&gt;Controls!$B$6),"",MOD(T235*48271,2147483647))</f>
        <v/>
      </c>
      <c r="K236" s="10" t="str">
        <f>IF(OR($A236="",10&gt;Controls!$B$6),"",MOD(U235*48271,2147483647))</f>
        <v/>
      </c>
      <c r="L236" s="10" t="str">
        <f t="shared" ref="L236:U236" si="235">IF(B236="","",MOD(B236*48271,2147483647))</f>
        <v/>
      </c>
      <c r="M236" s="10" t="str">
        <f t="shared" si="235"/>
        <v/>
      </c>
      <c r="N236" s="10" t="str">
        <f t="shared" si="235"/>
        <v/>
      </c>
      <c r="O236" s="10" t="str">
        <f t="shared" si="235"/>
        <v/>
      </c>
      <c r="P236" s="10" t="str">
        <f t="shared" si="235"/>
        <v/>
      </c>
      <c r="Q236" s="10" t="str">
        <f t="shared" si="235"/>
        <v/>
      </c>
      <c r="R236" s="10" t="str">
        <f t="shared" si="235"/>
        <v/>
      </c>
      <c r="S236" s="10" t="str">
        <f t="shared" si="235"/>
        <v/>
      </c>
      <c r="T236" s="10" t="str">
        <f t="shared" si="235"/>
        <v/>
      </c>
      <c r="U236" s="10" t="str">
        <f t="shared" si="235"/>
        <v/>
      </c>
      <c r="V236" s="10" t="str">
        <f>IF(B236="","",IF(Controls!$B$7="Normal",Controls!$B$8+Controls!$B$9*SQRT(-2*LN(B236/2147483647))*COS(2*PI()*L236/2147483647),Controls!$B$8+(Controls!$B$9-Controls!$B$8)*B236/2147483647))</f>
        <v/>
      </c>
      <c r="W236" s="10" t="str">
        <f>IF(C236="","",IF(Controls!$B$7="Normal",Controls!$B$8+Controls!$B$9*SQRT(-2*LN(C236/2147483647))*COS(2*PI()*M236/2147483647),Controls!$B$8+(Controls!$B$9-Controls!$B$8)*C236/2147483647))</f>
        <v/>
      </c>
      <c r="X236" s="10" t="str">
        <f>IF(D236="","",IF(Controls!$B$7="Normal",Controls!$B$8+Controls!$B$9*SQRT(-2*LN(D236/2147483647))*COS(2*PI()*N236/2147483647),Controls!$B$8+(Controls!$B$9-Controls!$B$8)*D236/2147483647))</f>
        <v/>
      </c>
      <c r="Y236" s="10" t="str">
        <f>IF(E236="","",IF(Controls!$B$7="Normal",Controls!$B$8+Controls!$B$9*SQRT(-2*LN(E236/2147483647))*COS(2*PI()*O236/2147483647),Controls!$B$8+(Controls!$B$9-Controls!$B$8)*E236/2147483647))</f>
        <v/>
      </c>
      <c r="Z236" s="10" t="str">
        <f>IF(F236="","",IF(Controls!$B$7="Normal",Controls!$B$8+Controls!$B$9*SQRT(-2*LN(F236/2147483647))*COS(2*PI()*P236/2147483647),Controls!$B$8+(Controls!$B$9-Controls!$B$8)*F236/2147483647))</f>
        <v/>
      </c>
      <c r="AA236" s="10" t="str">
        <f>IF(G236="","",IF(Controls!$B$7="Normal",Controls!$B$8+Controls!$B$9*SQRT(-2*LN(G236/2147483647))*COS(2*PI()*Q236/2147483647),Controls!$B$8+(Controls!$B$9-Controls!$B$8)*G236/2147483647))</f>
        <v/>
      </c>
      <c r="AB236" s="10" t="str">
        <f>IF(H236="","",IF(Controls!$B$7="Normal",Controls!$B$8+Controls!$B$9*SQRT(-2*LN(H236/2147483647))*COS(2*PI()*R236/2147483647),Controls!$B$8+(Controls!$B$9-Controls!$B$8)*H236/2147483647))</f>
        <v/>
      </c>
      <c r="AC236" s="10" t="str">
        <f>IF(I236="","",IF(Controls!$B$7="Normal",Controls!$B$8+Controls!$B$9*SQRT(-2*LN(I236/2147483647))*COS(2*PI()*S236/2147483647),Controls!$B$8+(Controls!$B$9-Controls!$B$8)*I236/2147483647))</f>
        <v/>
      </c>
      <c r="AD236" s="10" t="str">
        <f>IF(J236="","",IF(Controls!$B$7="Normal",Controls!$B$8+Controls!$B$9*SQRT(-2*LN(J236/2147483647))*COS(2*PI()*T236/2147483647),Controls!$B$8+(Controls!$B$9-Controls!$B$8)*J236/2147483647))</f>
        <v/>
      </c>
      <c r="AE236" s="10" t="str">
        <f>IF(K236="","",IF(Controls!$B$7="Normal",Controls!$B$8+Controls!$B$9*SQRT(-2*LN(K236/2147483647))*COS(2*PI()*U236/2147483647),Controls!$B$8+(Controls!$B$9-Controls!$B$8)*K236/2147483647))</f>
        <v/>
      </c>
    </row>
    <row r="237" ht="21.0" customHeight="1">
      <c r="A237" s="7" t="str">
        <f>IF(236&lt;=Controls!$B$5,Controls!$B$4+235,"")</f>
        <v/>
      </c>
      <c r="B237" s="10" t="str">
        <f>IF(OR($A237="",1&gt;Controls!$B$6),"",MOD(L236*48271,2147483647))</f>
        <v/>
      </c>
      <c r="C237" s="10" t="str">
        <f>IF(OR($A237="",2&gt;Controls!$B$6),"",MOD(M236*48271,2147483647))</f>
        <v/>
      </c>
      <c r="D237" s="10" t="str">
        <f>IF(OR($A237="",3&gt;Controls!$B$6),"",MOD(N236*48271,2147483647))</f>
        <v/>
      </c>
      <c r="E237" s="10" t="str">
        <f>IF(OR($A237="",4&gt;Controls!$B$6),"",MOD(O236*48271,2147483647))</f>
        <v/>
      </c>
      <c r="F237" s="10" t="str">
        <f>IF(OR($A237="",5&gt;Controls!$B$6),"",MOD(P236*48271,2147483647))</f>
        <v/>
      </c>
      <c r="G237" s="10" t="str">
        <f>IF(OR($A237="",6&gt;Controls!$B$6),"",MOD(Q236*48271,2147483647))</f>
        <v/>
      </c>
      <c r="H237" s="10" t="str">
        <f>IF(OR($A237="",7&gt;Controls!$B$6),"",MOD(R236*48271,2147483647))</f>
        <v/>
      </c>
      <c r="I237" s="10" t="str">
        <f>IF(OR($A237="",8&gt;Controls!$B$6),"",MOD(S236*48271,2147483647))</f>
        <v/>
      </c>
      <c r="J237" s="10" t="str">
        <f>IF(OR($A237="",9&gt;Controls!$B$6),"",MOD(T236*48271,2147483647))</f>
        <v/>
      </c>
      <c r="K237" s="10" t="str">
        <f>IF(OR($A237="",10&gt;Controls!$B$6),"",MOD(U236*48271,2147483647))</f>
        <v/>
      </c>
      <c r="L237" s="10" t="str">
        <f t="shared" ref="L237:U237" si="236">IF(B237="","",MOD(B237*48271,2147483647))</f>
        <v/>
      </c>
      <c r="M237" s="10" t="str">
        <f t="shared" si="236"/>
        <v/>
      </c>
      <c r="N237" s="10" t="str">
        <f t="shared" si="236"/>
        <v/>
      </c>
      <c r="O237" s="10" t="str">
        <f t="shared" si="236"/>
        <v/>
      </c>
      <c r="P237" s="10" t="str">
        <f t="shared" si="236"/>
        <v/>
      </c>
      <c r="Q237" s="10" t="str">
        <f t="shared" si="236"/>
        <v/>
      </c>
      <c r="R237" s="10" t="str">
        <f t="shared" si="236"/>
        <v/>
      </c>
      <c r="S237" s="10" t="str">
        <f t="shared" si="236"/>
        <v/>
      </c>
      <c r="T237" s="10" t="str">
        <f t="shared" si="236"/>
        <v/>
      </c>
      <c r="U237" s="10" t="str">
        <f t="shared" si="236"/>
        <v/>
      </c>
      <c r="V237" s="10" t="str">
        <f>IF(B237="","",IF(Controls!$B$7="Normal",Controls!$B$8+Controls!$B$9*SQRT(-2*LN(B237/2147483647))*COS(2*PI()*L237/2147483647),Controls!$B$8+(Controls!$B$9-Controls!$B$8)*B237/2147483647))</f>
        <v/>
      </c>
      <c r="W237" s="10" t="str">
        <f>IF(C237="","",IF(Controls!$B$7="Normal",Controls!$B$8+Controls!$B$9*SQRT(-2*LN(C237/2147483647))*COS(2*PI()*M237/2147483647),Controls!$B$8+(Controls!$B$9-Controls!$B$8)*C237/2147483647))</f>
        <v/>
      </c>
      <c r="X237" s="10" t="str">
        <f>IF(D237="","",IF(Controls!$B$7="Normal",Controls!$B$8+Controls!$B$9*SQRT(-2*LN(D237/2147483647))*COS(2*PI()*N237/2147483647),Controls!$B$8+(Controls!$B$9-Controls!$B$8)*D237/2147483647))</f>
        <v/>
      </c>
      <c r="Y237" s="10" t="str">
        <f>IF(E237="","",IF(Controls!$B$7="Normal",Controls!$B$8+Controls!$B$9*SQRT(-2*LN(E237/2147483647))*COS(2*PI()*O237/2147483647),Controls!$B$8+(Controls!$B$9-Controls!$B$8)*E237/2147483647))</f>
        <v/>
      </c>
      <c r="Z237" s="10" t="str">
        <f>IF(F237="","",IF(Controls!$B$7="Normal",Controls!$B$8+Controls!$B$9*SQRT(-2*LN(F237/2147483647))*COS(2*PI()*P237/2147483647),Controls!$B$8+(Controls!$B$9-Controls!$B$8)*F237/2147483647))</f>
        <v/>
      </c>
      <c r="AA237" s="10" t="str">
        <f>IF(G237="","",IF(Controls!$B$7="Normal",Controls!$B$8+Controls!$B$9*SQRT(-2*LN(G237/2147483647))*COS(2*PI()*Q237/2147483647),Controls!$B$8+(Controls!$B$9-Controls!$B$8)*G237/2147483647))</f>
        <v/>
      </c>
      <c r="AB237" s="10" t="str">
        <f>IF(H237="","",IF(Controls!$B$7="Normal",Controls!$B$8+Controls!$B$9*SQRT(-2*LN(H237/2147483647))*COS(2*PI()*R237/2147483647),Controls!$B$8+(Controls!$B$9-Controls!$B$8)*H237/2147483647))</f>
        <v/>
      </c>
      <c r="AC237" s="10" t="str">
        <f>IF(I237="","",IF(Controls!$B$7="Normal",Controls!$B$8+Controls!$B$9*SQRT(-2*LN(I237/2147483647))*COS(2*PI()*S237/2147483647),Controls!$B$8+(Controls!$B$9-Controls!$B$8)*I237/2147483647))</f>
        <v/>
      </c>
      <c r="AD237" s="10" t="str">
        <f>IF(J237="","",IF(Controls!$B$7="Normal",Controls!$B$8+Controls!$B$9*SQRT(-2*LN(J237/2147483647))*COS(2*PI()*T237/2147483647),Controls!$B$8+(Controls!$B$9-Controls!$B$8)*J237/2147483647))</f>
        <v/>
      </c>
      <c r="AE237" s="10" t="str">
        <f>IF(K237="","",IF(Controls!$B$7="Normal",Controls!$B$8+Controls!$B$9*SQRT(-2*LN(K237/2147483647))*COS(2*PI()*U237/2147483647),Controls!$B$8+(Controls!$B$9-Controls!$B$8)*K237/2147483647))</f>
        <v/>
      </c>
    </row>
    <row r="238" ht="21.0" customHeight="1">
      <c r="A238" s="7" t="str">
        <f>IF(237&lt;=Controls!$B$5,Controls!$B$4+236,"")</f>
        <v/>
      </c>
      <c r="B238" s="10" t="str">
        <f>IF(OR($A238="",1&gt;Controls!$B$6),"",MOD(L237*48271,2147483647))</f>
        <v/>
      </c>
      <c r="C238" s="10" t="str">
        <f>IF(OR($A238="",2&gt;Controls!$B$6),"",MOD(M237*48271,2147483647))</f>
        <v/>
      </c>
      <c r="D238" s="10" t="str">
        <f>IF(OR($A238="",3&gt;Controls!$B$6),"",MOD(N237*48271,2147483647))</f>
        <v/>
      </c>
      <c r="E238" s="10" t="str">
        <f>IF(OR($A238="",4&gt;Controls!$B$6),"",MOD(O237*48271,2147483647))</f>
        <v/>
      </c>
      <c r="F238" s="10" t="str">
        <f>IF(OR($A238="",5&gt;Controls!$B$6),"",MOD(P237*48271,2147483647))</f>
        <v/>
      </c>
      <c r="G238" s="10" t="str">
        <f>IF(OR($A238="",6&gt;Controls!$B$6),"",MOD(Q237*48271,2147483647))</f>
        <v/>
      </c>
      <c r="H238" s="10" t="str">
        <f>IF(OR($A238="",7&gt;Controls!$B$6),"",MOD(R237*48271,2147483647))</f>
        <v/>
      </c>
      <c r="I238" s="10" t="str">
        <f>IF(OR($A238="",8&gt;Controls!$B$6),"",MOD(S237*48271,2147483647))</f>
        <v/>
      </c>
      <c r="J238" s="10" t="str">
        <f>IF(OR($A238="",9&gt;Controls!$B$6),"",MOD(T237*48271,2147483647))</f>
        <v/>
      </c>
      <c r="K238" s="10" t="str">
        <f>IF(OR($A238="",10&gt;Controls!$B$6),"",MOD(U237*48271,2147483647))</f>
        <v/>
      </c>
      <c r="L238" s="10" t="str">
        <f t="shared" ref="L238:U238" si="237">IF(B238="","",MOD(B238*48271,2147483647))</f>
        <v/>
      </c>
      <c r="M238" s="10" t="str">
        <f t="shared" si="237"/>
        <v/>
      </c>
      <c r="N238" s="10" t="str">
        <f t="shared" si="237"/>
        <v/>
      </c>
      <c r="O238" s="10" t="str">
        <f t="shared" si="237"/>
        <v/>
      </c>
      <c r="P238" s="10" t="str">
        <f t="shared" si="237"/>
        <v/>
      </c>
      <c r="Q238" s="10" t="str">
        <f t="shared" si="237"/>
        <v/>
      </c>
      <c r="R238" s="10" t="str">
        <f t="shared" si="237"/>
        <v/>
      </c>
      <c r="S238" s="10" t="str">
        <f t="shared" si="237"/>
        <v/>
      </c>
      <c r="T238" s="10" t="str">
        <f t="shared" si="237"/>
        <v/>
      </c>
      <c r="U238" s="10" t="str">
        <f t="shared" si="237"/>
        <v/>
      </c>
      <c r="V238" s="10" t="str">
        <f>IF(B238="","",IF(Controls!$B$7="Normal",Controls!$B$8+Controls!$B$9*SQRT(-2*LN(B238/2147483647))*COS(2*PI()*L238/2147483647),Controls!$B$8+(Controls!$B$9-Controls!$B$8)*B238/2147483647))</f>
        <v/>
      </c>
      <c r="W238" s="10" t="str">
        <f>IF(C238="","",IF(Controls!$B$7="Normal",Controls!$B$8+Controls!$B$9*SQRT(-2*LN(C238/2147483647))*COS(2*PI()*M238/2147483647),Controls!$B$8+(Controls!$B$9-Controls!$B$8)*C238/2147483647))</f>
        <v/>
      </c>
      <c r="X238" s="10" t="str">
        <f>IF(D238="","",IF(Controls!$B$7="Normal",Controls!$B$8+Controls!$B$9*SQRT(-2*LN(D238/2147483647))*COS(2*PI()*N238/2147483647),Controls!$B$8+(Controls!$B$9-Controls!$B$8)*D238/2147483647))</f>
        <v/>
      </c>
      <c r="Y238" s="10" t="str">
        <f>IF(E238="","",IF(Controls!$B$7="Normal",Controls!$B$8+Controls!$B$9*SQRT(-2*LN(E238/2147483647))*COS(2*PI()*O238/2147483647),Controls!$B$8+(Controls!$B$9-Controls!$B$8)*E238/2147483647))</f>
        <v/>
      </c>
      <c r="Z238" s="10" t="str">
        <f>IF(F238="","",IF(Controls!$B$7="Normal",Controls!$B$8+Controls!$B$9*SQRT(-2*LN(F238/2147483647))*COS(2*PI()*P238/2147483647),Controls!$B$8+(Controls!$B$9-Controls!$B$8)*F238/2147483647))</f>
        <v/>
      </c>
      <c r="AA238" s="10" t="str">
        <f>IF(G238="","",IF(Controls!$B$7="Normal",Controls!$B$8+Controls!$B$9*SQRT(-2*LN(G238/2147483647))*COS(2*PI()*Q238/2147483647),Controls!$B$8+(Controls!$B$9-Controls!$B$8)*G238/2147483647))</f>
        <v/>
      </c>
      <c r="AB238" s="10" t="str">
        <f>IF(H238="","",IF(Controls!$B$7="Normal",Controls!$B$8+Controls!$B$9*SQRT(-2*LN(H238/2147483647))*COS(2*PI()*R238/2147483647),Controls!$B$8+(Controls!$B$9-Controls!$B$8)*H238/2147483647))</f>
        <v/>
      </c>
      <c r="AC238" s="10" t="str">
        <f>IF(I238="","",IF(Controls!$B$7="Normal",Controls!$B$8+Controls!$B$9*SQRT(-2*LN(I238/2147483647))*COS(2*PI()*S238/2147483647),Controls!$B$8+(Controls!$B$9-Controls!$B$8)*I238/2147483647))</f>
        <v/>
      </c>
      <c r="AD238" s="10" t="str">
        <f>IF(J238="","",IF(Controls!$B$7="Normal",Controls!$B$8+Controls!$B$9*SQRT(-2*LN(J238/2147483647))*COS(2*PI()*T238/2147483647),Controls!$B$8+(Controls!$B$9-Controls!$B$8)*J238/2147483647))</f>
        <v/>
      </c>
      <c r="AE238" s="10" t="str">
        <f>IF(K238="","",IF(Controls!$B$7="Normal",Controls!$B$8+Controls!$B$9*SQRT(-2*LN(K238/2147483647))*COS(2*PI()*U238/2147483647),Controls!$B$8+(Controls!$B$9-Controls!$B$8)*K238/2147483647))</f>
        <v/>
      </c>
    </row>
    <row r="239" ht="21.0" customHeight="1">
      <c r="A239" s="7" t="str">
        <f>IF(238&lt;=Controls!$B$5,Controls!$B$4+237,"")</f>
        <v/>
      </c>
      <c r="B239" s="10" t="str">
        <f>IF(OR($A239="",1&gt;Controls!$B$6),"",MOD(L238*48271,2147483647))</f>
        <v/>
      </c>
      <c r="C239" s="10" t="str">
        <f>IF(OR($A239="",2&gt;Controls!$B$6),"",MOD(M238*48271,2147483647))</f>
        <v/>
      </c>
      <c r="D239" s="10" t="str">
        <f>IF(OR($A239="",3&gt;Controls!$B$6),"",MOD(N238*48271,2147483647))</f>
        <v/>
      </c>
      <c r="E239" s="10" t="str">
        <f>IF(OR($A239="",4&gt;Controls!$B$6),"",MOD(O238*48271,2147483647))</f>
        <v/>
      </c>
      <c r="F239" s="10" t="str">
        <f>IF(OR($A239="",5&gt;Controls!$B$6),"",MOD(P238*48271,2147483647))</f>
        <v/>
      </c>
      <c r="G239" s="10" t="str">
        <f>IF(OR($A239="",6&gt;Controls!$B$6),"",MOD(Q238*48271,2147483647))</f>
        <v/>
      </c>
      <c r="H239" s="10" t="str">
        <f>IF(OR($A239="",7&gt;Controls!$B$6),"",MOD(R238*48271,2147483647))</f>
        <v/>
      </c>
      <c r="I239" s="10" t="str">
        <f>IF(OR($A239="",8&gt;Controls!$B$6),"",MOD(S238*48271,2147483647))</f>
        <v/>
      </c>
      <c r="J239" s="10" t="str">
        <f>IF(OR($A239="",9&gt;Controls!$B$6),"",MOD(T238*48271,2147483647))</f>
        <v/>
      </c>
      <c r="K239" s="10" t="str">
        <f>IF(OR($A239="",10&gt;Controls!$B$6),"",MOD(U238*48271,2147483647))</f>
        <v/>
      </c>
      <c r="L239" s="10" t="str">
        <f t="shared" ref="L239:U239" si="238">IF(B239="","",MOD(B239*48271,2147483647))</f>
        <v/>
      </c>
      <c r="M239" s="10" t="str">
        <f t="shared" si="238"/>
        <v/>
      </c>
      <c r="N239" s="10" t="str">
        <f t="shared" si="238"/>
        <v/>
      </c>
      <c r="O239" s="10" t="str">
        <f t="shared" si="238"/>
        <v/>
      </c>
      <c r="P239" s="10" t="str">
        <f t="shared" si="238"/>
        <v/>
      </c>
      <c r="Q239" s="10" t="str">
        <f t="shared" si="238"/>
        <v/>
      </c>
      <c r="R239" s="10" t="str">
        <f t="shared" si="238"/>
        <v/>
      </c>
      <c r="S239" s="10" t="str">
        <f t="shared" si="238"/>
        <v/>
      </c>
      <c r="T239" s="10" t="str">
        <f t="shared" si="238"/>
        <v/>
      </c>
      <c r="U239" s="10" t="str">
        <f t="shared" si="238"/>
        <v/>
      </c>
      <c r="V239" s="10" t="str">
        <f>IF(B239="","",IF(Controls!$B$7="Normal",Controls!$B$8+Controls!$B$9*SQRT(-2*LN(B239/2147483647))*COS(2*PI()*L239/2147483647),Controls!$B$8+(Controls!$B$9-Controls!$B$8)*B239/2147483647))</f>
        <v/>
      </c>
      <c r="W239" s="10" t="str">
        <f>IF(C239="","",IF(Controls!$B$7="Normal",Controls!$B$8+Controls!$B$9*SQRT(-2*LN(C239/2147483647))*COS(2*PI()*M239/2147483647),Controls!$B$8+(Controls!$B$9-Controls!$B$8)*C239/2147483647))</f>
        <v/>
      </c>
      <c r="X239" s="10" t="str">
        <f>IF(D239="","",IF(Controls!$B$7="Normal",Controls!$B$8+Controls!$B$9*SQRT(-2*LN(D239/2147483647))*COS(2*PI()*N239/2147483647),Controls!$B$8+(Controls!$B$9-Controls!$B$8)*D239/2147483647))</f>
        <v/>
      </c>
      <c r="Y239" s="10" t="str">
        <f>IF(E239="","",IF(Controls!$B$7="Normal",Controls!$B$8+Controls!$B$9*SQRT(-2*LN(E239/2147483647))*COS(2*PI()*O239/2147483647),Controls!$B$8+(Controls!$B$9-Controls!$B$8)*E239/2147483647))</f>
        <v/>
      </c>
      <c r="Z239" s="10" t="str">
        <f>IF(F239="","",IF(Controls!$B$7="Normal",Controls!$B$8+Controls!$B$9*SQRT(-2*LN(F239/2147483647))*COS(2*PI()*P239/2147483647),Controls!$B$8+(Controls!$B$9-Controls!$B$8)*F239/2147483647))</f>
        <v/>
      </c>
      <c r="AA239" s="10" t="str">
        <f>IF(G239="","",IF(Controls!$B$7="Normal",Controls!$B$8+Controls!$B$9*SQRT(-2*LN(G239/2147483647))*COS(2*PI()*Q239/2147483647),Controls!$B$8+(Controls!$B$9-Controls!$B$8)*G239/2147483647))</f>
        <v/>
      </c>
      <c r="AB239" s="10" t="str">
        <f>IF(H239="","",IF(Controls!$B$7="Normal",Controls!$B$8+Controls!$B$9*SQRT(-2*LN(H239/2147483647))*COS(2*PI()*R239/2147483647),Controls!$B$8+(Controls!$B$9-Controls!$B$8)*H239/2147483647))</f>
        <v/>
      </c>
      <c r="AC239" s="10" t="str">
        <f>IF(I239="","",IF(Controls!$B$7="Normal",Controls!$B$8+Controls!$B$9*SQRT(-2*LN(I239/2147483647))*COS(2*PI()*S239/2147483647),Controls!$B$8+(Controls!$B$9-Controls!$B$8)*I239/2147483647))</f>
        <v/>
      </c>
      <c r="AD239" s="10" t="str">
        <f>IF(J239="","",IF(Controls!$B$7="Normal",Controls!$B$8+Controls!$B$9*SQRT(-2*LN(J239/2147483647))*COS(2*PI()*T239/2147483647),Controls!$B$8+(Controls!$B$9-Controls!$B$8)*J239/2147483647))</f>
        <v/>
      </c>
      <c r="AE239" s="10" t="str">
        <f>IF(K239="","",IF(Controls!$B$7="Normal",Controls!$B$8+Controls!$B$9*SQRT(-2*LN(K239/2147483647))*COS(2*PI()*U239/2147483647),Controls!$B$8+(Controls!$B$9-Controls!$B$8)*K239/2147483647))</f>
        <v/>
      </c>
    </row>
    <row r="240" ht="21.0" customHeight="1">
      <c r="A240" s="7" t="str">
        <f>IF(239&lt;=Controls!$B$5,Controls!$B$4+238,"")</f>
        <v/>
      </c>
      <c r="B240" s="10" t="str">
        <f>IF(OR($A240="",1&gt;Controls!$B$6),"",MOD(L239*48271,2147483647))</f>
        <v/>
      </c>
      <c r="C240" s="10" t="str">
        <f>IF(OR($A240="",2&gt;Controls!$B$6),"",MOD(M239*48271,2147483647))</f>
        <v/>
      </c>
      <c r="D240" s="10" t="str">
        <f>IF(OR($A240="",3&gt;Controls!$B$6),"",MOD(N239*48271,2147483647))</f>
        <v/>
      </c>
      <c r="E240" s="10" t="str">
        <f>IF(OR($A240="",4&gt;Controls!$B$6),"",MOD(O239*48271,2147483647))</f>
        <v/>
      </c>
      <c r="F240" s="10" t="str">
        <f>IF(OR($A240="",5&gt;Controls!$B$6),"",MOD(P239*48271,2147483647))</f>
        <v/>
      </c>
      <c r="G240" s="10" t="str">
        <f>IF(OR($A240="",6&gt;Controls!$B$6),"",MOD(Q239*48271,2147483647))</f>
        <v/>
      </c>
      <c r="H240" s="10" t="str">
        <f>IF(OR($A240="",7&gt;Controls!$B$6),"",MOD(R239*48271,2147483647))</f>
        <v/>
      </c>
      <c r="I240" s="10" t="str">
        <f>IF(OR($A240="",8&gt;Controls!$B$6),"",MOD(S239*48271,2147483647))</f>
        <v/>
      </c>
      <c r="J240" s="10" t="str">
        <f>IF(OR($A240="",9&gt;Controls!$B$6),"",MOD(T239*48271,2147483647))</f>
        <v/>
      </c>
      <c r="K240" s="10" t="str">
        <f>IF(OR($A240="",10&gt;Controls!$B$6),"",MOD(U239*48271,2147483647))</f>
        <v/>
      </c>
      <c r="L240" s="10" t="str">
        <f t="shared" ref="L240:U240" si="239">IF(B240="","",MOD(B240*48271,2147483647))</f>
        <v/>
      </c>
      <c r="M240" s="10" t="str">
        <f t="shared" si="239"/>
        <v/>
      </c>
      <c r="N240" s="10" t="str">
        <f t="shared" si="239"/>
        <v/>
      </c>
      <c r="O240" s="10" t="str">
        <f t="shared" si="239"/>
        <v/>
      </c>
      <c r="P240" s="10" t="str">
        <f t="shared" si="239"/>
        <v/>
      </c>
      <c r="Q240" s="10" t="str">
        <f t="shared" si="239"/>
        <v/>
      </c>
      <c r="R240" s="10" t="str">
        <f t="shared" si="239"/>
        <v/>
      </c>
      <c r="S240" s="10" t="str">
        <f t="shared" si="239"/>
        <v/>
      </c>
      <c r="T240" s="10" t="str">
        <f t="shared" si="239"/>
        <v/>
      </c>
      <c r="U240" s="10" t="str">
        <f t="shared" si="239"/>
        <v/>
      </c>
      <c r="V240" s="10" t="str">
        <f>IF(B240="","",IF(Controls!$B$7="Normal",Controls!$B$8+Controls!$B$9*SQRT(-2*LN(B240/2147483647))*COS(2*PI()*L240/2147483647),Controls!$B$8+(Controls!$B$9-Controls!$B$8)*B240/2147483647))</f>
        <v/>
      </c>
      <c r="W240" s="10" t="str">
        <f>IF(C240="","",IF(Controls!$B$7="Normal",Controls!$B$8+Controls!$B$9*SQRT(-2*LN(C240/2147483647))*COS(2*PI()*M240/2147483647),Controls!$B$8+(Controls!$B$9-Controls!$B$8)*C240/2147483647))</f>
        <v/>
      </c>
      <c r="X240" s="10" t="str">
        <f>IF(D240="","",IF(Controls!$B$7="Normal",Controls!$B$8+Controls!$B$9*SQRT(-2*LN(D240/2147483647))*COS(2*PI()*N240/2147483647),Controls!$B$8+(Controls!$B$9-Controls!$B$8)*D240/2147483647))</f>
        <v/>
      </c>
      <c r="Y240" s="10" t="str">
        <f>IF(E240="","",IF(Controls!$B$7="Normal",Controls!$B$8+Controls!$B$9*SQRT(-2*LN(E240/2147483647))*COS(2*PI()*O240/2147483647),Controls!$B$8+(Controls!$B$9-Controls!$B$8)*E240/2147483647))</f>
        <v/>
      </c>
      <c r="Z240" s="10" t="str">
        <f>IF(F240="","",IF(Controls!$B$7="Normal",Controls!$B$8+Controls!$B$9*SQRT(-2*LN(F240/2147483647))*COS(2*PI()*P240/2147483647),Controls!$B$8+(Controls!$B$9-Controls!$B$8)*F240/2147483647))</f>
        <v/>
      </c>
      <c r="AA240" s="10" t="str">
        <f>IF(G240="","",IF(Controls!$B$7="Normal",Controls!$B$8+Controls!$B$9*SQRT(-2*LN(G240/2147483647))*COS(2*PI()*Q240/2147483647),Controls!$B$8+(Controls!$B$9-Controls!$B$8)*G240/2147483647))</f>
        <v/>
      </c>
      <c r="AB240" s="10" t="str">
        <f>IF(H240="","",IF(Controls!$B$7="Normal",Controls!$B$8+Controls!$B$9*SQRT(-2*LN(H240/2147483647))*COS(2*PI()*R240/2147483647),Controls!$B$8+(Controls!$B$9-Controls!$B$8)*H240/2147483647))</f>
        <v/>
      </c>
      <c r="AC240" s="10" t="str">
        <f>IF(I240="","",IF(Controls!$B$7="Normal",Controls!$B$8+Controls!$B$9*SQRT(-2*LN(I240/2147483647))*COS(2*PI()*S240/2147483647),Controls!$B$8+(Controls!$B$9-Controls!$B$8)*I240/2147483647))</f>
        <v/>
      </c>
      <c r="AD240" s="10" t="str">
        <f>IF(J240="","",IF(Controls!$B$7="Normal",Controls!$B$8+Controls!$B$9*SQRT(-2*LN(J240/2147483647))*COS(2*PI()*T240/2147483647),Controls!$B$8+(Controls!$B$9-Controls!$B$8)*J240/2147483647))</f>
        <v/>
      </c>
      <c r="AE240" s="10" t="str">
        <f>IF(K240="","",IF(Controls!$B$7="Normal",Controls!$B$8+Controls!$B$9*SQRT(-2*LN(K240/2147483647))*COS(2*PI()*U240/2147483647),Controls!$B$8+(Controls!$B$9-Controls!$B$8)*K240/2147483647))</f>
        <v/>
      </c>
    </row>
    <row r="241" ht="21.0" customHeight="1">
      <c r="A241" s="7" t="str">
        <f>IF(240&lt;=Controls!$B$5,Controls!$B$4+239,"")</f>
        <v/>
      </c>
      <c r="B241" s="10" t="str">
        <f>IF(OR($A241="",1&gt;Controls!$B$6),"",MOD(L240*48271,2147483647))</f>
        <v/>
      </c>
      <c r="C241" s="10" t="str">
        <f>IF(OR($A241="",2&gt;Controls!$B$6),"",MOD(M240*48271,2147483647))</f>
        <v/>
      </c>
      <c r="D241" s="10" t="str">
        <f>IF(OR($A241="",3&gt;Controls!$B$6),"",MOD(N240*48271,2147483647))</f>
        <v/>
      </c>
      <c r="E241" s="10" t="str">
        <f>IF(OR($A241="",4&gt;Controls!$B$6),"",MOD(O240*48271,2147483647))</f>
        <v/>
      </c>
      <c r="F241" s="10" t="str">
        <f>IF(OR($A241="",5&gt;Controls!$B$6),"",MOD(P240*48271,2147483647))</f>
        <v/>
      </c>
      <c r="G241" s="10" t="str">
        <f>IF(OR($A241="",6&gt;Controls!$B$6),"",MOD(Q240*48271,2147483647))</f>
        <v/>
      </c>
      <c r="H241" s="10" t="str">
        <f>IF(OR($A241="",7&gt;Controls!$B$6),"",MOD(R240*48271,2147483647))</f>
        <v/>
      </c>
      <c r="I241" s="10" t="str">
        <f>IF(OR($A241="",8&gt;Controls!$B$6),"",MOD(S240*48271,2147483647))</f>
        <v/>
      </c>
      <c r="J241" s="10" t="str">
        <f>IF(OR($A241="",9&gt;Controls!$B$6),"",MOD(T240*48271,2147483647))</f>
        <v/>
      </c>
      <c r="K241" s="10" t="str">
        <f>IF(OR($A241="",10&gt;Controls!$B$6),"",MOD(U240*48271,2147483647))</f>
        <v/>
      </c>
      <c r="L241" s="10" t="str">
        <f t="shared" ref="L241:U241" si="240">IF(B241="","",MOD(B241*48271,2147483647))</f>
        <v/>
      </c>
      <c r="M241" s="10" t="str">
        <f t="shared" si="240"/>
        <v/>
      </c>
      <c r="N241" s="10" t="str">
        <f t="shared" si="240"/>
        <v/>
      </c>
      <c r="O241" s="10" t="str">
        <f t="shared" si="240"/>
        <v/>
      </c>
      <c r="P241" s="10" t="str">
        <f t="shared" si="240"/>
        <v/>
      </c>
      <c r="Q241" s="10" t="str">
        <f t="shared" si="240"/>
        <v/>
      </c>
      <c r="R241" s="10" t="str">
        <f t="shared" si="240"/>
        <v/>
      </c>
      <c r="S241" s="10" t="str">
        <f t="shared" si="240"/>
        <v/>
      </c>
      <c r="T241" s="10" t="str">
        <f t="shared" si="240"/>
        <v/>
      </c>
      <c r="U241" s="10" t="str">
        <f t="shared" si="240"/>
        <v/>
      </c>
      <c r="V241" s="10" t="str">
        <f>IF(B241="","",IF(Controls!$B$7="Normal",Controls!$B$8+Controls!$B$9*SQRT(-2*LN(B241/2147483647))*COS(2*PI()*L241/2147483647),Controls!$B$8+(Controls!$B$9-Controls!$B$8)*B241/2147483647))</f>
        <v/>
      </c>
      <c r="W241" s="10" t="str">
        <f>IF(C241="","",IF(Controls!$B$7="Normal",Controls!$B$8+Controls!$B$9*SQRT(-2*LN(C241/2147483647))*COS(2*PI()*M241/2147483647),Controls!$B$8+(Controls!$B$9-Controls!$B$8)*C241/2147483647))</f>
        <v/>
      </c>
      <c r="X241" s="10" t="str">
        <f>IF(D241="","",IF(Controls!$B$7="Normal",Controls!$B$8+Controls!$B$9*SQRT(-2*LN(D241/2147483647))*COS(2*PI()*N241/2147483647),Controls!$B$8+(Controls!$B$9-Controls!$B$8)*D241/2147483647))</f>
        <v/>
      </c>
      <c r="Y241" s="10" t="str">
        <f>IF(E241="","",IF(Controls!$B$7="Normal",Controls!$B$8+Controls!$B$9*SQRT(-2*LN(E241/2147483647))*COS(2*PI()*O241/2147483647),Controls!$B$8+(Controls!$B$9-Controls!$B$8)*E241/2147483647))</f>
        <v/>
      </c>
      <c r="Z241" s="10" t="str">
        <f>IF(F241="","",IF(Controls!$B$7="Normal",Controls!$B$8+Controls!$B$9*SQRT(-2*LN(F241/2147483647))*COS(2*PI()*P241/2147483647),Controls!$B$8+(Controls!$B$9-Controls!$B$8)*F241/2147483647))</f>
        <v/>
      </c>
      <c r="AA241" s="10" t="str">
        <f>IF(G241="","",IF(Controls!$B$7="Normal",Controls!$B$8+Controls!$B$9*SQRT(-2*LN(G241/2147483647))*COS(2*PI()*Q241/2147483647),Controls!$B$8+(Controls!$B$9-Controls!$B$8)*G241/2147483647))</f>
        <v/>
      </c>
      <c r="AB241" s="10" t="str">
        <f>IF(H241="","",IF(Controls!$B$7="Normal",Controls!$B$8+Controls!$B$9*SQRT(-2*LN(H241/2147483647))*COS(2*PI()*R241/2147483647),Controls!$B$8+(Controls!$B$9-Controls!$B$8)*H241/2147483647))</f>
        <v/>
      </c>
      <c r="AC241" s="10" t="str">
        <f>IF(I241="","",IF(Controls!$B$7="Normal",Controls!$B$8+Controls!$B$9*SQRT(-2*LN(I241/2147483647))*COS(2*PI()*S241/2147483647),Controls!$B$8+(Controls!$B$9-Controls!$B$8)*I241/2147483647))</f>
        <v/>
      </c>
      <c r="AD241" s="10" t="str">
        <f>IF(J241="","",IF(Controls!$B$7="Normal",Controls!$B$8+Controls!$B$9*SQRT(-2*LN(J241/2147483647))*COS(2*PI()*T241/2147483647),Controls!$B$8+(Controls!$B$9-Controls!$B$8)*J241/2147483647))</f>
        <v/>
      </c>
      <c r="AE241" s="10" t="str">
        <f>IF(K241="","",IF(Controls!$B$7="Normal",Controls!$B$8+Controls!$B$9*SQRT(-2*LN(K241/2147483647))*COS(2*PI()*U241/2147483647),Controls!$B$8+(Controls!$B$9-Controls!$B$8)*K241/2147483647))</f>
        <v/>
      </c>
    </row>
    <row r="242" ht="21.0" customHeight="1">
      <c r="A242" s="7" t="str">
        <f>IF(241&lt;=Controls!$B$5,Controls!$B$4+240,"")</f>
        <v/>
      </c>
      <c r="B242" s="10" t="str">
        <f>IF(OR($A242="",1&gt;Controls!$B$6),"",MOD(L241*48271,2147483647))</f>
        <v/>
      </c>
      <c r="C242" s="10" t="str">
        <f>IF(OR($A242="",2&gt;Controls!$B$6),"",MOD(M241*48271,2147483647))</f>
        <v/>
      </c>
      <c r="D242" s="10" t="str">
        <f>IF(OR($A242="",3&gt;Controls!$B$6),"",MOD(N241*48271,2147483647))</f>
        <v/>
      </c>
      <c r="E242" s="10" t="str">
        <f>IF(OR($A242="",4&gt;Controls!$B$6),"",MOD(O241*48271,2147483647))</f>
        <v/>
      </c>
      <c r="F242" s="10" t="str">
        <f>IF(OR($A242="",5&gt;Controls!$B$6),"",MOD(P241*48271,2147483647))</f>
        <v/>
      </c>
      <c r="G242" s="10" t="str">
        <f>IF(OR($A242="",6&gt;Controls!$B$6),"",MOD(Q241*48271,2147483647))</f>
        <v/>
      </c>
      <c r="H242" s="10" t="str">
        <f>IF(OR($A242="",7&gt;Controls!$B$6),"",MOD(R241*48271,2147483647))</f>
        <v/>
      </c>
      <c r="I242" s="10" t="str">
        <f>IF(OR($A242="",8&gt;Controls!$B$6),"",MOD(S241*48271,2147483647))</f>
        <v/>
      </c>
      <c r="J242" s="10" t="str">
        <f>IF(OR($A242="",9&gt;Controls!$B$6),"",MOD(T241*48271,2147483647))</f>
        <v/>
      </c>
      <c r="K242" s="10" t="str">
        <f>IF(OR($A242="",10&gt;Controls!$B$6),"",MOD(U241*48271,2147483647))</f>
        <v/>
      </c>
      <c r="L242" s="10" t="str">
        <f t="shared" ref="L242:U242" si="241">IF(B242="","",MOD(B242*48271,2147483647))</f>
        <v/>
      </c>
      <c r="M242" s="10" t="str">
        <f t="shared" si="241"/>
        <v/>
      </c>
      <c r="N242" s="10" t="str">
        <f t="shared" si="241"/>
        <v/>
      </c>
      <c r="O242" s="10" t="str">
        <f t="shared" si="241"/>
        <v/>
      </c>
      <c r="P242" s="10" t="str">
        <f t="shared" si="241"/>
        <v/>
      </c>
      <c r="Q242" s="10" t="str">
        <f t="shared" si="241"/>
        <v/>
      </c>
      <c r="R242" s="10" t="str">
        <f t="shared" si="241"/>
        <v/>
      </c>
      <c r="S242" s="10" t="str">
        <f t="shared" si="241"/>
        <v/>
      </c>
      <c r="T242" s="10" t="str">
        <f t="shared" si="241"/>
        <v/>
      </c>
      <c r="U242" s="10" t="str">
        <f t="shared" si="241"/>
        <v/>
      </c>
      <c r="V242" s="10" t="str">
        <f>IF(B242="","",IF(Controls!$B$7="Normal",Controls!$B$8+Controls!$B$9*SQRT(-2*LN(B242/2147483647))*COS(2*PI()*L242/2147483647),Controls!$B$8+(Controls!$B$9-Controls!$B$8)*B242/2147483647))</f>
        <v/>
      </c>
      <c r="W242" s="10" t="str">
        <f>IF(C242="","",IF(Controls!$B$7="Normal",Controls!$B$8+Controls!$B$9*SQRT(-2*LN(C242/2147483647))*COS(2*PI()*M242/2147483647),Controls!$B$8+(Controls!$B$9-Controls!$B$8)*C242/2147483647))</f>
        <v/>
      </c>
      <c r="X242" s="10" t="str">
        <f>IF(D242="","",IF(Controls!$B$7="Normal",Controls!$B$8+Controls!$B$9*SQRT(-2*LN(D242/2147483647))*COS(2*PI()*N242/2147483647),Controls!$B$8+(Controls!$B$9-Controls!$B$8)*D242/2147483647))</f>
        <v/>
      </c>
      <c r="Y242" s="10" t="str">
        <f>IF(E242="","",IF(Controls!$B$7="Normal",Controls!$B$8+Controls!$B$9*SQRT(-2*LN(E242/2147483647))*COS(2*PI()*O242/2147483647),Controls!$B$8+(Controls!$B$9-Controls!$B$8)*E242/2147483647))</f>
        <v/>
      </c>
      <c r="Z242" s="10" t="str">
        <f>IF(F242="","",IF(Controls!$B$7="Normal",Controls!$B$8+Controls!$B$9*SQRT(-2*LN(F242/2147483647))*COS(2*PI()*P242/2147483647),Controls!$B$8+(Controls!$B$9-Controls!$B$8)*F242/2147483647))</f>
        <v/>
      </c>
      <c r="AA242" s="10" t="str">
        <f>IF(G242="","",IF(Controls!$B$7="Normal",Controls!$B$8+Controls!$B$9*SQRT(-2*LN(G242/2147483647))*COS(2*PI()*Q242/2147483647),Controls!$B$8+(Controls!$B$9-Controls!$B$8)*G242/2147483647))</f>
        <v/>
      </c>
      <c r="AB242" s="10" t="str">
        <f>IF(H242="","",IF(Controls!$B$7="Normal",Controls!$B$8+Controls!$B$9*SQRT(-2*LN(H242/2147483647))*COS(2*PI()*R242/2147483647),Controls!$B$8+(Controls!$B$9-Controls!$B$8)*H242/2147483647))</f>
        <v/>
      </c>
      <c r="AC242" s="10" t="str">
        <f>IF(I242="","",IF(Controls!$B$7="Normal",Controls!$B$8+Controls!$B$9*SQRT(-2*LN(I242/2147483647))*COS(2*PI()*S242/2147483647),Controls!$B$8+(Controls!$B$9-Controls!$B$8)*I242/2147483647))</f>
        <v/>
      </c>
      <c r="AD242" s="10" t="str">
        <f>IF(J242="","",IF(Controls!$B$7="Normal",Controls!$B$8+Controls!$B$9*SQRT(-2*LN(J242/2147483647))*COS(2*PI()*T242/2147483647),Controls!$B$8+(Controls!$B$9-Controls!$B$8)*J242/2147483647))</f>
        <v/>
      </c>
      <c r="AE242" s="10" t="str">
        <f>IF(K242="","",IF(Controls!$B$7="Normal",Controls!$B$8+Controls!$B$9*SQRT(-2*LN(K242/2147483647))*COS(2*PI()*U242/2147483647),Controls!$B$8+(Controls!$B$9-Controls!$B$8)*K242/2147483647))</f>
        <v/>
      </c>
    </row>
    <row r="243" ht="21.0" customHeight="1">
      <c r="A243" s="7" t="str">
        <f>IF(242&lt;=Controls!$B$5,Controls!$B$4+241,"")</f>
        <v/>
      </c>
      <c r="B243" s="10" t="str">
        <f>IF(OR($A243="",1&gt;Controls!$B$6),"",MOD(L242*48271,2147483647))</f>
        <v/>
      </c>
      <c r="C243" s="10" t="str">
        <f>IF(OR($A243="",2&gt;Controls!$B$6),"",MOD(M242*48271,2147483647))</f>
        <v/>
      </c>
      <c r="D243" s="10" t="str">
        <f>IF(OR($A243="",3&gt;Controls!$B$6),"",MOD(N242*48271,2147483647))</f>
        <v/>
      </c>
      <c r="E243" s="10" t="str">
        <f>IF(OR($A243="",4&gt;Controls!$B$6),"",MOD(O242*48271,2147483647))</f>
        <v/>
      </c>
      <c r="F243" s="10" t="str">
        <f>IF(OR($A243="",5&gt;Controls!$B$6),"",MOD(P242*48271,2147483647))</f>
        <v/>
      </c>
      <c r="G243" s="10" t="str">
        <f>IF(OR($A243="",6&gt;Controls!$B$6),"",MOD(Q242*48271,2147483647))</f>
        <v/>
      </c>
      <c r="H243" s="10" t="str">
        <f>IF(OR($A243="",7&gt;Controls!$B$6),"",MOD(R242*48271,2147483647))</f>
        <v/>
      </c>
      <c r="I243" s="10" t="str">
        <f>IF(OR($A243="",8&gt;Controls!$B$6),"",MOD(S242*48271,2147483647))</f>
        <v/>
      </c>
      <c r="J243" s="10" t="str">
        <f>IF(OR($A243="",9&gt;Controls!$B$6),"",MOD(T242*48271,2147483647))</f>
        <v/>
      </c>
      <c r="K243" s="10" t="str">
        <f>IF(OR($A243="",10&gt;Controls!$B$6),"",MOD(U242*48271,2147483647))</f>
        <v/>
      </c>
      <c r="L243" s="10" t="str">
        <f t="shared" ref="L243:U243" si="242">IF(B243="","",MOD(B243*48271,2147483647))</f>
        <v/>
      </c>
      <c r="M243" s="10" t="str">
        <f t="shared" si="242"/>
        <v/>
      </c>
      <c r="N243" s="10" t="str">
        <f t="shared" si="242"/>
        <v/>
      </c>
      <c r="O243" s="10" t="str">
        <f t="shared" si="242"/>
        <v/>
      </c>
      <c r="P243" s="10" t="str">
        <f t="shared" si="242"/>
        <v/>
      </c>
      <c r="Q243" s="10" t="str">
        <f t="shared" si="242"/>
        <v/>
      </c>
      <c r="R243" s="10" t="str">
        <f t="shared" si="242"/>
        <v/>
      </c>
      <c r="S243" s="10" t="str">
        <f t="shared" si="242"/>
        <v/>
      </c>
      <c r="T243" s="10" t="str">
        <f t="shared" si="242"/>
        <v/>
      </c>
      <c r="U243" s="10" t="str">
        <f t="shared" si="242"/>
        <v/>
      </c>
      <c r="V243" s="10" t="str">
        <f>IF(B243="","",IF(Controls!$B$7="Normal",Controls!$B$8+Controls!$B$9*SQRT(-2*LN(B243/2147483647))*COS(2*PI()*L243/2147483647),Controls!$B$8+(Controls!$B$9-Controls!$B$8)*B243/2147483647))</f>
        <v/>
      </c>
      <c r="W243" s="10" t="str">
        <f>IF(C243="","",IF(Controls!$B$7="Normal",Controls!$B$8+Controls!$B$9*SQRT(-2*LN(C243/2147483647))*COS(2*PI()*M243/2147483647),Controls!$B$8+(Controls!$B$9-Controls!$B$8)*C243/2147483647))</f>
        <v/>
      </c>
      <c r="X243" s="10" t="str">
        <f>IF(D243="","",IF(Controls!$B$7="Normal",Controls!$B$8+Controls!$B$9*SQRT(-2*LN(D243/2147483647))*COS(2*PI()*N243/2147483647),Controls!$B$8+(Controls!$B$9-Controls!$B$8)*D243/2147483647))</f>
        <v/>
      </c>
      <c r="Y243" s="10" t="str">
        <f>IF(E243="","",IF(Controls!$B$7="Normal",Controls!$B$8+Controls!$B$9*SQRT(-2*LN(E243/2147483647))*COS(2*PI()*O243/2147483647),Controls!$B$8+(Controls!$B$9-Controls!$B$8)*E243/2147483647))</f>
        <v/>
      </c>
      <c r="Z243" s="10" t="str">
        <f>IF(F243="","",IF(Controls!$B$7="Normal",Controls!$B$8+Controls!$B$9*SQRT(-2*LN(F243/2147483647))*COS(2*PI()*P243/2147483647),Controls!$B$8+(Controls!$B$9-Controls!$B$8)*F243/2147483647))</f>
        <v/>
      </c>
      <c r="AA243" s="10" t="str">
        <f>IF(G243="","",IF(Controls!$B$7="Normal",Controls!$B$8+Controls!$B$9*SQRT(-2*LN(G243/2147483647))*COS(2*PI()*Q243/2147483647),Controls!$B$8+(Controls!$B$9-Controls!$B$8)*G243/2147483647))</f>
        <v/>
      </c>
      <c r="AB243" s="10" t="str">
        <f>IF(H243="","",IF(Controls!$B$7="Normal",Controls!$B$8+Controls!$B$9*SQRT(-2*LN(H243/2147483647))*COS(2*PI()*R243/2147483647),Controls!$B$8+(Controls!$B$9-Controls!$B$8)*H243/2147483647))</f>
        <v/>
      </c>
      <c r="AC243" s="10" t="str">
        <f>IF(I243="","",IF(Controls!$B$7="Normal",Controls!$B$8+Controls!$B$9*SQRT(-2*LN(I243/2147483647))*COS(2*PI()*S243/2147483647),Controls!$B$8+(Controls!$B$9-Controls!$B$8)*I243/2147483647))</f>
        <v/>
      </c>
      <c r="AD243" s="10" t="str">
        <f>IF(J243="","",IF(Controls!$B$7="Normal",Controls!$B$8+Controls!$B$9*SQRT(-2*LN(J243/2147483647))*COS(2*PI()*T243/2147483647),Controls!$B$8+(Controls!$B$9-Controls!$B$8)*J243/2147483647))</f>
        <v/>
      </c>
      <c r="AE243" s="10" t="str">
        <f>IF(K243="","",IF(Controls!$B$7="Normal",Controls!$B$8+Controls!$B$9*SQRT(-2*LN(K243/2147483647))*COS(2*PI()*U243/2147483647),Controls!$B$8+(Controls!$B$9-Controls!$B$8)*K243/2147483647))</f>
        <v/>
      </c>
    </row>
    <row r="244" ht="21.0" customHeight="1">
      <c r="A244" s="7" t="str">
        <f>IF(243&lt;=Controls!$B$5,Controls!$B$4+242,"")</f>
        <v/>
      </c>
      <c r="B244" s="10" t="str">
        <f>IF(OR($A244="",1&gt;Controls!$B$6),"",MOD(L243*48271,2147483647))</f>
        <v/>
      </c>
      <c r="C244" s="10" t="str">
        <f>IF(OR($A244="",2&gt;Controls!$B$6),"",MOD(M243*48271,2147483647))</f>
        <v/>
      </c>
      <c r="D244" s="10" t="str">
        <f>IF(OR($A244="",3&gt;Controls!$B$6),"",MOD(N243*48271,2147483647))</f>
        <v/>
      </c>
      <c r="E244" s="10" t="str">
        <f>IF(OR($A244="",4&gt;Controls!$B$6),"",MOD(O243*48271,2147483647))</f>
        <v/>
      </c>
      <c r="F244" s="10" t="str">
        <f>IF(OR($A244="",5&gt;Controls!$B$6),"",MOD(P243*48271,2147483647))</f>
        <v/>
      </c>
      <c r="G244" s="10" t="str">
        <f>IF(OR($A244="",6&gt;Controls!$B$6),"",MOD(Q243*48271,2147483647))</f>
        <v/>
      </c>
      <c r="H244" s="10" t="str">
        <f>IF(OR($A244="",7&gt;Controls!$B$6),"",MOD(R243*48271,2147483647))</f>
        <v/>
      </c>
      <c r="I244" s="10" t="str">
        <f>IF(OR($A244="",8&gt;Controls!$B$6),"",MOD(S243*48271,2147483647))</f>
        <v/>
      </c>
      <c r="J244" s="10" t="str">
        <f>IF(OR($A244="",9&gt;Controls!$B$6),"",MOD(T243*48271,2147483647))</f>
        <v/>
      </c>
      <c r="K244" s="10" t="str">
        <f>IF(OR($A244="",10&gt;Controls!$B$6),"",MOD(U243*48271,2147483647))</f>
        <v/>
      </c>
      <c r="L244" s="10" t="str">
        <f t="shared" ref="L244:U244" si="243">IF(B244="","",MOD(B244*48271,2147483647))</f>
        <v/>
      </c>
      <c r="M244" s="10" t="str">
        <f t="shared" si="243"/>
        <v/>
      </c>
      <c r="N244" s="10" t="str">
        <f t="shared" si="243"/>
        <v/>
      </c>
      <c r="O244" s="10" t="str">
        <f t="shared" si="243"/>
        <v/>
      </c>
      <c r="P244" s="10" t="str">
        <f t="shared" si="243"/>
        <v/>
      </c>
      <c r="Q244" s="10" t="str">
        <f t="shared" si="243"/>
        <v/>
      </c>
      <c r="R244" s="10" t="str">
        <f t="shared" si="243"/>
        <v/>
      </c>
      <c r="S244" s="10" t="str">
        <f t="shared" si="243"/>
        <v/>
      </c>
      <c r="T244" s="10" t="str">
        <f t="shared" si="243"/>
        <v/>
      </c>
      <c r="U244" s="10" t="str">
        <f t="shared" si="243"/>
        <v/>
      </c>
      <c r="V244" s="10" t="str">
        <f>IF(B244="","",IF(Controls!$B$7="Normal",Controls!$B$8+Controls!$B$9*SQRT(-2*LN(B244/2147483647))*COS(2*PI()*L244/2147483647),Controls!$B$8+(Controls!$B$9-Controls!$B$8)*B244/2147483647))</f>
        <v/>
      </c>
      <c r="W244" s="10" t="str">
        <f>IF(C244="","",IF(Controls!$B$7="Normal",Controls!$B$8+Controls!$B$9*SQRT(-2*LN(C244/2147483647))*COS(2*PI()*M244/2147483647),Controls!$B$8+(Controls!$B$9-Controls!$B$8)*C244/2147483647))</f>
        <v/>
      </c>
      <c r="X244" s="10" t="str">
        <f>IF(D244="","",IF(Controls!$B$7="Normal",Controls!$B$8+Controls!$B$9*SQRT(-2*LN(D244/2147483647))*COS(2*PI()*N244/2147483647),Controls!$B$8+(Controls!$B$9-Controls!$B$8)*D244/2147483647))</f>
        <v/>
      </c>
      <c r="Y244" s="10" t="str">
        <f>IF(E244="","",IF(Controls!$B$7="Normal",Controls!$B$8+Controls!$B$9*SQRT(-2*LN(E244/2147483647))*COS(2*PI()*O244/2147483647),Controls!$B$8+(Controls!$B$9-Controls!$B$8)*E244/2147483647))</f>
        <v/>
      </c>
      <c r="Z244" s="10" t="str">
        <f>IF(F244="","",IF(Controls!$B$7="Normal",Controls!$B$8+Controls!$B$9*SQRT(-2*LN(F244/2147483647))*COS(2*PI()*P244/2147483647),Controls!$B$8+(Controls!$B$9-Controls!$B$8)*F244/2147483647))</f>
        <v/>
      </c>
      <c r="AA244" s="10" t="str">
        <f>IF(G244="","",IF(Controls!$B$7="Normal",Controls!$B$8+Controls!$B$9*SQRT(-2*LN(G244/2147483647))*COS(2*PI()*Q244/2147483647),Controls!$B$8+(Controls!$B$9-Controls!$B$8)*G244/2147483647))</f>
        <v/>
      </c>
      <c r="AB244" s="10" t="str">
        <f>IF(H244="","",IF(Controls!$B$7="Normal",Controls!$B$8+Controls!$B$9*SQRT(-2*LN(H244/2147483647))*COS(2*PI()*R244/2147483647),Controls!$B$8+(Controls!$B$9-Controls!$B$8)*H244/2147483647))</f>
        <v/>
      </c>
      <c r="AC244" s="10" t="str">
        <f>IF(I244="","",IF(Controls!$B$7="Normal",Controls!$B$8+Controls!$B$9*SQRT(-2*LN(I244/2147483647))*COS(2*PI()*S244/2147483647),Controls!$B$8+(Controls!$B$9-Controls!$B$8)*I244/2147483647))</f>
        <v/>
      </c>
      <c r="AD244" s="10" t="str">
        <f>IF(J244="","",IF(Controls!$B$7="Normal",Controls!$B$8+Controls!$B$9*SQRT(-2*LN(J244/2147483647))*COS(2*PI()*T244/2147483647),Controls!$B$8+(Controls!$B$9-Controls!$B$8)*J244/2147483647))</f>
        <v/>
      </c>
      <c r="AE244" s="10" t="str">
        <f>IF(K244="","",IF(Controls!$B$7="Normal",Controls!$B$8+Controls!$B$9*SQRT(-2*LN(K244/2147483647))*COS(2*PI()*U244/2147483647),Controls!$B$8+(Controls!$B$9-Controls!$B$8)*K244/2147483647))</f>
        <v/>
      </c>
    </row>
    <row r="245" ht="21.0" customHeight="1">
      <c r="A245" s="7" t="str">
        <f>IF(244&lt;=Controls!$B$5,Controls!$B$4+243,"")</f>
        <v/>
      </c>
      <c r="B245" s="10" t="str">
        <f>IF(OR($A245="",1&gt;Controls!$B$6),"",MOD(L244*48271,2147483647))</f>
        <v/>
      </c>
      <c r="C245" s="10" t="str">
        <f>IF(OR($A245="",2&gt;Controls!$B$6),"",MOD(M244*48271,2147483647))</f>
        <v/>
      </c>
      <c r="D245" s="10" t="str">
        <f>IF(OR($A245="",3&gt;Controls!$B$6),"",MOD(N244*48271,2147483647))</f>
        <v/>
      </c>
      <c r="E245" s="10" t="str">
        <f>IF(OR($A245="",4&gt;Controls!$B$6),"",MOD(O244*48271,2147483647))</f>
        <v/>
      </c>
      <c r="F245" s="10" t="str">
        <f>IF(OR($A245="",5&gt;Controls!$B$6),"",MOD(P244*48271,2147483647))</f>
        <v/>
      </c>
      <c r="G245" s="10" t="str">
        <f>IF(OR($A245="",6&gt;Controls!$B$6),"",MOD(Q244*48271,2147483647))</f>
        <v/>
      </c>
      <c r="H245" s="10" t="str">
        <f>IF(OR($A245="",7&gt;Controls!$B$6),"",MOD(R244*48271,2147483647))</f>
        <v/>
      </c>
      <c r="I245" s="10" t="str">
        <f>IF(OR($A245="",8&gt;Controls!$B$6),"",MOD(S244*48271,2147483647))</f>
        <v/>
      </c>
      <c r="J245" s="10" t="str">
        <f>IF(OR($A245="",9&gt;Controls!$B$6),"",MOD(T244*48271,2147483647))</f>
        <v/>
      </c>
      <c r="K245" s="10" t="str">
        <f>IF(OR($A245="",10&gt;Controls!$B$6),"",MOD(U244*48271,2147483647))</f>
        <v/>
      </c>
      <c r="L245" s="10" t="str">
        <f t="shared" ref="L245:U245" si="244">IF(B245="","",MOD(B245*48271,2147483647))</f>
        <v/>
      </c>
      <c r="M245" s="10" t="str">
        <f t="shared" si="244"/>
        <v/>
      </c>
      <c r="N245" s="10" t="str">
        <f t="shared" si="244"/>
        <v/>
      </c>
      <c r="O245" s="10" t="str">
        <f t="shared" si="244"/>
        <v/>
      </c>
      <c r="P245" s="10" t="str">
        <f t="shared" si="244"/>
        <v/>
      </c>
      <c r="Q245" s="10" t="str">
        <f t="shared" si="244"/>
        <v/>
      </c>
      <c r="R245" s="10" t="str">
        <f t="shared" si="244"/>
        <v/>
      </c>
      <c r="S245" s="10" t="str">
        <f t="shared" si="244"/>
        <v/>
      </c>
      <c r="T245" s="10" t="str">
        <f t="shared" si="244"/>
        <v/>
      </c>
      <c r="U245" s="10" t="str">
        <f t="shared" si="244"/>
        <v/>
      </c>
      <c r="V245" s="10" t="str">
        <f>IF(B245="","",IF(Controls!$B$7="Normal",Controls!$B$8+Controls!$B$9*SQRT(-2*LN(B245/2147483647))*COS(2*PI()*L245/2147483647),Controls!$B$8+(Controls!$B$9-Controls!$B$8)*B245/2147483647))</f>
        <v/>
      </c>
      <c r="W245" s="10" t="str">
        <f>IF(C245="","",IF(Controls!$B$7="Normal",Controls!$B$8+Controls!$B$9*SQRT(-2*LN(C245/2147483647))*COS(2*PI()*M245/2147483647),Controls!$B$8+(Controls!$B$9-Controls!$B$8)*C245/2147483647))</f>
        <v/>
      </c>
      <c r="X245" s="10" t="str">
        <f>IF(D245="","",IF(Controls!$B$7="Normal",Controls!$B$8+Controls!$B$9*SQRT(-2*LN(D245/2147483647))*COS(2*PI()*N245/2147483647),Controls!$B$8+(Controls!$B$9-Controls!$B$8)*D245/2147483647))</f>
        <v/>
      </c>
      <c r="Y245" s="10" t="str">
        <f>IF(E245="","",IF(Controls!$B$7="Normal",Controls!$B$8+Controls!$B$9*SQRT(-2*LN(E245/2147483647))*COS(2*PI()*O245/2147483647),Controls!$B$8+(Controls!$B$9-Controls!$B$8)*E245/2147483647))</f>
        <v/>
      </c>
      <c r="Z245" s="10" t="str">
        <f>IF(F245="","",IF(Controls!$B$7="Normal",Controls!$B$8+Controls!$B$9*SQRT(-2*LN(F245/2147483647))*COS(2*PI()*P245/2147483647),Controls!$B$8+(Controls!$B$9-Controls!$B$8)*F245/2147483647))</f>
        <v/>
      </c>
      <c r="AA245" s="10" t="str">
        <f>IF(G245="","",IF(Controls!$B$7="Normal",Controls!$B$8+Controls!$B$9*SQRT(-2*LN(G245/2147483647))*COS(2*PI()*Q245/2147483647),Controls!$B$8+(Controls!$B$9-Controls!$B$8)*G245/2147483647))</f>
        <v/>
      </c>
      <c r="AB245" s="10" t="str">
        <f>IF(H245="","",IF(Controls!$B$7="Normal",Controls!$B$8+Controls!$B$9*SQRT(-2*LN(H245/2147483647))*COS(2*PI()*R245/2147483647),Controls!$B$8+(Controls!$B$9-Controls!$B$8)*H245/2147483647))</f>
        <v/>
      </c>
      <c r="AC245" s="10" t="str">
        <f>IF(I245="","",IF(Controls!$B$7="Normal",Controls!$B$8+Controls!$B$9*SQRT(-2*LN(I245/2147483647))*COS(2*PI()*S245/2147483647),Controls!$B$8+(Controls!$B$9-Controls!$B$8)*I245/2147483647))</f>
        <v/>
      </c>
      <c r="AD245" s="10" t="str">
        <f>IF(J245="","",IF(Controls!$B$7="Normal",Controls!$B$8+Controls!$B$9*SQRT(-2*LN(J245/2147483647))*COS(2*PI()*T245/2147483647),Controls!$B$8+(Controls!$B$9-Controls!$B$8)*J245/2147483647))</f>
        <v/>
      </c>
      <c r="AE245" s="10" t="str">
        <f>IF(K245="","",IF(Controls!$B$7="Normal",Controls!$B$8+Controls!$B$9*SQRT(-2*LN(K245/2147483647))*COS(2*PI()*U245/2147483647),Controls!$B$8+(Controls!$B$9-Controls!$B$8)*K245/2147483647))</f>
        <v/>
      </c>
    </row>
    <row r="246" ht="21.0" customHeight="1">
      <c r="A246" s="7" t="str">
        <f>IF(245&lt;=Controls!$B$5,Controls!$B$4+244,"")</f>
        <v/>
      </c>
      <c r="B246" s="10" t="str">
        <f>IF(OR($A246="",1&gt;Controls!$B$6),"",MOD(L245*48271,2147483647))</f>
        <v/>
      </c>
      <c r="C246" s="10" t="str">
        <f>IF(OR($A246="",2&gt;Controls!$B$6),"",MOD(M245*48271,2147483647))</f>
        <v/>
      </c>
      <c r="D246" s="10" t="str">
        <f>IF(OR($A246="",3&gt;Controls!$B$6),"",MOD(N245*48271,2147483647))</f>
        <v/>
      </c>
      <c r="E246" s="10" t="str">
        <f>IF(OR($A246="",4&gt;Controls!$B$6),"",MOD(O245*48271,2147483647))</f>
        <v/>
      </c>
      <c r="F246" s="10" t="str">
        <f>IF(OR($A246="",5&gt;Controls!$B$6),"",MOD(P245*48271,2147483647))</f>
        <v/>
      </c>
      <c r="G246" s="10" t="str">
        <f>IF(OR($A246="",6&gt;Controls!$B$6),"",MOD(Q245*48271,2147483647))</f>
        <v/>
      </c>
      <c r="H246" s="10" t="str">
        <f>IF(OR($A246="",7&gt;Controls!$B$6),"",MOD(R245*48271,2147483647))</f>
        <v/>
      </c>
      <c r="I246" s="10" t="str">
        <f>IF(OR($A246="",8&gt;Controls!$B$6),"",MOD(S245*48271,2147483647))</f>
        <v/>
      </c>
      <c r="J246" s="10" t="str">
        <f>IF(OR($A246="",9&gt;Controls!$B$6),"",MOD(T245*48271,2147483647))</f>
        <v/>
      </c>
      <c r="K246" s="10" t="str">
        <f>IF(OR($A246="",10&gt;Controls!$B$6),"",MOD(U245*48271,2147483647))</f>
        <v/>
      </c>
      <c r="L246" s="10" t="str">
        <f t="shared" ref="L246:U246" si="245">IF(B246="","",MOD(B246*48271,2147483647))</f>
        <v/>
      </c>
      <c r="M246" s="10" t="str">
        <f t="shared" si="245"/>
        <v/>
      </c>
      <c r="N246" s="10" t="str">
        <f t="shared" si="245"/>
        <v/>
      </c>
      <c r="O246" s="10" t="str">
        <f t="shared" si="245"/>
        <v/>
      </c>
      <c r="P246" s="10" t="str">
        <f t="shared" si="245"/>
        <v/>
      </c>
      <c r="Q246" s="10" t="str">
        <f t="shared" si="245"/>
        <v/>
      </c>
      <c r="R246" s="10" t="str">
        <f t="shared" si="245"/>
        <v/>
      </c>
      <c r="S246" s="10" t="str">
        <f t="shared" si="245"/>
        <v/>
      </c>
      <c r="T246" s="10" t="str">
        <f t="shared" si="245"/>
        <v/>
      </c>
      <c r="U246" s="10" t="str">
        <f t="shared" si="245"/>
        <v/>
      </c>
      <c r="V246" s="10" t="str">
        <f>IF(B246="","",IF(Controls!$B$7="Normal",Controls!$B$8+Controls!$B$9*SQRT(-2*LN(B246/2147483647))*COS(2*PI()*L246/2147483647),Controls!$B$8+(Controls!$B$9-Controls!$B$8)*B246/2147483647))</f>
        <v/>
      </c>
      <c r="W246" s="10" t="str">
        <f>IF(C246="","",IF(Controls!$B$7="Normal",Controls!$B$8+Controls!$B$9*SQRT(-2*LN(C246/2147483647))*COS(2*PI()*M246/2147483647),Controls!$B$8+(Controls!$B$9-Controls!$B$8)*C246/2147483647))</f>
        <v/>
      </c>
      <c r="X246" s="10" t="str">
        <f>IF(D246="","",IF(Controls!$B$7="Normal",Controls!$B$8+Controls!$B$9*SQRT(-2*LN(D246/2147483647))*COS(2*PI()*N246/2147483647),Controls!$B$8+(Controls!$B$9-Controls!$B$8)*D246/2147483647))</f>
        <v/>
      </c>
      <c r="Y246" s="10" t="str">
        <f>IF(E246="","",IF(Controls!$B$7="Normal",Controls!$B$8+Controls!$B$9*SQRT(-2*LN(E246/2147483647))*COS(2*PI()*O246/2147483647),Controls!$B$8+(Controls!$B$9-Controls!$B$8)*E246/2147483647))</f>
        <v/>
      </c>
      <c r="Z246" s="10" t="str">
        <f>IF(F246="","",IF(Controls!$B$7="Normal",Controls!$B$8+Controls!$B$9*SQRT(-2*LN(F246/2147483647))*COS(2*PI()*P246/2147483647),Controls!$B$8+(Controls!$B$9-Controls!$B$8)*F246/2147483647))</f>
        <v/>
      </c>
      <c r="AA246" s="10" t="str">
        <f>IF(G246="","",IF(Controls!$B$7="Normal",Controls!$B$8+Controls!$B$9*SQRT(-2*LN(G246/2147483647))*COS(2*PI()*Q246/2147483647),Controls!$B$8+(Controls!$B$9-Controls!$B$8)*G246/2147483647))</f>
        <v/>
      </c>
      <c r="AB246" s="10" t="str">
        <f>IF(H246="","",IF(Controls!$B$7="Normal",Controls!$B$8+Controls!$B$9*SQRT(-2*LN(H246/2147483647))*COS(2*PI()*R246/2147483647),Controls!$B$8+(Controls!$B$9-Controls!$B$8)*H246/2147483647))</f>
        <v/>
      </c>
      <c r="AC246" s="10" t="str">
        <f>IF(I246="","",IF(Controls!$B$7="Normal",Controls!$B$8+Controls!$B$9*SQRT(-2*LN(I246/2147483647))*COS(2*PI()*S246/2147483647),Controls!$B$8+(Controls!$B$9-Controls!$B$8)*I246/2147483647))</f>
        <v/>
      </c>
      <c r="AD246" s="10" t="str">
        <f>IF(J246="","",IF(Controls!$B$7="Normal",Controls!$B$8+Controls!$B$9*SQRT(-2*LN(J246/2147483647))*COS(2*PI()*T246/2147483647),Controls!$B$8+(Controls!$B$9-Controls!$B$8)*J246/2147483647))</f>
        <v/>
      </c>
      <c r="AE246" s="10" t="str">
        <f>IF(K246="","",IF(Controls!$B$7="Normal",Controls!$B$8+Controls!$B$9*SQRT(-2*LN(K246/2147483647))*COS(2*PI()*U246/2147483647),Controls!$B$8+(Controls!$B$9-Controls!$B$8)*K246/2147483647))</f>
        <v/>
      </c>
    </row>
    <row r="247" ht="21.0" customHeight="1">
      <c r="A247" s="7" t="str">
        <f>IF(246&lt;=Controls!$B$5,Controls!$B$4+245,"")</f>
        <v/>
      </c>
      <c r="B247" s="10" t="str">
        <f>IF(OR($A247="",1&gt;Controls!$B$6),"",MOD(L246*48271,2147483647))</f>
        <v/>
      </c>
      <c r="C247" s="10" t="str">
        <f>IF(OR($A247="",2&gt;Controls!$B$6),"",MOD(M246*48271,2147483647))</f>
        <v/>
      </c>
      <c r="D247" s="10" t="str">
        <f>IF(OR($A247="",3&gt;Controls!$B$6),"",MOD(N246*48271,2147483647))</f>
        <v/>
      </c>
      <c r="E247" s="10" t="str">
        <f>IF(OR($A247="",4&gt;Controls!$B$6),"",MOD(O246*48271,2147483647))</f>
        <v/>
      </c>
      <c r="F247" s="10" t="str">
        <f>IF(OR($A247="",5&gt;Controls!$B$6),"",MOD(P246*48271,2147483647))</f>
        <v/>
      </c>
      <c r="G247" s="10" t="str">
        <f>IF(OR($A247="",6&gt;Controls!$B$6),"",MOD(Q246*48271,2147483647))</f>
        <v/>
      </c>
      <c r="H247" s="10" t="str">
        <f>IF(OR($A247="",7&gt;Controls!$B$6),"",MOD(R246*48271,2147483647))</f>
        <v/>
      </c>
      <c r="I247" s="10" t="str">
        <f>IF(OR($A247="",8&gt;Controls!$B$6),"",MOD(S246*48271,2147483647))</f>
        <v/>
      </c>
      <c r="J247" s="10" t="str">
        <f>IF(OR($A247="",9&gt;Controls!$B$6),"",MOD(T246*48271,2147483647))</f>
        <v/>
      </c>
      <c r="K247" s="10" t="str">
        <f>IF(OR($A247="",10&gt;Controls!$B$6),"",MOD(U246*48271,2147483647))</f>
        <v/>
      </c>
      <c r="L247" s="10" t="str">
        <f t="shared" ref="L247:U247" si="246">IF(B247="","",MOD(B247*48271,2147483647))</f>
        <v/>
      </c>
      <c r="M247" s="10" t="str">
        <f t="shared" si="246"/>
        <v/>
      </c>
      <c r="N247" s="10" t="str">
        <f t="shared" si="246"/>
        <v/>
      </c>
      <c r="O247" s="10" t="str">
        <f t="shared" si="246"/>
        <v/>
      </c>
      <c r="P247" s="10" t="str">
        <f t="shared" si="246"/>
        <v/>
      </c>
      <c r="Q247" s="10" t="str">
        <f t="shared" si="246"/>
        <v/>
      </c>
      <c r="R247" s="10" t="str">
        <f t="shared" si="246"/>
        <v/>
      </c>
      <c r="S247" s="10" t="str">
        <f t="shared" si="246"/>
        <v/>
      </c>
      <c r="T247" s="10" t="str">
        <f t="shared" si="246"/>
        <v/>
      </c>
      <c r="U247" s="10" t="str">
        <f t="shared" si="246"/>
        <v/>
      </c>
      <c r="V247" s="10" t="str">
        <f>IF(B247="","",IF(Controls!$B$7="Normal",Controls!$B$8+Controls!$B$9*SQRT(-2*LN(B247/2147483647))*COS(2*PI()*L247/2147483647),Controls!$B$8+(Controls!$B$9-Controls!$B$8)*B247/2147483647))</f>
        <v/>
      </c>
      <c r="W247" s="10" t="str">
        <f>IF(C247="","",IF(Controls!$B$7="Normal",Controls!$B$8+Controls!$B$9*SQRT(-2*LN(C247/2147483647))*COS(2*PI()*M247/2147483647),Controls!$B$8+(Controls!$B$9-Controls!$B$8)*C247/2147483647))</f>
        <v/>
      </c>
      <c r="X247" s="10" t="str">
        <f>IF(D247="","",IF(Controls!$B$7="Normal",Controls!$B$8+Controls!$B$9*SQRT(-2*LN(D247/2147483647))*COS(2*PI()*N247/2147483647),Controls!$B$8+(Controls!$B$9-Controls!$B$8)*D247/2147483647))</f>
        <v/>
      </c>
      <c r="Y247" s="10" t="str">
        <f>IF(E247="","",IF(Controls!$B$7="Normal",Controls!$B$8+Controls!$B$9*SQRT(-2*LN(E247/2147483647))*COS(2*PI()*O247/2147483647),Controls!$B$8+(Controls!$B$9-Controls!$B$8)*E247/2147483647))</f>
        <v/>
      </c>
      <c r="Z247" s="10" t="str">
        <f>IF(F247="","",IF(Controls!$B$7="Normal",Controls!$B$8+Controls!$B$9*SQRT(-2*LN(F247/2147483647))*COS(2*PI()*P247/2147483647),Controls!$B$8+(Controls!$B$9-Controls!$B$8)*F247/2147483647))</f>
        <v/>
      </c>
      <c r="AA247" s="10" t="str">
        <f>IF(G247="","",IF(Controls!$B$7="Normal",Controls!$B$8+Controls!$B$9*SQRT(-2*LN(G247/2147483647))*COS(2*PI()*Q247/2147483647),Controls!$B$8+(Controls!$B$9-Controls!$B$8)*G247/2147483647))</f>
        <v/>
      </c>
      <c r="AB247" s="10" t="str">
        <f>IF(H247="","",IF(Controls!$B$7="Normal",Controls!$B$8+Controls!$B$9*SQRT(-2*LN(H247/2147483647))*COS(2*PI()*R247/2147483647),Controls!$B$8+(Controls!$B$9-Controls!$B$8)*H247/2147483647))</f>
        <v/>
      </c>
      <c r="AC247" s="10" t="str">
        <f>IF(I247="","",IF(Controls!$B$7="Normal",Controls!$B$8+Controls!$B$9*SQRT(-2*LN(I247/2147483647))*COS(2*PI()*S247/2147483647),Controls!$B$8+(Controls!$B$9-Controls!$B$8)*I247/2147483647))</f>
        <v/>
      </c>
      <c r="AD247" s="10" t="str">
        <f>IF(J247="","",IF(Controls!$B$7="Normal",Controls!$B$8+Controls!$B$9*SQRT(-2*LN(J247/2147483647))*COS(2*PI()*T247/2147483647),Controls!$B$8+(Controls!$B$9-Controls!$B$8)*J247/2147483647))</f>
        <v/>
      </c>
      <c r="AE247" s="10" t="str">
        <f>IF(K247="","",IF(Controls!$B$7="Normal",Controls!$B$8+Controls!$B$9*SQRT(-2*LN(K247/2147483647))*COS(2*PI()*U247/2147483647),Controls!$B$8+(Controls!$B$9-Controls!$B$8)*K247/2147483647))</f>
        <v/>
      </c>
    </row>
    <row r="248" ht="21.0" customHeight="1">
      <c r="A248" s="7" t="str">
        <f>IF(247&lt;=Controls!$B$5,Controls!$B$4+246,"")</f>
        <v/>
      </c>
      <c r="B248" s="10" t="str">
        <f>IF(OR($A248="",1&gt;Controls!$B$6),"",MOD(L247*48271,2147483647))</f>
        <v/>
      </c>
      <c r="C248" s="10" t="str">
        <f>IF(OR($A248="",2&gt;Controls!$B$6),"",MOD(M247*48271,2147483647))</f>
        <v/>
      </c>
      <c r="D248" s="10" t="str">
        <f>IF(OR($A248="",3&gt;Controls!$B$6),"",MOD(N247*48271,2147483647))</f>
        <v/>
      </c>
      <c r="E248" s="10" t="str">
        <f>IF(OR($A248="",4&gt;Controls!$B$6),"",MOD(O247*48271,2147483647))</f>
        <v/>
      </c>
      <c r="F248" s="10" t="str">
        <f>IF(OR($A248="",5&gt;Controls!$B$6),"",MOD(P247*48271,2147483647))</f>
        <v/>
      </c>
      <c r="G248" s="10" t="str">
        <f>IF(OR($A248="",6&gt;Controls!$B$6),"",MOD(Q247*48271,2147483647))</f>
        <v/>
      </c>
      <c r="H248" s="10" t="str">
        <f>IF(OR($A248="",7&gt;Controls!$B$6),"",MOD(R247*48271,2147483647))</f>
        <v/>
      </c>
      <c r="I248" s="10" t="str">
        <f>IF(OR($A248="",8&gt;Controls!$B$6),"",MOD(S247*48271,2147483647))</f>
        <v/>
      </c>
      <c r="J248" s="10" t="str">
        <f>IF(OR($A248="",9&gt;Controls!$B$6),"",MOD(T247*48271,2147483647))</f>
        <v/>
      </c>
      <c r="K248" s="10" t="str">
        <f>IF(OR($A248="",10&gt;Controls!$B$6),"",MOD(U247*48271,2147483647))</f>
        <v/>
      </c>
      <c r="L248" s="10" t="str">
        <f t="shared" ref="L248:U248" si="247">IF(B248="","",MOD(B248*48271,2147483647))</f>
        <v/>
      </c>
      <c r="M248" s="10" t="str">
        <f t="shared" si="247"/>
        <v/>
      </c>
      <c r="N248" s="10" t="str">
        <f t="shared" si="247"/>
        <v/>
      </c>
      <c r="O248" s="10" t="str">
        <f t="shared" si="247"/>
        <v/>
      </c>
      <c r="P248" s="10" t="str">
        <f t="shared" si="247"/>
        <v/>
      </c>
      <c r="Q248" s="10" t="str">
        <f t="shared" si="247"/>
        <v/>
      </c>
      <c r="R248" s="10" t="str">
        <f t="shared" si="247"/>
        <v/>
      </c>
      <c r="S248" s="10" t="str">
        <f t="shared" si="247"/>
        <v/>
      </c>
      <c r="T248" s="10" t="str">
        <f t="shared" si="247"/>
        <v/>
      </c>
      <c r="U248" s="10" t="str">
        <f t="shared" si="247"/>
        <v/>
      </c>
      <c r="V248" s="10" t="str">
        <f>IF(B248="","",IF(Controls!$B$7="Normal",Controls!$B$8+Controls!$B$9*SQRT(-2*LN(B248/2147483647))*COS(2*PI()*L248/2147483647),Controls!$B$8+(Controls!$B$9-Controls!$B$8)*B248/2147483647))</f>
        <v/>
      </c>
      <c r="W248" s="10" t="str">
        <f>IF(C248="","",IF(Controls!$B$7="Normal",Controls!$B$8+Controls!$B$9*SQRT(-2*LN(C248/2147483647))*COS(2*PI()*M248/2147483647),Controls!$B$8+(Controls!$B$9-Controls!$B$8)*C248/2147483647))</f>
        <v/>
      </c>
      <c r="X248" s="10" t="str">
        <f>IF(D248="","",IF(Controls!$B$7="Normal",Controls!$B$8+Controls!$B$9*SQRT(-2*LN(D248/2147483647))*COS(2*PI()*N248/2147483647),Controls!$B$8+(Controls!$B$9-Controls!$B$8)*D248/2147483647))</f>
        <v/>
      </c>
      <c r="Y248" s="10" t="str">
        <f>IF(E248="","",IF(Controls!$B$7="Normal",Controls!$B$8+Controls!$B$9*SQRT(-2*LN(E248/2147483647))*COS(2*PI()*O248/2147483647),Controls!$B$8+(Controls!$B$9-Controls!$B$8)*E248/2147483647))</f>
        <v/>
      </c>
      <c r="Z248" s="10" t="str">
        <f>IF(F248="","",IF(Controls!$B$7="Normal",Controls!$B$8+Controls!$B$9*SQRT(-2*LN(F248/2147483647))*COS(2*PI()*P248/2147483647),Controls!$B$8+(Controls!$B$9-Controls!$B$8)*F248/2147483647))</f>
        <v/>
      </c>
      <c r="AA248" s="10" t="str">
        <f>IF(G248="","",IF(Controls!$B$7="Normal",Controls!$B$8+Controls!$B$9*SQRT(-2*LN(G248/2147483647))*COS(2*PI()*Q248/2147483647),Controls!$B$8+(Controls!$B$9-Controls!$B$8)*G248/2147483647))</f>
        <v/>
      </c>
      <c r="AB248" s="10" t="str">
        <f>IF(H248="","",IF(Controls!$B$7="Normal",Controls!$B$8+Controls!$B$9*SQRT(-2*LN(H248/2147483647))*COS(2*PI()*R248/2147483647),Controls!$B$8+(Controls!$B$9-Controls!$B$8)*H248/2147483647))</f>
        <v/>
      </c>
      <c r="AC248" s="10" t="str">
        <f>IF(I248="","",IF(Controls!$B$7="Normal",Controls!$B$8+Controls!$B$9*SQRT(-2*LN(I248/2147483647))*COS(2*PI()*S248/2147483647),Controls!$B$8+(Controls!$B$9-Controls!$B$8)*I248/2147483647))</f>
        <v/>
      </c>
      <c r="AD248" s="10" t="str">
        <f>IF(J248="","",IF(Controls!$B$7="Normal",Controls!$B$8+Controls!$B$9*SQRT(-2*LN(J248/2147483647))*COS(2*PI()*T248/2147483647),Controls!$B$8+(Controls!$B$9-Controls!$B$8)*J248/2147483647))</f>
        <v/>
      </c>
      <c r="AE248" s="10" t="str">
        <f>IF(K248="","",IF(Controls!$B$7="Normal",Controls!$B$8+Controls!$B$9*SQRT(-2*LN(K248/2147483647))*COS(2*PI()*U248/2147483647),Controls!$B$8+(Controls!$B$9-Controls!$B$8)*K248/2147483647))</f>
        <v/>
      </c>
    </row>
    <row r="249" ht="21.0" customHeight="1">
      <c r="A249" s="7" t="str">
        <f>IF(248&lt;=Controls!$B$5,Controls!$B$4+247,"")</f>
        <v/>
      </c>
      <c r="B249" s="10" t="str">
        <f>IF(OR($A249="",1&gt;Controls!$B$6),"",MOD(L248*48271,2147483647))</f>
        <v/>
      </c>
      <c r="C249" s="10" t="str">
        <f>IF(OR($A249="",2&gt;Controls!$B$6),"",MOD(M248*48271,2147483647))</f>
        <v/>
      </c>
      <c r="D249" s="10" t="str">
        <f>IF(OR($A249="",3&gt;Controls!$B$6),"",MOD(N248*48271,2147483647))</f>
        <v/>
      </c>
      <c r="E249" s="10" t="str">
        <f>IF(OR($A249="",4&gt;Controls!$B$6),"",MOD(O248*48271,2147483647))</f>
        <v/>
      </c>
      <c r="F249" s="10" t="str">
        <f>IF(OR($A249="",5&gt;Controls!$B$6),"",MOD(P248*48271,2147483647))</f>
        <v/>
      </c>
      <c r="G249" s="10" t="str">
        <f>IF(OR($A249="",6&gt;Controls!$B$6),"",MOD(Q248*48271,2147483647))</f>
        <v/>
      </c>
      <c r="H249" s="10" t="str">
        <f>IF(OR($A249="",7&gt;Controls!$B$6),"",MOD(R248*48271,2147483647))</f>
        <v/>
      </c>
      <c r="I249" s="10" t="str">
        <f>IF(OR($A249="",8&gt;Controls!$B$6),"",MOD(S248*48271,2147483647))</f>
        <v/>
      </c>
      <c r="J249" s="10" t="str">
        <f>IF(OR($A249="",9&gt;Controls!$B$6),"",MOD(T248*48271,2147483647))</f>
        <v/>
      </c>
      <c r="K249" s="10" t="str">
        <f>IF(OR($A249="",10&gt;Controls!$B$6),"",MOD(U248*48271,2147483647))</f>
        <v/>
      </c>
      <c r="L249" s="10" t="str">
        <f t="shared" ref="L249:U249" si="248">IF(B249="","",MOD(B249*48271,2147483647))</f>
        <v/>
      </c>
      <c r="M249" s="10" t="str">
        <f t="shared" si="248"/>
        <v/>
      </c>
      <c r="N249" s="10" t="str">
        <f t="shared" si="248"/>
        <v/>
      </c>
      <c r="O249" s="10" t="str">
        <f t="shared" si="248"/>
        <v/>
      </c>
      <c r="P249" s="10" t="str">
        <f t="shared" si="248"/>
        <v/>
      </c>
      <c r="Q249" s="10" t="str">
        <f t="shared" si="248"/>
        <v/>
      </c>
      <c r="R249" s="10" t="str">
        <f t="shared" si="248"/>
        <v/>
      </c>
      <c r="S249" s="10" t="str">
        <f t="shared" si="248"/>
        <v/>
      </c>
      <c r="T249" s="10" t="str">
        <f t="shared" si="248"/>
        <v/>
      </c>
      <c r="U249" s="10" t="str">
        <f t="shared" si="248"/>
        <v/>
      </c>
      <c r="V249" s="10" t="str">
        <f>IF(B249="","",IF(Controls!$B$7="Normal",Controls!$B$8+Controls!$B$9*SQRT(-2*LN(B249/2147483647))*COS(2*PI()*L249/2147483647),Controls!$B$8+(Controls!$B$9-Controls!$B$8)*B249/2147483647))</f>
        <v/>
      </c>
      <c r="W249" s="10" t="str">
        <f>IF(C249="","",IF(Controls!$B$7="Normal",Controls!$B$8+Controls!$B$9*SQRT(-2*LN(C249/2147483647))*COS(2*PI()*M249/2147483647),Controls!$B$8+(Controls!$B$9-Controls!$B$8)*C249/2147483647))</f>
        <v/>
      </c>
      <c r="X249" s="10" t="str">
        <f>IF(D249="","",IF(Controls!$B$7="Normal",Controls!$B$8+Controls!$B$9*SQRT(-2*LN(D249/2147483647))*COS(2*PI()*N249/2147483647),Controls!$B$8+(Controls!$B$9-Controls!$B$8)*D249/2147483647))</f>
        <v/>
      </c>
      <c r="Y249" s="10" t="str">
        <f>IF(E249="","",IF(Controls!$B$7="Normal",Controls!$B$8+Controls!$B$9*SQRT(-2*LN(E249/2147483647))*COS(2*PI()*O249/2147483647),Controls!$B$8+(Controls!$B$9-Controls!$B$8)*E249/2147483647))</f>
        <v/>
      </c>
      <c r="Z249" s="10" t="str">
        <f>IF(F249="","",IF(Controls!$B$7="Normal",Controls!$B$8+Controls!$B$9*SQRT(-2*LN(F249/2147483647))*COS(2*PI()*P249/2147483647),Controls!$B$8+(Controls!$B$9-Controls!$B$8)*F249/2147483647))</f>
        <v/>
      </c>
      <c r="AA249" s="10" t="str">
        <f>IF(G249="","",IF(Controls!$B$7="Normal",Controls!$B$8+Controls!$B$9*SQRT(-2*LN(G249/2147483647))*COS(2*PI()*Q249/2147483647),Controls!$B$8+(Controls!$B$9-Controls!$B$8)*G249/2147483647))</f>
        <v/>
      </c>
      <c r="AB249" s="10" t="str">
        <f>IF(H249="","",IF(Controls!$B$7="Normal",Controls!$B$8+Controls!$B$9*SQRT(-2*LN(H249/2147483647))*COS(2*PI()*R249/2147483647),Controls!$B$8+(Controls!$B$9-Controls!$B$8)*H249/2147483647))</f>
        <v/>
      </c>
      <c r="AC249" s="10" t="str">
        <f>IF(I249="","",IF(Controls!$B$7="Normal",Controls!$B$8+Controls!$B$9*SQRT(-2*LN(I249/2147483647))*COS(2*PI()*S249/2147483647),Controls!$B$8+(Controls!$B$9-Controls!$B$8)*I249/2147483647))</f>
        <v/>
      </c>
      <c r="AD249" s="10" t="str">
        <f>IF(J249="","",IF(Controls!$B$7="Normal",Controls!$B$8+Controls!$B$9*SQRT(-2*LN(J249/2147483647))*COS(2*PI()*T249/2147483647),Controls!$B$8+(Controls!$B$9-Controls!$B$8)*J249/2147483647))</f>
        <v/>
      </c>
      <c r="AE249" s="10" t="str">
        <f>IF(K249="","",IF(Controls!$B$7="Normal",Controls!$B$8+Controls!$B$9*SQRT(-2*LN(K249/2147483647))*COS(2*PI()*U249/2147483647),Controls!$B$8+(Controls!$B$9-Controls!$B$8)*K249/2147483647))</f>
        <v/>
      </c>
    </row>
    <row r="250" ht="21.0" customHeight="1">
      <c r="A250" s="7" t="str">
        <f>IF(249&lt;=Controls!$B$5,Controls!$B$4+248,"")</f>
        <v/>
      </c>
      <c r="B250" s="10" t="str">
        <f>IF(OR($A250="",1&gt;Controls!$B$6),"",MOD(L249*48271,2147483647))</f>
        <v/>
      </c>
      <c r="C250" s="10" t="str">
        <f>IF(OR($A250="",2&gt;Controls!$B$6),"",MOD(M249*48271,2147483647))</f>
        <v/>
      </c>
      <c r="D250" s="10" t="str">
        <f>IF(OR($A250="",3&gt;Controls!$B$6),"",MOD(N249*48271,2147483647))</f>
        <v/>
      </c>
      <c r="E250" s="10" t="str">
        <f>IF(OR($A250="",4&gt;Controls!$B$6),"",MOD(O249*48271,2147483647))</f>
        <v/>
      </c>
      <c r="F250" s="10" t="str">
        <f>IF(OR($A250="",5&gt;Controls!$B$6),"",MOD(P249*48271,2147483647))</f>
        <v/>
      </c>
      <c r="G250" s="10" t="str">
        <f>IF(OR($A250="",6&gt;Controls!$B$6),"",MOD(Q249*48271,2147483647))</f>
        <v/>
      </c>
      <c r="H250" s="10" t="str">
        <f>IF(OR($A250="",7&gt;Controls!$B$6),"",MOD(R249*48271,2147483647))</f>
        <v/>
      </c>
      <c r="I250" s="10" t="str">
        <f>IF(OR($A250="",8&gt;Controls!$B$6),"",MOD(S249*48271,2147483647))</f>
        <v/>
      </c>
      <c r="J250" s="10" t="str">
        <f>IF(OR($A250="",9&gt;Controls!$B$6),"",MOD(T249*48271,2147483647))</f>
        <v/>
      </c>
      <c r="K250" s="10" t="str">
        <f>IF(OR($A250="",10&gt;Controls!$B$6),"",MOD(U249*48271,2147483647))</f>
        <v/>
      </c>
      <c r="L250" s="10" t="str">
        <f t="shared" ref="L250:U250" si="249">IF(B250="","",MOD(B250*48271,2147483647))</f>
        <v/>
      </c>
      <c r="M250" s="10" t="str">
        <f t="shared" si="249"/>
        <v/>
      </c>
      <c r="N250" s="10" t="str">
        <f t="shared" si="249"/>
        <v/>
      </c>
      <c r="O250" s="10" t="str">
        <f t="shared" si="249"/>
        <v/>
      </c>
      <c r="P250" s="10" t="str">
        <f t="shared" si="249"/>
        <v/>
      </c>
      <c r="Q250" s="10" t="str">
        <f t="shared" si="249"/>
        <v/>
      </c>
      <c r="R250" s="10" t="str">
        <f t="shared" si="249"/>
        <v/>
      </c>
      <c r="S250" s="10" t="str">
        <f t="shared" si="249"/>
        <v/>
      </c>
      <c r="T250" s="10" t="str">
        <f t="shared" si="249"/>
        <v/>
      </c>
      <c r="U250" s="10" t="str">
        <f t="shared" si="249"/>
        <v/>
      </c>
      <c r="V250" s="10" t="str">
        <f>IF(B250="","",IF(Controls!$B$7="Normal",Controls!$B$8+Controls!$B$9*SQRT(-2*LN(B250/2147483647))*COS(2*PI()*L250/2147483647),Controls!$B$8+(Controls!$B$9-Controls!$B$8)*B250/2147483647))</f>
        <v/>
      </c>
      <c r="W250" s="10" t="str">
        <f>IF(C250="","",IF(Controls!$B$7="Normal",Controls!$B$8+Controls!$B$9*SQRT(-2*LN(C250/2147483647))*COS(2*PI()*M250/2147483647),Controls!$B$8+(Controls!$B$9-Controls!$B$8)*C250/2147483647))</f>
        <v/>
      </c>
      <c r="X250" s="10" t="str">
        <f>IF(D250="","",IF(Controls!$B$7="Normal",Controls!$B$8+Controls!$B$9*SQRT(-2*LN(D250/2147483647))*COS(2*PI()*N250/2147483647),Controls!$B$8+(Controls!$B$9-Controls!$B$8)*D250/2147483647))</f>
        <v/>
      </c>
      <c r="Y250" s="10" t="str">
        <f>IF(E250="","",IF(Controls!$B$7="Normal",Controls!$B$8+Controls!$B$9*SQRT(-2*LN(E250/2147483647))*COS(2*PI()*O250/2147483647),Controls!$B$8+(Controls!$B$9-Controls!$B$8)*E250/2147483647))</f>
        <v/>
      </c>
      <c r="Z250" s="10" t="str">
        <f>IF(F250="","",IF(Controls!$B$7="Normal",Controls!$B$8+Controls!$B$9*SQRT(-2*LN(F250/2147483647))*COS(2*PI()*P250/2147483647),Controls!$B$8+(Controls!$B$9-Controls!$B$8)*F250/2147483647))</f>
        <v/>
      </c>
      <c r="AA250" s="10" t="str">
        <f>IF(G250="","",IF(Controls!$B$7="Normal",Controls!$B$8+Controls!$B$9*SQRT(-2*LN(G250/2147483647))*COS(2*PI()*Q250/2147483647),Controls!$B$8+(Controls!$B$9-Controls!$B$8)*G250/2147483647))</f>
        <v/>
      </c>
      <c r="AB250" s="10" t="str">
        <f>IF(H250="","",IF(Controls!$B$7="Normal",Controls!$B$8+Controls!$B$9*SQRT(-2*LN(H250/2147483647))*COS(2*PI()*R250/2147483647),Controls!$B$8+(Controls!$B$9-Controls!$B$8)*H250/2147483647))</f>
        <v/>
      </c>
      <c r="AC250" s="10" t="str">
        <f>IF(I250="","",IF(Controls!$B$7="Normal",Controls!$B$8+Controls!$B$9*SQRT(-2*LN(I250/2147483647))*COS(2*PI()*S250/2147483647),Controls!$B$8+(Controls!$B$9-Controls!$B$8)*I250/2147483647))</f>
        <v/>
      </c>
      <c r="AD250" s="10" t="str">
        <f>IF(J250="","",IF(Controls!$B$7="Normal",Controls!$B$8+Controls!$B$9*SQRT(-2*LN(J250/2147483647))*COS(2*PI()*T250/2147483647),Controls!$B$8+(Controls!$B$9-Controls!$B$8)*J250/2147483647))</f>
        <v/>
      </c>
      <c r="AE250" s="10" t="str">
        <f>IF(K250="","",IF(Controls!$B$7="Normal",Controls!$B$8+Controls!$B$9*SQRT(-2*LN(K250/2147483647))*COS(2*PI()*U250/2147483647),Controls!$B$8+(Controls!$B$9-Controls!$B$8)*K250/2147483647))</f>
        <v/>
      </c>
    </row>
    <row r="251" ht="21.0" customHeight="1">
      <c r="A251" s="7" t="str">
        <f>IF(250&lt;=Controls!$B$5,Controls!$B$4+249,"")</f>
        <v/>
      </c>
      <c r="B251" s="10" t="str">
        <f>IF(OR($A251="",1&gt;Controls!$B$6),"",MOD(L250*48271,2147483647))</f>
        <v/>
      </c>
      <c r="C251" s="10" t="str">
        <f>IF(OR($A251="",2&gt;Controls!$B$6),"",MOD(M250*48271,2147483647))</f>
        <v/>
      </c>
      <c r="D251" s="10" t="str">
        <f>IF(OR($A251="",3&gt;Controls!$B$6),"",MOD(N250*48271,2147483647))</f>
        <v/>
      </c>
      <c r="E251" s="10" t="str">
        <f>IF(OR($A251="",4&gt;Controls!$B$6),"",MOD(O250*48271,2147483647))</f>
        <v/>
      </c>
      <c r="F251" s="10" t="str">
        <f>IF(OR($A251="",5&gt;Controls!$B$6),"",MOD(P250*48271,2147483647))</f>
        <v/>
      </c>
      <c r="G251" s="10" t="str">
        <f>IF(OR($A251="",6&gt;Controls!$B$6),"",MOD(Q250*48271,2147483647))</f>
        <v/>
      </c>
      <c r="H251" s="10" t="str">
        <f>IF(OR($A251="",7&gt;Controls!$B$6),"",MOD(R250*48271,2147483647))</f>
        <v/>
      </c>
      <c r="I251" s="10" t="str">
        <f>IF(OR($A251="",8&gt;Controls!$B$6),"",MOD(S250*48271,2147483647))</f>
        <v/>
      </c>
      <c r="J251" s="10" t="str">
        <f>IF(OR($A251="",9&gt;Controls!$B$6),"",MOD(T250*48271,2147483647))</f>
        <v/>
      </c>
      <c r="K251" s="10" t="str">
        <f>IF(OR($A251="",10&gt;Controls!$B$6),"",MOD(U250*48271,2147483647))</f>
        <v/>
      </c>
      <c r="L251" s="10" t="str">
        <f t="shared" ref="L251:U251" si="250">IF(B251="","",MOD(B251*48271,2147483647))</f>
        <v/>
      </c>
      <c r="M251" s="10" t="str">
        <f t="shared" si="250"/>
        <v/>
      </c>
      <c r="N251" s="10" t="str">
        <f t="shared" si="250"/>
        <v/>
      </c>
      <c r="O251" s="10" t="str">
        <f t="shared" si="250"/>
        <v/>
      </c>
      <c r="P251" s="10" t="str">
        <f t="shared" si="250"/>
        <v/>
      </c>
      <c r="Q251" s="10" t="str">
        <f t="shared" si="250"/>
        <v/>
      </c>
      <c r="R251" s="10" t="str">
        <f t="shared" si="250"/>
        <v/>
      </c>
      <c r="S251" s="10" t="str">
        <f t="shared" si="250"/>
        <v/>
      </c>
      <c r="T251" s="10" t="str">
        <f t="shared" si="250"/>
        <v/>
      </c>
      <c r="U251" s="10" t="str">
        <f t="shared" si="250"/>
        <v/>
      </c>
      <c r="V251" s="10" t="str">
        <f>IF(B251="","",IF(Controls!$B$7="Normal",Controls!$B$8+Controls!$B$9*SQRT(-2*LN(B251/2147483647))*COS(2*PI()*L251/2147483647),Controls!$B$8+(Controls!$B$9-Controls!$B$8)*B251/2147483647))</f>
        <v/>
      </c>
      <c r="W251" s="10" t="str">
        <f>IF(C251="","",IF(Controls!$B$7="Normal",Controls!$B$8+Controls!$B$9*SQRT(-2*LN(C251/2147483647))*COS(2*PI()*M251/2147483647),Controls!$B$8+(Controls!$B$9-Controls!$B$8)*C251/2147483647))</f>
        <v/>
      </c>
      <c r="X251" s="10" t="str">
        <f>IF(D251="","",IF(Controls!$B$7="Normal",Controls!$B$8+Controls!$B$9*SQRT(-2*LN(D251/2147483647))*COS(2*PI()*N251/2147483647),Controls!$B$8+(Controls!$B$9-Controls!$B$8)*D251/2147483647))</f>
        <v/>
      </c>
      <c r="Y251" s="10" t="str">
        <f>IF(E251="","",IF(Controls!$B$7="Normal",Controls!$B$8+Controls!$B$9*SQRT(-2*LN(E251/2147483647))*COS(2*PI()*O251/2147483647),Controls!$B$8+(Controls!$B$9-Controls!$B$8)*E251/2147483647))</f>
        <v/>
      </c>
      <c r="Z251" s="10" t="str">
        <f>IF(F251="","",IF(Controls!$B$7="Normal",Controls!$B$8+Controls!$B$9*SQRT(-2*LN(F251/2147483647))*COS(2*PI()*P251/2147483647),Controls!$B$8+(Controls!$B$9-Controls!$B$8)*F251/2147483647))</f>
        <v/>
      </c>
      <c r="AA251" s="10" t="str">
        <f>IF(G251="","",IF(Controls!$B$7="Normal",Controls!$B$8+Controls!$B$9*SQRT(-2*LN(G251/2147483647))*COS(2*PI()*Q251/2147483647),Controls!$B$8+(Controls!$B$9-Controls!$B$8)*G251/2147483647))</f>
        <v/>
      </c>
      <c r="AB251" s="10" t="str">
        <f>IF(H251="","",IF(Controls!$B$7="Normal",Controls!$B$8+Controls!$B$9*SQRT(-2*LN(H251/2147483647))*COS(2*PI()*R251/2147483647),Controls!$B$8+(Controls!$B$9-Controls!$B$8)*H251/2147483647))</f>
        <v/>
      </c>
      <c r="AC251" s="10" t="str">
        <f>IF(I251="","",IF(Controls!$B$7="Normal",Controls!$B$8+Controls!$B$9*SQRT(-2*LN(I251/2147483647))*COS(2*PI()*S251/2147483647),Controls!$B$8+(Controls!$B$9-Controls!$B$8)*I251/2147483647))</f>
        <v/>
      </c>
      <c r="AD251" s="10" t="str">
        <f>IF(J251="","",IF(Controls!$B$7="Normal",Controls!$B$8+Controls!$B$9*SQRT(-2*LN(J251/2147483647))*COS(2*PI()*T251/2147483647),Controls!$B$8+(Controls!$B$9-Controls!$B$8)*J251/2147483647))</f>
        <v/>
      </c>
      <c r="AE251" s="10" t="str">
        <f>IF(K251="","",IF(Controls!$B$7="Normal",Controls!$B$8+Controls!$B$9*SQRT(-2*LN(K251/2147483647))*COS(2*PI()*U251/2147483647),Controls!$B$8+(Controls!$B$9-Controls!$B$8)*K251/2147483647))</f>
        <v/>
      </c>
    </row>
    <row r="252" ht="21.0" customHeight="1">
      <c r="A252" s="7" t="str">
        <f>IF(251&lt;=Controls!$B$5,Controls!$B$4+250,"")</f>
        <v/>
      </c>
      <c r="B252" s="10" t="str">
        <f>IF(OR($A252="",1&gt;Controls!$B$6),"",MOD(L251*48271,2147483647))</f>
        <v/>
      </c>
      <c r="C252" s="10" t="str">
        <f>IF(OR($A252="",2&gt;Controls!$B$6),"",MOD(M251*48271,2147483647))</f>
        <v/>
      </c>
      <c r="D252" s="10" t="str">
        <f>IF(OR($A252="",3&gt;Controls!$B$6),"",MOD(N251*48271,2147483647))</f>
        <v/>
      </c>
      <c r="E252" s="10" t="str">
        <f>IF(OR($A252="",4&gt;Controls!$B$6),"",MOD(O251*48271,2147483647))</f>
        <v/>
      </c>
      <c r="F252" s="10" t="str">
        <f>IF(OR($A252="",5&gt;Controls!$B$6),"",MOD(P251*48271,2147483647))</f>
        <v/>
      </c>
      <c r="G252" s="10" t="str">
        <f>IF(OR($A252="",6&gt;Controls!$B$6),"",MOD(Q251*48271,2147483647))</f>
        <v/>
      </c>
      <c r="H252" s="10" t="str">
        <f>IF(OR($A252="",7&gt;Controls!$B$6),"",MOD(R251*48271,2147483647))</f>
        <v/>
      </c>
      <c r="I252" s="10" t="str">
        <f>IF(OR($A252="",8&gt;Controls!$B$6),"",MOD(S251*48271,2147483647))</f>
        <v/>
      </c>
      <c r="J252" s="10" t="str">
        <f>IF(OR($A252="",9&gt;Controls!$B$6),"",MOD(T251*48271,2147483647))</f>
        <v/>
      </c>
      <c r="K252" s="10" t="str">
        <f>IF(OR($A252="",10&gt;Controls!$B$6),"",MOD(U251*48271,2147483647))</f>
        <v/>
      </c>
      <c r="L252" s="10" t="str">
        <f t="shared" ref="L252:U252" si="251">IF(B252="","",MOD(B252*48271,2147483647))</f>
        <v/>
      </c>
      <c r="M252" s="10" t="str">
        <f t="shared" si="251"/>
        <v/>
      </c>
      <c r="N252" s="10" t="str">
        <f t="shared" si="251"/>
        <v/>
      </c>
      <c r="O252" s="10" t="str">
        <f t="shared" si="251"/>
        <v/>
      </c>
      <c r="P252" s="10" t="str">
        <f t="shared" si="251"/>
        <v/>
      </c>
      <c r="Q252" s="10" t="str">
        <f t="shared" si="251"/>
        <v/>
      </c>
      <c r="R252" s="10" t="str">
        <f t="shared" si="251"/>
        <v/>
      </c>
      <c r="S252" s="10" t="str">
        <f t="shared" si="251"/>
        <v/>
      </c>
      <c r="T252" s="10" t="str">
        <f t="shared" si="251"/>
        <v/>
      </c>
      <c r="U252" s="10" t="str">
        <f t="shared" si="251"/>
        <v/>
      </c>
      <c r="V252" s="10" t="str">
        <f>IF(B252="","",IF(Controls!$B$7="Normal",Controls!$B$8+Controls!$B$9*SQRT(-2*LN(B252/2147483647))*COS(2*PI()*L252/2147483647),Controls!$B$8+(Controls!$B$9-Controls!$B$8)*B252/2147483647))</f>
        <v/>
      </c>
      <c r="W252" s="10" t="str">
        <f>IF(C252="","",IF(Controls!$B$7="Normal",Controls!$B$8+Controls!$B$9*SQRT(-2*LN(C252/2147483647))*COS(2*PI()*M252/2147483647),Controls!$B$8+(Controls!$B$9-Controls!$B$8)*C252/2147483647))</f>
        <v/>
      </c>
      <c r="X252" s="10" t="str">
        <f>IF(D252="","",IF(Controls!$B$7="Normal",Controls!$B$8+Controls!$B$9*SQRT(-2*LN(D252/2147483647))*COS(2*PI()*N252/2147483647),Controls!$B$8+(Controls!$B$9-Controls!$B$8)*D252/2147483647))</f>
        <v/>
      </c>
      <c r="Y252" s="10" t="str">
        <f>IF(E252="","",IF(Controls!$B$7="Normal",Controls!$B$8+Controls!$B$9*SQRT(-2*LN(E252/2147483647))*COS(2*PI()*O252/2147483647),Controls!$B$8+(Controls!$B$9-Controls!$B$8)*E252/2147483647))</f>
        <v/>
      </c>
      <c r="Z252" s="10" t="str">
        <f>IF(F252="","",IF(Controls!$B$7="Normal",Controls!$B$8+Controls!$B$9*SQRT(-2*LN(F252/2147483647))*COS(2*PI()*P252/2147483647),Controls!$B$8+(Controls!$B$9-Controls!$B$8)*F252/2147483647))</f>
        <v/>
      </c>
      <c r="AA252" s="10" t="str">
        <f>IF(G252="","",IF(Controls!$B$7="Normal",Controls!$B$8+Controls!$B$9*SQRT(-2*LN(G252/2147483647))*COS(2*PI()*Q252/2147483647),Controls!$B$8+(Controls!$B$9-Controls!$B$8)*G252/2147483647))</f>
        <v/>
      </c>
      <c r="AB252" s="10" t="str">
        <f>IF(H252="","",IF(Controls!$B$7="Normal",Controls!$B$8+Controls!$B$9*SQRT(-2*LN(H252/2147483647))*COS(2*PI()*R252/2147483647),Controls!$B$8+(Controls!$B$9-Controls!$B$8)*H252/2147483647))</f>
        <v/>
      </c>
      <c r="AC252" s="10" t="str">
        <f>IF(I252="","",IF(Controls!$B$7="Normal",Controls!$B$8+Controls!$B$9*SQRT(-2*LN(I252/2147483647))*COS(2*PI()*S252/2147483647),Controls!$B$8+(Controls!$B$9-Controls!$B$8)*I252/2147483647))</f>
        <v/>
      </c>
      <c r="AD252" s="10" t="str">
        <f>IF(J252="","",IF(Controls!$B$7="Normal",Controls!$B$8+Controls!$B$9*SQRT(-2*LN(J252/2147483647))*COS(2*PI()*T252/2147483647),Controls!$B$8+(Controls!$B$9-Controls!$B$8)*J252/2147483647))</f>
        <v/>
      </c>
      <c r="AE252" s="10" t="str">
        <f>IF(K252="","",IF(Controls!$B$7="Normal",Controls!$B$8+Controls!$B$9*SQRT(-2*LN(K252/2147483647))*COS(2*PI()*U252/2147483647),Controls!$B$8+(Controls!$B$9-Controls!$B$8)*K252/2147483647))</f>
        <v/>
      </c>
    </row>
    <row r="253" ht="21.0" customHeight="1">
      <c r="A253" s="7" t="str">
        <f>IF(252&lt;=Controls!$B$5,Controls!$B$4+251,"")</f>
        <v/>
      </c>
      <c r="B253" s="10" t="str">
        <f>IF(OR($A253="",1&gt;Controls!$B$6),"",MOD(L252*48271,2147483647))</f>
        <v/>
      </c>
      <c r="C253" s="10" t="str">
        <f>IF(OR($A253="",2&gt;Controls!$B$6),"",MOD(M252*48271,2147483647))</f>
        <v/>
      </c>
      <c r="D253" s="10" t="str">
        <f>IF(OR($A253="",3&gt;Controls!$B$6),"",MOD(N252*48271,2147483647))</f>
        <v/>
      </c>
      <c r="E253" s="10" t="str">
        <f>IF(OR($A253="",4&gt;Controls!$B$6),"",MOD(O252*48271,2147483647))</f>
        <v/>
      </c>
      <c r="F253" s="10" t="str">
        <f>IF(OR($A253="",5&gt;Controls!$B$6),"",MOD(P252*48271,2147483647))</f>
        <v/>
      </c>
      <c r="G253" s="10" t="str">
        <f>IF(OR($A253="",6&gt;Controls!$B$6),"",MOD(Q252*48271,2147483647))</f>
        <v/>
      </c>
      <c r="H253" s="10" t="str">
        <f>IF(OR($A253="",7&gt;Controls!$B$6),"",MOD(R252*48271,2147483647))</f>
        <v/>
      </c>
      <c r="I253" s="10" t="str">
        <f>IF(OR($A253="",8&gt;Controls!$B$6),"",MOD(S252*48271,2147483647))</f>
        <v/>
      </c>
      <c r="J253" s="10" t="str">
        <f>IF(OR($A253="",9&gt;Controls!$B$6),"",MOD(T252*48271,2147483647))</f>
        <v/>
      </c>
      <c r="K253" s="10" t="str">
        <f>IF(OR($A253="",10&gt;Controls!$B$6),"",MOD(U252*48271,2147483647))</f>
        <v/>
      </c>
      <c r="L253" s="10" t="str">
        <f t="shared" ref="L253:U253" si="252">IF(B253="","",MOD(B253*48271,2147483647))</f>
        <v/>
      </c>
      <c r="M253" s="10" t="str">
        <f t="shared" si="252"/>
        <v/>
      </c>
      <c r="N253" s="10" t="str">
        <f t="shared" si="252"/>
        <v/>
      </c>
      <c r="O253" s="10" t="str">
        <f t="shared" si="252"/>
        <v/>
      </c>
      <c r="P253" s="10" t="str">
        <f t="shared" si="252"/>
        <v/>
      </c>
      <c r="Q253" s="10" t="str">
        <f t="shared" si="252"/>
        <v/>
      </c>
      <c r="R253" s="10" t="str">
        <f t="shared" si="252"/>
        <v/>
      </c>
      <c r="S253" s="10" t="str">
        <f t="shared" si="252"/>
        <v/>
      </c>
      <c r="T253" s="10" t="str">
        <f t="shared" si="252"/>
        <v/>
      </c>
      <c r="U253" s="10" t="str">
        <f t="shared" si="252"/>
        <v/>
      </c>
      <c r="V253" s="10" t="str">
        <f>IF(B253="","",IF(Controls!$B$7="Normal",Controls!$B$8+Controls!$B$9*SQRT(-2*LN(B253/2147483647))*COS(2*PI()*L253/2147483647),Controls!$B$8+(Controls!$B$9-Controls!$B$8)*B253/2147483647))</f>
        <v/>
      </c>
      <c r="W253" s="10" t="str">
        <f>IF(C253="","",IF(Controls!$B$7="Normal",Controls!$B$8+Controls!$B$9*SQRT(-2*LN(C253/2147483647))*COS(2*PI()*M253/2147483647),Controls!$B$8+(Controls!$B$9-Controls!$B$8)*C253/2147483647))</f>
        <v/>
      </c>
      <c r="X253" s="10" t="str">
        <f>IF(D253="","",IF(Controls!$B$7="Normal",Controls!$B$8+Controls!$B$9*SQRT(-2*LN(D253/2147483647))*COS(2*PI()*N253/2147483647),Controls!$B$8+(Controls!$B$9-Controls!$B$8)*D253/2147483647))</f>
        <v/>
      </c>
      <c r="Y253" s="10" t="str">
        <f>IF(E253="","",IF(Controls!$B$7="Normal",Controls!$B$8+Controls!$B$9*SQRT(-2*LN(E253/2147483647))*COS(2*PI()*O253/2147483647),Controls!$B$8+(Controls!$B$9-Controls!$B$8)*E253/2147483647))</f>
        <v/>
      </c>
      <c r="Z253" s="10" t="str">
        <f>IF(F253="","",IF(Controls!$B$7="Normal",Controls!$B$8+Controls!$B$9*SQRT(-2*LN(F253/2147483647))*COS(2*PI()*P253/2147483647),Controls!$B$8+(Controls!$B$9-Controls!$B$8)*F253/2147483647))</f>
        <v/>
      </c>
      <c r="AA253" s="10" t="str">
        <f>IF(G253="","",IF(Controls!$B$7="Normal",Controls!$B$8+Controls!$B$9*SQRT(-2*LN(G253/2147483647))*COS(2*PI()*Q253/2147483647),Controls!$B$8+(Controls!$B$9-Controls!$B$8)*G253/2147483647))</f>
        <v/>
      </c>
      <c r="AB253" s="10" t="str">
        <f>IF(H253="","",IF(Controls!$B$7="Normal",Controls!$B$8+Controls!$B$9*SQRT(-2*LN(H253/2147483647))*COS(2*PI()*R253/2147483647),Controls!$B$8+(Controls!$B$9-Controls!$B$8)*H253/2147483647))</f>
        <v/>
      </c>
      <c r="AC253" s="10" t="str">
        <f>IF(I253="","",IF(Controls!$B$7="Normal",Controls!$B$8+Controls!$B$9*SQRT(-2*LN(I253/2147483647))*COS(2*PI()*S253/2147483647),Controls!$B$8+(Controls!$B$9-Controls!$B$8)*I253/2147483647))</f>
        <v/>
      </c>
      <c r="AD253" s="10" t="str">
        <f>IF(J253="","",IF(Controls!$B$7="Normal",Controls!$B$8+Controls!$B$9*SQRT(-2*LN(J253/2147483647))*COS(2*PI()*T253/2147483647),Controls!$B$8+(Controls!$B$9-Controls!$B$8)*J253/2147483647))</f>
        <v/>
      </c>
      <c r="AE253" s="10" t="str">
        <f>IF(K253="","",IF(Controls!$B$7="Normal",Controls!$B$8+Controls!$B$9*SQRT(-2*LN(K253/2147483647))*COS(2*PI()*U253/2147483647),Controls!$B$8+(Controls!$B$9-Controls!$B$8)*K253/2147483647))</f>
        <v/>
      </c>
    </row>
    <row r="254" ht="21.0" customHeight="1">
      <c r="A254" s="7" t="str">
        <f>IF(253&lt;=Controls!$B$5,Controls!$B$4+252,"")</f>
        <v/>
      </c>
      <c r="B254" s="10" t="str">
        <f>IF(OR($A254="",1&gt;Controls!$B$6),"",MOD(L253*48271,2147483647))</f>
        <v/>
      </c>
      <c r="C254" s="10" t="str">
        <f>IF(OR($A254="",2&gt;Controls!$B$6),"",MOD(M253*48271,2147483647))</f>
        <v/>
      </c>
      <c r="D254" s="10" t="str">
        <f>IF(OR($A254="",3&gt;Controls!$B$6),"",MOD(N253*48271,2147483647))</f>
        <v/>
      </c>
      <c r="E254" s="10" t="str">
        <f>IF(OR($A254="",4&gt;Controls!$B$6),"",MOD(O253*48271,2147483647))</f>
        <v/>
      </c>
      <c r="F254" s="10" t="str">
        <f>IF(OR($A254="",5&gt;Controls!$B$6),"",MOD(P253*48271,2147483647))</f>
        <v/>
      </c>
      <c r="G254" s="10" t="str">
        <f>IF(OR($A254="",6&gt;Controls!$B$6),"",MOD(Q253*48271,2147483647))</f>
        <v/>
      </c>
      <c r="H254" s="10" t="str">
        <f>IF(OR($A254="",7&gt;Controls!$B$6),"",MOD(R253*48271,2147483647))</f>
        <v/>
      </c>
      <c r="I254" s="10" t="str">
        <f>IF(OR($A254="",8&gt;Controls!$B$6),"",MOD(S253*48271,2147483647))</f>
        <v/>
      </c>
      <c r="J254" s="10" t="str">
        <f>IF(OR($A254="",9&gt;Controls!$B$6),"",MOD(T253*48271,2147483647))</f>
        <v/>
      </c>
      <c r="K254" s="10" t="str">
        <f>IF(OR($A254="",10&gt;Controls!$B$6),"",MOD(U253*48271,2147483647))</f>
        <v/>
      </c>
      <c r="L254" s="10" t="str">
        <f t="shared" ref="L254:U254" si="253">IF(B254="","",MOD(B254*48271,2147483647))</f>
        <v/>
      </c>
      <c r="M254" s="10" t="str">
        <f t="shared" si="253"/>
        <v/>
      </c>
      <c r="N254" s="10" t="str">
        <f t="shared" si="253"/>
        <v/>
      </c>
      <c r="O254" s="10" t="str">
        <f t="shared" si="253"/>
        <v/>
      </c>
      <c r="P254" s="10" t="str">
        <f t="shared" si="253"/>
        <v/>
      </c>
      <c r="Q254" s="10" t="str">
        <f t="shared" si="253"/>
        <v/>
      </c>
      <c r="R254" s="10" t="str">
        <f t="shared" si="253"/>
        <v/>
      </c>
      <c r="S254" s="10" t="str">
        <f t="shared" si="253"/>
        <v/>
      </c>
      <c r="T254" s="10" t="str">
        <f t="shared" si="253"/>
        <v/>
      </c>
      <c r="U254" s="10" t="str">
        <f t="shared" si="253"/>
        <v/>
      </c>
      <c r="V254" s="10" t="str">
        <f>IF(B254="","",IF(Controls!$B$7="Normal",Controls!$B$8+Controls!$B$9*SQRT(-2*LN(B254/2147483647))*COS(2*PI()*L254/2147483647),Controls!$B$8+(Controls!$B$9-Controls!$B$8)*B254/2147483647))</f>
        <v/>
      </c>
      <c r="W254" s="10" t="str">
        <f>IF(C254="","",IF(Controls!$B$7="Normal",Controls!$B$8+Controls!$B$9*SQRT(-2*LN(C254/2147483647))*COS(2*PI()*M254/2147483647),Controls!$B$8+(Controls!$B$9-Controls!$B$8)*C254/2147483647))</f>
        <v/>
      </c>
      <c r="X254" s="10" t="str">
        <f>IF(D254="","",IF(Controls!$B$7="Normal",Controls!$B$8+Controls!$B$9*SQRT(-2*LN(D254/2147483647))*COS(2*PI()*N254/2147483647),Controls!$B$8+(Controls!$B$9-Controls!$B$8)*D254/2147483647))</f>
        <v/>
      </c>
      <c r="Y254" s="10" t="str">
        <f>IF(E254="","",IF(Controls!$B$7="Normal",Controls!$B$8+Controls!$B$9*SQRT(-2*LN(E254/2147483647))*COS(2*PI()*O254/2147483647),Controls!$B$8+(Controls!$B$9-Controls!$B$8)*E254/2147483647))</f>
        <v/>
      </c>
      <c r="Z254" s="10" t="str">
        <f>IF(F254="","",IF(Controls!$B$7="Normal",Controls!$B$8+Controls!$B$9*SQRT(-2*LN(F254/2147483647))*COS(2*PI()*P254/2147483647),Controls!$B$8+(Controls!$B$9-Controls!$B$8)*F254/2147483647))</f>
        <v/>
      </c>
      <c r="AA254" s="10" t="str">
        <f>IF(G254="","",IF(Controls!$B$7="Normal",Controls!$B$8+Controls!$B$9*SQRT(-2*LN(G254/2147483647))*COS(2*PI()*Q254/2147483647),Controls!$B$8+(Controls!$B$9-Controls!$B$8)*G254/2147483647))</f>
        <v/>
      </c>
      <c r="AB254" s="10" t="str">
        <f>IF(H254="","",IF(Controls!$B$7="Normal",Controls!$B$8+Controls!$B$9*SQRT(-2*LN(H254/2147483647))*COS(2*PI()*R254/2147483647),Controls!$B$8+(Controls!$B$9-Controls!$B$8)*H254/2147483647))</f>
        <v/>
      </c>
      <c r="AC254" s="10" t="str">
        <f>IF(I254="","",IF(Controls!$B$7="Normal",Controls!$B$8+Controls!$B$9*SQRT(-2*LN(I254/2147483647))*COS(2*PI()*S254/2147483647),Controls!$B$8+(Controls!$B$9-Controls!$B$8)*I254/2147483647))</f>
        <v/>
      </c>
      <c r="AD254" s="10" t="str">
        <f>IF(J254="","",IF(Controls!$B$7="Normal",Controls!$B$8+Controls!$B$9*SQRT(-2*LN(J254/2147483647))*COS(2*PI()*T254/2147483647),Controls!$B$8+(Controls!$B$9-Controls!$B$8)*J254/2147483647))</f>
        <v/>
      </c>
      <c r="AE254" s="10" t="str">
        <f>IF(K254="","",IF(Controls!$B$7="Normal",Controls!$B$8+Controls!$B$9*SQRT(-2*LN(K254/2147483647))*COS(2*PI()*U254/2147483647),Controls!$B$8+(Controls!$B$9-Controls!$B$8)*K254/2147483647))</f>
        <v/>
      </c>
    </row>
    <row r="255" ht="21.0" customHeight="1">
      <c r="A255" s="7" t="str">
        <f>IF(254&lt;=Controls!$B$5,Controls!$B$4+253,"")</f>
        <v/>
      </c>
      <c r="B255" s="10" t="str">
        <f>IF(OR($A255="",1&gt;Controls!$B$6),"",MOD(L254*48271,2147483647))</f>
        <v/>
      </c>
      <c r="C255" s="10" t="str">
        <f>IF(OR($A255="",2&gt;Controls!$B$6),"",MOD(M254*48271,2147483647))</f>
        <v/>
      </c>
      <c r="D255" s="10" t="str">
        <f>IF(OR($A255="",3&gt;Controls!$B$6),"",MOD(N254*48271,2147483647))</f>
        <v/>
      </c>
      <c r="E255" s="10" t="str">
        <f>IF(OR($A255="",4&gt;Controls!$B$6),"",MOD(O254*48271,2147483647))</f>
        <v/>
      </c>
      <c r="F255" s="10" t="str">
        <f>IF(OR($A255="",5&gt;Controls!$B$6),"",MOD(P254*48271,2147483647))</f>
        <v/>
      </c>
      <c r="G255" s="10" t="str">
        <f>IF(OR($A255="",6&gt;Controls!$B$6),"",MOD(Q254*48271,2147483647))</f>
        <v/>
      </c>
      <c r="H255" s="10" t="str">
        <f>IF(OR($A255="",7&gt;Controls!$B$6),"",MOD(R254*48271,2147483647))</f>
        <v/>
      </c>
      <c r="I255" s="10" t="str">
        <f>IF(OR($A255="",8&gt;Controls!$B$6),"",MOD(S254*48271,2147483647))</f>
        <v/>
      </c>
      <c r="J255" s="10" t="str">
        <f>IF(OR($A255="",9&gt;Controls!$B$6),"",MOD(T254*48271,2147483647))</f>
        <v/>
      </c>
      <c r="K255" s="10" t="str">
        <f>IF(OR($A255="",10&gt;Controls!$B$6),"",MOD(U254*48271,2147483647))</f>
        <v/>
      </c>
      <c r="L255" s="10" t="str">
        <f t="shared" ref="L255:U255" si="254">IF(B255="","",MOD(B255*48271,2147483647))</f>
        <v/>
      </c>
      <c r="M255" s="10" t="str">
        <f t="shared" si="254"/>
        <v/>
      </c>
      <c r="N255" s="10" t="str">
        <f t="shared" si="254"/>
        <v/>
      </c>
      <c r="O255" s="10" t="str">
        <f t="shared" si="254"/>
        <v/>
      </c>
      <c r="P255" s="10" t="str">
        <f t="shared" si="254"/>
        <v/>
      </c>
      <c r="Q255" s="10" t="str">
        <f t="shared" si="254"/>
        <v/>
      </c>
      <c r="R255" s="10" t="str">
        <f t="shared" si="254"/>
        <v/>
      </c>
      <c r="S255" s="10" t="str">
        <f t="shared" si="254"/>
        <v/>
      </c>
      <c r="T255" s="10" t="str">
        <f t="shared" si="254"/>
        <v/>
      </c>
      <c r="U255" s="10" t="str">
        <f t="shared" si="254"/>
        <v/>
      </c>
      <c r="V255" s="10" t="str">
        <f>IF(B255="","",IF(Controls!$B$7="Normal",Controls!$B$8+Controls!$B$9*SQRT(-2*LN(B255/2147483647))*COS(2*PI()*L255/2147483647),Controls!$B$8+(Controls!$B$9-Controls!$B$8)*B255/2147483647))</f>
        <v/>
      </c>
      <c r="W255" s="10" t="str">
        <f>IF(C255="","",IF(Controls!$B$7="Normal",Controls!$B$8+Controls!$B$9*SQRT(-2*LN(C255/2147483647))*COS(2*PI()*M255/2147483647),Controls!$B$8+(Controls!$B$9-Controls!$B$8)*C255/2147483647))</f>
        <v/>
      </c>
      <c r="X255" s="10" t="str">
        <f>IF(D255="","",IF(Controls!$B$7="Normal",Controls!$B$8+Controls!$B$9*SQRT(-2*LN(D255/2147483647))*COS(2*PI()*N255/2147483647),Controls!$B$8+(Controls!$B$9-Controls!$B$8)*D255/2147483647))</f>
        <v/>
      </c>
      <c r="Y255" s="10" t="str">
        <f>IF(E255="","",IF(Controls!$B$7="Normal",Controls!$B$8+Controls!$B$9*SQRT(-2*LN(E255/2147483647))*COS(2*PI()*O255/2147483647),Controls!$B$8+(Controls!$B$9-Controls!$B$8)*E255/2147483647))</f>
        <v/>
      </c>
      <c r="Z255" s="10" t="str">
        <f>IF(F255="","",IF(Controls!$B$7="Normal",Controls!$B$8+Controls!$B$9*SQRT(-2*LN(F255/2147483647))*COS(2*PI()*P255/2147483647),Controls!$B$8+(Controls!$B$9-Controls!$B$8)*F255/2147483647))</f>
        <v/>
      </c>
      <c r="AA255" s="10" t="str">
        <f>IF(G255="","",IF(Controls!$B$7="Normal",Controls!$B$8+Controls!$B$9*SQRT(-2*LN(G255/2147483647))*COS(2*PI()*Q255/2147483647),Controls!$B$8+(Controls!$B$9-Controls!$B$8)*G255/2147483647))</f>
        <v/>
      </c>
      <c r="AB255" s="10" t="str">
        <f>IF(H255="","",IF(Controls!$B$7="Normal",Controls!$B$8+Controls!$B$9*SQRT(-2*LN(H255/2147483647))*COS(2*PI()*R255/2147483647),Controls!$B$8+(Controls!$B$9-Controls!$B$8)*H255/2147483647))</f>
        <v/>
      </c>
      <c r="AC255" s="10" t="str">
        <f>IF(I255="","",IF(Controls!$B$7="Normal",Controls!$B$8+Controls!$B$9*SQRT(-2*LN(I255/2147483647))*COS(2*PI()*S255/2147483647),Controls!$B$8+(Controls!$B$9-Controls!$B$8)*I255/2147483647))</f>
        <v/>
      </c>
      <c r="AD255" s="10" t="str">
        <f>IF(J255="","",IF(Controls!$B$7="Normal",Controls!$B$8+Controls!$B$9*SQRT(-2*LN(J255/2147483647))*COS(2*PI()*T255/2147483647),Controls!$B$8+(Controls!$B$9-Controls!$B$8)*J255/2147483647))</f>
        <v/>
      </c>
      <c r="AE255" s="10" t="str">
        <f>IF(K255="","",IF(Controls!$B$7="Normal",Controls!$B$8+Controls!$B$9*SQRT(-2*LN(K255/2147483647))*COS(2*PI()*U255/2147483647),Controls!$B$8+(Controls!$B$9-Controls!$B$8)*K255/2147483647))</f>
        <v/>
      </c>
    </row>
    <row r="256" ht="21.0" customHeight="1">
      <c r="A256" s="7" t="str">
        <f>IF(255&lt;=Controls!$B$5,Controls!$B$4+254,"")</f>
        <v/>
      </c>
      <c r="B256" s="10" t="str">
        <f>IF(OR($A256="",1&gt;Controls!$B$6),"",MOD(L255*48271,2147483647))</f>
        <v/>
      </c>
      <c r="C256" s="10" t="str">
        <f>IF(OR($A256="",2&gt;Controls!$B$6),"",MOD(M255*48271,2147483647))</f>
        <v/>
      </c>
      <c r="D256" s="10" t="str">
        <f>IF(OR($A256="",3&gt;Controls!$B$6),"",MOD(N255*48271,2147483647))</f>
        <v/>
      </c>
      <c r="E256" s="10" t="str">
        <f>IF(OR($A256="",4&gt;Controls!$B$6),"",MOD(O255*48271,2147483647))</f>
        <v/>
      </c>
      <c r="F256" s="10" t="str">
        <f>IF(OR($A256="",5&gt;Controls!$B$6),"",MOD(P255*48271,2147483647))</f>
        <v/>
      </c>
      <c r="G256" s="10" t="str">
        <f>IF(OR($A256="",6&gt;Controls!$B$6),"",MOD(Q255*48271,2147483647))</f>
        <v/>
      </c>
      <c r="H256" s="10" t="str">
        <f>IF(OR($A256="",7&gt;Controls!$B$6),"",MOD(R255*48271,2147483647))</f>
        <v/>
      </c>
      <c r="I256" s="10" t="str">
        <f>IF(OR($A256="",8&gt;Controls!$B$6),"",MOD(S255*48271,2147483647))</f>
        <v/>
      </c>
      <c r="J256" s="10" t="str">
        <f>IF(OR($A256="",9&gt;Controls!$B$6),"",MOD(T255*48271,2147483647))</f>
        <v/>
      </c>
      <c r="K256" s="10" t="str">
        <f>IF(OR($A256="",10&gt;Controls!$B$6),"",MOD(U255*48271,2147483647))</f>
        <v/>
      </c>
      <c r="L256" s="10" t="str">
        <f t="shared" ref="L256:U256" si="255">IF(B256="","",MOD(B256*48271,2147483647))</f>
        <v/>
      </c>
      <c r="M256" s="10" t="str">
        <f t="shared" si="255"/>
        <v/>
      </c>
      <c r="N256" s="10" t="str">
        <f t="shared" si="255"/>
        <v/>
      </c>
      <c r="O256" s="10" t="str">
        <f t="shared" si="255"/>
        <v/>
      </c>
      <c r="P256" s="10" t="str">
        <f t="shared" si="255"/>
        <v/>
      </c>
      <c r="Q256" s="10" t="str">
        <f t="shared" si="255"/>
        <v/>
      </c>
      <c r="R256" s="10" t="str">
        <f t="shared" si="255"/>
        <v/>
      </c>
      <c r="S256" s="10" t="str">
        <f t="shared" si="255"/>
        <v/>
      </c>
      <c r="T256" s="10" t="str">
        <f t="shared" si="255"/>
        <v/>
      </c>
      <c r="U256" s="10" t="str">
        <f t="shared" si="255"/>
        <v/>
      </c>
      <c r="V256" s="10" t="str">
        <f>IF(B256="","",IF(Controls!$B$7="Normal",Controls!$B$8+Controls!$B$9*SQRT(-2*LN(B256/2147483647))*COS(2*PI()*L256/2147483647),Controls!$B$8+(Controls!$B$9-Controls!$B$8)*B256/2147483647))</f>
        <v/>
      </c>
      <c r="W256" s="10" t="str">
        <f>IF(C256="","",IF(Controls!$B$7="Normal",Controls!$B$8+Controls!$B$9*SQRT(-2*LN(C256/2147483647))*COS(2*PI()*M256/2147483647),Controls!$B$8+(Controls!$B$9-Controls!$B$8)*C256/2147483647))</f>
        <v/>
      </c>
      <c r="X256" s="10" t="str">
        <f>IF(D256="","",IF(Controls!$B$7="Normal",Controls!$B$8+Controls!$B$9*SQRT(-2*LN(D256/2147483647))*COS(2*PI()*N256/2147483647),Controls!$B$8+(Controls!$B$9-Controls!$B$8)*D256/2147483647))</f>
        <v/>
      </c>
      <c r="Y256" s="10" t="str">
        <f>IF(E256="","",IF(Controls!$B$7="Normal",Controls!$B$8+Controls!$B$9*SQRT(-2*LN(E256/2147483647))*COS(2*PI()*O256/2147483647),Controls!$B$8+(Controls!$B$9-Controls!$B$8)*E256/2147483647))</f>
        <v/>
      </c>
      <c r="Z256" s="10" t="str">
        <f>IF(F256="","",IF(Controls!$B$7="Normal",Controls!$B$8+Controls!$B$9*SQRT(-2*LN(F256/2147483647))*COS(2*PI()*P256/2147483647),Controls!$B$8+(Controls!$B$9-Controls!$B$8)*F256/2147483647))</f>
        <v/>
      </c>
      <c r="AA256" s="10" t="str">
        <f>IF(G256="","",IF(Controls!$B$7="Normal",Controls!$B$8+Controls!$B$9*SQRT(-2*LN(G256/2147483647))*COS(2*PI()*Q256/2147483647),Controls!$B$8+(Controls!$B$9-Controls!$B$8)*G256/2147483647))</f>
        <v/>
      </c>
      <c r="AB256" s="10" t="str">
        <f>IF(H256="","",IF(Controls!$B$7="Normal",Controls!$B$8+Controls!$B$9*SQRT(-2*LN(H256/2147483647))*COS(2*PI()*R256/2147483647),Controls!$B$8+(Controls!$B$9-Controls!$B$8)*H256/2147483647))</f>
        <v/>
      </c>
      <c r="AC256" s="10" t="str">
        <f>IF(I256="","",IF(Controls!$B$7="Normal",Controls!$B$8+Controls!$B$9*SQRT(-2*LN(I256/2147483647))*COS(2*PI()*S256/2147483647),Controls!$B$8+(Controls!$B$9-Controls!$B$8)*I256/2147483647))</f>
        <v/>
      </c>
      <c r="AD256" s="10" t="str">
        <f>IF(J256="","",IF(Controls!$B$7="Normal",Controls!$B$8+Controls!$B$9*SQRT(-2*LN(J256/2147483647))*COS(2*PI()*T256/2147483647),Controls!$B$8+(Controls!$B$9-Controls!$B$8)*J256/2147483647))</f>
        <v/>
      </c>
      <c r="AE256" s="10" t="str">
        <f>IF(K256="","",IF(Controls!$B$7="Normal",Controls!$B$8+Controls!$B$9*SQRT(-2*LN(K256/2147483647))*COS(2*PI()*U256/2147483647),Controls!$B$8+(Controls!$B$9-Controls!$B$8)*K256/2147483647))</f>
        <v/>
      </c>
    </row>
    <row r="257" ht="21.0" customHeight="1">
      <c r="A257" s="7" t="str">
        <f>IF(256&lt;=Controls!$B$5,Controls!$B$4+255,"")</f>
        <v/>
      </c>
      <c r="B257" s="10" t="str">
        <f>IF(OR($A257="",1&gt;Controls!$B$6),"",MOD(L256*48271,2147483647))</f>
        <v/>
      </c>
      <c r="C257" s="10" t="str">
        <f>IF(OR($A257="",2&gt;Controls!$B$6),"",MOD(M256*48271,2147483647))</f>
        <v/>
      </c>
      <c r="D257" s="10" t="str">
        <f>IF(OR($A257="",3&gt;Controls!$B$6),"",MOD(N256*48271,2147483647))</f>
        <v/>
      </c>
      <c r="E257" s="10" t="str">
        <f>IF(OR($A257="",4&gt;Controls!$B$6),"",MOD(O256*48271,2147483647))</f>
        <v/>
      </c>
      <c r="F257" s="10" t="str">
        <f>IF(OR($A257="",5&gt;Controls!$B$6),"",MOD(P256*48271,2147483647))</f>
        <v/>
      </c>
      <c r="G257" s="10" t="str">
        <f>IF(OR($A257="",6&gt;Controls!$B$6),"",MOD(Q256*48271,2147483647))</f>
        <v/>
      </c>
      <c r="H257" s="10" t="str">
        <f>IF(OR($A257="",7&gt;Controls!$B$6),"",MOD(R256*48271,2147483647))</f>
        <v/>
      </c>
      <c r="I257" s="10" t="str">
        <f>IF(OR($A257="",8&gt;Controls!$B$6),"",MOD(S256*48271,2147483647))</f>
        <v/>
      </c>
      <c r="J257" s="10" t="str">
        <f>IF(OR($A257="",9&gt;Controls!$B$6),"",MOD(T256*48271,2147483647))</f>
        <v/>
      </c>
      <c r="K257" s="10" t="str">
        <f>IF(OR($A257="",10&gt;Controls!$B$6),"",MOD(U256*48271,2147483647))</f>
        <v/>
      </c>
      <c r="L257" s="10" t="str">
        <f t="shared" ref="L257:U257" si="256">IF(B257="","",MOD(B257*48271,2147483647))</f>
        <v/>
      </c>
      <c r="M257" s="10" t="str">
        <f t="shared" si="256"/>
        <v/>
      </c>
      <c r="N257" s="10" t="str">
        <f t="shared" si="256"/>
        <v/>
      </c>
      <c r="O257" s="10" t="str">
        <f t="shared" si="256"/>
        <v/>
      </c>
      <c r="P257" s="10" t="str">
        <f t="shared" si="256"/>
        <v/>
      </c>
      <c r="Q257" s="10" t="str">
        <f t="shared" si="256"/>
        <v/>
      </c>
      <c r="R257" s="10" t="str">
        <f t="shared" si="256"/>
        <v/>
      </c>
      <c r="S257" s="10" t="str">
        <f t="shared" si="256"/>
        <v/>
      </c>
      <c r="T257" s="10" t="str">
        <f t="shared" si="256"/>
        <v/>
      </c>
      <c r="U257" s="10" t="str">
        <f t="shared" si="256"/>
        <v/>
      </c>
      <c r="V257" s="10" t="str">
        <f>IF(B257="","",IF(Controls!$B$7="Normal",Controls!$B$8+Controls!$B$9*SQRT(-2*LN(B257/2147483647))*COS(2*PI()*L257/2147483647),Controls!$B$8+(Controls!$B$9-Controls!$B$8)*B257/2147483647))</f>
        <v/>
      </c>
      <c r="W257" s="10" t="str">
        <f>IF(C257="","",IF(Controls!$B$7="Normal",Controls!$B$8+Controls!$B$9*SQRT(-2*LN(C257/2147483647))*COS(2*PI()*M257/2147483647),Controls!$B$8+(Controls!$B$9-Controls!$B$8)*C257/2147483647))</f>
        <v/>
      </c>
      <c r="X257" s="10" t="str">
        <f>IF(D257="","",IF(Controls!$B$7="Normal",Controls!$B$8+Controls!$B$9*SQRT(-2*LN(D257/2147483647))*COS(2*PI()*N257/2147483647),Controls!$B$8+(Controls!$B$9-Controls!$B$8)*D257/2147483647))</f>
        <v/>
      </c>
      <c r="Y257" s="10" t="str">
        <f>IF(E257="","",IF(Controls!$B$7="Normal",Controls!$B$8+Controls!$B$9*SQRT(-2*LN(E257/2147483647))*COS(2*PI()*O257/2147483647),Controls!$B$8+(Controls!$B$9-Controls!$B$8)*E257/2147483647))</f>
        <v/>
      </c>
      <c r="Z257" s="10" t="str">
        <f>IF(F257="","",IF(Controls!$B$7="Normal",Controls!$B$8+Controls!$B$9*SQRT(-2*LN(F257/2147483647))*COS(2*PI()*P257/2147483647),Controls!$B$8+(Controls!$B$9-Controls!$B$8)*F257/2147483647))</f>
        <v/>
      </c>
      <c r="AA257" s="10" t="str">
        <f>IF(G257="","",IF(Controls!$B$7="Normal",Controls!$B$8+Controls!$B$9*SQRT(-2*LN(G257/2147483647))*COS(2*PI()*Q257/2147483647),Controls!$B$8+(Controls!$B$9-Controls!$B$8)*G257/2147483647))</f>
        <v/>
      </c>
      <c r="AB257" s="10" t="str">
        <f>IF(H257="","",IF(Controls!$B$7="Normal",Controls!$B$8+Controls!$B$9*SQRT(-2*LN(H257/2147483647))*COS(2*PI()*R257/2147483647),Controls!$B$8+(Controls!$B$9-Controls!$B$8)*H257/2147483647))</f>
        <v/>
      </c>
      <c r="AC257" s="10" t="str">
        <f>IF(I257="","",IF(Controls!$B$7="Normal",Controls!$B$8+Controls!$B$9*SQRT(-2*LN(I257/2147483647))*COS(2*PI()*S257/2147483647),Controls!$B$8+(Controls!$B$9-Controls!$B$8)*I257/2147483647))</f>
        <v/>
      </c>
      <c r="AD257" s="10" t="str">
        <f>IF(J257="","",IF(Controls!$B$7="Normal",Controls!$B$8+Controls!$B$9*SQRT(-2*LN(J257/2147483647))*COS(2*PI()*T257/2147483647),Controls!$B$8+(Controls!$B$9-Controls!$B$8)*J257/2147483647))</f>
        <v/>
      </c>
      <c r="AE257" s="10" t="str">
        <f>IF(K257="","",IF(Controls!$B$7="Normal",Controls!$B$8+Controls!$B$9*SQRT(-2*LN(K257/2147483647))*COS(2*PI()*U257/2147483647),Controls!$B$8+(Controls!$B$9-Controls!$B$8)*K257/2147483647))</f>
        <v/>
      </c>
    </row>
    <row r="258" ht="21.0" customHeight="1">
      <c r="A258" s="7" t="str">
        <f>IF(257&lt;=Controls!$B$5,Controls!$B$4+256,"")</f>
        <v/>
      </c>
      <c r="B258" s="10" t="str">
        <f>IF(OR($A258="",1&gt;Controls!$B$6),"",MOD(L257*48271,2147483647))</f>
        <v/>
      </c>
      <c r="C258" s="10" t="str">
        <f>IF(OR($A258="",2&gt;Controls!$B$6),"",MOD(M257*48271,2147483647))</f>
        <v/>
      </c>
      <c r="D258" s="10" t="str">
        <f>IF(OR($A258="",3&gt;Controls!$B$6),"",MOD(N257*48271,2147483647))</f>
        <v/>
      </c>
      <c r="E258" s="10" t="str">
        <f>IF(OR($A258="",4&gt;Controls!$B$6),"",MOD(O257*48271,2147483647))</f>
        <v/>
      </c>
      <c r="F258" s="10" t="str">
        <f>IF(OR($A258="",5&gt;Controls!$B$6),"",MOD(P257*48271,2147483647))</f>
        <v/>
      </c>
      <c r="G258" s="10" t="str">
        <f>IF(OR($A258="",6&gt;Controls!$B$6),"",MOD(Q257*48271,2147483647))</f>
        <v/>
      </c>
      <c r="H258" s="10" t="str">
        <f>IF(OR($A258="",7&gt;Controls!$B$6),"",MOD(R257*48271,2147483647))</f>
        <v/>
      </c>
      <c r="I258" s="10" t="str">
        <f>IF(OR($A258="",8&gt;Controls!$B$6),"",MOD(S257*48271,2147483647))</f>
        <v/>
      </c>
      <c r="J258" s="10" t="str">
        <f>IF(OR($A258="",9&gt;Controls!$B$6),"",MOD(T257*48271,2147483647))</f>
        <v/>
      </c>
      <c r="K258" s="10" t="str">
        <f>IF(OR($A258="",10&gt;Controls!$B$6),"",MOD(U257*48271,2147483647))</f>
        <v/>
      </c>
      <c r="L258" s="10" t="str">
        <f t="shared" ref="L258:U258" si="257">IF(B258="","",MOD(B258*48271,2147483647))</f>
        <v/>
      </c>
      <c r="M258" s="10" t="str">
        <f t="shared" si="257"/>
        <v/>
      </c>
      <c r="N258" s="10" t="str">
        <f t="shared" si="257"/>
        <v/>
      </c>
      <c r="O258" s="10" t="str">
        <f t="shared" si="257"/>
        <v/>
      </c>
      <c r="P258" s="10" t="str">
        <f t="shared" si="257"/>
        <v/>
      </c>
      <c r="Q258" s="10" t="str">
        <f t="shared" si="257"/>
        <v/>
      </c>
      <c r="R258" s="10" t="str">
        <f t="shared" si="257"/>
        <v/>
      </c>
      <c r="S258" s="10" t="str">
        <f t="shared" si="257"/>
        <v/>
      </c>
      <c r="T258" s="10" t="str">
        <f t="shared" si="257"/>
        <v/>
      </c>
      <c r="U258" s="10" t="str">
        <f t="shared" si="257"/>
        <v/>
      </c>
      <c r="V258" s="10" t="str">
        <f>IF(B258="","",IF(Controls!$B$7="Normal",Controls!$B$8+Controls!$B$9*SQRT(-2*LN(B258/2147483647))*COS(2*PI()*L258/2147483647),Controls!$B$8+(Controls!$B$9-Controls!$B$8)*B258/2147483647))</f>
        <v/>
      </c>
      <c r="W258" s="10" t="str">
        <f>IF(C258="","",IF(Controls!$B$7="Normal",Controls!$B$8+Controls!$B$9*SQRT(-2*LN(C258/2147483647))*COS(2*PI()*M258/2147483647),Controls!$B$8+(Controls!$B$9-Controls!$B$8)*C258/2147483647))</f>
        <v/>
      </c>
      <c r="X258" s="10" t="str">
        <f>IF(D258="","",IF(Controls!$B$7="Normal",Controls!$B$8+Controls!$B$9*SQRT(-2*LN(D258/2147483647))*COS(2*PI()*N258/2147483647),Controls!$B$8+(Controls!$B$9-Controls!$B$8)*D258/2147483647))</f>
        <v/>
      </c>
      <c r="Y258" s="10" t="str">
        <f>IF(E258="","",IF(Controls!$B$7="Normal",Controls!$B$8+Controls!$B$9*SQRT(-2*LN(E258/2147483647))*COS(2*PI()*O258/2147483647),Controls!$B$8+(Controls!$B$9-Controls!$B$8)*E258/2147483647))</f>
        <v/>
      </c>
      <c r="Z258" s="10" t="str">
        <f>IF(F258="","",IF(Controls!$B$7="Normal",Controls!$B$8+Controls!$B$9*SQRT(-2*LN(F258/2147483647))*COS(2*PI()*P258/2147483647),Controls!$B$8+(Controls!$B$9-Controls!$B$8)*F258/2147483647))</f>
        <v/>
      </c>
      <c r="AA258" s="10" t="str">
        <f>IF(G258="","",IF(Controls!$B$7="Normal",Controls!$B$8+Controls!$B$9*SQRT(-2*LN(G258/2147483647))*COS(2*PI()*Q258/2147483647),Controls!$B$8+(Controls!$B$9-Controls!$B$8)*G258/2147483647))</f>
        <v/>
      </c>
      <c r="AB258" s="10" t="str">
        <f>IF(H258="","",IF(Controls!$B$7="Normal",Controls!$B$8+Controls!$B$9*SQRT(-2*LN(H258/2147483647))*COS(2*PI()*R258/2147483647),Controls!$B$8+(Controls!$B$9-Controls!$B$8)*H258/2147483647))</f>
        <v/>
      </c>
      <c r="AC258" s="10" t="str">
        <f>IF(I258="","",IF(Controls!$B$7="Normal",Controls!$B$8+Controls!$B$9*SQRT(-2*LN(I258/2147483647))*COS(2*PI()*S258/2147483647),Controls!$B$8+(Controls!$B$9-Controls!$B$8)*I258/2147483647))</f>
        <v/>
      </c>
      <c r="AD258" s="10" t="str">
        <f>IF(J258="","",IF(Controls!$B$7="Normal",Controls!$B$8+Controls!$B$9*SQRT(-2*LN(J258/2147483647))*COS(2*PI()*T258/2147483647),Controls!$B$8+(Controls!$B$9-Controls!$B$8)*J258/2147483647))</f>
        <v/>
      </c>
      <c r="AE258" s="10" t="str">
        <f>IF(K258="","",IF(Controls!$B$7="Normal",Controls!$B$8+Controls!$B$9*SQRT(-2*LN(K258/2147483647))*COS(2*PI()*U258/2147483647),Controls!$B$8+(Controls!$B$9-Controls!$B$8)*K258/2147483647))</f>
        <v/>
      </c>
    </row>
    <row r="259" ht="21.0" customHeight="1">
      <c r="A259" s="7" t="str">
        <f>IF(258&lt;=Controls!$B$5,Controls!$B$4+257,"")</f>
        <v/>
      </c>
      <c r="B259" s="10" t="str">
        <f>IF(OR($A259="",1&gt;Controls!$B$6),"",MOD(L258*48271,2147483647))</f>
        <v/>
      </c>
      <c r="C259" s="10" t="str">
        <f>IF(OR($A259="",2&gt;Controls!$B$6),"",MOD(M258*48271,2147483647))</f>
        <v/>
      </c>
      <c r="D259" s="10" t="str">
        <f>IF(OR($A259="",3&gt;Controls!$B$6),"",MOD(N258*48271,2147483647))</f>
        <v/>
      </c>
      <c r="E259" s="10" t="str">
        <f>IF(OR($A259="",4&gt;Controls!$B$6),"",MOD(O258*48271,2147483647))</f>
        <v/>
      </c>
      <c r="F259" s="10" t="str">
        <f>IF(OR($A259="",5&gt;Controls!$B$6),"",MOD(P258*48271,2147483647))</f>
        <v/>
      </c>
      <c r="G259" s="10" t="str">
        <f>IF(OR($A259="",6&gt;Controls!$B$6),"",MOD(Q258*48271,2147483647))</f>
        <v/>
      </c>
      <c r="H259" s="10" t="str">
        <f>IF(OR($A259="",7&gt;Controls!$B$6),"",MOD(R258*48271,2147483647))</f>
        <v/>
      </c>
      <c r="I259" s="10" t="str">
        <f>IF(OR($A259="",8&gt;Controls!$B$6),"",MOD(S258*48271,2147483647))</f>
        <v/>
      </c>
      <c r="J259" s="10" t="str">
        <f>IF(OR($A259="",9&gt;Controls!$B$6),"",MOD(T258*48271,2147483647))</f>
        <v/>
      </c>
      <c r="K259" s="10" t="str">
        <f>IF(OR($A259="",10&gt;Controls!$B$6),"",MOD(U258*48271,2147483647))</f>
        <v/>
      </c>
      <c r="L259" s="10" t="str">
        <f t="shared" ref="L259:U259" si="258">IF(B259="","",MOD(B259*48271,2147483647))</f>
        <v/>
      </c>
      <c r="M259" s="10" t="str">
        <f t="shared" si="258"/>
        <v/>
      </c>
      <c r="N259" s="10" t="str">
        <f t="shared" si="258"/>
        <v/>
      </c>
      <c r="O259" s="10" t="str">
        <f t="shared" si="258"/>
        <v/>
      </c>
      <c r="P259" s="10" t="str">
        <f t="shared" si="258"/>
        <v/>
      </c>
      <c r="Q259" s="10" t="str">
        <f t="shared" si="258"/>
        <v/>
      </c>
      <c r="R259" s="10" t="str">
        <f t="shared" si="258"/>
        <v/>
      </c>
      <c r="S259" s="10" t="str">
        <f t="shared" si="258"/>
        <v/>
      </c>
      <c r="T259" s="10" t="str">
        <f t="shared" si="258"/>
        <v/>
      </c>
      <c r="U259" s="10" t="str">
        <f t="shared" si="258"/>
        <v/>
      </c>
      <c r="V259" s="10" t="str">
        <f>IF(B259="","",IF(Controls!$B$7="Normal",Controls!$B$8+Controls!$B$9*SQRT(-2*LN(B259/2147483647))*COS(2*PI()*L259/2147483647),Controls!$B$8+(Controls!$B$9-Controls!$B$8)*B259/2147483647))</f>
        <v/>
      </c>
      <c r="W259" s="10" t="str">
        <f>IF(C259="","",IF(Controls!$B$7="Normal",Controls!$B$8+Controls!$B$9*SQRT(-2*LN(C259/2147483647))*COS(2*PI()*M259/2147483647),Controls!$B$8+(Controls!$B$9-Controls!$B$8)*C259/2147483647))</f>
        <v/>
      </c>
      <c r="X259" s="10" t="str">
        <f>IF(D259="","",IF(Controls!$B$7="Normal",Controls!$B$8+Controls!$B$9*SQRT(-2*LN(D259/2147483647))*COS(2*PI()*N259/2147483647),Controls!$B$8+(Controls!$B$9-Controls!$B$8)*D259/2147483647))</f>
        <v/>
      </c>
      <c r="Y259" s="10" t="str">
        <f>IF(E259="","",IF(Controls!$B$7="Normal",Controls!$B$8+Controls!$B$9*SQRT(-2*LN(E259/2147483647))*COS(2*PI()*O259/2147483647),Controls!$B$8+(Controls!$B$9-Controls!$B$8)*E259/2147483647))</f>
        <v/>
      </c>
      <c r="Z259" s="10" t="str">
        <f>IF(F259="","",IF(Controls!$B$7="Normal",Controls!$B$8+Controls!$B$9*SQRT(-2*LN(F259/2147483647))*COS(2*PI()*P259/2147483647),Controls!$B$8+(Controls!$B$9-Controls!$B$8)*F259/2147483647))</f>
        <v/>
      </c>
      <c r="AA259" s="10" t="str">
        <f>IF(G259="","",IF(Controls!$B$7="Normal",Controls!$B$8+Controls!$B$9*SQRT(-2*LN(G259/2147483647))*COS(2*PI()*Q259/2147483647),Controls!$B$8+(Controls!$B$9-Controls!$B$8)*G259/2147483647))</f>
        <v/>
      </c>
      <c r="AB259" s="10" t="str">
        <f>IF(H259="","",IF(Controls!$B$7="Normal",Controls!$B$8+Controls!$B$9*SQRT(-2*LN(H259/2147483647))*COS(2*PI()*R259/2147483647),Controls!$B$8+(Controls!$B$9-Controls!$B$8)*H259/2147483647))</f>
        <v/>
      </c>
      <c r="AC259" s="10" t="str">
        <f>IF(I259="","",IF(Controls!$B$7="Normal",Controls!$B$8+Controls!$B$9*SQRT(-2*LN(I259/2147483647))*COS(2*PI()*S259/2147483647),Controls!$B$8+(Controls!$B$9-Controls!$B$8)*I259/2147483647))</f>
        <v/>
      </c>
      <c r="AD259" s="10" t="str">
        <f>IF(J259="","",IF(Controls!$B$7="Normal",Controls!$B$8+Controls!$B$9*SQRT(-2*LN(J259/2147483647))*COS(2*PI()*T259/2147483647),Controls!$B$8+(Controls!$B$9-Controls!$B$8)*J259/2147483647))</f>
        <v/>
      </c>
      <c r="AE259" s="10" t="str">
        <f>IF(K259="","",IF(Controls!$B$7="Normal",Controls!$B$8+Controls!$B$9*SQRT(-2*LN(K259/2147483647))*COS(2*PI()*U259/2147483647),Controls!$B$8+(Controls!$B$9-Controls!$B$8)*K259/2147483647))</f>
        <v/>
      </c>
    </row>
    <row r="260" ht="21.0" customHeight="1">
      <c r="A260" s="7" t="str">
        <f>IF(259&lt;=Controls!$B$5,Controls!$B$4+258,"")</f>
        <v/>
      </c>
      <c r="B260" s="10" t="str">
        <f>IF(OR($A260="",1&gt;Controls!$B$6),"",MOD(L259*48271,2147483647))</f>
        <v/>
      </c>
      <c r="C260" s="10" t="str">
        <f>IF(OR($A260="",2&gt;Controls!$B$6),"",MOD(M259*48271,2147483647))</f>
        <v/>
      </c>
      <c r="D260" s="10" t="str">
        <f>IF(OR($A260="",3&gt;Controls!$B$6),"",MOD(N259*48271,2147483647))</f>
        <v/>
      </c>
      <c r="E260" s="10" t="str">
        <f>IF(OR($A260="",4&gt;Controls!$B$6),"",MOD(O259*48271,2147483647))</f>
        <v/>
      </c>
      <c r="F260" s="10" t="str">
        <f>IF(OR($A260="",5&gt;Controls!$B$6),"",MOD(P259*48271,2147483647))</f>
        <v/>
      </c>
      <c r="G260" s="10" t="str">
        <f>IF(OR($A260="",6&gt;Controls!$B$6),"",MOD(Q259*48271,2147483647))</f>
        <v/>
      </c>
      <c r="H260" s="10" t="str">
        <f>IF(OR($A260="",7&gt;Controls!$B$6),"",MOD(R259*48271,2147483647))</f>
        <v/>
      </c>
      <c r="I260" s="10" t="str">
        <f>IF(OR($A260="",8&gt;Controls!$B$6),"",MOD(S259*48271,2147483647))</f>
        <v/>
      </c>
      <c r="J260" s="10" t="str">
        <f>IF(OR($A260="",9&gt;Controls!$B$6),"",MOD(T259*48271,2147483647))</f>
        <v/>
      </c>
      <c r="K260" s="10" t="str">
        <f>IF(OR($A260="",10&gt;Controls!$B$6),"",MOD(U259*48271,2147483647))</f>
        <v/>
      </c>
      <c r="L260" s="10" t="str">
        <f t="shared" ref="L260:U260" si="259">IF(B260="","",MOD(B260*48271,2147483647))</f>
        <v/>
      </c>
      <c r="M260" s="10" t="str">
        <f t="shared" si="259"/>
        <v/>
      </c>
      <c r="N260" s="10" t="str">
        <f t="shared" si="259"/>
        <v/>
      </c>
      <c r="O260" s="10" t="str">
        <f t="shared" si="259"/>
        <v/>
      </c>
      <c r="P260" s="10" t="str">
        <f t="shared" si="259"/>
        <v/>
      </c>
      <c r="Q260" s="10" t="str">
        <f t="shared" si="259"/>
        <v/>
      </c>
      <c r="R260" s="10" t="str">
        <f t="shared" si="259"/>
        <v/>
      </c>
      <c r="S260" s="10" t="str">
        <f t="shared" si="259"/>
        <v/>
      </c>
      <c r="T260" s="10" t="str">
        <f t="shared" si="259"/>
        <v/>
      </c>
      <c r="U260" s="10" t="str">
        <f t="shared" si="259"/>
        <v/>
      </c>
      <c r="V260" s="10" t="str">
        <f>IF(B260="","",IF(Controls!$B$7="Normal",Controls!$B$8+Controls!$B$9*SQRT(-2*LN(B260/2147483647))*COS(2*PI()*L260/2147483647),Controls!$B$8+(Controls!$B$9-Controls!$B$8)*B260/2147483647))</f>
        <v/>
      </c>
      <c r="W260" s="10" t="str">
        <f>IF(C260="","",IF(Controls!$B$7="Normal",Controls!$B$8+Controls!$B$9*SQRT(-2*LN(C260/2147483647))*COS(2*PI()*M260/2147483647),Controls!$B$8+(Controls!$B$9-Controls!$B$8)*C260/2147483647))</f>
        <v/>
      </c>
      <c r="X260" s="10" t="str">
        <f>IF(D260="","",IF(Controls!$B$7="Normal",Controls!$B$8+Controls!$B$9*SQRT(-2*LN(D260/2147483647))*COS(2*PI()*N260/2147483647),Controls!$B$8+(Controls!$B$9-Controls!$B$8)*D260/2147483647))</f>
        <v/>
      </c>
      <c r="Y260" s="10" t="str">
        <f>IF(E260="","",IF(Controls!$B$7="Normal",Controls!$B$8+Controls!$B$9*SQRT(-2*LN(E260/2147483647))*COS(2*PI()*O260/2147483647),Controls!$B$8+(Controls!$B$9-Controls!$B$8)*E260/2147483647))</f>
        <v/>
      </c>
      <c r="Z260" s="10" t="str">
        <f>IF(F260="","",IF(Controls!$B$7="Normal",Controls!$B$8+Controls!$B$9*SQRT(-2*LN(F260/2147483647))*COS(2*PI()*P260/2147483647),Controls!$B$8+(Controls!$B$9-Controls!$B$8)*F260/2147483647))</f>
        <v/>
      </c>
      <c r="AA260" s="10" t="str">
        <f>IF(G260="","",IF(Controls!$B$7="Normal",Controls!$B$8+Controls!$B$9*SQRT(-2*LN(G260/2147483647))*COS(2*PI()*Q260/2147483647),Controls!$B$8+(Controls!$B$9-Controls!$B$8)*G260/2147483647))</f>
        <v/>
      </c>
      <c r="AB260" s="10" t="str">
        <f>IF(H260="","",IF(Controls!$B$7="Normal",Controls!$B$8+Controls!$B$9*SQRT(-2*LN(H260/2147483647))*COS(2*PI()*R260/2147483647),Controls!$B$8+(Controls!$B$9-Controls!$B$8)*H260/2147483647))</f>
        <v/>
      </c>
      <c r="AC260" s="10" t="str">
        <f>IF(I260="","",IF(Controls!$B$7="Normal",Controls!$B$8+Controls!$B$9*SQRT(-2*LN(I260/2147483647))*COS(2*PI()*S260/2147483647),Controls!$B$8+(Controls!$B$9-Controls!$B$8)*I260/2147483647))</f>
        <v/>
      </c>
      <c r="AD260" s="10" t="str">
        <f>IF(J260="","",IF(Controls!$B$7="Normal",Controls!$B$8+Controls!$B$9*SQRT(-2*LN(J260/2147483647))*COS(2*PI()*T260/2147483647),Controls!$B$8+(Controls!$B$9-Controls!$B$8)*J260/2147483647))</f>
        <v/>
      </c>
      <c r="AE260" s="10" t="str">
        <f>IF(K260="","",IF(Controls!$B$7="Normal",Controls!$B$8+Controls!$B$9*SQRT(-2*LN(K260/2147483647))*COS(2*PI()*U260/2147483647),Controls!$B$8+(Controls!$B$9-Controls!$B$8)*K260/2147483647))</f>
        <v/>
      </c>
    </row>
    <row r="261" ht="21.0" customHeight="1">
      <c r="A261" s="7" t="str">
        <f>IF(260&lt;=Controls!$B$5,Controls!$B$4+259,"")</f>
        <v/>
      </c>
      <c r="B261" s="10" t="str">
        <f>IF(OR($A261="",1&gt;Controls!$B$6),"",MOD(L260*48271,2147483647))</f>
        <v/>
      </c>
      <c r="C261" s="10" t="str">
        <f>IF(OR($A261="",2&gt;Controls!$B$6),"",MOD(M260*48271,2147483647))</f>
        <v/>
      </c>
      <c r="D261" s="10" t="str">
        <f>IF(OR($A261="",3&gt;Controls!$B$6),"",MOD(N260*48271,2147483647))</f>
        <v/>
      </c>
      <c r="E261" s="10" t="str">
        <f>IF(OR($A261="",4&gt;Controls!$B$6),"",MOD(O260*48271,2147483647))</f>
        <v/>
      </c>
      <c r="F261" s="10" t="str">
        <f>IF(OR($A261="",5&gt;Controls!$B$6),"",MOD(P260*48271,2147483647))</f>
        <v/>
      </c>
      <c r="G261" s="10" t="str">
        <f>IF(OR($A261="",6&gt;Controls!$B$6),"",MOD(Q260*48271,2147483647))</f>
        <v/>
      </c>
      <c r="H261" s="10" t="str">
        <f>IF(OR($A261="",7&gt;Controls!$B$6),"",MOD(R260*48271,2147483647))</f>
        <v/>
      </c>
      <c r="I261" s="10" t="str">
        <f>IF(OR($A261="",8&gt;Controls!$B$6),"",MOD(S260*48271,2147483647))</f>
        <v/>
      </c>
      <c r="J261" s="10" t="str">
        <f>IF(OR($A261="",9&gt;Controls!$B$6),"",MOD(T260*48271,2147483647))</f>
        <v/>
      </c>
      <c r="K261" s="10" t="str">
        <f>IF(OR($A261="",10&gt;Controls!$B$6),"",MOD(U260*48271,2147483647))</f>
        <v/>
      </c>
      <c r="L261" s="10" t="str">
        <f t="shared" ref="L261:U261" si="260">IF(B261="","",MOD(B261*48271,2147483647))</f>
        <v/>
      </c>
      <c r="M261" s="10" t="str">
        <f t="shared" si="260"/>
        <v/>
      </c>
      <c r="N261" s="10" t="str">
        <f t="shared" si="260"/>
        <v/>
      </c>
      <c r="O261" s="10" t="str">
        <f t="shared" si="260"/>
        <v/>
      </c>
      <c r="P261" s="10" t="str">
        <f t="shared" si="260"/>
        <v/>
      </c>
      <c r="Q261" s="10" t="str">
        <f t="shared" si="260"/>
        <v/>
      </c>
      <c r="R261" s="10" t="str">
        <f t="shared" si="260"/>
        <v/>
      </c>
      <c r="S261" s="10" t="str">
        <f t="shared" si="260"/>
        <v/>
      </c>
      <c r="T261" s="10" t="str">
        <f t="shared" si="260"/>
        <v/>
      </c>
      <c r="U261" s="10" t="str">
        <f t="shared" si="260"/>
        <v/>
      </c>
      <c r="V261" s="10" t="str">
        <f>IF(B261="","",IF(Controls!$B$7="Normal",Controls!$B$8+Controls!$B$9*SQRT(-2*LN(B261/2147483647))*COS(2*PI()*L261/2147483647),Controls!$B$8+(Controls!$B$9-Controls!$B$8)*B261/2147483647))</f>
        <v/>
      </c>
      <c r="W261" s="10" t="str">
        <f>IF(C261="","",IF(Controls!$B$7="Normal",Controls!$B$8+Controls!$B$9*SQRT(-2*LN(C261/2147483647))*COS(2*PI()*M261/2147483647),Controls!$B$8+(Controls!$B$9-Controls!$B$8)*C261/2147483647))</f>
        <v/>
      </c>
      <c r="X261" s="10" t="str">
        <f>IF(D261="","",IF(Controls!$B$7="Normal",Controls!$B$8+Controls!$B$9*SQRT(-2*LN(D261/2147483647))*COS(2*PI()*N261/2147483647),Controls!$B$8+(Controls!$B$9-Controls!$B$8)*D261/2147483647))</f>
        <v/>
      </c>
      <c r="Y261" s="10" t="str">
        <f>IF(E261="","",IF(Controls!$B$7="Normal",Controls!$B$8+Controls!$B$9*SQRT(-2*LN(E261/2147483647))*COS(2*PI()*O261/2147483647),Controls!$B$8+(Controls!$B$9-Controls!$B$8)*E261/2147483647))</f>
        <v/>
      </c>
      <c r="Z261" s="10" t="str">
        <f>IF(F261="","",IF(Controls!$B$7="Normal",Controls!$B$8+Controls!$B$9*SQRT(-2*LN(F261/2147483647))*COS(2*PI()*P261/2147483647),Controls!$B$8+(Controls!$B$9-Controls!$B$8)*F261/2147483647))</f>
        <v/>
      </c>
      <c r="AA261" s="10" t="str">
        <f>IF(G261="","",IF(Controls!$B$7="Normal",Controls!$B$8+Controls!$B$9*SQRT(-2*LN(G261/2147483647))*COS(2*PI()*Q261/2147483647),Controls!$B$8+(Controls!$B$9-Controls!$B$8)*G261/2147483647))</f>
        <v/>
      </c>
      <c r="AB261" s="10" t="str">
        <f>IF(H261="","",IF(Controls!$B$7="Normal",Controls!$B$8+Controls!$B$9*SQRT(-2*LN(H261/2147483647))*COS(2*PI()*R261/2147483647),Controls!$B$8+(Controls!$B$9-Controls!$B$8)*H261/2147483647))</f>
        <v/>
      </c>
      <c r="AC261" s="10" t="str">
        <f>IF(I261="","",IF(Controls!$B$7="Normal",Controls!$B$8+Controls!$B$9*SQRT(-2*LN(I261/2147483647))*COS(2*PI()*S261/2147483647),Controls!$B$8+(Controls!$B$9-Controls!$B$8)*I261/2147483647))</f>
        <v/>
      </c>
      <c r="AD261" s="10" t="str">
        <f>IF(J261="","",IF(Controls!$B$7="Normal",Controls!$B$8+Controls!$B$9*SQRT(-2*LN(J261/2147483647))*COS(2*PI()*T261/2147483647),Controls!$B$8+(Controls!$B$9-Controls!$B$8)*J261/2147483647))</f>
        <v/>
      </c>
      <c r="AE261" s="10" t="str">
        <f>IF(K261="","",IF(Controls!$B$7="Normal",Controls!$B$8+Controls!$B$9*SQRT(-2*LN(K261/2147483647))*COS(2*PI()*U261/2147483647),Controls!$B$8+(Controls!$B$9-Controls!$B$8)*K261/2147483647))</f>
        <v/>
      </c>
    </row>
    <row r="262" ht="21.0" customHeight="1">
      <c r="A262" s="7" t="str">
        <f>IF(261&lt;=Controls!$B$5,Controls!$B$4+260,"")</f>
        <v/>
      </c>
      <c r="B262" s="10" t="str">
        <f>IF(OR($A262="",1&gt;Controls!$B$6),"",MOD(L261*48271,2147483647))</f>
        <v/>
      </c>
      <c r="C262" s="10" t="str">
        <f>IF(OR($A262="",2&gt;Controls!$B$6),"",MOD(M261*48271,2147483647))</f>
        <v/>
      </c>
      <c r="D262" s="10" t="str">
        <f>IF(OR($A262="",3&gt;Controls!$B$6),"",MOD(N261*48271,2147483647))</f>
        <v/>
      </c>
      <c r="E262" s="10" t="str">
        <f>IF(OR($A262="",4&gt;Controls!$B$6),"",MOD(O261*48271,2147483647))</f>
        <v/>
      </c>
      <c r="F262" s="10" t="str">
        <f>IF(OR($A262="",5&gt;Controls!$B$6),"",MOD(P261*48271,2147483647))</f>
        <v/>
      </c>
      <c r="G262" s="10" t="str">
        <f>IF(OR($A262="",6&gt;Controls!$B$6),"",MOD(Q261*48271,2147483647))</f>
        <v/>
      </c>
      <c r="H262" s="10" t="str">
        <f>IF(OR($A262="",7&gt;Controls!$B$6),"",MOD(R261*48271,2147483647))</f>
        <v/>
      </c>
      <c r="I262" s="10" t="str">
        <f>IF(OR($A262="",8&gt;Controls!$B$6),"",MOD(S261*48271,2147483647))</f>
        <v/>
      </c>
      <c r="J262" s="10" t="str">
        <f>IF(OR($A262="",9&gt;Controls!$B$6),"",MOD(T261*48271,2147483647))</f>
        <v/>
      </c>
      <c r="K262" s="10" t="str">
        <f>IF(OR($A262="",10&gt;Controls!$B$6),"",MOD(U261*48271,2147483647))</f>
        <v/>
      </c>
      <c r="L262" s="10" t="str">
        <f t="shared" ref="L262:U262" si="261">IF(B262="","",MOD(B262*48271,2147483647))</f>
        <v/>
      </c>
      <c r="M262" s="10" t="str">
        <f t="shared" si="261"/>
        <v/>
      </c>
      <c r="N262" s="10" t="str">
        <f t="shared" si="261"/>
        <v/>
      </c>
      <c r="O262" s="10" t="str">
        <f t="shared" si="261"/>
        <v/>
      </c>
      <c r="P262" s="10" t="str">
        <f t="shared" si="261"/>
        <v/>
      </c>
      <c r="Q262" s="10" t="str">
        <f t="shared" si="261"/>
        <v/>
      </c>
      <c r="R262" s="10" t="str">
        <f t="shared" si="261"/>
        <v/>
      </c>
      <c r="S262" s="10" t="str">
        <f t="shared" si="261"/>
        <v/>
      </c>
      <c r="T262" s="10" t="str">
        <f t="shared" si="261"/>
        <v/>
      </c>
      <c r="U262" s="10" t="str">
        <f t="shared" si="261"/>
        <v/>
      </c>
      <c r="V262" s="10" t="str">
        <f>IF(B262="","",IF(Controls!$B$7="Normal",Controls!$B$8+Controls!$B$9*SQRT(-2*LN(B262/2147483647))*COS(2*PI()*L262/2147483647),Controls!$B$8+(Controls!$B$9-Controls!$B$8)*B262/2147483647))</f>
        <v/>
      </c>
      <c r="W262" s="10" t="str">
        <f>IF(C262="","",IF(Controls!$B$7="Normal",Controls!$B$8+Controls!$B$9*SQRT(-2*LN(C262/2147483647))*COS(2*PI()*M262/2147483647),Controls!$B$8+(Controls!$B$9-Controls!$B$8)*C262/2147483647))</f>
        <v/>
      </c>
      <c r="X262" s="10" t="str">
        <f>IF(D262="","",IF(Controls!$B$7="Normal",Controls!$B$8+Controls!$B$9*SQRT(-2*LN(D262/2147483647))*COS(2*PI()*N262/2147483647),Controls!$B$8+(Controls!$B$9-Controls!$B$8)*D262/2147483647))</f>
        <v/>
      </c>
      <c r="Y262" s="10" t="str">
        <f>IF(E262="","",IF(Controls!$B$7="Normal",Controls!$B$8+Controls!$B$9*SQRT(-2*LN(E262/2147483647))*COS(2*PI()*O262/2147483647),Controls!$B$8+(Controls!$B$9-Controls!$B$8)*E262/2147483647))</f>
        <v/>
      </c>
      <c r="Z262" s="10" t="str">
        <f>IF(F262="","",IF(Controls!$B$7="Normal",Controls!$B$8+Controls!$B$9*SQRT(-2*LN(F262/2147483647))*COS(2*PI()*P262/2147483647),Controls!$B$8+(Controls!$B$9-Controls!$B$8)*F262/2147483647))</f>
        <v/>
      </c>
      <c r="AA262" s="10" t="str">
        <f>IF(G262="","",IF(Controls!$B$7="Normal",Controls!$B$8+Controls!$B$9*SQRT(-2*LN(G262/2147483647))*COS(2*PI()*Q262/2147483647),Controls!$B$8+(Controls!$B$9-Controls!$B$8)*G262/2147483647))</f>
        <v/>
      </c>
      <c r="AB262" s="10" t="str">
        <f>IF(H262="","",IF(Controls!$B$7="Normal",Controls!$B$8+Controls!$B$9*SQRT(-2*LN(H262/2147483647))*COS(2*PI()*R262/2147483647),Controls!$B$8+(Controls!$B$9-Controls!$B$8)*H262/2147483647))</f>
        <v/>
      </c>
      <c r="AC262" s="10" t="str">
        <f>IF(I262="","",IF(Controls!$B$7="Normal",Controls!$B$8+Controls!$B$9*SQRT(-2*LN(I262/2147483647))*COS(2*PI()*S262/2147483647),Controls!$B$8+(Controls!$B$9-Controls!$B$8)*I262/2147483647))</f>
        <v/>
      </c>
      <c r="AD262" s="10" t="str">
        <f>IF(J262="","",IF(Controls!$B$7="Normal",Controls!$B$8+Controls!$B$9*SQRT(-2*LN(J262/2147483647))*COS(2*PI()*T262/2147483647),Controls!$B$8+(Controls!$B$9-Controls!$B$8)*J262/2147483647))</f>
        <v/>
      </c>
      <c r="AE262" s="10" t="str">
        <f>IF(K262="","",IF(Controls!$B$7="Normal",Controls!$B$8+Controls!$B$9*SQRT(-2*LN(K262/2147483647))*COS(2*PI()*U262/2147483647),Controls!$B$8+(Controls!$B$9-Controls!$B$8)*K262/2147483647))</f>
        <v/>
      </c>
    </row>
    <row r="263" ht="21.0" customHeight="1">
      <c r="A263" s="7" t="str">
        <f>IF(262&lt;=Controls!$B$5,Controls!$B$4+261,"")</f>
        <v/>
      </c>
      <c r="B263" s="10" t="str">
        <f>IF(OR($A263="",1&gt;Controls!$B$6),"",MOD(L262*48271,2147483647))</f>
        <v/>
      </c>
      <c r="C263" s="10" t="str">
        <f>IF(OR($A263="",2&gt;Controls!$B$6),"",MOD(M262*48271,2147483647))</f>
        <v/>
      </c>
      <c r="D263" s="10" t="str">
        <f>IF(OR($A263="",3&gt;Controls!$B$6),"",MOD(N262*48271,2147483647))</f>
        <v/>
      </c>
      <c r="E263" s="10" t="str">
        <f>IF(OR($A263="",4&gt;Controls!$B$6),"",MOD(O262*48271,2147483647))</f>
        <v/>
      </c>
      <c r="F263" s="10" t="str">
        <f>IF(OR($A263="",5&gt;Controls!$B$6),"",MOD(P262*48271,2147483647))</f>
        <v/>
      </c>
      <c r="G263" s="10" t="str">
        <f>IF(OR($A263="",6&gt;Controls!$B$6),"",MOD(Q262*48271,2147483647))</f>
        <v/>
      </c>
      <c r="H263" s="10" t="str">
        <f>IF(OR($A263="",7&gt;Controls!$B$6),"",MOD(R262*48271,2147483647))</f>
        <v/>
      </c>
      <c r="I263" s="10" t="str">
        <f>IF(OR($A263="",8&gt;Controls!$B$6),"",MOD(S262*48271,2147483647))</f>
        <v/>
      </c>
      <c r="J263" s="10" t="str">
        <f>IF(OR($A263="",9&gt;Controls!$B$6),"",MOD(T262*48271,2147483647))</f>
        <v/>
      </c>
      <c r="K263" s="10" t="str">
        <f>IF(OR($A263="",10&gt;Controls!$B$6),"",MOD(U262*48271,2147483647))</f>
        <v/>
      </c>
      <c r="L263" s="10" t="str">
        <f t="shared" ref="L263:U263" si="262">IF(B263="","",MOD(B263*48271,2147483647))</f>
        <v/>
      </c>
      <c r="M263" s="10" t="str">
        <f t="shared" si="262"/>
        <v/>
      </c>
      <c r="N263" s="10" t="str">
        <f t="shared" si="262"/>
        <v/>
      </c>
      <c r="O263" s="10" t="str">
        <f t="shared" si="262"/>
        <v/>
      </c>
      <c r="P263" s="10" t="str">
        <f t="shared" si="262"/>
        <v/>
      </c>
      <c r="Q263" s="10" t="str">
        <f t="shared" si="262"/>
        <v/>
      </c>
      <c r="R263" s="10" t="str">
        <f t="shared" si="262"/>
        <v/>
      </c>
      <c r="S263" s="10" t="str">
        <f t="shared" si="262"/>
        <v/>
      </c>
      <c r="T263" s="10" t="str">
        <f t="shared" si="262"/>
        <v/>
      </c>
      <c r="U263" s="10" t="str">
        <f t="shared" si="262"/>
        <v/>
      </c>
      <c r="V263" s="10" t="str">
        <f>IF(B263="","",IF(Controls!$B$7="Normal",Controls!$B$8+Controls!$B$9*SQRT(-2*LN(B263/2147483647))*COS(2*PI()*L263/2147483647),Controls!$B$8+(Controls!$B$9-Controls!$B$8)*B263/2147483647))</f>
        <v/>
      </c>
      <c r="W263" s="10" t="str">
        <f>IF(C263="","",IF(Controls!$B$7="Normal",Controls!$B$8+Controls!$B$9*SQRT(-2*LN(C263/2147483647))*COS(2*PI()*M263/2147483647),Controls!$B$8+(Controls!$B$9-Controls!$B$8)*C263/2147483647))</f>
        <v/>
      </c>
      <c r="X263" s="10" t="str">
        <f>IF(D263="","",IF(Controls!$B$7="Normal",Controls!$B$8+Controls!$B$9*SQRT(-2*LN(D263/2147483647))*COS(2*PI()*N263/2147483647),Controls!$B$8+(Controls!$B$9-Controls!$B$8)*D263/2147483647))</f>
        <v/>
      </c>
      <c r="Y263" s="10" t="str">
        <f>IF(E263="","",IF(Controls!$B$7="Normal",Controls!$B$8+Controls!$B$9*SQRT(-2*LN(E263/2147483647))*COS(2*PI()*O263/2147483647),Controls!$B$8+(Controls!$B$9-Controls!$B$8)*E263/2147483647))</f>
        <v/>
      </c>
      <c r="Z263" s="10" t="str">
        <f>IF(F263="","",IF(Controls!$B$7="Normal",Controls!$B$8+Controls!$B$9*SQRT(-2*LN(F263/2147483647))*COS(2*PI()*P263/2147483647),Controls!$B$8+(Controls!$B$9-Controls!$B$8)*F263/2147483647))</f>
        <v/>
      </c>
      <c r="AA263" s="10" t="str">
        <f>IF(G263="","",IF(Controls!$B$7="Normal",Controls!$B$8+Controls!$B$9*SQRT(-2*LN(G263/2147483647))*COS(2*PI()*Q263/2147483647),Controls!$B$8+(Controls!$B$9-Controls!$B$8)*G263/2147483647))</f>
        <v/>
      </c>
      <c r="AB263" s="10" t="str">
        <f>IF(H263="","",IF(Controls!$B$7="Normal",Controls!$B$8+Controls!$B$9*SQRT(-2*LN(H263/2147483647))*COS(2*PI()*R263/2147483647),Controls!$B$8+(Controls!$B$9-Controls!$B$8)*H263/2147483647))</f>
        <v/>
      </c>
      <c r="AC263" s="10" t="str">
        <f>IF(I263="","",IF(Controls!$B$7="Normal",Controls!$B$8+Controls!$B$9*SQRT(-2*LN(I263/2147483647))*COS(2*PI()*S263/2147483647),Controls!$B$8+(Controls!$B$9-Controls!$B$8)*I263/2147483647))</f>
        <v/>
      </c>
      <c r="AD263" s="10" t="str">
        <f>IF(J263="","",IF(Controls!$B$7="Normal",Controls!$B$8+Controls!$B$9*SQRT(-2*LN(J263/2147483647))*COS(2*PI()*T263/2147483647),Controls!$B$8+(Controls!$B$9-Controls!$B$8)*J263/2147483647))</f>
        <v/>
      </c>
      <c r="AE263" s="10" t="str">
        <f>IF(K263="","",IF(Controls!$B$7="Normal",Controls!$B$8+Controls!$B$9*SQRT(-2*LN(K263/2147483647))*COS(2*PI()*U263/2147483647),Controls!$B$8+(Controls!$B$9-Controls!$B$8)*K263/2147483647))</f>
        <v/>
      </c>
    </row>
    <row r="264" ht="21.0" customHeight="1">
      <c r="A264" s="7" t="str">
        <f>IF(263&lt;=Controls!$B$5,Controls!$B$4+262,"")</f>
        <v/>
      </c>
      <c r="B264" s="10" t="str">
        <f>IF(OR($A264="",1&gt;Controls!$B$6),"",MOD(L263*48271,2147483647))</f>
        <v/>
      </c>
      <c r="C264" s="10" t="str">
        <f>IF(OR($A264="",2&gt;Controls!$B$6),"",MOD(M263*48271,2147483647))</f>
        <v/>
      </c>
      <c r="D264" s="10" t="str">
        <f>IF(OR($A264="",3&gt;Controls!$B$6),"",MOD(N263*48271,2147483647))</f>
        <v/>
      </c>
      <c r="E264" s="10" t="str">
        <f>IF(OR($A264="",4&gt;Controls!$B$6),"",MOD(O263*48271,2147483647))</f>
        <v/>
      </c>
      <c r="F264" s="10" t="str">
        <f>IF(OR($A264="",5&gt;Controls!$B$6),"",MOD(P263*48271,2147483647))</f>
        <v/>
      </c>
      <c r="G264" s="10" t="str">
        <f>IF(OR($A264="",6&gt;Controls!$B$6),"",MOD(Q263*48271,2147483647))</f>
        <v/>
      </c>
      <c r="H264" s="10" t="str">
        <f>IF(OR($A264="",7&gt;Controls!$B$6),"",MOD(R263*48271,2147483647))</f>
        <v/>
      </c>
      <c r="I264" s="10" t="str">
        <f>IF(OR($A264="",8&gt;Controls!$B$6),"",MOD(S263*48271,2147483647))</f>
        <v/>
      </c>
      <c r="J264" s="10" t="str">
        <f>IF(OR($A264="",9&gt;Controls!$B$6),"",MOD(T263*48271,2147483647))</f>
        <v/>
      </c>
      <c r="K264" s="10" t="str">
        <f>IF(OR($A264="",10&gt;Controls!$B$6),"",MOD(U263*48271,2147483647))</f>
        <v/>
      </c>
      <c r="L264" s="10" t="str">
        <f t="shared" ref="L264:U264" si="263">IF(B264="","",MOD(B264*48271,2147483647))</f>
        <v/>
      </c>
      <c r="M264" s="10" t="str">
        <f t="shared" si="263"/>
        <v/>
      </c>
      <c r="N264" s="10" t="str">
        <f t="shared" si="263"/>
        <v/>
      </c>
      <c r="O264" s="10" t="str">
        <f t="shared" si="263"/>
        <v/>
      </c>
      <c r="P264" s="10" t="str">
        <f t="shared" si="263"/>
        <v/>
      </c>
      <c r="Q264" s="10" t="str">
        <f t="shared" si="263"/>
        <v/>
      </c>
      <c r="R264" s="10" t="str">
        <f t="shared" si="263"/>
        <v/>
      </c>
      <c r="S264" s="10" t="str">
        <f t="shared" si="263"/>
        <v/>
      </c>
      <c r="T264" s="10" t="str">
        <f t="shared" si="263"/>
        <v/>
      </c>
      <c r="U264" s="10" t="str">
        <f t="shared" si="263"/>
        <v/>
      </c>
      <c r="V264" s="10" t="str">
        <f>IF(B264="","",IF(Controls!$B$7="Normal",Controls!$B$8+Controls!$B$9*SQRT(-2*LN(B264/2147483647))*COS(2*PI()*L264/2147483647),Controls!$B$8+(Controls!$B$9-Controls!$B$8)*B264/2147483647))</f>
        <v/>
      </c>
      <c r="W264" s="10" t="str">
        <f>IF(C264="","",IF(Controls!$B$7="Normal",Controls!$B$8+Controls!$B$9*SQRT(-2*LN(C264/2147483647))*COS(2*PI()*M264/2147483647),Controls!$B$8+(Controls!$B$9-Controls!$B$8)*C264/2147483647))</f>
        <v/>
      </c>
      <c r="X264" s="10" t="str">
        <f>IF(D264="","",IF(Controls!$B$7="Normal",Controls!$B$8+Controls!$B$9*SQRT(-2*LN(D264/2147483647))*COS(2*PI()*N264/2147483647),Controls!$B$8+(Controls!$B$9-Controls!$B$8)*D264/2147483647))</f>
        <v/>
      </c>
      <c r="Y264" s="10" t="str">
        <f>IF(E264="","",IF(Controls!$B$7="Normal",Controls!$B$8+Controls!$B$9*SQRT(-2*LN(E264/2147483647))*COS(2*PI()*O264/2147483647),Controls!$B$8+(Controls!$B$9-Controls!$B$8)*E264/2147483647))</f>
        <v/>
      </c>
      <c r="Z264" s="10" t="str">
        <f>IF(F264="","",IF(Controls!$B$7="Normal",Controls!$B$8+Controls!$B$9*SQRT(-2*LN(F264/2147483647))*COS(2*PI()*P264/2147483647),Controls!$B$8+(Controls!$B$9-Controls!$B$8)*F264/2147483647))</f>
        <v/>
      </c>
      <c r="AA264" s="10" t="str">
        <f>IF(G264="","",IF(Controls!$B$7="Normal",Controls!$B$8+Controls!$B$9*SQRT(-2*LN(G264/2147483647))*COS(2*PI()*Q264/2147483647),Controls!$B$8+(Controls!$B$9-Controls!$B$8)*G264/2147483647))</f>
        <v/>
      </c>
      <c r="AB264" s="10" t="str">
        <f>IF(H264="","",IF(Controls!$B$7="Normal",Controls!$B$8+Controls!$B$9*SQRT(-2*LN(H264/2147483647))*COS(2*PI()*R264/2147483647),Controls!$B$8+(Controls!$B$9-Controls!$B$8)*H264/2147483647))</f>
        <v/>
      </c>
      <c r="AC264" s="10" t="str">
        <f>IF(I264="","",IF(Controls!$B$7="Normal",Controls!$B$8+Controls!$B$9*SQRT(-2*LN(I264/2147483647))*COS(2*PI()*S264/2147483647),Controls!$B$8+(Controls!$B$9-Controls!$B$8)*I264/2147483647))</f>
        <v/>
      </c>
      <c r="AD264" s="10" t="str">
        <f>IF(J264="","",IF(Controls!$B$7="Normal",Controls!$B$8+Controls!$B$9*SQRT(-2*LN(J264/2147483647))*COS(2*PI()*T264/2147483647),Controls!$B$8+(Controls!$B$9-Controls!$B$8)*J264/2147483647))</f>
        <v/>
      </c>
      <c r="AE264" s="10" t="str">
        <f>IF(K264="","",IF(Controls!$B$7="Normal",Controls!$B$8+Controls!$B$9*SQRT(-2*LN(K264/2147483647))*COS(2*PI()*U264/2147483647),Controls!$B$8+(Controls!$B$9-Controls!$B$8)*K264/2147483647))</f>
        <v/>
      </c>
    </row>
    <row r="265" ht="21.0" customHeight="1">
      <c r="A265" s="7" t="str">
        <f>IF(264&lt;=Controls!$B$5,Controls!$B$4+263,"")</f>
        <v/>
      </c>
      <c r="B265" s="10" t="str">
        <f>IF(OR($A265="",1&gt;Controls!$B$6),"",MOD(L264*48271,2147483647))</f>
        <v/>
      </c>
      <c r="C265" s="10" t="str">
        <f>IF(OR($A265="",2&gt;Controls!$B$6),"",MOD(M264*48271,2147483647))</f>
        <v/>
      </c>
      <c r="D265" s="10" t="str">
        <f>IF(OR($A265="",3&gt;Controls!$B$6),"",MOD(N264*48271,2147483647))</f>
        <v/>
      </c>
      <c r="E265" s="10" t="str">
        <f>IF(OR($A265="",4&gt;Controls!$B$6),"",MOD(O264*48271,2147483647))</f>
        <v/>
      </c>
      <c r="F265" s="10" t="str">
        <f>IF(OR($A265="",5&gt;Controls!$B$6),"",MOD(P264*48271,2147483647))</f>
        <v/>
      </c>
      <c r="G265" s="10" t="str">
        <f>IF(OR($A265="",6&gt;Controls!$B$6),"",MOD(Q264*48271,2147483647))</f>
        <v/>
      </c>
      <c r="H265" s="10" t="str">
        <f>IF(OR($A265="",7&gt;Controls!$B$6),"",MOD(R264*48271,2147483647))</f>
        <v/>
      </c>
      <c r="I265" s="10" t="str">
        <f>IF(OR($A265="",8&gt;Controls!$B$6),"",MOD(S264*48271,2147483647))</f>
        <v/>
      </c>
      <c r="J265" s="10" t="str">
        <f>IF(OR($A265="",9&gt;Controls!$B$6),"",MOD(T264*48271,2147483647))</f>
        <v/>
      </c>
      <c r="K265" s="10" t="str">
        <f>IF(OR($A265="",10&gt;Controls!$B$6),"",MOD(U264*48271,2147483647))</f>
        <v/>
      </c>
      <c r="L265" s="10" t="str">
        <f t="shared" ref="L265:U265" si="264">IF(B265="","",MOD(B265*48271,2147483647))</f>
        <v/>
      </c>
      <c r="M265" s="10" t="str">
        <f t="shared" si="264"/>
        <v/>
      </c>
      <c r="N265" s="10" t="str">
        <f t="shared" si="264"/>
        <v/>
      </c>
      <c r="O265" s="10" t="str">
        <f t="shared" si="264"/>
        <v/>
      </c>
      <c r="P265" s="10" t="str">
        <f t="shared" si="264"/>
        <v/>
      </c>
      <c r="Q265" s="10" t="str">
        <f t="shared" si="264"/>
        <v/>
      </c>
      <c r="R265" s="10" t="str">
        <f t="shared" si="264"/>
        <v/>
      </c>
      <c r="S265" s="10" t="str">
        <f t="shared" si="264"/>
        <v/>
      </c>
      <c r="T265" s="10" t="str">
        <f t="shared" si="264"/>
        <v/>
      </c>
      <c r="U265" s="10" t="str">
        <f t="shared" si="264"/>
        <v/>
      </c>
      <c r="V265" s="10" t="str">
        <f>IF(B265="","",IF(Controls!$B$7="Normal",Controls!$B$8+Controls!$B$9*SQRT(-2*LN(B265/2147483647))*COS(2*PI()*L265/2147483647),Controls!$B$8+(Controls!$B$9-Controls!$B$8)*B265/2147483647))</f>
        <v/>
      </c>
      <c r="W265" s="10" t="str">
        <f>IF(C265="","",IF(Controls!$B$7="Normal",Controls!$B$8+Controls!$B$9*SQRT(-2*LN(C265/2147483647))*COS(2*PI()*M265/2147483647),Controls!$B$8+(Controls!$B$9-Controls!$B$8)*C265/2147483647))</f>
        <v/>
      </c>
      <c r="X265" s="10" t="str">
        <f>IF(D265="","",IF(Controls!$B$7="Normal",Controls!$B$8+Controls!$B$9*SQRT(-2*LN(D265/2147483647))*COS(2*PI()*N265/2147483647),Controls!$B$8+(Controls!$B$9-Controls!$B$8)*D265/2147483647))</f>
        <v/>
      </c>
      <c r="Y265" s="10" t="str">
        <f>IF(E265="","",IF(Controls!$B$7="Normal",Controls!$B$8+Controls!$B$9*SQRT(-2*LN(E265/2147483647))*COS(2*PI()*O265/2147483647),Controls!$B$8+(Controls!$B$9-Controls!$B$8)*E265/2147483647))</f>
        <v/>
      </c>
      <c r="Z265" s="10" t="str">
        <f>IF(F265="","",IF(Controls!$B$7="Normal",Controls!$B$8+Controls!$B$9*SQRT(-2*LN(F265/2147483647))*COS(2*PI()*P265/2147483647),Controls!$B$8+(Controls!$B$9-Controls!$B$8)*F265/2147483647))</f>
        <v/>
      </c>
      <c r="AA265" s="10" t="str">
        <f>IF(G265="","",IF(Controls!$B$7="Normal",Controls!$B$8+Controls!$B$9*SQRT(-2*LN(G265/2147483647))*COS(2*PI()*Q265/2147483647),Controls!$B$8+(Controls!$B$9-Controls!$B$8)*G265/2147483647))</f>
        <v/>
      </c>
      <c r="AB265" s="10" t="str">
        <f>IF(H265="","",IF(Controls!$B$7="Normal",Controls!$B$8+Controls!$B$9*SQRT(-2*LN(H265/2147483647))*COS(2*PI()*R265/2147483647),Controls!$B$8+(Controls!$B$9-Controls!$B$8)*H265/2147483647))</f>
        <v/>
      </c>
      <c r="AC265" s="10" t="str">
        <f>IF(I265="","",IF(Controls!$B$7="Normal",Controls!$B$8+Controls!$B$9*SQRT(-2*LN(I265/2147483647))*COS(2*PI()*S265/2147483647),Controls!$B$8+(Controls!$B$9-Controls!$B$8)*I265/2147483647))</f>
        <v/>
      </c>
      <c r="AD265" s="10" t="str">
        <f>IF(J265="","",IF(Controls!$B$7="Normal",Controls!$B$8+Controls!$B$9*SQRT(-2*LN(J265/2147483647))*COS(2*PI()*T265/2147483647),Controls!$B$8+(Controls!$B$9-Controls!$B$8)*J265/2147483647))</f>
        <v/>
      </c>
      <c r="AE265" s="10" t="str">
        <f>IF(K265="","",IF(Controls!$B$7="Normal",Controls!$B$8+Controls!$B$9*SQRT(-2*LN(K265/2147483647))*COS(2*PI()*U265/2147483647),Controls!$B$8+(Controls!$B$9-Controls!$B$8)*K265/2147483647))</f>
        <v/>
      </c>
    </row>
    <row r="266" ht="21.0" customHeight="1">
      <c r="A266" s="7" t="str">
        <f>IF(265&lt;=Controls!$B$5,Controls!$B$4+264,"")</f>
        <v/>
      </c>
      <c r="B266" s="10" t="str">
        <f>IF(OR($A266="",1&gt;Controls!$B$6),"",MOD(L265*48271,2147483647))</f>
        <v/>
      </c>
      <c r="C266" s="10" t="str">
        <f>IF(OR($A266="",2&gt;Controls!$B$6),"",MOD(M265*48271,2147483647))</f>
        <v/>
      </c>
      <c r="D266" s="10" t="str">
        <f>IF(OR($A266="",3&gt;Controls!$B$6),"",MOD(N265*48271,2147483647))</f>
        <v/>
      </c>
      <c r="E266" s="10" t="str">
        <f>IF(OR($A266="",4&gt;Controls!$B$6),"",MOD(O265*48271,2147483647))</f>
        <v/>
      </c>
      <c r="F266" s="10" t="str">
        <f>IF(OR($A266="",5&gt;Controls!$B$6),"",MOD(P265*48271,2147483647))</f>
        <v/>
      </c>
      <c r="G266" s="10" t="str">
        <f>IF(OR($A266="",6&gt;Controls!$B$6),"",MOD(Q265*48271,2147483647))</f>
        <v/>
      </c>
      <c r="H266" s="10" t="str">
        <f>IF(OR($A266="",7&gt;Controls!$B$6),"",MOD(R265*48271,2147483647))</f>
        <v/>
      </c>
      <c r="I266" s="10" t="str">
        <f>IF(OR($A266="",8&gt;Controls!$B$6),"",MOD(S265*48271,2147483647))</f>
        <v/>
      </c>
      <c r="J266" s="10" t="str">
        <f>IF(OR($A266="",9&gt;Controls!$B$6),"",MOD(T265*48271,2147483647))</f>
        <v/>
      </c>
      <c r="K266" s="10" t="str">
        <f>IF(OR($A266="",10&gt;Controls!$B$6),"",MOD(U265*48271,2147483647))</f>
        <v/>
      </c>
      <c r="L266" s="10" t="str">
        <f t="shared" ref="L266:U266" si="265">IF(B266="","",MOD(B266*48271,2147483647))</f>
        <v/>
      </c>
      <c r="M266" s="10" t="str">
        <f t="shared" si="265"/>
        <v/>
      </c>
      <c r="N266" s="10" t="str">
        <f t="shared" si="265"/>
        <v/>
      </c>
      <c r="O266" s="10" t="str">
        <f t="shared" si="265"/>
        <v/>
      </c>
      <c r="P266" s="10" t="str">
        <f t="shared" si="265"/>
        <v/>
      </c>
      <c r="Q266" s="10" t="str">
        <f t="shared" si="265"/>
        <v/>
      </c>
      <c r="R266" s="10" t="str">
        <f t="shared" si="265"/>
        <v/>
      </c>
      <c r="S266" s="10" t="str">
        <f t="shared" si="265"/>
        <v/>
      </c>
      <c r="T266" s="10" t="str">
        <f t="shared" si="265"/>
        <v/>
      </c>
      <c r="U266" s="10" t="str">
        <f t="shared" si="265"/>
        <v/>
      </c>
      <c r="V266" s="10" t="str">
        <f>IF(B266="","",IF(Controls!$B$7="Normal",Controls!$B$8+Controls!$B$9*SQRT(-2*LN(B266/2147483647))*COS(2*PI()*L266/2147483647),Controls!$B$8+(Controls!$B$9-Controls!$B$8)*B266/2147483647))</f>
        <v/>
      </c>
      <c r="W266" s="10" t="str">
        <f>IF(C266="","",IF(Controls!$B$7="Normal",Controls!$B$8+Controls!$B$9*SQRT(-2*LN(C266/2147483647))*COS(2*PI()*M266/2147483647),Controls!$B$8+(Controls!$B$9-Controls!$B$8)*C266/2147483647))</f>
        <v/>
      </c>
      <c r="X266" s="10" t="str">
        <f>IF(D266="","",IF(Controls!$B$7="Normal",Controls!$B$8+Controls!$B$9*SQRT(-2*LN(D266/2147483647))*COS(2*PI()*N266/2147483647),Controls!$B$8+(Controls!$B$9-Controls!$B$8)*D266/2147483647))</f>
        <v/>
      </c>
      <c r="Y266" s="10" t="str">
        <f>IF(E266="","",IF(Controls!$B$7="Normal",Controls!$B$8+Controls!$B$9*SQRT(-2*LN(E266/2147483647))*COS(2*PI()*O266/2147483647),Controls!$B$8+(Controls!$B$9-Controls!$B$8)*E266/2147483647))</f>
        <v/>
      </c>
      <c r="Z266" s="10" t="str">
        <f>IF(F266="","",IF(Controls!$B$7="Normal",Controls!$B$8+Controls!$B$9*SQRT(-2*LN(F266/2147483647))*COS(2*PI()*P266/2147483647),Controls!$B$8+(Controls!$B$9-Controls!$B$8)*F266/2147483647))</f>
        <v/>
      </c>
      <c r="AA266" s="10" t="str">
        <f>IF(G266="","",IF(Controls!$B$7="Normal",Controls!$B$8+Controls!$B$9*SQRT(-2*LN(G266/2147483647))*COS(2*PI()*Q266/2147483647),Controls!$B$8+(Controls!$B$9-Controls!$B$8)*G266/2147483647))</f>
        <v/>
      </c>
      <c r="AB266" s="10" t="str">
        <f>IF(H266="","",IF(Controls!$B$7="Normal",Controls!$B$8+Controls!$B$9*SQRT(-2*LN(H266/2147483647))*COS(2*PI()*R266/2147483647),Controls!$B$8+(Controls!$B$9-Controls!$B$8)*H266/2147483647))</f>
        <v/>
      </c>
      <c r="AC266" s="10" t="str">
        <f>IF(I266="","",IF(Controls!$B$7="Normal",Controls!$B$8+Controls!$B$9*SQRT(-2*LN(I266/2147483647))*COS(2*PI()*S266/2147483647),Controls!$B$8+(Controls!$B$9-Controls!$B$8)*I266/2147483647))</f>
        <v/>
      </c>
      <c r="AD266" s="10" t="str">
        <f>IF(J266="","",IF(Controls!$B$7="Normal",Controls!$B$8+Controls!$B$9*SQRT(-2*LN(J266/2147483647))*COS(2*PI()*T266/2147483647),Controls!$B$8+(Controls!$B$9-Controls!$B$8)*J266/2147483647))</f>
        <v/>
      </c>
      <c r="AE266" s="10" t="str">
        <f>IF(K266="","",IF(Controls!$B$7="Normal",Controls!$B$8+Controls!$B$9*SQRT(-2*LN(K266/2147483647))*COS(2*PI()*U266/2147483647),Controls!$B$8+(Controls!$B$9-Controls!$B$8)*K266/2147483647))</f>
        <v/>
      </c>
    </row>
    <row r="267" ht="21.0" customHeight="1">
      <c r="A267" s="7" t="str">
        <f>IF(266&lt;=Controls!$B$5,Controls!$B$4+265,"")</f>
        <v/>
      </c>
      <c r="B267" s="10" t="str">
        <f>IF(OR($A267="",1&gt;Controls!$B$6),"",MOD(L266*48271,2147483647))</f>
        <v/>
      </c>
      <c r="C267" s="10" t="str">
        <f>IF(OR($A267="",2&gt;Controls!$B$6),"",MOD(M266*48271,2147483647))</f>
        <v/>
      </c>
      <c r="D267" s="10" t="str">
        <f>IF(OR($A267="",3&gt;Controls!$B$6),"",MOD(N266*48271,2147483647))</f>
        <v/>
      </c>
      <c r="E267" s="10" t="str">
        <f>IF(OR($A267="",4&gt;Controls!$B$6),"",MOD(O266*48271,2147483647))</f>
        <v/>
      </c>
      <c r="F267" s="10" t="str">
        <f>IF(OR($A267="",5&gt;Controls!$B$6),"",MOD(P266*48271,2147483647))</f>
        <v/>
      </c>
      <c r="G267" s="10" t="str">
        <f>IF(OR($A267="",6&gt;Controls!$B$6),"",MOD(Q266*48271,2147483647))</f>
        <v/>
      </c>
      <c r="H267" s="10" t="str">
        <f>IF(OR($A267="",7&gt;Controls!$B$6),"",MOD(R266*48271,2147483647))</f>
        <v/>
      </c>
      <c r="I267" s="10" t="str">
        <f>IF(OR($A267="",8&gt;Controls!$B$6),"",MOD(S266*48271,2147483647))</f>
        <v/>
      </c>
      <c r="J267" s="10" t="str">
        <f>IF(OR($A267="",9&gt;Controls!$B$6),"",MOD(T266*48271,2147483647))</f>
        <v/>
      </c>
      <c r="K267" s="10" t="str">
        <f>IF(OR($A267="",10&gt;Controls!$B$6),"",MOD(U266*48271,2147483647))</f>
        <v/>
      </c>
      <c r="L267" s="10" t="str">
        <f t="shared" ref="L267:U267" si="266">IF(B267="","",MOD(B267*48271,2147483647))</f>
        <v/>
      </c>
      <c r="M267" s="10" t="str">
        <f t="shared" si="266"/>
        <v/>
      </c>
      <c r="N267" s="10" t="str">
        <f t="shared" si="266"/>
        <v/>
      </c>
      <c r="O267" s="10" t="str">
        <f t="shared" si="266"/>
        <v/>
      </c>
      <c r="P267" s="10" t="str">
        <f t="shared" si="266"/>
        <v/>
      </c>
      <c r="Q267" s="10" t="str">
        <f t="shared" si="266"/>
        <v/>
      </c>
      <c r="R267" s="10" t="str">
        <f t="shared" si="266"/>
        <v/>
      </c>
      <c r="S267" s="10" t="str">
        <f t="shared" si="266"/>
        <v/>
      </c>
      <c r="T267" s="10" t="str">
        <f t="shared" si="266"/>
        <v/>
      </c>
      <c r="U267" s="10" t="str">
        <f t="shared" si="266"/>
        <v/>
      </c>
      <c r="V267" s="10" t="str">
        <f>IF(B267="","",IF(Controls!$B$7="Normal",Controls!$B$8+Controls!$B$9*SQRT(-2*LN(B267/2147483647))*COS(2*PI()*L267/2147483647),Controls!$B$8+(Controls!$B$9-Controls!$B$8)*B267/2147483647))</f>
        <v/>
      </c>
      <c r="W267" s="10" t="str">
        <f>IF(C267="","",IF(Controls!$B$7="Normal",Controls!$B$8+Controls!$B$9*SQRT(-2*LN(C267/2147483647))*COS(2*PI()*M267/2147483647),Controls!$B$8+(Controls!$B$9-Controls!$B$8)*C267/2147483647))</f>
        <v/>
      </c>
      <c r="X267" s="10" t="str">
        <f>IF(D267="","",IF(Controls!$B$7="Normal",Controls!$B$8+Controls!$B$9*SQRT(-2*LN(D267/2147483647))*COS(2*PI()*N267/2147483647),Controls!$B$8+(Controls!$B$9-Controls!$B$8)*D267/2147483647))</f>
        <v/>
      </c>
      <c r="Y267" s="10" t="str">
        <f>IF(E267="","",IF(Controls!$B$7="Normal",Controls!$B$8+Controls!$B$9*SQRT(-2*LN(E267/2147483647))*COS(2*PI()*O267/2147483647),Controls!$B$8+(Controls!$B$9-Controls!$B$8)*E267/2147483647))</f>
        <v/>
      </c>
      <c r="Z267" s="10" t="str">
        <f>IF(F267="","",IF(Controls!$B$7="Normal",Controls!$B$8+Controls!$B$9*SQRT(-2*LN(F267/2147483647))*COS(2*PI()*P267/2147483647),Controls!$B$8+(Controls!$B$9-Controls!$B$8)*F267/2147483647))</f>
        <v/>
      </c>
      <c r="AA267" s="10" t="str">
        <f>IF(G267="","",IF(Controls!$B$7="Normal",Controls!$B$8+Controls!$B$9*SQRT(-2*LN(G267/2147483647))*COS(2*PI()*Q267/2147483647),Controls!$B$8+(Controls!$B$9-Controls!$B$8)*G267/2147483647))</f>
        <v/>
      </c>
      <c r="AB267" s="10" t="str">
        <f>IF(H267="","",IF(Controls!$B$7="Normal",Controls!$B$8+Controls!$B$9*SQRT(-2*LN(H267/2147483647))*COS(2*PI()*R267/2147483647),Controls!$B$8+(Controls!$B$9-Controls!$B$8)*H267/2147483647))</f>
        <v/>
      </c>
      <c r="AC267" s="10" t="str">
        <f>IF(I267="","",IF(Controls!$B$7="Normal",Controls!$B$8+Controls!$B$9*SQRT(-2*LN(I267/2147483647))*COS(2*PI()*S267/2147483647),Controls!$B$8+(Controls!$B$9-Controls!$B$8)*I267/2147483647))</f>
        <v/>
      </c>
      <c r="AD267" s="10" t="str">
        <f>IF(J267="","",IF(Controls!$B$7="Normal",Controls!$B$8+Controls!$B$9*SQRT(-2*LN(J267/2147483647))*COS(2*PI()*T267/2147483647),Controls!$B$8+(Controls!$B$9-Controls!$B$8)*J267/2147483647))</f>
        <v/>
      </c>
      <c r="AE267" s="10" t="str">
        <f>IF(K267="","",IF(Controls!$B$7="Normal",Controls!$B$8+Controls!$B$9*SQRT(-2*LN(K267/2147483647))*COS(2*PI()*U267/2147483647),Controls!$B$8+(Controls!$B$9-Controls!$B$8)*K267/2147483647))</f>
        <v/>
      </c>
    </row>
    <row r="268" ht="21.0" customHeight="1">
      <c r="A268" s="7" t="str">
        <f>IF(267&lt;=Controls!$B$5,Controls!$B$4+266,"")</f>
        <v/>
      </c>
      <c r="B268" s="10" t="str">
        <f>IF(OR($A268="",1&gt;Controls!$B$6),"",MOD(L267*48271,2147483647))</f>
        <v/>
      </c>
      <c r="C268" s="10" t="str">
        <f>IF(OR($A268="",2&gt;Controls!$B$6),"",MOD(M267*48271,2147483647))</f>
        <v/>
      </c>
      <c r="D268" s="10" t="str">
        <f>IF(OR($A268="",3&gt;Controls!$B$6),"",MOD(N267*48271,2147483647))</f>
        <v/>
      </c>
      <c r="E268" s="10" t="str">
        <f>IF(OR($A268="",4&gt;Controls!$B$6),"",MOD(O267*48271,2147483647))</f>
        <v/>
      </c>
      <c r="F268" s="10" t="str">
        <f>IF(OR($A268="",5&gt;Controls!$B$6),"",MOD(P267*48271,2147483647))</f>
        <v/>
      </c>
      <c r="G268" s="10" t="str">
        <f>IF(OR($A268="",6&gt;Controls!$B$6),"",MOD(Q267*48271,2147483647))</f>
        <v/>
      </c>
      <c r="H268" s="10" t="str">
        <f>IF(OR($A268="",7&gt;Controls!$B$6),"",MOD(R267*48271,2147483647))</f>
        <v/>
      </c>
      <c r="I268" s="10" t="str">
        <f>IF(OR($A268="",8&gt;Controls!$B$6),"",MOD(S267*48271,2147483647))</f>
        <v/>
      </c>
      <c r="J268" s="10" t="str">
        <f>IF(OR($A268="",9&gt;Controls!$B$6),"",MOD(T267*48271,2147483647))</f>
        <v/>
      </c>
      <c r="K268" s="10" t="str">
        <f>IF(OR($A268="",10&gt;Controls!$B$6),"",MOD(U267*48271,2147483647))</f>
        <v/>
      </c>
      <c r="L268" s="10" t="str">
        <f t="shared" ref="L268:U268" si="267">IF(B268="","",MOD(B268*48271,2147483647))</f>
        <v/>
      </c>
      <c r="M268" s="10" t="str">
        <f t="shared" si="267"/>
        <v/>
      </c>
      <c r="N268" s="10" t="str">
        <f t="shared" si="267"/>
        <v/>
      </c>
      <c r="O268" s="10" t="str">
        <f t="shared" si="267"/>
        <v/>
      </c>
      <c r="P268" s="10" t="str">
        <f t="shared" si="267"/>
        <v/>
      </c>
      <c r="Q268" s="10" t="str">
        <f t="shared" si="267"/>
        <v/>
      </c>
      <c r="R268" s="10" t="str">
        <f t="shared" si="267"/>
        <v/>
      </c>
      <c r="S268" s="10" t="str">
        <f t="shared" si="267"/>
        <v/>
      </c>
      <c r="T268" s="10" t="str">
        <f t="shared" si="267"/>
        <v/>
      </c>
      <c r="U268" s="10" t="str">
        <f t="shared" si="267"/>
        <v/>
      </c>
      <c r="V268" s="10" t="str">
        <f>IF(B268="","",IF(Controls!$B$7="Normal",Controls!$B$8+Controls!$B$9*SQRT(-2*LN(B268/2147483647))*COS(2*PI()*L268/2147483647),Controls!$B$8+(Controls!$B$9-Controls!$B$8)*B268/2147483647))</f>
        <v/>
      </c>
      <c r="W268" s="10" t="str">
        <f>IF(C268="","",IF(Controls!$B$7="Normal",Controls!$B$8+Controls!$B$9*SQRT(-2*LN(C268/2147483647))*COS(2*PI()*M268/2147483647),Controls!$B$8+(Controls!$B$9-Controls!$B$8)*C268/2147483647))</f>
        <v/>
      </c>
      <c r="X268" s="10" t="str">
        <f>IF(D268="","",IF(Controls!$B$7="Normal",Controls!$B$8+Controls!$B$9*SQRT(-2*LN(D268/2147483647))*COS(2*PI()*N268/2147483647),Controls!$B$8+(Controls!$B$9-Controls!$B$8)*D268/2147483647))</f>
        <v/>
      </c>
      <c r="Y268" s="10" t="str">
        <f>IF(E268="","",IF(Controls!$B$7="Normal",Controls!$B$8+Controls!$B$9*SQRT(-2*LN(E268/2147483647))*COS(2*PI()*O268/2147483647),Controls!$B$8+(Controls!$B$9-Controls!$B$8)*E268/2147483647))</f>
        <v/>
      </c>
      <c r="Z268" s="10" t="str">
        <f>IF(F268="","",IF(Controls!$B$7="Normal",Controls!$B$8+Controls!$B$9*SQRT(-2*LN(F268/2147483647))*COS(2*PI()*P268/2147483647),Controls!$B$8+(Controls!$B$9-Controls!$B$8)*F268/2147483647))</f>
        <v/>
      </c>
      <c r="AA268" s="10" t="str">
        <f>IF(G268="","",IF(Controls!$B$7="Normal",Controls!$B$8+Controls!$B$9*SQRT(-2*LN(G268/2147483647))*COS(2*PI()*Q268/2147483647),Controls!$B$8+(Controls!$B$9-Controls!$B$8)*G268/2147483647))</f>
        <v/>
      </c>
      <c r="AB268" s="10" t="str">
        <f>IF(H268="","",IF(Controls!$B$7="Normal",Controls!$B$8+Controls!$B$9*SQRT(-2*LN(H268/2147483647))*COS(2*PI()*R268/2147483647),Controls!$B$8+(Controls!$B$9-Controls!$B$8)*H268/2147483647))</f>
        <v/>
      </c>
      <c r="AC268" s="10" t="str">
        <f>IF(I268="","",IF(Controls!$B$7="Normal",Controls!$B$8+Controls!$B$9*SQRT(-2*LN(I268/2147483647))*COS(2*PI()*S268/2147483647),Controls!$B$8+(Controls!$B$9-Controls!$B$8)*I268/2147483647))</f>
        <v/>
      </c>
      <c r="AD268" s="10" t="str">
        <f>IF(J268="","",IF(Controls!$B$7="Normal",Controls!$B$8+Controls!$B$9*SQRT(-2*LN(J268/2147483647))*COS(2*PI()*T268/2147483647),Controls!$B$8+(Controls!$B$9-Controls!$B$8)*J268/2147483647))</f>
        <v/>
      </c>
      <c r="AE268" s="10" t="str">
        <f>IF(K268="","",IF(Controls!$B$7="Normal",Controls!$B$8+Controls!$B$9*SQRT(-2*LN(K268/2147483647))*COS(2*PI()*U268/2147483647),Controls!$B$8+(Controls!$B$9-Controls!$B$8)*K268/2147483647))</f>
        <v/>
      </c>
    </row>
    <row r="269" ht="21.0" customHeight="1">
      <c r="A269" s="7" t="str">
        <f>IF(268&lt;=Controls!$B$5,Controls!$B$4+267,"")</f>
        <v/>
      </c>
      <c r="B269" s="10" t="str">
        <f>IF(OR($A269="",1&gt;Controls!$B$6),"",MOD(L268*48271,2147483647))</f>
        <v/>
      </c>
      <c r="C269" s="10" t="str">
        <f>IF(OR($A269="",2&gt;Controls!$B$6),"",MOD(M268*48271,2147483647))</f>
        <v/>
      </c>
      <c r="D269" s="10" t="str">
        <f>IF(OR($A269="",3&gt;Controls!$B$6),"",MOD(N268*48271,2147483647))</f>
        <v/>
      </c>
      <c r="E269" s="10" t="str">
        <f>IF(OR($A269="",4&gt;Controls!$B$6),"",MOD(O268*48271,2147483647))</f>
        <v/>
      </c>
      <c r="F269" s="10" t="str">
        <f>IF(OR($A269="",5&gt;Controls!$B$6),"",MOD(P268*48271,2147483647))</f>
        <v/>
      </c>
      <c r="G269" s="10" t="str">
        <f>IF(OR($A269="",6&gt;Controls!$B$6),"",MOD(Q268*48271,2147483647))</f>
        <v/>
      </c>
      <c r="H269" s="10" t="str">
        <f>IF(OR($A269="",7&gt;Controls!$B$6),"",MOD(R268*48271,2147483647))</f>
        <v/>
      </c>
      <c r="I269" s="10" t="str">
        <f>IF(OR($A269="",8&gt;Controls!$B$6),"",MOD(S268*48271,2147483647))</f>
        <v/>
      </c>
      <c r="J269" s="10" t="str">
        <f>IF(OR($A269="",9&gt;Controls!$B$6),"",MOD(T268*48271,2147483647))</f>
        <v/>
      </c>
      <c r="K269" s="10" t="str">
        <f>IF(OR($A269="",10&gt;Controls!$B$6),"",MOD(U268*48271,2147483647))</f>
        <v/>
      </c>
      <c r="L269" s="10" t="str">
        <f t="shared" ref="L269:U269" si="268">IF(B269="","",MOD(B269*48271,2147483647))</f>
        <v/>
      </c>
      <c r="M269" s="10" t="str">
        <f t="shared" si="268"/>
        <v/>
      </c>
      <c r="N269" s="10" t="str">
        <f t="shared" si="268"/>
        <v/>
      </c>
      <c r="O269" s="10" t="str">
        <f t="shared" si="268"/>
        <v/>
      </c>
      <c r="P269" s="10" t="str">
        <f t="shared" si="268"/>
        <v/>
      </c>
      <c r="Q269" s="10" t="str">
        <f t="shared" si="268"/>
        <v/>
      </c>
      <c r="R269" s="10" t="str">
        <f t="shared" si="268"/>
        <v/>
      </c>
      <c r="S269" s="10" t="str">
        <f t="shared" si="268"/>
        <v/>
      </c>
      <c r="T269" s="10" t="str">
        <f t="shared" si="268"/>
        <v/>
      </c>
      <c r="U269" s="10" t="str">
        <f t="shared" si="268"/>
        <v/>
      </c>
      <c r="V269" s="10" t="str">
        <f>IF(B269="","",IF(Controls!$B$7="Normal",Controls!$B$8+Controls!$B$9*SQRT(-2*LN(B269/2147483647))*COS(2*PI()*L269/2147483647),Controls!$B$8+(Controls!$B$9-Controls!$B$8)*B269/2147483647))</f>
        <v/>
      </c>
      <c r="W269" s="10" t="str">
        <f>IF(C269="","",IF(Controls!$B$7="Normal",Controls!$B$8+Controls!$B$9*SQRT(-2*LN(C269/2147483647))*COS(2*PI()*M269/2147483647),Controls!$B$8+(Controls!$B$9-Controls!$B$8)*C269/2147483647))</f>
        <v/>
      </c>
      <c r="X269" s="10" t="str">
        <f>IF(D269="","",IF(Controls!$B$7="Normal",Controls!$B$8+Controls!$B$9*SQRT(-2*LN(D269/2147483647))*COS(2*PI()*N269/2147483647),Controls!$B$8+(Controls!$B$9-Controls!$B$8)*D269/2147483647))</f>
        <v/>
      </c>
      <c r="Y269" s="10" t="str">
        <f>IF(E269="","",IF(Controls!$B$7="Normal",Controls!$B$8+Controls!$B$9*SQRT(-2*LN(E269/2147483647))*COS(2*PI()*O269/2147483647),Controls!$B$8+(Controls!$B$9-Controls!$B$8)*E269/2147483647))</f>
        <v/>
      </c>
      <c r="Z269" s="10" t="str">
        <f>IF(F269="","",IF(Controls!$B$7="Normal",Controls!$B$8+Controls!$B$9*SQRT(-2*LN(F269/2147483647))*COS(2*PI()*P269/2147483647),Controls!$B$8+(Controls!$B$9-Controls!$B$8)*F269/2147483647))</f>
        <v/>
      </c>
      <c r="AA269" s="10" t="str">
        <f>IF(G269="","",IF(Controls!$B$7="Normal",Controls!$B$8+Controls!$B$9*SQRT(-2*LN(G269/2147483647))*COS(2*PI()*Q269/2147483647),Controls!$B$8+(Controls!$B$9-Controls!$B$8)*G269/2147483647))</f>
        <v/>
      </c>
      <c r="AB269" s="10" t="str">
        <f>IF(H269="","",IF(Controls!$B$7="Normal",Controls!$B$8+Controls!$B$9*SQRT(-2*LN(H269/2147483647))*COS(2*PI()*R269/2147483647),Controls!$B$8+(Controls!$B$9-Controls!$B$8)*H269/2147483647))</f>
        <v/>
      </c>
      <c r="AC269" s="10" t="str">
        <f>IF(I269="","",IF(Controls!$B$7="Normal",Controls!$B$8+Controls!$B$9*SQRT(-2*LN(I269/2147483647))*COS(2*PI()*S269/2147483647),Controls!$B$8+(Controls!$B$9-Controls!$B$8)*I269/2147483647))</f>
        <v/>
      </c>
      <c r="AD269" s="10" t="str">
        <f>IF(J269="","",IF(Controls!$B$7="Normal",Controls!$B$8+Controls!$B$9*SQRT(-2*LN(J269/2147483647))*COS(2*PI()*T269/2147483647),Controls!$B$8+(Controls!$B$9-Controls!$B$8)*J269/2147483647))</f>
        <v/>
      </c>
      <c r="AE269" s="10" t="str">
        <f>IF(K269="","",IF(Controls!$B$7="Normal",Controls!$B$8+Controls!$B$9*SQRT(-2*LN(K269/2147483647))*COS(2*PI()*U269/2147483647),Controls!$B$8+(Controls!$B$9-Controls!$B$8)*K269/2147483647))</f>
        <v/>
      </c>
    </row>
    <row r="270" ht="21.0" customHeight="1">
      <c r="A270" s="7" t="str">
        <f>IF(269&lt;=Controls!$B$5,Controls!$B$4+268,"")</f>
        <v/>
      </c>
      <c r="B270" s="10" t="str">
        <f>IF(OR($A270="",1&gt;Controls!$B$6),"",MOD(L269*48271,2147483647))</f>
        <v/>
      </c>
      <c r="C270" s="10" t="str">
        <f>IF(OR($A270="",2&gt;Controls!$B$6),"",MOD(M269*48271,2147483647))</f>
        <v/>
      </c>
      <c r="D270" s="10" t="str">
        <f>IF(OR($A270="",3&gt;Controls!$B$6),"",MOD(N269*48271,2147483647))</f>
        <v/>
      </c>
      <c r="E270" s="10" t="str">
        <f>IF(OR($A270="",4&gt;Controls!$B$6),"",MOD(O269*48271,2147483647))</f>
        <v/>
      </c>
      <c r="F270" s="10" t="str">
        <f>IF(OR($A270="",5&gt;Controls!$B$6),"",MOD(P269*48271,2147483647))</f>
        <v/>
      </c>
      <c r="G270" s="10" t="str">
        <f>IF(OR($A270="",6&gt;Controls!$B$6),"",MOD(Q269*48271,2147483647))</f>
        <v/>
      </c>
      <c r="H270" s="10" t="str">
        <f>IF(OR($A270="",7&gt;Controls!$B$6),"",MOD(R269*48271,2147483647))</f>
        <v/>
      </c>
      <c r="I270" s="10" t="str">
        <f>IF(OR($A270="",8&gt;Controls!$B$6),"",MOD(S269*48271,2147483647))</f>
        <v/>
      </c>
      <c r="J270" s="10" t="str">
        <f>IF(OR($A270="",9&gt;Controls!$B$6),"",MOD(T269*48271,2147483647))</f>
        <v/>
      </c>
      <c r="K270" s="10" t="str">
        <f>IF(OR($A270="",10&gt;Controls!$B$6),"",MOD(U269*48271,2147483647))</f>
        <v/>
      </c>
      <c r="L270" s="10" t="str">
        <f t="shared" ref="L270:U270" si="269">IF(B270="","",MOD(B270*48271,2147483647))</f>
        <v/>
      </c>
      <c r="M270" s="10" t="str">
        <f t="shared" si="269"/>
        <v/>
      </c>
      <c r="N270" s="10" t="str">
        <f t="shared" si="269"/>
        <v/>
      </c>
      <c r="O270" s="10" t="str">
        <f t="shared" si="269"/>
        <v/>
      </c>
      <c r="P270" s="10" t="str">
        <f t="shared" si="269"/>
        <v/>
      </c>
      <c r="Q270" s="10" t="str">
        <f t="shared" si="269"/>
        <v/>
      </c>
      <c r="R270" s="10" t="str">
        <f t="shared" si="269"/>
        <v/>
      </c>
      <c r="S270" s="10" t="str">
        <f t="shared" si="269"/>
        <v/>
      </c>
      <c r="T270" s="10" t="str">
        <f t="shared" si="269"/>
        <v/>
      </c>
      <c r="U270" s="10" t="str">
        <f t="shared" si="269"/>
        <v/>
      </c>
      <c r="V270" s="10" t="str">
        <f>IF(B270="","",IF(Controls!$B$7="Normal",Controls!$B$8+Controls!$B$9*SQRT(-2*LN(B270/2147483647))*COS(2*PI()*L270/2147483647),Controls!$B$8+(Controls!$B$9-Controls!$B$8)*B270/2147483647))</f>
        <v/>
      </c>
      <c r="W270" s="10" t="str">
        <f>IF(C270="","",IF(Controls!$B$7="Normal",Controls!$B$8+Controls!$B$9*SQRT(-2*LN(C270/2147483647))*COS(2*PI()*M270/2147483647),Controls!$B$8+(Controls!$B$9-Controls!$B$8)*C270/2147483647))</f>
        <v/>
      </c>
      <c r="X270" s="10" t="str">
        <f>IF(D270="","",IF(Controls!$B$7="Normal",Controls!$B$8+Controls!$B$9*SQRT(-2*LN(D270/2147483647))*COS(2*PI()*N270/2147483647),Controls!$B$8+(Controls!$B$9-Controls!$B$8)*D270/2147483647))</f>
        <v/>
      </c>
      <c r="Y270" s="10" t="str">
        <f>IF(E270="","",IF(Controls!$B$7="Normal",Controls!$B$8+Controls!$B$9*SQRT(-2*LN(E270/2147483647))*COS(2*PI()*O270/2147483647),Controls!$B$8+(Controls!$B$9-Controls!$B$8)*E270/2147483647))</f>
        <v/>
      </c>
      <c r="Z270" s="10" t="str">
        <f>IF(F270="","",IF(Controls!$B$7="Normal",Controls!$B$8+Controls!$B$9*SQRT(-2*LN(F270/2147483647))*COS(2*PI()*P270/2147483647),Controls!$B$8+(Controls!$B$9-Controls!$B$8)*F270/2147483647))</f>
        <v/>
      </c>
      <c r="AA270" s="10" t="str">
        <f>IF(G270="","",IF(Controls!$B$7="Normal",Controls!$B$8+Controls!$B$9*SQRT(-2*LN(G270/2147483647))*COS(2*PI()*Q270/2147483647),Controls!$B$8+(Controls!$B$9-Controls!$B$8)*G270/2147483647))</f>
        <v/>
      </c>
      <c r="AB270" s="10" t="str">
        <f>IF(H270="","",IF(Controls!$B$7="Normal",Controls!$B$8+Controls!$B$9*SQRT(-2*LN(H270/2147483647))*COS(2*PI()*R270/2147483647),Controls!$B$8+(Controls!$B$9-Controls!$B$8)*H270/2147483647))</f>
        <v/>
      </c>
      <c r="AC270" s="10" t="str">
        <f>IF(I270="","",IF(Controls!$B$7="Normal",Controls!$B$8+Controls!$B$9*SQRT(-2*LN(I270/2147483647))*COS(2*PI()*S270/2147483647),Controls!$B$8+(Controls!$B$9-Controls!$B$8)*I270/2147483647))</f>
        <v/>
      </c>
      <c r="AD270" s="10" t="str">
        <f>IF(J270="","",IF(Controls!$B$7="Normal",Controls!$B$8+Controls!$B$9*SQRT(-2*LN(J270/2147483647))*COS(2*PI()*T270/2147483647),Controls!$B$8+(Controls!$B$9-Controls!$B$8)*J270/2147483647))</f>
        <v/>
      </c>
      <c r="AE270" s="10" t="str">
        <f>IF(K270="","",IF(Controls!$B$7="Normal",Controls!$B$8+Controls!$B$9*SQRT(-2*LN(K270/2147483647))*COS(2*PI()*U270/2147483647),Controls!$B$8+(Controls!$B$9-Controls!$B$8)*K270/2147483647))</f>
        <v/>
      </c>
    </row>
    <row r="271" ht="21.0" customHeight="1">
      <c r="A271" s="7" t="str">
        <f>IF(270&lt;=Controls!$B$5,Controls!$B$4+269,"")</f>
        <v/>
      </c>
      <c r="B271" s="10" t="str">
        <f>IF(OR($A271="",1&gt;Controls!$B$6),"",MOD(L270*48271,2147483647))</f>
        <v/>
      </c>
      <c r="C271" s="10" t="str">
        <f>IF(OR($A271="",2&gt;Controls!$B$6),"",MOD(M270*48271,2147483647))</f>
        <v/>
      </c>
      <c r="D271" s="10" t="str">
        <f>IF(OR($A271="",3&gt;Controls!$B$6),"",MOD(N270*48271,2147483647))</f>
        <v/>
      </c>
      <c r="E271" s="10" t="str">
        <f>IF(OR($A271="",4&gt;Controls!$B$6),"",MOD(O270*48271,2147483647))</f>
        <v/>
      </c>
      <c r="F271" s="10" t="str">
        <f>IF(OR($A271="",5&gt;Controls!$B$6),"",MOD(P270*48271,2147483647))</f>
        <v/>
      </c>
      <c r="G271" s="10" t="str">
        <f>IF(OR($A271="",6&gt;Controls!$B$6),"",MOD(Q270*48271,2147483647))</f>
        <v/>
      </c>
      <c r="H271" s="10" t="str">
        <f>IF(OR($A271="",7&gt;Controls!$B$6),"",MOD(R270*48271,2147483647))</f>
        <v/>
      </c>
      <c r="I271" s="10" t="str">
        <f>IF(OR($A271="",8&gt;Controls!$B$6),"",MOD(S270*48271,2147483647))</f>
        <v/>
      </c>
      <c r="J271" s="10" t="str">
        <f>IF(OR($A271="",9&gt;Controls!$B$6),"",MOD(T270*48271,2147483647))</f>
        <v/>
      </c>
      <c r="K271" s="10" t="str">
        <f>IF(OR($A271="",10&gt;Controls!$B$6),"",MOD(U270*48271,2147483647))</f>
        <v/>
      </c>
      <c r="L271" s="10" t="str">
        <f t="shared" ref="L271:U271" si="270">IF(B271="","",MOD(B271*48271,2147483647))</f>
        <v/>
      </c>
      <c r="M271" s="10" t="str">
        <f t="shared" si="270"/>
        <v/>
      </c>
      <c r="N271" s="10" t="str">
        <f t="shared" si="270"/>
        <v/>
      </c>
      <c r="O271" s="10" t="str">
        <f t="shared" si="270"/>
        <v/>
      </c>
      <c r="P271" s="10" t="str">
        <f t="shared" si="270"/>
        <v/>
      </c>
      <c r="Q271" s="10" t="str">
        <f t="shared" si="270"/>
        <v/>
      </c>
      <c r="R271" s="10" t="str">
        <f t="shared" si="270"/>
        <v/>
      </c>
      <c r="S271" s="10" t="str">
        <f t="shared" si="270"/>
        <v/>
      </c>
      <c r="T271" s="10" t="str">
        <f t="shared" si="270"/>
        <v/>
      </c>
      <c r="U271" s="10" t="str">
        <f t="shared" si="270"/>
        <v/>
      </c>
      <c r="V271" s="10" t="str">
        <f>IF(B271="","",IF(Controls!$B$7="Normal",Controls!$B$8+Controls!$B$9*SQRT(-2*LN(B271/2147483647))*COS(2*PI()*L271/2147483647),Controls!$B$8+(Controls!$B$9-Controls!$B$8)*B271/2147483647))</f>
        <v/>
      </c>
      <c r="W271" s="10" t="str">
        <f>IF(C271="","",IF(Controls!$B$7="Normal",Controls!$B$8+Controls!$B$9*SQRT(-2*LN(C271/2147483647))*COS(2*PI()*M271/2147483647),Controls!$B$8+(Controls!$B$9-Controls!$B$8)*C271/2147483647))</f>
        <v/>
      </c>
      <c r="X271" s="10" t="str">
        <f>IF(D271="","",IF(Controls!$B$7="Normal",Controls!$B$8+Controls!$B$9*SQRT(-2*LN(D271/2147483647))*COS(2*PI()*N271/2147483647),Controls!$B$8+(Controls!$B$9-Controls!$B$8)*D271/2147483647))</f>
        <v/>
      </c>
      <c r="Y271" s="10" t="str">
        <f>IF(E271="","",IF(Controls!$B$7="Normal",Controls!$B$8+Controls!$B$9*SQRT(-2*LN(E271/2147483647))*COS(2*PI()*O271/2147483647),Controls!$B$8+(Controls!$B$9-Controls!$B$8)*E271/2147483647))</f>
        <v/>
      </c>
      <c r="Z271" s="10" t="str">
        <f>IF(F271="","",IF(Controls!$B$7="Normal",Controls!$B$8+Controls!$B$9*SQRT(-2*LN(F271/2147483647))*COS(2*PI()*P271/2147483647),Controls!$B$8+(Controls!$B$9-Controls!$B$8)*F271/2147483647))</f>
        <v/>
      </c>
      <c r="AA271" s="10" t="str">
        <f>IF(G271="","",IF(Controls!$B$7="Normal",Controls!$B$8+Controls!$B$9*SQRT(-2*LN(G271/2147483647))*COS(2*PI()*Q271/2147483647),Controls!$B$8+(Controls!$B$9-Controls!$B$8)*G271/2147483647))</f>
        <v/>
      </c>
      <c r="AB271" s="10" t="str">
        <f>IF(H271="","",IF(Controls!$B$7="Normal",Controls!$B$8+Controls!$B$9*SQRT(-2*LN(H271/2147483647))*COS(2*PI()*R271/2147483647),Controls!$B$8+(Controls!$B$9-Controls!$B$8)*H271/2147483647))</f>
        <v/>
      </c>
      <c r="AC271" s="10" t="str">
        <f>IF(I271="","",IF(Controls!$B$7="Normal",Controls!$B$8+Controls!$B$9*SQRT(-2*LN(I271/2147483647))*COS(2*PI()*S271/2147483647),Controls!$B$8+(Controls!$B$9-Controls!$B$8)*I271/2147483647))</f>
        <v/>
      </c>
      <c r="AD271" s="10" t="str">
        <f>IF(J271="","",IF(Controls!$B$7="Normal",Controls!$B$8+Controls!$B$9*SQRT(-2*LN(J271/2147483647))*COS(2*PI()*T271/2147483647),Controls!$B$8+(Controls!$B$9-Controls!$B$8)*J271/2147483647))</f>
        <v/>
      </c>
      <c r="AE271" s="10" t="str">
        <f>IF(K271="","",IF(Controls!$B$7="Normal",Controls!$B$8+Controls!$B$9*SQRT(-2*LN(K271/2147483647))*COS(2*PI()*U271/2147483647),Controls!$B$8+(Controls!$B$9-Controls!$B$8)*K271/2147483647))</f>
        <v/>
      </c>
    </row>
    <row r="272" ht="21.0" customHeight="1">
      <c r="A272" s="7" t="str">
        <f>IF(271&lt;=Controls!$B$5,Controls!$B$4+270,"")</f>
        <v/>
      </c>
      <c r="B272" s="10" t="str">
        <f>IF(OR($A272="",1&gt;Controls!$B$6),"",MOD(L271*48271,2147483647))</f>
        <v/>
      </c>
      <c r="C272" s="10" t="str">
        <f>IF(OR($A272="",2&gt;Controls!$B$6),"",MOD(M271*48271,2147483647))</f>
        <v/>
      </c>
      <c r="D272" s="10" t="str">
        <f>IF(OR($A272="",3&gt;Controls!$B$6),"",MOD(N271*48271,2147483647))</f>
        <v/>
      </c>
      <c r="E272" s="10" t="str">
        <f>IF(OR($A272="",4&gt;Controls!$B$6),"",MOD(O271*48271,2147483647))</f>
        <v/>
      </c>
      <c r="F272" s="10" t="str">
        <f>IF(OR($A272="",5&gt;Controls!$B$6),"",MOD(P271*48271,2147483647))</f>
        <v/>
      </c>
      <c r="G272" s="10" t="str">
        <f>IF(OR($A272="",6&gt;Controls!$B$6),"",MOD(Q271*48271,2147483647))</f>
        <v/>
      </c>
      <c r="H272" s="10" t="str">
        <f>IF(OR($A272="",7&gt;Controls!$B$6),"",MOD(R271*48271,2147483647))</f>
        <v/>
      </c>
      <c r="I272" s="10" t="str">
        <f>IF(OR($A272="",8&gt;Controls!$B$6),"",MOD(S271*48271,2147483647))</f>
        <v/>
      </c>
      <c r="J272" s="10" t="str">
        <f>IF(OR($A272="",9&gt;Controls!$B$6),"",MOD(T271*48271,2147483647))</f>
        <v/>
      </c>
      <c r="K272" s="10" t="str">
        <f>IF(OR($A272="",10&gt;Controls!$B$6),"",MOD(U271*48271,2147483647))</f>
        <v/>
      </c>
      <c r="L272" s="10" t="str">
        <f t="shared" ref="L272:U272" si="271">IF(B272="","",MOD(B272*48271,2147483647))</f>
        <v/>
      </c>
      <c r="M272" s="10" t="str">
        <f t="shared" si="271"/>
        <v/>
      </c>
      <c r="N272" s="10" t="str">
        <f t="shared" si="271"/>
        <v/>
      </c>
      <c r="O272" s="10" t="str">
        <f t="shared" si="271"/>
        <v/>
      </c>
      <c r="P272" s="10" t="str">
        <f t="shared" si="271"/>
        <v/>
      </c>
      <c r="Q272" s="10" t="str">
        <f t="shared" si="271"/>
        <v/>
      </c>
      <c r="R272" s="10" t="str">
        <f t="shared" si="271"/>
        <v/>
      </c>
      <c r="S272" s="10" t="str">
        <f t="shared" si="271"/>
        <v/>
      </c>
      <c r="T272" s="10" t="str">
        <f t="shared" si="271"/>
        <v/>
      </c>
      <c r="U272" s="10" t="str">
        <f t="shared" si="271"/>
        <v/>
      </c>
      <c r="V272" s="10" t="str">
        <f>IF(B272="","",IF(Controls!$B$7="Normal",Controls!$B$8+Controls!$B$9*SQRT(-2*LN(B272/2147483647))*COS(2*PI()*L272/2147483647),Controls!$B$8+(Controls!$B$9-Controls!$B$8)*B272/2147483647))</f>
        <v/>
      </c>
      <c r="W272" s="10" t="str">
        <f>IF(C272="","",IF(Controls!$B$7="Normal",Controls!$B$8+Controls!$B$9*SQRT(-2*LN(C272/2147483647))*COS(2*PI()*M272/2147483647),Controls!$B$8+(Controls!$B$9-Controls!$B$8)*C272/2147483647))</f>
        <v/>
      </c>
      <c r="X272" s="10" t="str">
        <f>IF(D272="","",IF(Controls!$B$7="Normal",Controls!$B$8+Controls!$B$9*SQRT(-2*LN(D272/2147483647))*COS(2*PI()*N272/2147483647),Controls!$B$8+(Controls!$B$9-Controls!$B$8)*D272/2147483647))</f>
        <v/>
      </c>
      <c r="Y272" s="10" t="str">
        <f>IF(E272="","",IF(Controls!$B$7="Normal",Controls!$B$8+Controls!$B$9*SQRT(-2*LN(E272/2147483647))*COS(2*PI()*O272/2147483647),Controls!$B$8+(Controls!$B$9-Controls!$B$8)*E272/2147483647))</f>
        <v/>
      </c>
      <c r="Z272" s="10" t="str">
        <f>IF(F272="","",IF(Controls!$B$7="Normal",Controls!$B$8+Controls!$B$9*SQRT(-2*LN(F272/2147483647))*COS(2*PI()*P272/2147483647),Controls!$B$8+(Controls!$B$9-Controls!$B$8)*F272/2147483647))</f>
        <v/>
      </c>
      <c r="AA272" s="10" t="str">
        <f>IF(G272="","",IF(Controls!$B$7="Normal",Controls!$B$8+Controls!$B$9*SQRT(-2*LN(G272/2147483647))*COS(2*PI()*Q272/2147483647),Controls!$B$8+(Controls!$B$9-Controls!$B$8)*G272/2147483647))</f>
        <v/>
      </c>
      <c r="AB272" s="10" t="str">
        <f>IF(H272="","",IF(Controls!$B$7="Normal",Controls!$B$8+Controls!$B$9*SQRT(-2*LN(H272/2147483647))*COS(2*PI()*R272/2147483647),Controls!$B$8+(Controls!$B$9-Controls!$B$8)*H272/2147483647))</f>
        <v/>
      </c>
      <c r="AC272" s="10" t="str">
        <f>IF(I272="","",IF(Controls!$B$7="Normal",Controls!$B$8+Controls!$B$9*SQRT(-2*LN(I272/2147483647))*COS(2*PI()*S272/2147483647),Controls!$B$8+(Controls!$B$9-Controls!$B$8)*I272/2147483647))</f>
        <v/>
      </c>
      <c r="AD272" s="10" t="str">
        <f>IF(J272="","",IF(Controls!$B$7="Normal",Controls!$B$8+Controls!$B$9*SQRT(-2*LN(J272/2147483647))*COS(2*PI()*T272/2147483647),Controls!$B$8+(Controls!$B$9-Controls!$B$8)*J272/2147483647))</f>
        <v/>
      </c>
      <c r="AE272" s="10" t="str">
        <f>IF(K272="","",IF(Controls!$B$7="Normal",Controls!$B$8+Controls!$B$9*SQRT(-2*LN(K272/2147483647))*COS(2*PI()*U272/2147483647),Controls!$B$8+(Controls!$B$9-Controls!$B$8)*K272/2147483647))</f>
        <v/>
      </c>
    </row>
    <row r="273" ht="21.0" customHeight="1">
      <c r="A273" s="7" t="str">
        <f>IF(272&lt;=Controls!$B$5,Controls!$B$4+271,"")</f>
        <v/>
      </c>
      <c r="B273" s="10" t="str">
        <f>IF(OR($A273="",1&gt;Controls!$B$6),"",MOD(L272*48271,2147483647))</f>
        <v/>
      </c>
      <c r="C273" s="10" t="str">
        <f>IF(OR($A273="",2&gt;Controls!$B$6),"",MOD(M272*48271,2147483647))</f>
        <v/>
      </c>
      <c r="D273" s="10" t="str">
        <f>IF(OR($A273="",3&gt;Controls!$B$6),"",MOD(N272*48271,2147483647))</f>
        <v/>
      </c>
      <c r="E273" s="10" t="str">
        <f>IF(OR($A273="",4&gt;Controls!$B$6),"",MOD(O272*48271,2147483647))</f>
        <v/>
      </c>
      <c r="F273" s="10" t="str">
        <f>IF(OR($A273="",5&gt;Controls!$B$6),"",MOD(P272*48271,2147483647))</f>
        <v/>
      </c>
      <c r="G273" s="10" t="str">
        <f>IF(OR($A273="",6&gt;Controls!$B$6),"",MOD(Q272*48271,2147483647))</f>
        <v/>
      </c>
      <c r="H273" s="10" t="str">
        <f>IF(OR($A273="",7&gt;Controls!$B$6),"",MOD(R272*48271,2147483647))</f>
        <v/>
      </c>
      <c r="I273" s="10" t="str">
        <f>IF(OR($A273="",8&gt;Controls!$B$6),"",MOD(S272*48271,2147483647))</f>
        <v/>
      </c>
      <c r="J273" s="10" t="str">
        <f>IF(OR($A273="",9&gt;Controls!$B$6),"",MOD(T272*48271,2147483647))</f>
        <v/>
      </c>
      <c r="K273" s="10" t="str">
        <f>IF(OR($A273="",10&gt;Controls!$B$6),"",MOD(U272*48271,2147483647))</f>
        <v/>
      </c>
      <c r="L273" s="10" t="str">
        <f t="shared" ref="L273:U273" si="272">IF(B273="","",MOD(B273*48271,2147483647))</f>
        <v/>
      </c>
      <c r="M273" s="10" t="str">
        <f t="shared" si="272"/>
        <v/>
      </c>
      <c r="N273" s="10" t="str">
        <f t="shared" si="272"/>
        <v/>
      </c>
      <c r="O273" s="10" t="str">
        <f t="shared" si="272"/>
        <v/>
      </c>
      <c r="P273" s="10" t="str">
        <f t="shared" si="272"/>
        <v/>
      </c>
      <c r="Q273" s="10" t="str">
        <f t="shared" si="272"/>
        <v/>
      </c>
      <c r="R273" s="10" t="str">
        <f t="shared" si="272"/>
        <v/>
      </c>
      <c r="S273" s="10" t="str">
        <f t="shared" si="272"/>
        <v/>
      </c>
      <c r="T273" s="10" t="str">
        <f t="shared" si="272"/>
        <v/>
      </c>
      <c r="U273" s="10" t="str">
        <f t="shared" si="272"/>
        <v/>
      </c>
      <c r="V273" s="10" t="str">
        <f>IF(B273="","",IF(Controls!$B$7="Normal",Controls!$B$8+Controls!$B$9*SQRT(-2*LN(B273/2147483647))*COS(2*PI()*L273/2147483647),Controls!$B$8+(Controls!$B$9-Controls!$B$8)*B273/2147483647))</f>
        <v/>
      </c>
      <c r="W273" s="10" t="str">
        <f>IF(C273="","",IF(Controls!$B$7="Normal",Controls!$B$8+Controls!$B$9*SQRT(-2*LN(C273/2147483647))*COS(2*PI()*M273/2147483647),Controls!$B$8+(Controls!$B$9-Controls!$B$8)*C273/2147483647))</f>
        <v/>
      </c>
      <c r="X273" s="10" t="str">
        <f>IF(D273="","",IF(Controls!$B$7="Normal",Controls!$B$8+Controls!$B$9*SQRT(-2*LN(D273/2147483647))*COS(2*PI()*N273/2147483647),Controls!$B$8+(Controls!$B$9-Controls!$B$8)*D273/2147483647))</f>
        <v/>
      </c>
      <c r="Y273" s="10" t="str">
        <f>IF(E273="","",IF(Controls!$B$7="Normal",Controls!$B$8+Controls!$B$9*SQRT(-2*LN(E273/2147483647))*COS(2*PI()*O273/2147483647),Controls!$B$8+(Controls!$B$9-Controls!$B$8)*E273/2147483647))</f>
        <v/>
      </c>
      <c r="Z273" s="10" t="str">
        <f>IF(F273="","",IF(Controls!$B$7="Normal",Controls!$B$8+Controls!$B$9*SQRT(-2*LN(F273/2147483647))*COS(2*PI()*P273/2147483647),Controls!$B$8+(Controls!$B$9-Controls!$B$8)*F273/2147483647))</f>
        <v/>
      </c>
      <c r="AA273" s="10" t="str">
        <f>IF(G273="","",IF(Controls!$B$7="Normal",Controls!$B$8+Controls!$B$9*SQRT(-2*LN(G273/2147483647))*COS(2*PI()*Q273/2147483647),Controls!$B$8+(Controls!$B$9-Controls!$B$8)*G273/2147483647))</f>
        <v/>
      </c>
      <c r="AB273" s="10" t="str">
        <f>IF(H273="","",IF(Controls!$B$7="Normal",Controls!$B$8+Controls!$B$9*SQRT(-2*LN(H273/2147483647))*COS(2*PI()*R273/2147483647),Controls!$B$8+(Controls!$B$9-Controls!$B$8)*H273/2147483647))</f>
        <v/>
      </c>
      <c r="AC273" s="10" t="str">
        <f>IF(I273="","",IF(Controls!$B$7="Normal",Controls!$B$8+Controls!$B$9*SQRT(-2*LN(I273/2147483647))*COS(2*PI()*S273/2147483647),Controls!$B$8+(Controls!$B$9-Controls!$B$8)*I273/2147483647))</f>
        <v/>
      </c>
      <c r="AD273" s="10" t="str">
        <f>IF(J273="","",IF(Controls!$B$7="Normal",Controls!$B$8+Controls!$B$9*SQRT(-2*LN(J273/2147483647))*COS(2*PI()*T273/2147483647),Controls!$B$8+(Controls!$B$9-Controls!$B$8)*J273/2147483647))</f>
        <v/>
      </c>
      <c r="AE273" s="10" t="str">
        <f>IF(K273="","",IF(Controls!$B$7="Normal",Controls!$B$8+Controls!$B$9*SQRT(-2*LN(K273/2147483647))*COS(2*PI()*U273/2147483647),Controls!$B$8+(Controls!$B$9-Controls!$B$8)*K273/2147483647))</f>
        <v/>
      </c>
    </row>
    <row r="274" ht="21.0" customHeight="1">
      <c r="A274" s="7" t="str">
        <f>IF(273&lt;=Controls!$B$5,Controls!$B$4+272,"")</f>
        <v/>
      </c>
      <c r="B274" s="10" t="str">
        <f>IF(OR($A274="",1&gt;Controls!$B$6),"",MOD(L273*48271,2147483647))</f>
        <v/>
      </c>
      <c r="C274" s="10" t="str">
        <f>IF(OR($A274="",2&gt;Controls!$B$6),"",MOD(M273*48271,2147483647))</f>
        <v/>
      </c>
      <c r="D274" s="10" t="str">
        <f>IF(OR($A274="",3&gt;Controls!$B$6),"",MOD(N273*48271,2147483647))</f>
        <v/>
      </c>
      <c r="E274" s="10" t="str">
        <f>IF(OR($A274="",4&gt;Controls!$B$6),"",MOD(O273*48271,2147483647))</f>
        <v/>
      </c>
      <c r="F274" s="10" t="str">
        <f>IF(OR($A274="",5&gt;Controls!$B$6),"",MOD(P273*48271,2147483647))</f>
        <v/>
      </c>
      <c r="G274" s="10" t="str">
        <f>IF(OR($A274="",6&gt;Controls!$B$6),"",MOD(Q273*48271,2147483647))</f>
        <v/>
      </c>
      <c r="H274" s="10" t="str">
        <f>IF(OR($A274="",7&gt;Controls!$B$6),"",MOD(R273*48271,2147483647))</f>
        <v/>
      </c>
      <c r="I274" s="10" t="str">
        <f>IF(OR($A274="",8&gt;Controls!$B$6),"",MOD(S273*48271,2147483647))</f>
        <v/>
      </c>
      <c r="J274" s="10" t="str">
        <f>IF(OR($A274="",9&gt;Controls!$B$6),"",MOD(T273*48271,2147483647))</f>
        <v/>
      </c>
      <c r="K274" s="10" t="str">
        <f>IF(OR($A274="",10&gt;Controls!$B$6),"",MOD(U273*48271,2147483647))</f>
        <v/>
      </c>
      <c r="L274" s="10" t="str">
        <f t="shared" ref="L274:U274" si="273">IF(B274="","",MOD(B274*48271,2147483647))</f>
        <v/>
      </c>
      <c r="M274" s="10" t="str">
        <f t="shared" si="273"/>
        <v/>
      </c>
      <c r="N274" s="10" t="str">
        <f t="shared" si="273"/>
        <v/>
      </c>
      <c r="O274" s="10" t="str">
        <f t="shared" si="273"/>
        <v/>
      </c>
      <c r="P274" s="10" t="str">
        <f t="shared" si="273"/>
        <v/>
      </c>
      <c r="Q274" s="10" t="str">
        <f t="shared" si="273"/>
        <v/>
      </c>
      <c r="R274" s="10" t="str">
        <f t="shared" si="273"/>
        <v/>
      </c>
      <c r="S274" s="10" t="str">
        <f t="shared" si="273"/>
        <v/>
      </c>
      <c r="T274" s="10" t="str">
        <f t="shared" si="273"/>
        <v/>
      </c>
      <c r="U274" s="10" t="str">
        <f t="shared" si="273"/>
        <v/>
      </c>
      <c r="V274" s="10" t="str">
        <f>IF(B274="","",IF(Controls!$B$7="Normal",Controls!$B$8+Controls!$B$9*SQRT(-2*LN(B274/2147483647))*COS(2*PI()*L274/2147483647),Controls!$B$8+(Controls!$B$9-Controls!$B$8)*B274/2147483647))</f>
        <v/>
      </c>
      <c r="W274" s="10" t="str">
        <f>IF(C274="","",IF(Controls!$B$7="Normal",Controls!$B$8+Controls!$B$9*SQRT(-2*LN(C274/2147483647))*COS(2*PI()*M274/2147483647),Controls!$B$8+(Controls!$B$9-Controls!$B$8)*C274/2147483647))</f>
        <v/>
      </c>
      <c r="X274" s="10" t="str">
        <f>IF(D274="","",IF(Controls!$B$7="Normal",Controls!$B$8+Controls!$B$9*SQRT(-2*LN(D274/2147483647))*COS(2*PI()*N274/2147483647),Controls!$B$8+(Controls!$B$9-Controls!$B$8)*D274/2147483647))</f>
        <v/>
      </c>
      <c r="Y274" s="10" t="str">
        <f>IF(E274="","",IF(Controls!$B$7="Normal",Controls!$B$8+Controls!$B$9*SQRT(-2*LN(E274/2147483647))*COS(2*PI()*O274/2147483647),Controls!$B$8+(Controls!$B$9-Controls!$B$8)*E274/2147483647))</f>
        <v/>
      </c>
      <c r="Z274" s="10" t="str">
        <f>IF(F274="","",IF(Controls!$B$7="Normal",Controls!$B$8+Controls!$B$9*SQRT(-2*LN(F274/2147483647))*COS(2*PI()*P274/2147483647),Controls!$B$8+(Controls!$B$9-Controls!$B$8)*F274/2147483647))</f>
        <v/>
      </c>
      <c r="AA274" s="10" t="str">
        <f>IF(G274="","",IF(Controls!$B$7="Normal",Controls!$B$8+Controls!$B$9*SQRT(-2*LN(G274/2147483647))*COS(2*PI()*Q274/2147483647),Controls!$B$8+(Controls!$B$9-Controls!$B$8)*G274/2147483647))</f>
        <v/>
      </c>
      <c r="AB274" s="10" t="str">
        <f>IF(H274="","",IF(Controls!$B$7="Normal",Controls!$B$8+Controls!$B$9*SQRT(-2*LN(H274/2147483647))*COS(2*PI()*R274/2147483647),Controls!$B$8+(Controls!$B$9-Controls!$B$8)*H274/2147483647))</f>
        <v/>
      </c>
      <c r="AC274" s="10" t="str">
        <f>IF(I274="","",IF(Controls!$B$7="Normal",Controls!$B$8+Controls!$B$9*SQRT(-2*LN(I274/2147483647))*COS(2*PI()*S274/2147483647),Controls!$B$8+(Controls!$B$9-Controls!$B$8)*I274/2147483647))</f>
        <v/>
      </c>
      <c r="AD274" s="10" t="str">
        <f>IF(J274="","",IF(Controls!$B$7="Normal",Controls!$B$8+Controls!$B$9*SQRT(-2*LN(J274/2147483647))*COS(2*PI()*T274/2147483647),Controls!$B$8+(Controls!$B$9-Controls!$B$8)*J274/2147483647))</f>
        <v/>
      </c>
      <c r="AE274" s="10" t="str">
        <f>IF(K274="","",IF(Controls!$B$7="Normal",Controls!$B$8+Controls!$B$9*SQRT(-2*LN(K274/2147483647))*COS(2*PI()*U274/2147483647),Controls!$B$8+(Controls!$B$9-Controls!$B$8)*K274/2147483647))</f>
        <v/>
      </c>
    </row>
    <row r="275" ht="21.0" customHeight="1">
      <c r="A275" s="7" t="str">
        <f>IF(274&lt;=Controls!$B$5,Controls!$B$4+273,"")</f>
        <v/>
      </c>
      <c r="B275" s="10" t="str">
        <f>IF(OR($A275="",1&gt;Controls!$B$6),"",MOD(L274*48271,2147483647))</f>
        <v/>
      </c>
      <c r="C275" s="10" t="str">
        <f>IF(OR($A275="",2&gt;Controls!$B$6),"",MOD(M274*48271,2147483647))</f>
        <v/>
      </c>
      <c r="D275" s="10" t="str">
        <f>IF(OR($A275="",3&gt;Controls!$B$6),"",MOD(N274*48271,2147483647))</f>
        <v/>
      </c>
      <c r="E275" s="10" t="str">
        <f>IF(OR($A275="",4&gt;Controls!$B$6),"",MOD(O274*48271,2147483647))</f>
        <v/>
      </c>
      <c r="F275" s="10" t="str">
        <f>IF(OR($A275="",5&gt;Controls!$B$6),"",MOD(P274*48271,2147483647))</f>
        <v/>
      </c>
      <c r="G275" s="10" t="str">
        <f>IF(OR($A275="",6&gt;Controls!$B$6),"",MOD(Q274*48271,2147483647))</f>
        <v/>
      </c>
      <c r="H275" s="10" t="str">
        <f>IF(OR($A275="",7&gt;Controls!$B$6),"",MOD(R274*48271,2147483647))</f>
        <v/>
      </c>
      <c r="I275" s="10" t="str">
        <f>IF(OR($A275="",8&gt;Controls!$B$6),"",MOD(S274*48271,2147483647))</f>
        <v/>
      </c>
      <c r="J275" s="10" t="str">
        <f>IF(OR($A275="",9&gt;Controls!$B$6),"",MOD(T274*48271,2147483647))</f>
        <v/>
      </c>
      <c r="K275" s="10" t="str">
        <f>IF(OR($A275="",10&gt;Controls!$B$6),"",MOD(U274*48271,2147483647))</f>
        <v/>
      </c>
      <c r="L275" s="10" t="str">
        <f t="shared" ref="L275:U275" si="274">IF(B275="","",MOD(B275*48271,2147483647))</f>
        <v/>
      </c>
      <c r="M275" s="10" t="str">
        <f t="shared" si="274"/>
        <v/>
      </c>
      <c r="N275" s="10" t="str">
        <f t="shared" si="274"/>
        <v/>
      </c>
      <c r="O275" s="10" t="str">
        <f t="shared" si="274"/>
        <v/>
      </c>
      <c r="P275" s="10" t="str">
        <f t="shared" si="274"/>
        <v/>
      </c>
      <c r="Q275" s="10" t="str">
        <f t="shared" si="274"/>
        <v/>
      </c>
      <c r="R275" s="10" t="str">
        <f t="shared" si="274"/>
        <v/>
      </c>
      <c r="S275" s="10" t="str">
        <f t="shared" si="274"/>
        <v/>
      </c>
      <c r="T275" s="10" t="str">
        <f t="shared" si="274"/>
        <v/>
      </c>
      <c r="U275" s="10" t="str">
        <f t="shared" si="274"/>
        <v/>
      </c>
      <c r="V275" s="10" t="str">
        <f>IF(B275="","",IF(Controls!$B$7="Normal",Controls!$B$8+Controls!$B$9*SQRT(-2*LN(B275/2147483647))*COS(2*PI()*L275/2147483647),Controls!$B$8+(Controls!$B$9-Controls!$B$8)*B275/2147483647))</f>
        <v/>
      </c>
      <c r="W275" s="10" t="str">
        <f>IF(C275="","",IF(Controls!$B$7="Normal",Controls!$B$8+Controls!$B$9*SQRT(-2*LN(C275/2147483647))*COS(2*PI()*M275/2147483647),Controls!$B$8+(Controls!$B$9-Controls!$B$8)*C275/2147483647))</f>
        <v/>
      </c>
      <c r="X275" s="10" t="str">
        <f>IF(D275="","",IF(Controls!$B$7="Normal",Controls!$B$8+Controls!$B$9*SQRT(-2*LN(D275/2147483647))*COS(2*PI()*N275/2147483647),Controls!$B$8+(Controls!$B$9-Controls!$B$8)*D275/2147483647))</f>
        <v/>
      </c>
      <c r="Y275" s="10" t="str">
        <f>IF(E275="","",IF(Controls!$B$7="Normal",Controls!$B$8+Controls!$B$9*SQRT(-2*LN(E275/2147483647))*COS(2*PI()*O275/2147483647),Controls!$B$8+(Controls!$B$9-Controls!$B$8)*E275/2147483647))</f>
        <v/>
      </c>
      <c r="Z275" s="10" t="str">
        <f>IF(F275="","",IF(Controls!$B$7="Normal",Controls!$B$8+Controls!$B$9*SQRT(-2*LN(F275/2147483647))*COS(2*PI()*P275/2147483647),Controls!$B$8+(Controls!$B$9-Controls!$B$8)*F275/2147483647))</f>
        <v/>
      </c>
      <c r="AA275" s="10" t="str">
        <f>IF(G275="","",IF(Controls!$B$7="Normal",Controls!$B$8+Controls!$B$9*SQRT(-2*LN(G275/2147483647))*COS(2*PI()*Q275/2147483647),Controls!$B$8+(Controls!$B$9-Controls!$B$8)*G275/2147483647))</f>
        <v/>
      </c>
      <c r="AB275" s="10" t="str">
        <f>IF(H275="","",IF(Controls!$B$7="Normal",Controls!$B$8+Controls!$B$9*SQRT(-2*LN(H275/2147483647))*COS(2*PI()*R275/2147483647),Controls!$B$8+(Controls!$B$9-Controls!$B$8)*H275/2147483647))</f>
        <v/>
      </c>
      <c r="AC275" s="10" t="str">
        <f>IF(I275="","",IF(Controls!$B$7="Normal",Controls!$B$8+Controls!$B$9*SQRT(-2*LN(I275/2147483647))*COS(2*PI()*S275/2147483647),Controls!$B$8+(Controls!$B$9-Controls!$B$8)*I275/2147483647))</f>
        <v/>
      </c>
      <c r="AD275" s="10" t="str">
        <f>IF(J275="","",IF(Controls!$B$7="Normal",Controls!$B$8+Controls!$B$9*SQRT(-2*LN(J275/2147483647))*COS(2*PI()*T275/2147483647),Controls!$B$8+(Controls!$B$9-Controls!$B$8)*J275/2147483647))</f>
        <v/>
      </c>
      <c r="AE275" s="10" t="str">
        <f>IF(K275="","",IF(Controls!$B$7="Normal",Controls!$B$8+Controls!$B$9*SQRT(-2*LN(K275/2147483647))*COS(2*PI()*U275/2147483647),Controls!$B$8+(Controls!$B$9-Controls!$B$8)*K275/2147483647))</f>
        <v/>
      </c>
    </row>
    <row r="276" ht="21.0" customHeight="1">
      <c r="A276" s="7" t="str">
        <f>IF(275&lt;=Controls!$B$5,Controls!$B$4+274,"")</f>
        <v/>
      </c>
      <c r="B276" s="10" t="str">
        <f>IF(OR($A276="",1&gt;Controls!$B$6),"",MOD(L275*48271,2147483647))</f>
        <v/>
      </c>
      <c r="C276" s="10" t="str">
        <f>IF(OR($A276="",2&gt;Controls!$B$6),"",MOD(M275*48271,2147483647))</f>
        <v/>
      </c>
      <c r="D276" s="10" t="str">
        <f>IF(OR($A276="",3&gt;Controls!$B$6),"",MOD(N275*48271,2147483647))</f>
        <v/>
      </c>
      <c r="E276" s="10" t="str">
        <f>IF(OR($A276="",4&gt;Controls!$B$6),"",MOD(O275*48271,2147483647))</f>
        <v/>
      </c>
      <c r="F276" s="10" t="str">
        <f>IF(OR($A276="",5&gt;Controls!$B$6),"",MOD(P275*48271,2147483647))</f>
        <v/>
      </c>
      <c r="G276" s="10" t="str">
        <f>IF(OR($A276="",6&gt;Controls!$B$6),"",MOD(Q275*48271,2147483647))</f>
        <v/>
      </c>
      <c r="H276" s="10" t="str">
        <f>IF(OR($A276="",7&gt;Controls!$B$6),"",MOD(R275*48271,2147483647))</f>
        <v/>
      </c>
      <c r="I276" s="10" t="str">
        <f>IF(OR($A276="",8&gt;Controls!$B$6),"",MOD(S275*48271,2147483647))</f>
        <v/>
      </c>
      <c r="J276" s="10" t="str">
        <f>IF(OR($A276="",9&gt;Controls!$B$6),"",MOD(T275*48271,2147483647))</f>
        <v/>
      </c>
      <c r="K276" s="10" t="str">
        <f>IF(OR($A276="",10&gt;Controls!$B$6),"",MOD(U275*48271,2147483647))</f>
        <v/>
      </c>
      <c r="L276" s="10" t="str">
        <f t="shared" ref="L276:U276" si="275">IF(B276="","",MOD(B276*48271,2147483647))</f>
        <v/>
      </c>
      <c r="M276" s="10" t="str">
        <f t="shared" si="275"/>
        <v/>
      </c>
      <c r="N276" s="10" t="str">
        <f t="shared" si="275"/>
        <v/>
      </c>
      <c r="O276" s="10" t="str">
        <f t="shared" si="275"/>
        <v/>
      </c>
      <c r="P276" s="10" t="str">
        <f t="shared" si="275"/>
        <v/>
      </c>
      <c r="Q276" s="10" t="str">
        <f t="shared" si="275"/>
        <v/>
      </c>
      <c r="R276" s="10" t="str">
        <f t="shared" si="275"/>
        <v/>
      </c>
      <c r="S276" s="10" t="str">
        <f t="shared" si="275"/>
        <v/>
      </c>
      <c r="T276" s="10" t="str">
        <f t="shared" si="275"/>
        <v/>
      </c>
      <c r="U276" s="10" t="str">
        <f t="shared" si="275"/>
        <v/>
      </c>
      <c r="V276" s="10" t="str">
        <f>IF(B276="","",IF(Controls!$B$7="Normal",Controls!$B$8+Controls!$B$9*SQRT(-2*LN(B276/2147483647))*COS(2*PI()*L276/2147483647),Controls!$B$8+(Controls!$B$9-Controls!$B$8)*B276/2147483647))</f>
        <v/>
      </c>
      <c r="W276" s="10" t="str">
        <f>IF(C276="","",IF(Controls!$B$7="Normal",Controls!$B$8+Controls!$B$9*SQRT(-2*LN(C276/2147483647))*COS(2*PI()*M276/2147483647),Controls!$B$8+(Controls!$B$9-Controls!$B$8)*C276/2147483647))</f>
        <v/>
      </c>
      <c r="X276" s="10" t="str">
        <f>IF(D276="","",IF(Controls!$B$7="Normal",Controls!$B$8+Controls!$B$9*SQRT(-2*LN(D276/2147483647))*COS(2*PI()*N276/2147483647),Controls!$B$8+(Controls!$B$9-Controls!$B$8)*D276/2147483647))</f>
        <v/>
      </c>
      <c r="Y276" s="10" t="str">
        <f>IF(E276="","",IF(Controls!$B$7="Normal",Controls!$B$8+Controls!$B$9*SQRT(-2*LN(E276/2147483647))*COS(2*PI()*O276/2147483647),Controls!$B$8+(Controls!$B$9-Controls!$B$8)*E276/2147483647))</f>
        <v/>
      </c>
      <c r="Z276" s="10" t="str">
        <f>IF(F276="","",IF(Controls!$B$7="Normal",Controls!$B$8+Controls!$B$9*SQRT(-2*LN(F276/2147483647))*COS(2*PI()*P276/2147483647),Controls!$B$8+(Controls!$B$9-Controls!$B$8)*F276/2147483647))</f>
        <v/>
      </c>
      <c r="AA276" s="10" t="str">
        <f>IF(G276="","",IF(Controls!$B$7="Normal",Controls!$B$8+Controls!$B$9*SQRT(-2*LN(G276/2147483647))*COS(2*PI()*Q276/2147483647),Controls!$B$8+(Controls!$B$9-Controls!$B$8)*G276/2147483647))</f>
        <v/>
      </c>
      <c r="AB276" s="10" t="str">
        <f>IF(H276="","",IF(Controls!$B$7="Normal",Controls!$B$8+Controls!$B$9*SQRT(-2*LN(H276/2147483647))*COS(2*PI()*R276/2147483647),Controls!$B$8+(Controls!$B$9-Controls!$B$8)*H276/2147483647))</f>
        <v/>
      </c>
      <c r="AC276" s="10" t="str">
        <f>IF(I276="","",IF(Controls!$B$7="Normal",Controls!$B$8+Controls!$B$9*SQRT(-2*LN(I276/2147483647))*COS(2*PI()*S276/2147483647),Controls!$B$8+(Controls!$B$9-Controls!$B$8)*I276/2147483647))</f>
        <v/>
      </c>
      <c r="AD276" s="10" t="str">
        <f>IF(J276="","",IF(Controls!$B$7="Normal",Controls!$B$8+Controls!$B$9*SQRT(-2*LN(J276/2147483647))*COS(2*PI()*T276/2147483647),Controls!$B$8+(Controls!$B$9-Controls!$B$8)*J276/2147483647))</f>
        <v/>
      </c>
      <c r="AE276" s="10" t="str">
        <f>IF(K276="","",IF(Controls!$B$7="Normal",Controls!$B$8+Controls!$B$9*SQRT(-2*LN(K276/2147483647))*COS(2*PI()*U276/2147483647),Controls!$B$8+(Controls!$B$9-Controls!$B$8)*K276/2147483647))</f>
        <v/>
      </c>
    </row>
    <row r="277" ht="21.0" customHeight="1">
      <c r="A277" s="7" t="str">
        <f>IF(276&lt;=Controls!$B$5,Controls!$B$4+275,"")</f>
        <v/>
      </c>
      <c r="B277" s="10" t="str">
        <f>IF(OR($A277="",1&gt;Controls!$B$6),"",MOD(L276*48271,2147483647))</f>
        <v/>
      </c>
      <c r="C277" s="10" t="str">
        <f>IF(OR($A277="",2&gt;Controls!$B$6),"",MOD(M276*48271,2147483647))</f>
        <v/>
      </c>
      <c r="D277" s="10" t="str">
        <f>IF(OR($A277="",3&gt;Controls!$B$6),"",MOD(N276*48271,2147483647))</f>
        <v/>
      </c>
      <c r="E277" s="10" t="str">
        <f>IF(OR($A277="",4&gt;Controls!$B$6),"",MOD(O276*48271,2147483647))</f>
        <v/>
      </c>
      <c r="F277" s="10" t="str">
        <f>IF(OR($A277="",5&gt;Controls!$B$6),"",MOD(P276*48271,2147483647))</f>
        <v/>
      </c>
      <c r="G277" s="10" t="str">
        <f>IF(OR($A277="",6&gt;Controls!$B$6),"",MOD(Q276*48271,2147483647))</f>
        <v/>
      </c>
      <c r="H277" s="10" t="str">
        <f>IF(OR($A277="",7&gt;Controls!$B$6),"",MOD(R276*48271,2147483647))</f>
        <v/>
      </c>
      <c r="I277" s="10" t="str">
        <f>IF(OR($A277="",8&gt;Controls!$B$6),"",MOD(S276*48271,2147483647))</f>
        <v/>
      </c>
      <c r="J277" s="10" t="str">
        <f>IF(OR($A277="",9&gt;Controls!$B$6),"",MOD(T276*48271,2147483647))</f>
        <v/>
      </c>
      <c r="K277" s="10" t="str">
        <f>IF(OR($A277="",10&gt;Controls!$B$6),"",MOD(U276*48271,2147483647))</f>
        <v/>
      </c>
      <c r="L277" s="10" t="str">
        <f t="shared" ref="L277:U277" si="276">IF(B277="","",MOD(B277*48271,2147483647))</f>
        <v/>
      </c>
      <c r="M277" s="10" t="str">
        <f t="shared" si="276"/>
        <v/>
      </c>
      <c r="N277" s="10" t="str">
        <f t="shared" si="276"/>
        <v/>
      </c>
      <c r="O277" s="10" t="str">
        <f t="shared" si="276"/>
        <v/>
      </c>
      <c r="P277" s="10" t="str">
        <f t="shared" si="276"/>
        <v/>
      </c>
      <c r="Q277" s="10" t="str">
        <f t="shared" si="276"/>
        <v/>
      </c>
      <c r="R277" s="10" t="str">
        <f t="shared" si="276"/>
        <v/>
      </c>
      <c r="S277" s="10" t="str">
        <f t="shared" si="276"/>
        <v/>
      </c>
      <c r="T277" s="10" t="str">
        <f t="shared" si="276"/>
        <v/>
      </c>
      <c r="U277" s="10" t="str">
        <f t="shared" si="276"/>
        <v/>
      </c>
      <c r="V277" s="10" t="str">
        <f>IF(B277="","",IF(Controls!$B$7="Normal",Controls!$B$8+Controls!$B$9*SQRT(-2*LN(B277/2147483647))*COS(2*PI()*L277/2147483647),Controls!$B$8+(Controls!$B$9-Controls!$B$8)*B277/2147483647))</f>
        <v/>
      </c>
      <c r="W277" s="10" t="str">
        <f>IF(C277="","",IF(Controls!$B$7="Normal",Controls!$B$8+Controls!$B$9*SQRT(-2*LN(C277/2147483647))*COS(2*PI()*M277/2147483647),Controls!$B$8+(Controls!$B$9-Controls!$B$8)*C277/2147483647))</f>
        <v/>
      </c>
      <c r="X277" s="10" t="str">
        <f>IF(D277="","",IF(Controls!$B$7="Normal",Controls!$B$8+Controls!$B$9*SQRT(-2*LN(D277/2147483647))*COS(2*PI()*N277/2147483647),Controls!$B$8+(Controls!$B$9-Controls!$B$8)*D277/2147483647))</f>
        <v/>
      </c>
      <c r="Y277" s="10" t="str">
        <f>IF(E277="","",IF(Controls!$B$7="Normal",Controls!$B$8+Controls!$B$9*SQRT(-2*LN(E277/2147483647))*COS(2*PI()*O277/2147483647),Controls!$B$8+(Controls!$B$9-Controls!$B$8)*E277/2147483647))</f>
        <v/>
      </c>
      <c r="Z277" s="10" t="str">
        <f>IF(F277="","",IF(Controls!$B$7="Normal",Controls!$B$8+Controls!$B$9*SQRT(-2*LN(F277/2147483647))*COS(2*PI()*P277/2147483647),Controls!$B$8+(Controls!$B$9-Controls!$B$8)*F277/2147483647))</f>
        <v/>
      </c>
      <c r="AA277" s="10" t="str">
        <f>IF(G277="","",IF(Controls!$B$7="Normal",Controls!$B$8+Controls!$B$9*SQRT(-2*LN(G277/2147483647))*COS(2*PI()*Q277/2147483647),Controls!$B$8+(Controls!$B$9-Controls!$B$8)*G277/2147483647))</f>
        <v/>
      </c>
      <c r="AB277" s="10" t="str">
        <f>IF(H277="","",IF(Controls!$B$7="Normal",Controls!$B$8+Controls!$B$9*SQRT(-2*LN(H277/2147483647))*COS(2*PI()*R277/2147483647),Controls!$B$8+(Controls!$B$9-Controls!$B$8)*H277/2147483647))</f>
        <v/>
      </c>
      <c r="AC277" s="10" t="str">
        <f>IF(I277="","",IF(Controls!$B$7="Normal",Controls!$B$8+Controls!$B$9*SQRT(-2*LN(I277/2147483647))*COS(2*PI()*S277/2147483647),Controls!$B$8+(Controls!$B$9-Controls!$B$8)*I277/2147483647))</f>
        <v/>
      </c>
      <c r="AD277" s="10" t="str">
        <f>IF(J277="","",IF(Controls!$B$7="Normal",Controls!$B$8+Controls!$B$9*SQRT(-2*LN(J277/2147483647))*COS(2*PI()*T277/2147483647),Controls!$B$8+(Controls!$B$9-Controls!$B$8)*J277/2147483647))</f>
        <v/>
      </c>
      <c r="AE277" s="10" t="str">
        <f>IF(K277="","",IF(Controls!$B$7="Normal",Controls!$B$8+Controls!$B$9*SQRT(-2*LN(K277/2147483647))*COS(2*PI()*U277/2147483647),Controls!$B$8+(Controls!$B$9-Controls!$B$8)*K277/2147483647))</f>
        <v/>
      </c>
    </row>
    <row r="278" ht="21.0" customHeight="1">
      <c r="A278" s="7" t="str">
        <f>IF(277&lt;=Controls!$B$5,Controls!$B$4+276,"")</f>
        <v/>
      </c>
      <c r="B278" s="10" t="str">
        <f>IF(OR($A278="",1&gt;Controls!$B$6),"",MOD(L277*48271,2147483647))</f>
        <v/>
      </c>
      <c r="C278" s="10" t="str">
        <f>IF(OR($A278="",2&gt;Controls!$B$6),"",MOD(M277*48271,2147483647))</f>
        <v/>
      </c>
      <c r="D278" s="10" t="str">
        <f>IF(OR($A278="",3&gt;Controls!$B$6),"",MOD(N277*48271,2147483647))</f>
        <v/>
      </c>
      <c r="E278" s="10" t="str">
        <f>IF(OR($A278="",4&gt;Controls!$B$6),"",MOD(O277*48271,2147483647))</f>
        <v/>
      </c>
      <c r="F278" s="10" t="str">
        <f>IF(OR($A278="",5&gt;Controls!$B$6),"",MOD(P277*48271,2147483647))</f>
        <v/>
      </c>
      <c r="G278" s="10" t="str">
        <f>IF(OR($A278="",6&gt;Controls!$B$6),"",MOD(Q277*48271,2147483647))</f>
        <v/>
      </c>
      <c r="H278" s="10" t="str">
        <f>IF(OR($A278="",7&gt;Controls!$B$6),"",MOD(R277*48271,2147483647))</f>
        <v/>
      </c>
      <c r="I278" s="10" t="str">
        <f>IF(OR($A278="",8&gt;Controls!$B$6),"",MOD(S277*48271,2147483647))</f>
        <v/>
      </c>
      <c r="J278" s="10" t="str">
        <f>IF(OR($A278="",9&gt;Controls!$B$6),"",MOD(T277*48271,2147483647))</f>
        <v/>
      </c>
      <c r="K278" s="10" t="str">
        <f>IF(OR($A278="",10&gt;Controls!$B$6),"",MOD(U277*48271,2147483647))</f>
        <v/>
      </c>
      <c r="L278" s="10" t="str">
        <f t="shared" ref="L278:U278" si="277">IF(B278="","",MOD(B278*48271,2147483647))</f>
        <v/>
      </c>
      <c r="M278" s="10" t="str">
        <f t="shared" si="277"/>
        <v/>
      </c>
      <c r="N278" s="10" t="str">
        <f t="shared" si="277"/>
        <v/>
      </c>
      <c r="O278" s="10" t="str">
        <f t="shared" si="277"/>
        <v/>
      </c>
      <c r="P278" s="10" t="str">
        <f t="shared" si="277"/>
        <v/>
      </c>
      <c r="Q278" s="10" t="str">
        <f t="shared" si="277"/>
        <v/>
      </c>
      <c r="R278" s="10" t="str">
        <f t="shared" si="277"/>
        <v/>
      </c>
      <c r="S278" s="10" t="str">
        <f t="shared" si="277"/>
        <v/>
      </c>
      <c r="T278" s="10" t="str">
        <f t="shared" si="277"/>
        <v/>
      </c>
      <c r="U278" s="10" t="str">
        <f t="shared" si="277"/>
        <v/>
      </c>
      <c r="V278" s="10" t="str">
        <f>IF(B278="","",IF(Controls!$B$7="Normal",Controls!$B$8+Controls!$B$9*SQRT(-2*LN(B278/2147483647))*COS(2*PI()*L278/2147483647),Controls!$B$8+(Controls!$B$9-Controls!$B$8)*B278/2147483647))</f>
        <v/>
      </c>
      <c r="W278" s="10" t="str">
        <f>IF(C278="","",IF(Controls!$B$7="Normal",Controls!$B$8+Controls!$B$9*SQRT(-2*LN(C278/2147483647))*COS(2*PI()*M278/2147483647),Controls!$B$8+(Controls!$B$9-Controls!$B$8)*C278/2147483647))</f>
        <v/>
      </c>
      <c r="X278" s="10" t="str">
        <f>IF(D278="","",IF(Controls!$B$7="Normal",Controls!$B$8+Controls!$B$9*SQRT(-2*LN(D278/2147483647))*COS(2*PI()*N278/2147483647),Controls!$B$8+(Controls!$B$9-Controls!$B$8)*D278/2147483647))</f>
        <v/>
      </c>
      <c r="Y278" s="10" t="str">
        <f>IF(E278="","",IF(Controls!$B$7="Normal",Controls!$B$8+Controls!$B$9*SQRT(-2*LN(E278/2147483647))*COS(2*PI()*O278/2147483647),Controls!$B$8+(Controls!$B$9-Controls!$B$8)*E278/2147483647))</f>
        <v/>
      </c>
      <c r="Z278" s="10" t="str">
        <f>IF(F278="","",IF(Controls!$B$7="Normal",Controls!$B$8+Controls!$B$9*SQRT(-2*LN(F278/2147483647))*COS(2*PI()*P278/2147483647),Controls!$B$8+(Controls!$B$9-Controls!$B$8)*F278/2147483647))</f>
        <v/>
      </c>
      <c r="AA278" s="10" t="str">
        <f>IF(G278="","",IF(Controls!$B$7="Normal",Controls!$B$8+Controls!$B$9*SQRT(-2*LN(G278/2147483647))*COS(2*PI()*Q278/2147483647),Controls!$B$8+(Controls!$B$9-Controls!$B$8)*G278/2147483647))</f>
        <v/>
      </c>
      <c r="AB278" s="10" t="str">
        <f>IF(H278="","",IF(Controls!$B$7="Normal",Controls!$B$8+Controls!$B$9*SQRT(-2*LN(H278/2147483647))*COS(2*PI()*R278/2147483647),Controls!$B$8+(Controls!$B$9-Controls!$B$8)*H278/2147483647))</f>
        <v/>
      </c>
      <c r="AC278" s="10" t="str">
        <f>IF(I278="","",IF(Controls!$B$7="Normal",Controls!$B$8+Controls!$B$9*SQRT(-2*LN(I278/2147483647))*COS(2*PI()*S278/2147483647),Controls!$B$8+(Controls!$B$9-Controls!$B$8)*I278/2147483647))</f>
        <v/>
      </c>
      <c r="AD278" s="10" t="str">
        <f>IF(J278="","",IF(Controls!$B$7="Normal",Controls!$B$8+Controls!$B$9*SQRT(-2*LN(J278/2147483647))*COS(2*PI()*T278/2147483647),Controls!$B$8+(Controls!$B$9-Controls!$B$8)*J278/2147483647))</f>
        <v/>
      </c>
      <c r="AE278" s="10" t="str">
        <f>IF(K278="","",IF(Controls!$B$7="Normal",Controls!$B$8+Controls!$B$9*SQRT(-2*LN(K278/2147483647))*COS(2*PI()*U278/2147483647),Controls!$B$8+(Controls!$B$9-Controls!$B$8)*K278/2147483647))</f>
        <v/>
      </c>
    </row>
    <row r="279" ht="21.0" customHeight="1">
      <c r="A279" s="7" t="str">
        <f>IF(278&lt;=Controls!$B$5,Controls!$B$4+277,"")</f>
        <v/>
      </c>
      <c r="B279" s="10" t="str">
        <f>IF(OR($A279="",1&gt;Controls!$B$6),"",MOD(L278*48271,2147483647))</f>
        <v/>
      </c>
      <c r="C279" s="10" t="str">
        <f>IF(OR($A279="",2&gt;Controls!$B$6),"",MOD(M278*48271,2147483647))</f>
        <v/>
      </c>
      <c r="D279" s="10" t="str">
        <f>IF(OR($A279="",3&gt;Controls!$B$6),"",MOD(N278*48271,2147483647))</f>
        <v/>
      </c>
      <c r="E279" s="10" t="str">
        <f>IF(OR($A279="",4&gt;Controls!$B$6),"",MOD(O278*48271,2147483647))</f>
        <v/>
      </c>
      <c r="F279" s="10" t="str">
        <f>IF(OR($A279="",5&gt;Controls!$B$6),"",MOD(P278*48271,2147483647))</f>
        <v/>
      </c>
      <c r="G279" s="10" t="str">
        <f>IF(OR($A279="",6&gt;Controls!$B$6),"",MOD(Q278*48271,2147483647))</f>
        <v/>
      </c>
      <c r="H279" s="10" t="str">
        <f>IF(OR($A279="",7&gt;Controls!$B$6),"",MOD(R278*48271,2147483647))</f>
        <v/>
      </c>
      <c r="I279" s="10" t="str">
        <f>IF(OR($A279="",8&gt;Controls!$B$6),"",MOD(S278*48271,2147483647))</f>
        <v/>
      </c>
      <c r="J279" s="10" t="str">
        <f>IF(OR($A279="",9&gt;Controls!$B$6),"",MOD(T278*48271,2147483647))</f>
        <v/>
      </c>
      <c r="K279" s="10" t="str">
        <f>IF(OR($A279="",10&gt;Controls!$B$6),"",MOD(U278*48271,2147483647))</f>
        <v/>
      </c>
      <c r="L279" s="10" t="str">
        <f t="shared" ref="L279:U279" si="278">IF(B279="","",MOD(B279*48271,2147483647))</f>
        <v/>
      </c>
      <c r="M279" s="10" t="str">
        <f t="shared" si="278"/>
        <v/>
      </c>
      <c r="N279" s="10" t="str">
        <f t="shared" si="278"/>
        <v/>
      </c>
      <c r="O279" s="10" t="str">
        <f t="shared" si="278"/>
        <v/>
      </c>
      <c r="P279" s="10" t="str">
        <f t="shared" si="278"/>
        <v/>
      </c>
      <c r="Q279" s="10" t="str">
        <f t="shared" si="278"/>
        <v/>
      </c>
      <c r="R279" s="10" t="str">
        <f t="shared" si="278"/>
        <v/>
      </c>
      <c r="S279" s="10" t="str">
        <f t="shared" si="278"/>
        <v/>
      </c>
      <c r="T279" s="10" t="str">
        <f t="shared" si="278"/>
        <v/>
      </c>
      <c r="U279" s="10" t="str">
        <f t="shared" si="278"/>
        <v/>
      </c>
      <c r="V279" s="10" t="str">
        <f>IF(B279="","",IF(Controls!$B$7="Normal",Controls!$B$8+Controls!$B$9*SQRT(-2*LN(B279/2147483647))*COS(2*PI()*L279/2147483647),Controls!$B$8+(Controls!$B$9-Controls!$B$8)*B279/2147483647))</f>
        <v/>
      </c>
      <c r="W279" s="10" t="str">
        <f>IF(C279="","",IF(Controls!$B$7="Normal",Controls!$B$8+Controls!$B$9*SQRT(-2*LN(C279/2147483647))*COS(2*PI()*M279/2147483647),Controls!$B$8+(Controls!$B$9-Controls!$B$8)*C279/2147483647))</f>
        <v/>
      </c>
      <c r="X279" s="10" t="str">
        <f>IF(D279="","",IF(Controls!$B$7="Normal",Controls!$B$8+Controls!$B$9*SQRT(-2*LN(D279/2147483647))*COS(2*PI()*N279/2147483647),Controls!$B$8+(Controls!$B$9-Controls!$B$8)*D279/2147483647))</f>
        <v/>
      </c>
      <c r="Y279" s="10" t="str">
        <f>IF(E279="","",IF(Controls!$B$7="Normal",Controls!$B$8+Controls!$B$9*SQRT(-2*LN(E279/2147483647))*COS(2*PI()*O279/2147483647),Controls!$B$8+(Controls!$B$9-Controls!$B$8)*E279/2147483647))</f>
        <v/>
      </c>
      <c r="Z279" s="10" t="str">
        <f>IF(F279="","",IF(Controls!$B$7="Normal",Controls!$B$8+Controls!$B$9*SQRT(-2*LN(F279/2147483647))*COS(2*PI()*P279/2147483647),Controls!$B$8+(Controls!$B$9-Controls!$B$8)*F279/2147483647))</f>
        <v/>
      </c>
      <c r="AA279" s="10" t="str">
        <f>IF(G279="","",IF(Controls!$B$7="Normal",Controls!$B$8+Controls!$B$9*SQRT(-2*LN(G279/2147483647))*COS(2*PI()*Q279/2147483647),Controls!$B$8+(Controls!$B$9-Controls!$B$8)*G279/2147483647))</f>
        <v/>
      </c>
      <c r="AB279" s="10" t="str">
        <f>IF(H279="","",IF(Controls!$B$7="Normal",Controls!$B$8+Controls!$B$9*SQRT(-2*LN(H279/2147483647))*COS(2*PI()*R279/2147483647),Controls!$B$8+(Controls!$B$9-Controls!$B$8)*H279/2147483647))</f>
        <v/>
      </c>
      <c r="AC279" s="10" t="str">
        <f>IF(I279="","",IF(Controls!$B$7="Normal",Controls!$B$8+Controls!$B$9*SQRT(-2*LN(I279/2147483647))*COS(2*PI()*S279/2147483647),Controls!$B$8+(Controls!$B$9-Controls!$B$8)*I279/2147483647))</f>
        <v/>
      </c>
      <c r="AD279" s="10" t="str">
        <f>IF(J279="","",IF(Controls!$B$7="Normal",Controls!$B$8+Controls!$B$9*SQRT(-2*LN(J279/2147483647))*COS(2*PI()*T279/2147483647),Controls!$B$8+(Controls!$B$9-Controls!$B$8)*J279/2147483647))</f>
        <v/>
      </c>
      <c r="AE279" s="10" t="str">
        <f>IF(K279="","",IF(Controls!$B$7="Normal",Controls!$B$8+Controls!$B$9*SQRT(-2*LN(K279/2147483647))*COS(2*PI()*U279/2147483647),Controls!$B$8+(Controls!$B$9-Controls!$B$8)*K279/2147483647))</f>
        <v/>
      </c>
    </row>
    <row r="280" ht="21.0" customHeight="1">
      <c r="A280" s="7" t="str">
        <f>IF(279&lt;=Controls!$B$5,Controls!$B$4+278,"")</f>
        <v/>
      </c>
      <c r="B280" s="10" t="str">
        <f>IF(OR($A280="",1&gt;Controls!$B$6),"",MOD(L279*48271,2147483647))</f>
        <v/>
      </c>
      <c r="C280" s="10" t="str">
        <f>IF(OR($A280="",2&gt;Controls!$B$6),"",MOD(M279*48271,2147483647))</f>
        <v/>
      </c>
      <c r="D280" s="10" t="str">
        <f>IF(OR($A280="",3&gt;Controls!$B$6),"",MOD(N279*48271,2147483647))</f>
        <v/>
      </c>
      <c r="E280" s="10" t="str">
        <f>IF(OR($A280="",4&gt;Controls!$B$6),"",MOD(O279*48271,2147483647))</f>
        <v/>
      </c>
      <c r="F280" s="10" t="str">
        <f>IF(OR($A280="",5&gt;Controls!$B$6),"",MOD(P279*48271,2147483647))</f>
        <v/>
      </c>
      <c r="G280" s="10" t="str">
        <f>IF(OR($A280="",6&gt;Controls!$B$6),"",MOD(Q279*48271,2147483647))</f>
        <v/>
      </c>
      <c r="H280" s="10" t="str">
        <f>IF(OR($A280="",7&gt;Controls!$B$6),"",MOD(R279*48271,2147483647))</f>
        <v/>
      </c>
      <c r="I280" s="10" t="str">
        <f>IF(OR($A280="",8&gt;Controls!$B$6),"",MOD(S279*48271,2147483647))</f>
        <v/>
      </c>
      <c r="J280" s="10" t="str">
        <f>IF(OR($A280="",9&gt;Controls!$B$6),"",MOD(T279*48271,2147483647))</f>
        <v/>
      </c>
      <c r="K280" s="10" t="str">
        <f>IF(OR($A280="",10&gt;Controls!$B$6),"",MOD(U279*48271,2147483647))</f>
        <v/>
      </c>
      <c r="L280" s="10" t="str">
        <f t="shared" ref="L280:U280" si="279">IF(B280="","",MOD(B280*48271,2147483647))</f>
        <v/>
      </c>
      <c r="M280" s="10" t="str">
        <f t="shared" si="279"/>
        <v/>
      </c>
      <c r="N280" s="10" t="str">
        <f t="shared" si="279"/>
        <v/>
      </c>
      <c r="O280" s="10" t="str">
        <f t="shared" si="279"/>
        <v/>
      </c>
      <c r="P280" s="10" t="str">
        <f t="shared" si="279"/>
        <v/>
      </c>
      <c r="Q280" s="10" t="str">
        <f t="shared" si="279"/>
        <v/>
      </c>
      <c r="R280" s="10" t="str">
        <f t="shared" si="279"/>
        <v/>
      </c>
      <c r="S280" s="10" t="str">
        <f t="shared" si="279"/>
        <v/>
      </c>
      <c r="T280" s="10" t="str">
        <f t="shared" si="279"/>
        <v/>
      </c>
      <c r="U280" s="10" t="str">
        <f t="shared" si="279"/>
        <v/>
      </c>
      <c r="V280" s="10" t="str">
        <f>IF(B280="","",IF(Controls!$B$7="Normal",Controls!$B$8+Controls!$B$9*SQRT(-2*LN(B280/2147483647))*COS(2*PI()*L280/2147483647),Controls!$B$8+(Controls!$B$9-Controls!$B$8)*B280/2147483647))</f>
        <v/>
      </c>
      <c r="W280" s="10" t="str">
        <f>IF(C280="","",IF(Controls!$B$7="Normal",Controls!$B$8+Controls!$B$9*SQRT(-2*LN(C280/2147483647))*COS(2*PI()*M280/2147483647),Controls!$B$8+(Controls!$B$9-Controls!$B$8)*C280/2147483647))</f>
        <v/>
      </c>
      <c r="X280" s="10" t="str">
        <f>IF(D280="","",IF(Controls!$B$7="Normal",Controls!$B$8+Controls!$B$9*SQRT(-2*LN(D280/2147483647))*COS(2*PI()*N280/2147483647),Controls!$B$8+(Controls!$B$9-Controls!$B$8)*D280/2147483647))</f>
        <v/>
      </c>
      <c r="Y280" s="10" t="str">
        <f>IF(E280="","",IF(Controls!$B$7="Normal",Controls!$B$8+Controls!$B$9*SQRT(-2*LN(E280/2147483647))*COS(2*PI()*O280/2147483647),Controls!$B$8+(Controls!$B$9-Controls!$B$8)*E280/2147483647))</f>
        <v/>
      </c>
      <c r="Z280" s="10" t="str">
        <f>IF(F280="","",IF(Controls!$B$7="Normal",Controls!$B$8+Controls!$B$9*SQRT(-2*LN(F280/2147483647))*COS(2*PI()*P280/2147483647),Controls!$B$8+(Controls!$B$9-Controls!$B$8)*F280/2147483647))</f>
        <v/>
      </c>
      <c r="AA280" s="10" t="str">
        <f>IF(G280="","",IF(Controls!$B$7="Normal",Controls!$B$8+Controls!$B$9*SQRT(-2*LN(G280/2147483647))*COS(2*PI()*Q280/2147483647),Controls!$B$8+(Controls!$B$9-Controls!$B$8)*G280/2147483647))</f>
        <v/>
      </c>
      <c r="AB280" s="10" t="str">
        <f>IF(H280="","",IF(Controls!$B$7="Normal",Controls!$B$8+Controls!$B$9*SQRT(-2*LN(H280/2147483647))*COS(2*PI()*R280/2147483647),Controls!$B$8+(Controls!$B$9-Controls!$B$8)*H280/2147483647))</f>
        <v/>
      </c>
      <c r="AC280" s="10" t="str">
        <f>IF(I280="","",IF(Controls!$B$7="Normal",Controls!$B$8+Controls!$B$9*SQRT(-2*LN(I280/2147483647))*COS(2*PI()*S280/2147483647),Controls!$B$8+(Controls!$B$9-Controls!$B$8)*I280/2147483647))</f>
        <v/>
      </c>
      <c r="AD280" s="10" t="str">
        <f>IF(J280="","",IF(Controls!$B$7="Normal",Controls!$B$8+Controls!$B$9*SQRT(-2*LN(J280/2147483647))*COS(2*PI()*T280/2147483647),Controls!$B$8+(Controls!$B$9-Controls!$B$8)*J280/2147483647))</f>
        <v/>
      </c>
      <c r="AE280" s="10" t="str">
        <f>IF(K280="","",IF(Controls!$B$7="Normal",Controls!$B$8+Controls!$B$9*SQRT(-2*LN(K280/2147483647))*COS(2*PI()*U280/2147483647),Controls!$B$8+(Controls!$B$9-Controls!$B$8)*K280/2147483647))</f>
        <v/>
      </c>
    </row>
    <row r="281" ht="21.0" customHeight="1">
      <c r="A281" s="7" t="str">
        <f>IF(280&lt;=Controls!$B$5,Controls!$B$4+279,"")</f>
        <v/>
      </c>
      <c r="B281" s="10" t="str">
        <f>IF(OR($A281="",1&gt;Controls!$B$6),"",MOD(L280*48271,2147483647))</f>
        <v/>
      </c>
      <c r="C281" s="10" t="str">
        <f>IF(OR($A281="",2&gt;Controls!$B$6),"",MOD(M280*48271,2147483647))</f>
        <v/>
      </c>
      <c r="D281" s="10" t="str">
        <f>IF(OR($A281="",3&gt;Controls!$B$6),"",MOD(N280*48271,2147483647))</f>
        <v/>
      </c>
      <c r="E281" s="10" t="str">
        <f>IF(OR($A281="",4&gt;Controls!$B$6),"",MOD(O280*48271,2147483647))</f>
        <v/>
      </c>
      <c r="F281" s="10" t="str">
        <f>IF(OR($A281="",5&gt;Controls!$B$6),"",MOD(P280*48271,2147483647))</f>
        <v/>
      </c>
      <c r="G281" s="10" t="str">
        <f>IF(OR($A281="",6&gt;Controls!$B$6),"",MOD(Q280*48271,2147483647))</f>
        <v/>
      </c>
      <c r="H281" s="10" t="str">
        <f>IF(OR($A281="",7&gt;Controls!$B$6),"",MOD(R280*48271,2147483647))</f>
        <v/>
      </c>
      <c r="I281" s="10" t="str">
        <f>IF(OR($A281="",8&gt;Controls!$B$6),"",MOD(S280*48271,2147483647))</f>
        <v/>
      </c>
      <c r="J281" s="10" t="str">
        <f>IF(OR($A281="",9&gt;Controls!$B$6),"",MOD(T280*48271,2147483647))</f>
        <v/>
      </c>
      <c r="K281" s="10" t="str">
        <f>IF(OR($A281="",10&gt;Controls!$B$6),"",MOD(U280*48271,2147483647))</f>
        <v/>
      </c>
      <c r="L281" s="10" t="str">
        <f t="shared" ref="L281:U281" si="280">IF(B281="","",MOD(B281*48271,2147483647))</f>
        <v/>
      </c>
      <c r="M281" s="10" t="str">
        <f t="shared" si="280"/>
        <v/>
      </c>
      <c r="N281" s="10" t="str">
        <f t="shared" si="280"/>
        <v/>
      </c>
      <c r="O281" s="10" t="str">
        <f t="shared" si="280"/>
        <v/>
      </c>
      <c r="P281" s="10" t="str">
        <f t="shared" si="280"/>
        <v/>
      </c>
      <c r="Q281" s="10" t="str">
        <f t="shared" si="280"/>
        <v/>
      </c>
      <c r="R281" s="10" t="str">
        <f t="shared" si="280"/>
        <v/>
      </c>
      <c r="S281" s="10" t="str">
        <f t="shared" si="280"/>
        <v/>
      </c>
      <c r="T281" s="10" t="str">
        <f t="shared" si="280"/>
        <v/>
      </c>
      <c r="U281" s="10" t="str">
        <f t="shared" si="280"/>
        <v/>
      </c>
      <c r="V281" s="10" t="str">
        <f>IF(B281="","",IF(Controls!$B$7="Normal",Controls!$B$8+Controls!$B$9*SQRT(-2*LN(B281/2147483647))*COS(2*PI()*L281/2147483647),Controls!$B$8+(Controls!$B$9-Controls!$B$8)*B281/2147483647))</f>
        <v/>
      </c>
      <c r="W281" s="10" t="str">
        <f>IF(C281="","",IF(Controls!$B$7="Normal",Controls!$B$8+Controls!$B$9*SQRT(-2*LN(C281/2147483647))*COS(2*PI()*M281/2147483647),Controls!$B$8+(Controls!$B$9-Controls!$B$8)*C281/2147483647))</f>
        <v/>
      </c>
      <c r="X281" s="10" t="str">
        <f>IF(D281="","",IF(Controls!$B$7="Normal",Controls!$B$8+Controls!$B$9*SQRT(-2*LN(D281/2147483647))*COS(2*PI()*N281/2147483647),Controls!$B$8+(Controls!$B$9-Controls!$B$8)*D281/2147483647))</f>
        <v/>
      </c>
      <c r="Y281" s="10" t="str">
        <f>IF(E281="","",IF(Controls!$B$7="Normal",Controls!$B$8+Controls!$B$9*SQRT(-2*LN(E281/2147483647))*COS(2*PI()*O281/2147483647),Controls!$B$8+(Controls!$B$9-Controls!$B$8)*E281/2147483647))</f>
        <v/>
      </c>
      <c r="Z281" s="10" t="str">
        <f>IF(F281="","",IF(Controls!$B$7="Normal",Controls!$B$8+Controls!$B$9*SQRT(-2*LN(F281/2147483647))*COS(2*PI()*P281/2147483647),Controls!$B$8+(Controls!$B$9-Controls!$B$8)*F281/2147483647))</f>
        <v/>
      </c>
      <c r="AA281" s="10" t="str">
        <f>IF(G281="","",IF(Controls!$B$7="Normal",Controls!$B$8+Controls!$B$9*SQRT(-2*LN(G281/2147483647))*COS(2*PI()*Q281/2147483647),Controls!$B$8+(Controls!$B$9-Controls!$B$8)*G281/2147483647))</f>
        <v/>
      </c>
      <c r="AB281" s="10" t="str">
        <f>IF(H281="","",IF(Controls!$B$7="Normal",Controls!$B$8+Controls!$B$9*SQRT(-2*LN(H281/2147483647))*COS(2*PI()*R281/2147483647),Controls!$B$8+(Controls!$B$9-Controls!$B$8)*H281/2147483647))</f>
        <v/>
      </c>
      <c r="AC281" s="10" t="str">
        <f>IF(I281="","",IF(Controls!$B$7="Normal",Controls!$B$8+Controls!$B$9*SQRT(-2*LN(I281/2147483647))*COS(2*PI()*S281/2147483647),Controls!$B$8+(Controls!$B$9-Controls!$B$8)*I281/2147483647))</f>
        <v/>
      </c>
      <c r="AD281" s="10" t="str">
        <f>IF(J281="","",IF(Controls!$B$7="Normal",Controls!$B$8+Controls!$B$9*SQRT(-2*LN(J281/2147483647))*COS(2*PI()*T281/2147483647),Controls!$B$8+(Controls!$B$9-Controls!$B$8)*J281/2147483647))</f>
        <v/>
      </c>
      <c r="AE281" s="10" t="str">
        <f>IF(K281="","",IF(Controls!$B$7="Normal",Controls!$B$8+Controls!$B$9*SQRT(-2*LN(K281/2147483647))*COS(2*PI()*U281/2147483647),Controls!$B$8+(Controls!$B$9-Controls!$B$8)*K281/2147483647))</f>
        <v/>
      </c>
    </row>
    <row r="282" ht="21.0" customHeight="1">
      <c r="A282" s="7" t="str">
        <f>IF(281&lt;=Controls!$B$5,Controls!$B$4+280,"")</f>
        <v/>
      </c>
      <c r="B282" s="10" t="str">
        <f>IF(OR($A282="",1&gt;Controls!$B$6),"",MOD(L281*48271,2147483647))</f>
        <v/>
      </c>
      <c r="C282" s="10" t="str">
        <f>IF(OR($A282="",2&gt;Controls!$B$6),"",MOD(M281*48271,2147483647))</f>
        <v/>
      </c>
      <c r="D282" s="10" t="str">
        <f>IF(OR($A282="",3&gt;Controls!$B$6),"",MOD(N281*48271,2147483647))</f>
        <v/>
      </c>
      <c r="E282" s="10" t="str">
        <f>IF(OR($A282="",4&gt;Controls!$B$6),"",MOD(O281*48271,2147483647))</f>
        <v/>
      </c>
      <c r="F282" s="10" t="str">
        <f>IF(OR($A282="",5&gt;Controls!$B$6),"",MOD(P281*48271,2147483647))</f>
        <v/>
      </c>
      <c r="G282" s="10" t="str">
        <f>IF(OR($A282="",6&gt;Controls!$B$6),"",MOD(Q281*48271,2147483647))</f>
        <v/>
      </c>
      <c r="H282" s="10" t="str">
        <f>IF(OR($A282="",7&gt;Controls!$B$6),"",MOD(R281*48271,2147483647))</f>
        <v/>
      </c>
      <c r="I282" s="10" t="str">
        <f>IF(OR($A282="",8&gt;Controls!$B$6),"",MOD(S281*48271,2147483647))</f>
        <v/>
      </c>
      <c r="J282" s="10" t="str">
        <f>IF(OR($A282="",9&gt;Controls!$B$6),"",MOD(T281*48271,2147483647))</f>
        <v/>
      </c>
      <c r="K282" s="10" t="str">
        <f>IF(OR($A282="",10&gt;Controls!$B$6),"",MOD(U281*48271,2147483647))</f>
        <v/>
      </c>
      <c r="L282" s="10" t="str">
        <f t="shared" ref="L282:U282" si="281">IF(B282="","",MOD(B282*48271,2147483647))</f>
        <v/>
      </c>
      <c r="M282" s="10" t="str">
        <f t="shared" si="281"/>
        <v/>
      </c>
      <c r="N282" s="10" t="str">
        <f t="shared" si="281"/>
        <v/>
      </c>
      <c r="O282" s="10" t="str">
        <f t="shared" si="281"/>
        <v/>
      </c>
      <c r="P282" s="10" t="str">
        <f t="shared" si="281"/>
        <v/>
      </c>
      <c r="Q282" s="10" t="str">
        <f t="shared" si="281"/>
        <v/>
      </c>
      <c r="R282" s="10" t="str">
        <f t="shared" si="281"/>
        <v/>
      </c>
      <c r="S282" s="10" t="str">
        <f t="shared" si="281"/>
        <v/>
      </c>
      <c r="T282" s="10" t="str">
        <f t="shared" si="281"/>
        <v/>
      </c>
      <c r="U282" s="10" t="str">
        <f t="shared" si="281"/>
        <v/>
      </c>
      <c r="V282" s="10" t="str">
        <f>IF(B282="","",IF(Controls!$B$7="Normal",Controls!$B$8+Controls!$B$9*SQRT(-2*LN(B282/2147483647))*COS(2*PI()*L282/2147483647),Controls!$B$8+(Controls!$B$9-Controls!$B$8)*B282/2147483647))</f>
        <v/>
      </c>
      <c r="W282" s="10" t="str">
        <f>IF(C282="","",IF(Controls!$B$7="Normal",Controls!$B$8+Controls!$B$9*SQRT(-2*LN(C282/2147483647))*COS(2*PI()*M282/2147483647),Controls!$B$8+(Controls!$B$9-Controls!$B$8)*C282/2147483647))</f>
        <v/>
      </c>
      <c r="X282" s="10" t="str">
        <f>IF(D282="","",IF(Controls!$B$7="Normal",Controls!$B$8+Controls!$B$9*SQRT(-2*LN(D282/2147483647))*COS(2*PI()*N282/2147483647),Controls!$B$8+(Controls!$B$9-Controls!$B$8)*D282/2147483647))</f>
        <v/>
      </c>
      <c r="Y282" s="10" t="str">
        <f>IF(E282="","",IF(Controls!$B$7="Normal",Controls!$B$8+Controls!$B$9*SQRT(-2*LN(E282/2147483647))*COS(2*PI()*O282/2147483647),Controls!$B$8+(Controls!$B$9-Controls!$B$8)*E282/2147483647))</f>
        <v/>
      </c>
      <c r="Z282" s="10" t="str">
        <f>IF(F282="","",IF(Controls!$B$7="Normal",Controls!$B$8+Controls!$B$9*SQRT(-2*LN(F282/2147483647))*COS(2*PI()*P282/2147483647),Controls!$B$8+(Controls!$B$9-Controls!$B$8)*F282/2147483647))</f>
        <v/>
      </c>
      <c r="AA282" s="10" t="str">
        <f>IF(G282="","",IF(Controls!$B$7="Normal",Controls!$B$8+Controls!$B$9*SQRT(-2*LN(G282/2147483647))*COS(2*PI()*Q282/2147483647),Controls!$B$8+(Controls!$B$9-Controls!$B$8)*G282/2147483647))</f>
        <v/>
      </c>
      <c r="AB282" s="10" t="str">
        <f>IF(H282="","",IF(Controls!$B$7="Normal",Controls!$B$8+Controls!$B$9*SQRT(-2*LN(H282/2147483647))*COS(2*PI()*R282/2147483647),Controls!$B$8+(Controls!$B$9-Controls!$B$8)*H282/2147483647))</f>
        <v/>
      </c>
      <c r="AC282" s="10" t="str">
        <f>IF(I282="","",IF(Controls!$B$7="Normal",Controls!$B$8+Controls!$B$9*SQRT(-2*LN(I282/2147483647))*COS(2*PI()*S282/2147483647),Controls!$B$8+(Controls!$B$9-Controls!$B$8)*I282/2147483647))</f>
        <v/>
      </c>
      <c r="AD282" s="10" t="str">
        <f>IF(J282="","",IF(Controls!$B$7="Normal",Controls!$B$8+Controls!$B$9*SQRT(-2*LN(J282/2147483647))*COS(2*PI()*T282/2147483647),Controls!$B$8+(Controls!$B$9-Controls!$B$8)*J282/2147483647))</f>
        <v/>
      </c>
      <c r="AE282" s="10" t="str">
        <f>IF(K282="","",IF(Controls!$B$7="Normal",Controls!$B$8+Controls!$B$9*SQRT(-2*LN(K282/2147483647))*COS(2*PI()*U282/2147483647),Controls!$B$8+(Controls!$B$9-Controls!$B$8)*K282/2147483647))</f>
        <v/>
      </c>
    </row>
    <row r="283" ht="21.0" customHeight="1">
      <c r="A283" s="7" t="str">
        <f>IF(282&lt;=Controls!$B$5,Controls!$B$4+281,"")</f>
        <v/>
      </c>
      <c r="B283" s="10" t="str">
        <f>IF(OR($A283="",1&gt;Controls!$B$6),"",MOD(L282*48271,2147483647))</f>
        <v/>
      </c>
      <c r="C283" s="10" t="str">
        <f>IF(OR($A283="",2&gt;Controls!$B$6),"",MOD(M282*48271,2147483647))</f>
        <v/>
      </c>
      <c r="D283" s="10" t="str">
        <f>IF(OR($A283="",3&gt;Controls!$B$6),"",MOD(N282*48271,2147483647))</f>
        <v/>
      </c>
      <c r="E283" s="10" t="str">
        <f>IF(OR($A283="",4&gt;Controls!$B$6),"",MOD(O282*48271,2147483647))</f>
        <v/>
      </c>
      <c r="F283" s="10" t="str">
        <f>IF(OR($A283="",5&gt;Controls!$B$6),"",MOD(P282*48271,2147483647))</f>
        <v/>
      </c>
      <c r="G283" s="10" t="str">
        <f>IF(OR($A283="",6&gt;Controls!$B$6),"",MOD(Q282*48271,2147483647))</f>
        <v/>
      </c>
      <c r="H283" s="10" t="str">
        <f>IF(OR($A283="",7&gt;Controls!$B$6),"",MOD(R282*48271,2147483647))</f>
        <v/>
      </c>
      <c r="I283" s="10" t="str">
        <f>IF(OR($A283="",8&gt;Controls!$B$6),"",MOD(S282*48271,2147483647))</f>
        <v/>
      </c>
      <c r="J283" s="10" t="str">
        <f>IF(OR($A283="",9&gt;Controls!$B$6),"",MOD(T282*48271,2147483647))</f>
        <v/>
      </c>
      <c r="K283" s="10" t="str">
        <f>IF(OR($A283="",10&gt;Controls!$B$6),"",MOD(U282*48271,2147483647))</f>
        <v/>
      </c>
      <c r="L283" s="10" t="str">
        <f t="shared" ref="L283:U283" si="282">IF(B283="","",MOD(B283*48271,2147483647))</f>
        <v/>
      </c>
      <c r="M283" s="10" t="str">
        <f t="shared" si="282"/>
        <v/>
      </c>
      <c r="N283" s="10" t="str">
        <f t="shared" si="282"/>
        <v/>
      </c>
      <c r="O283" s="10" t="str">
        <f t="shared" si="282"/>
        <v/>
      </c>
      <c r="P283" s="10" t="str">
        <f t="shared" si="282"/>
        <v/>
      </c>
      <c r="Q283" s="10" t="str">
        <f t="shared" si="282"/>
        <v/>
      </c>
      <c r="R283" s="10" t="str">
        <f t="shared" si="282"/>
        <v/>
      </c>
      <c r="S283" s="10" t="str">
        <f t="shared" si="282"/>
        <v/>
      </c>
      <c r="T283" s="10" t="str">
        <f t="shared" si="282"/>
        <v/>
      </c>
      <c r="U283" s="10" t="str">
        <f t="shared" si="282"/>
        <v/>
      </c>
      <c r="V283" s="10" t="str">
        <f>IF(B283="","",IF(Controls!$B$7="Normal",Controls!$B$8+Controls!$B$9*SQRT(-2*LN(B283/2147483647))*COS(2*PI()*L283/2147483647),Controls!$B$8+(Controls!$B$9-Controls!$B$8)*B283/2147483647))</f>
        <v/>
      </c>
      <c r="W283" s="10" t="str">
        <f>IF(C283="","",IF(Controls!$B$7="Normal",Controls!$B$8+Controls!$B$9*SQRT(-2*LN(C283/2147483647))*COS(2*PI()*M283/2147483647),Controls!$B$8+(Controls!$B$9-Controls!$B$8)*C283/2147483647))</f>
        <v/>
      </c>
      <c r="X283" s="10" t="str">
        <f>IF(D283="","",IF(Controls!$B$7="Normal",Controls!$B$8+Controls!$B$9*SQRT(-2*LN(D283/2147483647))*COS(2*PI()*N283/2147483647),Controls!$B$8+(Controls!$B$9-Controls!$B$8)*D283/2147483647))</f>
        <v/>
      </c>
      <c r="Y283" s="10" t="str">
        <f>IF(E283="","",IF(Controls!$B$7="Normal",Controls!$B$8+Controls!$B$9*SQRT(-2*LN(E283/2147483647))*COS(2*PI()*O283/2147483647),Controls!$B$8+(Controls!$B$9-Controls!$B$8)*E283/2147483647))</f>
        <v/>
      </c>
      <c r="Z283" s="10" t="str">
        <f>IF(F283="","",IF(Controls!$B$7="Normal",Controls!$B$8+Controls!$B$9*SQRT(-2*LN(F283/2147483647))*COS(2*PI()*P283/2147483647),Controls!$B$8+(Controls!$B$9-Controls!$B$8)*F283/2147483647))</f>
        <v/>
      </c>
      <c r="AA283" s="10" t="str">
        <f>IF(G283="","",IF(Controls!$B$7="Normal",Controls!$B$8+Controls!$B$9*SQRT(-2*LN(G283/2147483647))*COS(2*PI()*Q283/2147483647),Controls!$B$8+(Controls!$B$9-Controls!$B$8)*G283/2147483647))</f>
        <v/>
      </c>
      <c r="AB283" s="10" t="str">
        <f>IF(H283="","",IF(Controls!$B$7="Normal",Controls!$B$8+Controls!$B$9*SQRT(-2*LN(H283/2147483647))*COS(2*PI()*R283/2147483647),Controls!$B$8+(Controls!$B$9-Controls!$B$8)*H283/2147483647))</f>
        <v/>
      </c>
      <c r="AC283" s="10" t="str">
        <f>IF(I283="","",IF(Controls!$B$7="Normal",Controls!$B$8+Controls!$B$9*SQRT(-2*LN(I283/2147483647))*COS(2*PI()*S283/2147483647),Controls!$B$8+(Controls!$B$9-Controls!$B$8)*I283/2147483647))</f>
        <v/>
      </c>
      <c r="AD283" s="10" t="str">
        <f>IF(J283="","",IF(Controls!$B$7="Normal",Controls!$B$8+Controls!$B$9*SQRT(-2*LN(J283/2147483647))*COS(2*PI()*T283/2147483647),Controls!$B$8+(Controls!$B$9-Controls!$B$8)*J283/2147483647))</f>
        <v/>
      </c>
      <c r="AE283" s="10" t="str">
        <f>IF(K283="","",IF(Controls!$B$7="Normal",Controls!$B$8+Controls!$B$9*SQRT(-2*LN(K283/2147483647))*COS(2*PI()*U283/2147483647),Controls!$B$8+(Controls!$B$9-Controls!$B$8)*K283/2147483647))</f>
        <v/>
      </c>
    </row>
    <row r="284" ht="21.0" customHeight="1">
      <c r="A284" s="7" t="str">
        <f>IF(283&lt;=Controls!$B$5,Controls!$B$4+282,"")</f>
        <v/>
      </c>
      <c r="B284" s="10" t="str">
        <f>IF(OR($A284="",1&gt;Controls!$B$6),"",MOD(L283*48271,2147483647))</f>
        <v/>
      </c>
      <c r="C284" s="10" t="str">
        <f>IF(OR($A284="",2&gt;Controls!$B$6),"",MOD(M283*48271,2147483647))</f>
        <v/>
      </c>
      <c r="D284" s="10" t="str">
        <f>IF(OR($A284="",3&gt;Controls!$B$6),"",MOD(N283*48271,2147483647))</f>
        <v/>
      </c>
      <c r="E284" s="10" t="str">
        <f>IF(OR($A284="",4&gt;Controls!$B$6),"",MOD(O283*48271,2147483647))</f>
        <v/>
      </c>
      <c r="F284" s="10" t="str">
        <f>IF(OR($A284="",5&gt;Controls!$B$6),"",MOD(P283*48271,2147483647))</f>
        <v/>
      </c>
      <c r="G284" s="10" t="str">
        <f>IF(OR($A284="",6&gt;Controls!$B$6),"",MOD(Q283*48271,2147483647))</f>
        <v/>
      </c>
      <c r="H284" s="10" t="str">
        <f>IF(OR($A284="",7&gt;Controls!$B$6),"",MOD(R283*48271,2147483647))</f>
        <v/>
      </c>
      <c r="I284" s="10" t="str">
        <f>IF(OR($A284="",8&gt;Controls!$B$6),"",MOD(S283*48271,2147483647))</f>
        <v/>
      </c>
      <c r="J284" s="10" t="str">
        <f>IF(OR($A284="",9&gt;Controls!$B$6),"",MOD(T283*48271,2147483647))</f>
        <v/>
      </c>
      <c r="K284" s="10" t="str">
        <f>IF(OR($A284="",10&gt;Controls!$B$6),"",MOD(U283*48271,2147483647))</f>
        <v/>
      </c>
      <c r="L284" s="10" t="str">
        <f t="shared" ref="L284:U284" si="283">IF(B284="","",MOD(B284*48271,2147483647))</f>
        <v/>
      </c>
      <c r="M284" s="10" t="str">
        <f t="shared" si="283"/>
        <v/>
      </c>
      <c r="N284" s="10" t="str">
        <f t="shared" si="283"/>
        <v/>
      </c>
      <c r="O284" s="10" t="str">
        <f t="shared" si="283"/>
        <v/>
      </c>
      <c r="P284" s="10" t="str">
        <f t="shared" si="283"/>
        <v/>
      </c>
      <c r="Q284" s="10" t="str">
        <f t="shared" si="283"/>
        <v/>
      </c>
      <c r="R284" s="10" t="str">
        <f t="shared" si="283"/>
        <v/>
      </c>
      <c r="S284" s="10" t="str">
        <f t="shared" si="283"/>
        <v/>
      </c>
      <c r="T284" s="10" t="str">
        <f t="shared" si="283"/>
        <v/>
      </c>
      <c r="U284" s="10" t="str">
        <f t="shared" si="283"/>
        <v/>
      </c>
      <c r="V284" s="10" t="str">
        <f>IF(B284="","",IF(Controls!$B$7="Normal",Controls!$B$8+Controls!$B$9*SQRT(-2*LN(B284/2147483647))*COS(2*PI()*L284/2147483647),Controls!$B$8+(Controls!$B$9-Controls!$B$8)*B284/2147483647))</f>
        <v/>
      </c>
      <c r="W284" s="10" t="str">
        <f>IF(C284="","",IF(Controls!$B$7="Normal",Controls!$B$8+Controls!$B$9*SQRT(-2*LN(C284/2147483647))*COS(2*PI()*M284/2147483647),Controls!$B$8+(Controls!$B$9-Controls!$B$8)*C284/2147483647))</f>
        <v/>
      </c>
      <c r="X284" s="10" t="str">
        <f>IF(D284="","",IF(Controls!$B$7="Normal",Controls!$B$8+Controls!$B$9*SQRT(-2*LN(D284/2147483647))*COS(2*PI()*N284/2147483647),Controls!$B$8+(Controls!$B$9-Controls!$B$8)*D284/2147483647))</f>
        <v/>
      </c>
      <c r="Y284" s="10" t="str">
        <f>IF(E284="","",IF(Controls!$B$7="Normal",Controls!$B$8+Controls!$B$9*SQRT(-2*LN(E284/2147483647))*COS(2*PI()*O284/2147483647),Controls!$B$8+(Controls!$B$9-Controls!$B$8)*E284/2147483647))</f>
        <v/>
      </c>
      <c r="Z284" s="10" t="str">
        <f>IF(F284="","",IF(Controls!$B$7="Normal",Controls!$B$8+Controls!$B$9*SQRT(-2*LN(F284/2147483647))*COS(2*PI()*P284/2147483647),Controls!$B$8+(Controls!$B$9-Controls!$B$8)*F284/2147483647))</f>
        <v/>
      </c>
      <c r="AA284" s="10" t="str">
        <f>IF(G284="","",IF(Controls!$B$7="Normal",Controls!$B$8+Controls!$B$9*SQRT(-2*LN(G284/2147483647))*COS(2*PI()*Q284/2147483647),Controls!$B$8+(Controls!$B$9-Controls!$B$8)*G284/2147483647))</f>
        <v/>
      </c>
      <c r="AB284" s="10" t="str">
        <f>IF(H284="","",IF(Controls!$B$7="Normal",Controls!$B$8+Controls!$B$9*SQRT(-2*LN(H284/2147483647))*COS(2*PI()*R284/2147483647),Controls!$B$8+(Controls!$B$9-Controls!$B$8)*H284/2147483647))</f>
        <v/>
      </c>
      <c r="AC284" s="10" t="str">
        <f>IF(I284="","",IF(Controls!$B$7="Normal",Controls!$B$8+Controls!$B$9*SQRT(-2*LN(I284/2147483647))*COS(2*PI()*S284/2147483647),Controls!$B$8+(Controls!$B$9-Controls!$B$8)*I284/2147483647))</f>
        <v/>
      </c>
      <c r="AD284" s="10" t="str">
        <f>IF(J284="","",IF(Controls!$B$7="Normal",Controls!$B$8+Controls!$B$9*SQRT(-2*LN(J284/2147483647))*COS(2*PI()*T284/2147483647),Controls!$B$8+(Controls!$B$9-Controls!$B$8)*J284/2147483647))</f>
        <v/>
      </c>
      <c r="AE284" s="10" t="str">
        <f>IF(K284="","",IF(Controls!$B$7="Normal",Controls!$B$8+Controls!$B$9*SQRT(-2*LN(K284/2147483647))*COS(2*PI()*U284/2147483647),Controls!$B$8+(Controls!$B$9-Controls!$B$8)*K284/2147483647))</f>
        <v/>
      </c>
    </row>
    <row r="285" ht="21.0" customHeight="1">
      <c r="A285" s="7" t="str">
        <f>IF(284&lt;=Controls!$B$5,Controls!$B$4+283,"")</f>
        <v/>
      </c>
      <c r="B285" s="10" t="str">
        <f>IF(OR($A285="",1&gt;Controls!$B$6),"",MOD(L284*48271,2147483647))</f>
        <v/>
      </c>
      <c r="C285" s="10" t="str">
        <f>IF(OR($A285="",2&gt;Controls!$B$6),"",MOD(M284*48271,2147483647))</f>
        <v/>
      </c>
      <c r="D285" s="10" t="str">
        <f>IF(OR($A285="",3&gt;Controls!$B$6),"",MOD(N284*48271,2147483647))</f>
        <v/>
      </c>
      <c r="E285" s="10" t="str">
        <f>IF(OR($A285="",4&gt;Controls!$B$6),"",MOD(O284*48271,2147483647))</f>
        <v/>
      </c>
      <c r="F285" s="10" t="str">
        <f>IF(OR($A285="",5&gt;Controls!$B$6),"",MOD(P284*48271,2147483647))</f>
        <v/>
      </c>
      <c r="G285" s="10" t="str">
        <f>IF(OR($A285="",6&gt;Controls!$B$6),"",MOD(Q284*48271,2147483647))</f>
        <v/>
      </c>
      <c r="H285" s="10" t="str">
        <f>IF(OR($A285="",7&gt;Controls!$B$6),"",MOD(R284*48271,2147483647))</f>
        <v/>
      </c>
      <c r="I285" s="10" t="str">
        <f>IF(OR($A285="",8&gt;Controls!$B$6),"",MOD(S284*48271,2147483647))</f>
        <v/>
      </c>
      <c r="J285" s="10" t="str">
        <f>IF(OR($A285="",9&gt;Controls!$B$6),"",MOD(T284*48271,2147483647))</f>
        <v/>
      </c>
      <c r="K285" s="10" t="str">
        <f>IF(OR($A285="",10&gt;Controls!$B$6),"",MOD(U284*48271,2147483647))</f>
        <v/>
      </c>
      <c r="L285" s="10" t="str">
        <f t="shared" ref="L285:U285" si="284">IF(B285="","",MOD(B285*48271,2147483647))</f>
        <v/>
      </c>
      <c r="M285" s="10" t="str">
        <f t="shared" si="284"/>
        <v/>
      </c>
      <c r="N285" s="10" t="str">
        <f t="shared" si="284"/>
        <v/>
      </c>
      <c r="O285" s="10" t="str">
        <f t="shared" si="284"/>
        <v/>
      </c>
      <c r="P285" s="10" t="str">
        <f t="shared" si="284"/>
        <v/>
      </c>
      <c r="Q285" s="10" t="str">
        <f t="shared" si="284"/>
        <v/>
      </c>
      <c r="R285" s="10" t="str">
        <f t="shared" si="284"/>
        <v/>
      </c>
      <c r="S285" s="10" t="str">
        <f t="shared" si="284"/>
        <v/>
      </c>
      <c r="T285" s="10" t="str">
        <f t="shared" si="284"/>
        <v/>
      </c>
      <c r="U285" s="10" t="str">
        <f t="shared" si="284"/>
        <v/>
      </c>
      <c r="V285" s="10" t="str">
        <f>IF(B285="","",IF(Controls!$B$7="Normal",Controls!$B$8+Controls!$B$9*SQRT(-2*LN(B285/2147483647))*COS(2*PI()*L285/2147483647),Controls!$B$8+(Controls!$B$9-Controls!$B$8)*B285/2147483647))</f>
        <v/>
      </c>
      <c r="W285" s="10" t="str">
        <f>IF(C285="","",IF(Controls!$B$7="Normal",Controls!$B$8+Controls!$B$9*SQRT(-2*LN(C285/2147483647))*COS(2*PI()*M285/2147483647),Controls!$B$8+(Controls!$B$9-Controls!$B$8)*C285/2147483647))</f>
        <v/>
      </c>
      <c r="X285" s="10" t="str">
        <f>IF(D285="","",IF(Controls!$B$7="Normal",Controls!$B$8+Controls!$B$9*SQRT(-2*LN(D285/2147483647))*COS(2*PI()*N285/2147483647),Controls!$B$8+(Controls!$B$9-Controls!$B$8)*D285/2147483647))</f>
        <v/>
      </c>
      <c r="Y285" s="10" t="str">
        <f>IF(E285="","",IF(Controls!$B$7="Normal",Controls!$B$8+Controls!$B$9*SQRT(-2*LN(E285/2147483647))*COS(2*PI()*O285/2147483647),Controls!$B$8+(Controls!$B$9-Controls!$B$8)*E285/2147483647))</f>
        <v/>
      </c>
      <c r="Z285" s="10" t="str">
        <f>IF(F285="","",IF(Controls!$B$7="Normal",Controls!$B$8+Controls!$B$9*SQRT(-2*LN(F285/2147483647))*COS(2*PI()*P285/2147483647),Controls!$B$8+(Controls!$B$9-Controls!$B$8)*F285/2147483647))</f>
        <v/>
      </c>
      <c r="AA285" s="10" t="str">
        <f>IF(G285="","",IF(Controls!$B$7="Normal",Controls!$B$8+Controls!$B$9*SQRT(-2*LN(G285/2147483647))*COS(2*PI()*Q285/2147483647),Controls!$B$8+(Controls!$B$9-Controls!$B$8)*G285/2147483647))</f>
        <v/>
      </c>
      <c r="AB285" s="10" t="str">
        <f>IF(H285="","",IF(Controls!$B$7="Normal",Controls!$B$8+Controls!$B$9*SQRT(-2*LN(H285/2147483647))*COS(2*PI()*R285/2147483647),Controls!$B$8+(Controls!$B$9-Controls!$B$8)*H285/2147483647))</f>
        <v/>
      </c>
      <c r="AC285" s="10" t="str">
        <f>IF(I285="","",IF(Controls!$B$7="Normal",Controls!$B$8+Controls!$B$9*SQRT(-2*LN(I285/2147483647))*COS(2*PI()*S285/2147483647),Controls!$B$8+(Controls!$B$9-Controls!$B$8)*I285/2147483647))</f>
        <v/>
      </c>
      <c r="AD285" s="10" t="str">
        <f>IF(J285="","",IF(Controls!$B$7="Normal",Controls!$B$8+Controls!$B$9*SQRT(-2*LN(J285/2147483647))*COS(2*PI()*T285/2147483647),Controls!$B$8+(Controls!$B$9-Controls!$B$8)*J285/2147483647))</f>
        <v/>
      </c>
      <c r="AE285" s="10" t="str">
        <f>IF(K285="","",IF(Controls!$B$7="Normal",Controls!$B$8+Controls!$B$9*SQRT(-2*LN(K285/2147483647))*COS(2*PI()*U285/2147483647),Controls!$B$8+(Controls!$B$9-Controls!$B$8)*K285/2147483647))</f>
        <v/>
      </c>
    </row>
    <row r="286" ht="21.0" customHeight="1">
      <c r="A286" s="7" t="str">
        <f>IF(285&lt;=Controls!$B$5,Controls!$B$4+284,"")</f>
        <v/>
      </c>
      <c r="B286" s="10" t="str">
        <f>IF(OR($A286="",1&gt;Controls!$B$6),"",MOD(L285*48271,2147483647))</f>
        <v/>
      </c>
      <c r="C286" s="10" t="str">
        <f>IF(OR($A286="",2&gt;Controls!$B$6),"",MOD(M285*48271,2147483647))</f>
        <v/>
      </c>
      <c r="D286" s="10" t="str">
        <f>IF(OR($A286="",3&gt;Controls!$B$6),"",MOD(N285*48271,2147483647))</f>
        <v/>
      </c>
      <c r="E286" s="10" t="str">
        <f>IF(OR($A286="",4&gt;Controls!$B$6),"",MOD(O285*48271,2147483647))</f>
        <v/>
      </c>
      <c r="F286" s="10" t="str">
        <f>IF(OR($A286="",5&gt;Controls!$B$6),"",MOD(P285*48271,2147483647))</f>
        <v/>
      </c>
      <c r="G286" s="10" t="str">
        <f>IF(OR($A286="",6&gt;Controls!$B$6),"",MOD(Q285*48271,2147483647))</f>
        <v/>
      </c>
      <c r="H286" s="10" t="str">
        <f>IF(OR($A286="",7&gt;Controls!$B$6),"",MOD(R285*48271,2147483647))</f>
        <v/>
      </c>
      <c r="I286" s="10" t="str">
        <f>IF(OR($A286="",8&gt;Controls!$B$6),"",MOD(S285*48271,2147483647))</f>
        <v/>
      </c>
      <c r="J286" s="10" t="str">
        <f>IF(OR($A286="",9&gt;Controls!$B$6),"",MOD(T285*48271,2147483647))</f>
        <v/>
      </c>
      <c r="K286" s="10" t="str">
        <f>IF(OR($A286="",10&gt;Controls!$B$6),"",MOD(U285*48271,2147483647))</f>
        <v/>
      </c>
      <c r="L286" s="10" t="str">
        <f t="shared" ref="L286:U286" si="285">IF(B286="","",MOD(B286*48271,2147483647))</f>
        <v/>
      </c>
      <c r="M286" s="10" t="str">
        <f t="shared" si="285"/>
        <v/>
      </c>
      <c r="N286" s="10" t="str">
        <f t="shared" si="285"/>
        <v/>
      </c>
      <c r="O286" s="10" t="str">
        <f t="shared" si="285"/>
        <v/>
      </c>
      <c r="P286" s="10" t="str">
        <f t="shared" si="285"/>
        <v/>
      </c>
      <c r="Q286" s="10" t="str">
        <f t="shared" si="285"/>
        <v/>
      </c>
      <c r="R286" s="10" t="str">
        <f t="shared" si="285"/>
        <v/>
      </c>
      <c r="S286" s="10" t="str">
        <f t="shared" si="285"/>
        <v/>
      </c>
      <c r="T286" s="10" t="str">
        <f t="shared" si="285"/>
        <v/>
      </c>
      <c r="U286" s="10" t="str">
        <f t="shared" si="285"/>
        <v/>
      </c>
      <c r="V286" s="10" t="str">
        <f>IF(B286="","",IF(Controls!$B$7="Normal",Controls!$B$8+Controls!$B$9*SQRT(-2*LN(B286/2147483647))*COS(2*PI()*L286/2147483647),Controls!$B$8+(Controls!$B$9-Controls!$B$8)*B286/2147483647))</f>
        <v/>
      </c>
      <c r="W286" s="10" t="str">
        <f>IF(C286="","",IF(Controls!$B$7="Normal",Controls!$B$8+Controls!$B$9*SQRT(-2*LN(C286/2147483647))*COS(2*PI()*M286/2147483647),Controls!$B$8+(Controls!$B$9-Controls!$B$8)*C286/2147483647))</f>
        <v/>
      </c>
      <c r="X286" s="10" t="str">
        <f>IF(D286="","",IF(Controls!$B$7="Normal",Controls!$B$8+Controls!$B$9*SQRT(-2*LN(D286/2147483647))*COS(2*PI()*N286/2147483647),Controls!$B$8+(Controls!$B$9-Controls!$B$8)*D286/2147483647))</f>
        <v/>
      </c>
      <c r="Y286" s="10" t="str">
        <f>IF(E286="","",IF(Controls!$B$7="Normal",Controls!$B$8+Controls!$B$9*SQRT(-2*LN(E286/2147483647))*COS(2*PI()*O286/2147483647),Controls!$B$8+(Controls!$B$9-Controls!$B$8)*E286/2147483647))</f>
        <v/>
      </c>
      <c r="Z286" s="10" t="str">
        <f>IF(F286="","",IF(Controls!$B$7="Normal",Controls!$B$8+Controls!$B$9*SQRT(-2*LN(F286/2147483647))*COS(2*PI()*P286/2147483647),Controls!$B$8+(Controls!$B$9-Controls!$B$8)*F286/2147483647))</f>
        <v/>
      </c>
      <c r="AA286" s="10" t="str">
        <f>IF(G286="","",IF(Controls!$B$7="Normal",Controls!$B$8+Controls!$B$9*SQRT(-2*LN(G286/2147483647))*COS(2*PI()*Q286/2147483647),Controls!$B$8+(Controls!$B$9-Controls!$B$8)*G286/2147483647))</f>
        <v/>
      </c>
      <c r="AB286" s="10" t="str">
        <f>IF(H286="","",IF(Controls!$B$7="Normal",Controls!$B$8+Controls!$B$9*SQRT(-2*LN(H286/2147483647))*COS(2*PI()*R286/2147483647),Controls!$B$8+(Controls!$B$9-Controls!$B$8)*H286/2147483647))</f>
        <v/>
      </c>
      <c r="AC286" s="10" t="str">
        <f>IF(I286="","",IF(Controls!$B$7="Normal",Controls!$B$8+Controls!$B$9*SQRT(-2*LN(I286/2147483647))*COS(2*PI()*S286/2147483647),Controls!$B$8+(Controls!$B$9-Controls!$B$8)*I286/2147483647))</f>
        <v/>
      </c>
      <c r="AD286" s="10" t="str">
        <f>IF(J286="","",IF(Controls!$B$7="Normal",Controls!$B$8+Controls!$B$9*SQRT(-2*LN(J286/2147483647))*COS(2*PI()*T286/2147483647),Controls!$B$8+(Controls!$B$9-Controls!$B$8)*J286/2147483647))</f>
        <v/>
      </c>
      <c r="AE286" s="10" t="str">
        <f>IF(K286="","",IF(Controls!$B$7="Normal",Controls!$B$8+Controls!$B$9*SQRT(-2*LN(K286/2147483647))*COS(2*PI()*U286/2147483647),Controls!$B$8+(Controls!$B$9-Controls!$B$8)*K286/2147483647))</f>
        <v/>
      </c>
    </row>
    <row r="287" ht="21.0" customHeight="1">
      <c r="A287" s="7" t="str">
        <f>IF(286&lt;=Controls!$B$5,Controls!$B$4+285,"")</f>
        <v/>
      </c>
      <c r="B287" s="10" t="str">
        <f>IF(OR($A287="",1&gt;Controls!$B$6),"",MOD(L286*48271,2147483647))</f>
        <v/>
      </c>
      <c r="C287" s="10" t="str">
        <f>IF(OR($A287="",2&gt;Controls!$B$6),"",MOD(M286*48271,2147483647))</f>
        <v/>
      </c>
      <c r="D287" s="10" t="str">
        <f>IF(OR($A287="",3&gt;Controls!$B$6),"",MOD(N286*48271,2147483647))</f>
        <v/>
      </c>
      <c r="E287" s="10" t="str">
        <f>IF(OR($A287="",4&gt;Controls!$B$6),"",MOD(O286*48271,2147483647))</f>
        <v/>
      </c>
      <c r="F287" s="10" t="str">
        <f>IF(OR($A287="",5&gt;Controls!$B$6),"",MOD(P286*48271,2147483647))</f>
        <v/>
      </c>
      <c r="G287" s="10" t="str">
        <f>IF(OR($A287="",6&gt;Controls!$B$6),"",MOD(Q286*48271,2147483647))</f>
        <v/>
      </c>
      <c r="H287" s="10" t="str">
        <f>IF(OR($A287="",7&gt;Controls!$B$6),"",MOD(R286*48271,2147483647))</f>
        <v/>
      </c>
      <c r="I287" s="10" t="str">
        <f>IF(OR($A287="",8&gt;Controls!$B$6),"",MOD(S286*48271,2147483647))</f>
        <v/>
      </c>
      <c r="J287" s="10" t="str">
        <f>IF(OR($A287="",9&gt;Controls!$B$6),"",MOD(T286*48271,2147483647))</f>
        <v/>
      </c>
      <c r="K287" s="10" t="str">
        <f>IF(OR($A287="",10&gt;Controls!$B$6),"",MOD(U286*48271,2147483647))</f>
        <v/>
      </c>
      <c r="L287" s="10" t="str">
        <f t="shared" ref="L287:U287" si="286">IF(B287="","",MOD(B287*48271,2147483647))</f>
        <v/>
      </c>
      <c r="M287" s="10" t="str">
        <f t="shared" si="286"/>
        <v/>
      </c>
      <c r="N287" s="10" t="str">
        <f t="shared" si="286"/>
        <v/>
      </c>
      <c r="O287" s="10" t="str">
        <f t="shared" si="286"/>
        <v/>
      </c>
      <c r="P287" s="10" t="str">
        <f t="shared" si="286"/>
        <v/>
      </c>
      <c r="Q287" s="10" t="str">
        <f t="shared" si="286"/>
        <v/>
      </c>
      <c r="R287" s="10" t="str">
        <f t="shared" si="286"/>
        <v/>
      </c>
      <c r="S287" s="10" t="str">
        <f t="shared" si="286"/>
        <v/>
      </c>
      <c r="T287" s="10" t="str">
        <f t="shared" si="286"/>
        <v/>
      </c>
      <c r="U287" s="10" t="str">
        <f t="shared" si="286"/>
        <v/>
      </c>
      <c r="V287" s="10" t="str">
        <f>IF(B287="","",IF(Controls!$B$7="Normal",Controls!$B$8+Controls!$B$9*SQRT(-2*LN(B287/2147483647))*COS(2*PI()*L287/2147483647),Controls!$B$8+(Controls!$B$9-Controls!$B$8)*B287/2147483647))</f>
        <v/>
      </c>
      <c r="W287" s="10" t="str">
        <f>IF(C287="","",IF(Controls!$B$7="Normal",Controls!$B$8+Controls!$B$9*SQRT(-2*LN(C287/2147483647))*COS(2*PI()*M287/2147483647),Controls!$B$8+(Controls!$B$9-Controls!$B$8)*C287/2147483647))</f>
        <v/>
      </c>
      <c r="X287" s="10" t="str">
        <f>IF(D287="","",IF(Controls!$B$7="Normal",Controls!$B$8+Controls!$B$9*SQRT(-2*LN(D287/2147483647))*COS(2*PI()*N287/2147483647),Controls!$B$8+(Controls!$B$9-Controls!$B$8)*D287/2147483647))</f>
        <v/>
      </c>
      <c r="Y287" s="10" t="str">
        <f>IF(E287="","",IF(Controls!$B$7="Normal",Controls!$B$8+Controls!$B$9*SQRT(-2*LN(E287/2147483647))*COS(2*PI()*O287/2147483647),Controls!$B$8+(Controls!$B$9-Controls!$B$8)*E287/2147483647))</f>
        <v/>
      </c>
      <c r="Z287" s="10" t="str">
        <f>IF(F287="","",IF(Controls!$B$7="Normal",Controls!$B$8+Controls!$B$9*SQRT(-2*LN(F287/2147483647))*COS(2*PI()*P287/2147483647),Controls!$B$8+(Controls!$B$9-Controls!$B$8)*F287/2147483647))</f>
        <v/>
      </c>
      <c r="AA287" s="10" t="str">
        <f>IF(G287="","",IF(Controls!$B$7="Normal",Controls!$B$8+Controls!$B$9*SQRT(-2*LN(G287/2147483647))*COS(2*PI()*Q287/2147483647),Controls!$B$8+(Controls!$B$9-Controls!$B$8)*G287/2147483647))</f>
        <v/>
      </c>
      <c r="AB287" s="10" t="str">
        <f>IF(H287="","",IF(Controls!$B$7="Normal",Controls!$B$8+Controls!$B$9*SQRT(-2*LN(H287/2147483647))*COS(2*PI()*R287/2147483647),Controls!$B$8+(Controls!$B$9-Controls!$B$8)*H287/2147483647))</f>
        <v/>
      </c>
      <c r="AC287" s="10" t="str">
        <f>IF(I287="","",IF(Controls!$B$7="Normal",Controls!$B$8+Controls!$B$9*SQRT(-2*LN(I287/2147483647))*COS(2*PI()*S287/2147483647),Controls!$B$8+(Controls!$B$9-Controls!$B$8)*I287/2147483647))</f>
        <v/>
      </c>
      <c r="AD287" s="10" t="str">
        <f>IF(J287="","",IF(Controls!$B$7="Normal",Controls!$B$8+Controls!$B$9*SQRT(-2*LN(J287/2147483647))*COS(2*PI()*T287/2147483647),Controls!$B$8+(Controls!$B$9-Controls!$B$8)*J287/2147483647))</f>
        <v/>
      </c>
      <c r="AE287" s="10" t="str">
        <f>IF(K287="","",IF(Controls!$B$7="Normal",Controls!$B$8+Controls!$B$9*SQRT(-2*LN(K287/2147483647))*COS(2*PI()*U287/2147483647),Controls!$B$8+(Controls!$B$9-Controls!$B$8)*K287/2147483647))</f>
        <v/>
      </c>
    </row>
    <row r="288" ht="21.0" customHeight="1">
      <c r="A288" s="7" t="str">
        <f>IF(287&lt;=Controls!$B$5,Controls!$B$4+286,"")</f>
        <v/>
      </c>
      <c r="B288" s="10" t="str">
        <f>IF(OR($A288="",1&gt;Controls!$B$6),"",MOD(L287*48271,2147483647))</f>
        <v/>
      </c>
      <c r="C288" s="10" t="str">
        <f>IF(OR($A288="",2&gt;Controls!$B$6),"",MOD(M287*48271,2147483647))</f>
        <v/>
      </c>
      <c r="D288" s="10" t="str">
        <f>IF(OR($A288="",3&gt;Controls!$B$6),"",MOD(N287*48271,2147483647))</f>
        <v/>
      </c>
      <c r="E288" s="10" t="str">
        <f>IF(OR($A288="",4&gt;Controls!$B$6),"",MOD(O287*48271,2147483647))</f>
        <v/>
      </c>
      <c r="F288" s="10" t="str">
        <f>IF(OR($A288="",5&gt;Controls!$B$6),"",MOD(P287*48271,2147483647))</f>
        <v/>
      </c>
      <c r="G288" s="10" t="str">
        <f>IF(OR($A288="",6&gt;Controls!$B$6),"",MOD(Q287*48271,2147483647))</f>
        <v/>
      </c>
      <c r="H288" s="10" t="str">
        <f>IF(OR($A288="",7&gt;Controls!$B$6),"",MOD(R287*48271,2147483647))</f>
        <v/>
      </c>
      <c r="I288" s="10" t="str">
        <f>IF(OR($A288="",8&gt;Controls!$B$6),"",MOD(S287*48271,2147483647))</f>
        <v/>
      </c>
      <c r="J288" s="10" t="str">
        <f>IF(OR($A288="",9&gt;Controls!$B$6),"",MOD(T287*48271,2147483647))</f>
        <v/>
      </c>
      <c r="K288" s="10" t="str">
        <f>IF(OR($A288="",10&gt;Controls!$B$6),"",MOD(U287*48271,2147483647))</f>
        <v/>
      </c>
      <c r="L288" s="10" t="str">
        <f t="shared" ref="L288:U288" si="287">IF(B288="","",MOD(B288*48271,2147483647))</f>
        <v/>
      </c>
      <c r="M288" s="10" t="str">
        <f t="shared" si="287"/>
        <v/>
      </c>
      <c r="N288" s="10" t="str">
        <f t="shared" si="287"/>
        <v/>
      </c>
      <c r="O288" s="10" t="str">
        <f t="shared" si="287"/>
        <v/>
      </c>
      <c r="P288" s="10" t="str">
        <f t="shared" si="287"/>
        <v/>
      </c>
      <c r="Q288" s="10" t="str">
        <f t="shared" si="287"/>
        <v/>
      </c>
      <c r="R288" s="10" t="str">
        <f t="shared" si="287"/>
        <v/>
      </c>
      <c r="S288" s="10" t="str">
        <f t="shared" si="287"/>
        <v/>
      </c>
      <c r="T288" s="10" t="str">
        <f t="shared" si="287"/>
        <v/>
      </c>
      <c r="U288" s="10" t="str">
        <f t="shared" si="287"/>
        <v/>
      </c>
      <c r="V288" s="10" t="str">
        <f>IF(B288="","",IF(Controls!$B$7="Normal",Controls!$B$8+Controls!$B$9*SQRT(-2*LN(B288/2147483647))*COS(2*PI()*L288/2147483647),Controls!$B$8+(Controls!$B$9-Controls!$B$8)*B288/2147483647))</f>
        <v/>
      </c>
      <c r="W288" s="10" t="str">
        <f>IF(C288="","",IF(Controls!$B$7="Normal",Controls!$B$8+Controls!$B$9*SQRT(-2*LN(C288/2147483647))*COS(2*PI()*M288/2147483647),Controls!$B$8+(Controls!$B$9-Controls!$B$8)*C288/2147483647))</f>
        <v/>
      </c>
      <c r="X288" s="10" t="str">
        <f>IF(D288="","",IF(Controls!$B$7="Normal",Controls!$B$8+Controls!$B$9*SQRT(-2*LN(D288/2147483647))*COS(2*PI()*N288/2147483647),Controls!$B$8+(Controls!$B$9-Controls!$B$8)*D288/2147483647))</f>
        <v/>
      </c>
      <c r="Y288" s="10" t="str">
        <f>IF(E288="","",IF(Controls!$B$7="Normal",Controls!$B$8+Controls!$B$9*SQRT(-2*LN(E288/2147483647))*COS(2*PI()*O288/2147483647),Controls!$B$8+(Controls!$B$9-Controls!$B$8)*E288/2147483647))</f>
        <v/>
      </c>
      <c r="Z288" s="10" t="str">
        <f>IF(F288="","",IF(Controls!$B$7="Normal",Controls!$B$8+Controls!$B$9*SQRT(-2*LN(F288/2147483647))*COS(2*PI()*P288/2147483647),Controls!$B$8+(Controls!$B$9-Controls!$B$8)*F288/2147483647))</f>
        <v/>
      </c>
      <c r="AA288" s="10" t="str">
        <f>IF(G288="","",IF(Controls!$B$7="Normal",Controls!$B$8+Controls!$B$9*SQRT(-2*LN(G288/2147483647))*COS(2*PI()*Q288/2147483647),Controls!$B$8+(Controls!$B$9-Controls!$B$8)*G288/2147483647))</f>
        <v/>
      </c>
      <c r="AB288" s="10" t="str">
        <f>IF(H288="","",IF(Controls!$B$7="Normal",Controls!$B$8+Controls!$B$9*SQRT(-2*LN(H288/2147483647))*COS(2*PI()*R288/2147483647),Controls!$B$8+(Controls!$B$9-Controls!$B$8)*H288/2147483647))</f>
        <v/>
      </c>
      <c r="AC288" s="10" t="str">
        <f>IF(I288="","",IF(Controls!$B$7="Normal",Controls!$B$8+Controls!$B$9*SQRT(-2*LN(I288/2147483647))*COS(2*PI()*S288/2147483647),Controls!$B$8+(Controls!$B$9-Controls!$B$8)*I288/2147483647))</f>
        <v/>
      </c>
      <c r="AD288" s="10" t="str">
        <f>IF(J288="","",IF(Controls!$B$7="Normal",Controls!$B$8+Controls!$B$9*SQRT(-2*LN(J288/2147483647))*COS(2*PI()*T288/2147483647),Controls!$B$8+(Controls!$B$9-Controls!$B$8)*J288/2147483647))</f>
        <v/>
      </c>
      <c r="AE288" s="10" t="str">
        <f>IF(K288="","",IF(Controls!$B$7="Normal",Controls!$B$8+Controls!$B$9*SQRT(-2*LN(K288/2147483647))*COS(2*PI()*U288/2147483647),Controls!$B$8+(Controls!$B$9-Controls!$B$8)*K288/2147483647))</f>
        <v/>
      </c>
    </row>
    <row r="289" ht="21.0" customHeight="1">
      <c r="A289" s="7" t="str">
        <f>IF(288&lt;=Controls!$B$5,Controls!$B$4+287,"")</f>
        <v/>
      </c>
      <c r="B289" s="10" t="str">
        <f>IF(OR($A289="",1&gt;Controls!$B$6),"",MOD(L288*48271,2147483647))</f>
        <v/>
      </c>
      <c r="C289" s="10" t="str">
        <f>IF(OR($A289="",2&gt;Controls!$B$6),"",MOD(M288*48271,2147483647))</f>
        <v/>
      </c>
      <c r="D289" s="10" t="str">
        <f>IF(OR($A289="",3&gt;Controls!$B$6),"",MOD(N288*48271,2147483647))</f>
        <v/>
      </c>
      <c r="E289" s="10" t="str">
        <f>IF(OR($A289="",4&gt;Controls!$B$6),"",MOD(O288*48271,2147483647))</f>
        <v/>
      </c>
      <c r="F289" s="10" t="str">
        <f>IF(OR($A289="",5&gt;Controls!$B$6),"",MOD(P288*48271,2147483647))</f>
        <v/>
      </c>
      <c r="G289" s="10" t="str">
        <f>IF(OR($A289="",6&gt;Controls!$B$6),"",MOD(Q288*48271,2147483647))</f>
        <v/>
      </c>
      <c r="H289" s="10" t="str">
        <f>IF(OR($A289="",7&gt;Controls!$B$6),"",MOD(R288*48271,2147483647))</f>
        <v/>
      </c>
      <c r="I289" s="10" t="str">
        <f>IF(OR($A289="",8&gt;Controls!$B$6),"",MOD(S288*48271,2147483647))</f>
        <v/>
      </c>
      <c r="J289" s="10" t="str">
        <f>IF(OR($A289="",9&gt;Controls!$B$6),"",MOD(T288*48271,2147483647))</f>
        <v/>
      </c>
      <c r="K289" s="10" t="str">
        <f>IF(OR($A289="",10&gt;Controls!$B$6),"",MOD(U288*48271,2147483647))</f>
        <v/>
      </c>
      <c r="L289" s="10" t="str">
        <f t="shared" ref="L289:U289" si="288">IF(B289="","",MOD(B289*48271,2147483647))</f>
        <v/>
      </c>
      <c r="M289" s="10" t="str">
        <f t="shared" si="288"/>
        <v/>
      </c>
      <c r="N289" s="10" t="str">
        <f t="shared" si="288"/>
        <v/>
      </c>
      <c r="O289" s="10" t="str">
        <f t="shared" si="288"/>
        <v/>
      </c>
      <c r="P289" s="10" t="str">
        <f t="shared" si="288"/>
        <v/>
      </c>
      <c r="Q289" s="10" t="str">
        <f t="shared" si="288"/>
        <v/>
      </c>
      <c r="R289" s="10" t="str">
        <f t="shared" si="288"/>
        <v/>
      </c>
      <c r="S289" s="10" t="str">
        <f t="shared" si="288"/>
        <v/>
      </c>
      <c r="T289" s="10" t="str">
        <f t="shared" si="288"/>
        <v/>
      </c>
      <c r="U289" s="10" t="str">
        <f t="shared" si="288"/>
        <v/>
      </c>
      <c r="V289" s="10" t="str">
        <f>IF(B289="","",IF(Controls!$B$7="Normal",Controls!$B$8+Controls!$B$9*SQRT(-2*LN(B289/2147483647))*COS(2*PI()*L289/2147483647),Controls!$B$8+(Controls!$B$9-Controls!$B$8)*B289/2147483647))</f>
        <v/>
      </c>
      <c r="W289" s="10" t="str">
        <f>IF(C289="","",IF(Controls!$B$7="Normal",Controls!$B$8+Controls!$B$9*SQRT(-2*LN(C289/2147483647))*COS(2*PI()*M289/2147483647),Controls!$B$8+(Controls!$B$9-Controls!$B$8)*C289/2147483647))</f>
        <v/>
      </c>
      <c r="X289" s="10" t="str">
        <f>IF(D289="","",IF(Controls!$B$7="Normal",Controls!$B$8+Controls!$B$9*SQRT(-2*LN(D289/2147483647))*COS(2*PI()*N289/2147483647),Controls!$B$8+(Controls!$B$9-Controls!$B$8)*D289/2147483647))</f>
        <v/>
      </c>
      <c r="Y289" s="10" t="str">
        <f>IF(E289="","",IF(Controls!$B$7="Normal",Controls!$B$8+Controls!$B$9*SQRT(-2*LN(E289/2147483647))*COS(2*PI()*O289/2147483647),Controls!$B$8+(Controls!$B$9-Controls!$B$8)*E289/2147483647))</f>
        <v/>
      </c>
      <c r="Z289" s="10" t="str">
        <f>IF(F289="","",IF(Controls!$B$7="Normal",Controls!$B$8+Controls!$B$9*SQRT(-2*LN(F289/2147483647))*COS(2*PI()*P289/2147483647),Controls!$B$8+(Controls!$B$9-Controls!$B$8)*F289/2147483647))</f>
        <v/>
      </c>
      <c r="AA289" s="10" t="str">
        <f>IF(G289="","",IF(Controls!$B$7="Normal",Controls!$B$8+Controls!$B$9*SQRT(-2*LN(G289/2147483647))*COS(2*PI()*Q289/2147483647),Controls!$B$8+(Controls!$B$9-Controls!$B$8)*G289/2147483647))</f>
        <v/>
      </c>
      <c r="AB289" s="10" t="str">
        <f>IF(H289="","",IF(Controls!$B$7="Normal",Controls!$B$8+Controls!$B$9*SQRT(-2*LN(H289/2147483647))*COS(2*PI()*R289/2147483647),Controls!$B$8+(Controls!$B$9-Controls!$B$8)*H289/2147483647))</f>
        <v/>
      </c>
      <c r="AC289" s="10" t="str">
        <f>IF(I289="","",IF(Controls!$B$7="Normal",Controls!$B$8+Controls!$B$9*SQRT(-2*LN(I289/2147483647))*COS(2*PI()*S289/2147483647),Controls!$B$8+(Controls!$B$9-Controls!$B$8)*I289/2147483647))</f>
        <v/>
      </c>
      <c r="AD289" s="10" t="str">
        <f>IF(J289="","",IF(Controls!$B$7="Normal",Controls!$B$8+Controls!$B$9*SQRT(-2*LN(J289/2147483647))*COS(2*PI()*T289/2147483647),Controls!$B$8+(Controls!$B$9-Controls!$B$8)*J289/2147483647))</f>
        <v/>
      </c>
      <c r="AE289" s="10" t="str">
        <f>IF(K289="","",IF(Controls!$B$7="Normal",Controls!$B$8+Controls!$B$9*SQRT(-2*LN(K289/2147483647))*COS(2*PI()*U289/2147483647),Controls!$B$8+(Controls!$B$9-Controls!$B$8)*K289/2147483647))</f>
        <v/>
      </c>
    </row>
    <row r="290" ht="21.0" customHeight="1">
      <c r="A290" s="7" t="str">
        <f>IF(289&lt;=Controls!$B$5,Controls!$B$4+288,"")</f>
        <v/>
      </c>
      <c r="B290" s="10" t="str">
        <f>IF(OR($A290="",1&gt;Controls!$B$6),"",MOD(L289*48271,2147483647))</f>
        <v/>
      </c>
      <c r="C290" s="10" t="str">
        <f>IF(OR($A290="",2&gt;Controls!$B$6),"",MOD(M289*48271,2147483647))</f>
        <v/>
      </c>
      <c r="D290" s="10" t="str">
        <f>IF(OR($A290="",3&gt;Controls!$B$6),"",MOD(N289*48271,2147483647))</f>
        <v/>
      </c>
      <c r="E290" s="10" t="str">
        <f>IF(OR($A290="",4&gt;Controls!$B$6),"",MOD(O289*48271,2147483647))</f>
        <v/>
      </c>
      <c r="F290" s="10" t="str">
        <f>IF(OR($A290="",5&gt;Controls!$B$6),"",MOD(P289*48271,2147483647))</f>
        <v/>
      </c>
      <c r="G290" s="10" t="str">
        <f>IF(OR($A290="",6&gt;Controls!$B$6),"",MOD(Q289*48271,2147483647))</f>
        <v/>
      </c>
      <c r="H290" s="10" t="str">
        <f>IF(OR($A290="",7&gt;Controls!$B$6),"",MOD(R289*48271,2147483647))</f>
        <v/>
      </c>
      <c r="I290" s="10" t="str">
        <f>IF(OR($A290="",8&gt;Controls!$B$6),"",MOD(S289*48271,2147483647))</f>
        <v/>
      </c>
      <c r="J290" s="10" t="str">
        <f>IF(OR($A290="",9&gt;Controls!$B$6),"",MOD(T289*48271,2147483647))</f>
        <v/>
      </c>
      <c r="K290" s="10" t="str">
        <f>IF(OR($A290="",10&gt;Controls!$B$6),"",MOD(U289*48271,2147483647))</f>
        <v/>
      </c>
      <c r="L290" s="10" t="str">
        <f t="shared" ref="L290:U290" si="289">IF(B290="","",MOD(B290*48271,2147483647))</f>
        <v/>
      </c>
      <c r="M290" s="10" t="str">
        <f t="shared" si="289"/>
        <v/>
      </c>
      <c r="N290" s="10" t="str">
        <f t="shared" si="289"/>
        <v/>
      </c>
      <c r="O290" s="10" t="str">
        <f t="shared" si="289"/>
        <v/>
      </c>
      <c r="P290" s="10" t="str">
        <f t="shared" si="289"/>
        <v/>
      </c>
      <c r="Q290" s="10" t="str">
        <f t="shared" si="289"/>
        <v/>
      </c>
      <c r="R290" s="10" t="str">
        <f t="shared" si="289"/>
        <v/>
      </c>
      <c r="S290" s="10" t="str">
        <f t="shared" si="289"/>
        <v/>
      </c>
      <c r="T290" s="10" t="str">
        <f t="shared" si="289"/>
        <v/>
      </c>
      <c r="U290" s="10" t="str">
        <f t="shared" si="289"/>
        <v/>
      </c>
      <c r="V290" s="10" t="str">
        <f>IF(B290="","",IF(Controls!$B$7="Normal",Controls!$B$8+Controls!$B$9*SQRT(-2*LN(B290/2147483647))*COS(2*PI()*L290/2147483647),Controls!$B$8+(Controls!$B$9-Controls!$B$8)*B290/2147483647))</f>
        <v/>
      </c>
      <c r="W290" s="10" t="str">
        <f>IF(C290="","",IF(Controls!$B$7="Normal",Controls!$B$8+Controls!$B$9*SQRT(-2*LN(C290/2147483647))*COS(2*PI()*M290/2147483647),Controls!$B$8+(Controls!$B$9-Controls!$B$8)*C290/2147483647))</f>
        <v/>
      </c>
      <c r="X290" s="10" t="str">
        <f>IF(D290="","",IF(Controls!$B$7="Normal",Controls!$B$8+Controls!$B$9*SQRT(-2*LN(D290/2147483647))*COS(2*PI()*N290/2147483647),Controls!$B$8+(Controls!$B$9-Controls!$B$8)*D290/2147483647))</f>
        <v/>
      </c>
      <c r="Y290" s="10" t="str">
        <f>IF(E290="","",IF(Controls!$B$7="Normal",Controls!$B$8+Controls!$B$9*SQRT(-2*LN(E290/2147483647))*COS(2*PI()*O290/2147483647),Controls!$B$8+(Controls!$B$9-Controls!$B$8)*E290/2147483647))</f>
        <v/>
      </c>
      <c r="Z290" s="10" t="str">
        <f>IF(F290="","",IF(Controls!$B$7="Normal",Controls!$B$8+Controls!$B$9*SQRT(-2*LN(F290/2147483647))*COS(2*PI()*P290/2147483647),Controls!$B$8+(Controls!$B$9-Controls!$B$8)*F290/2147483647))</f>
        <v/>
      </c>
      <c r="AA290" s="10" t="str">
        <f>IF(G290="","",IF(Controls!$B$7="Normal",Controls!$B$8+Controls!$B$9*SQRT(-2*LN(G290/2147483647))*COS(2*PI()*Q290/2147483647),Controls!$B$8+(Controls!$B$9-Controls!$B$8)*G290/2147483647))</f>
        <v/>
      </c>
      <c r="AB290" s="10" t="str">
        <f>IF(H290="","",IF(Controls!$B$7="Normal",Controls!$B$8+Controls!$B$9*SQRT(-2*LN(H290/2147483647))*COS(2*PI()*R290/2147483647),Controls!$B$8+(Controls!$B$9-Controls!$B$8)*H290/2147483647))</f>
        <v/>
      </c>
      <c r="AC290" s="10" t="str">
        <f>IF(I290="","",IF(Controls!$B$7="Normal",Controls!$B$8+Controls!$B$9*SQRT(-2*LN(I290/2147483647))*COS(2*PI()*S290/2147483647),Controls!$B$8+(Controls!$B$9-Controls!$B$8)*I290/2147483647))</f>
        <v/>
      </c>
      <c r="AD290" s="10" t="str">
        <f>IF(J290="","",IF(Controls!$B$7="Normal",Controls!$B$8+Controls!$B$9*SQRT(-2*LN(J290/2147483647))*COS(2*PI()*T290/2147483647),Controls!$B$8+(Controls!$B$9-Controls!$B$8)*J290/2147483647))</f>
        <v/>
      </c>
      <c r="AE290" s="10" t="str">
        <f>IF(K290="","",IF(Controls!$B$7="Normal",Controls!$B$8+Controls!$B$9*SQRT(-2*LN(K290/2147483647))*COS(2*PI()*U290/2147483647),Controls!$B$8+(Controls!$B$9-Controls!$B$8)*K290/2147483647))</f>
        <v/>
      </c>
    </row>
    <row r="291" ht="21.0" customHeight="1">
      <c r="A291" s="7" t="str">
        <f>IF(290&lt;=Controls!$B$5,Controls!$B$4+289,"")</f>
        <v/>
      </c>
      <c r="B291" s="10" t="str">
        <f>IF(OR($A291="",1&gt;Controls!$B$6),"",MOD(L290*48271,2147483647))</f>
        <v/>
      </c>
      <c r="C291" s="10" t="str">
        <f>IF(OR($A291="",2&gt;Controls!$B$6),"",MOD(M290*48271,2147483647))</f>
        <v/>
      </c>
      <c r="D291" s="10" t="str">
        <f>IF(OR($A291="",3&gt;Controls!$B$6),"",MOD(N290*48271,2147483647))</f>
        <v/>
      </c>
      <c r="E291" s="10" t="str">
        <f>IF(OR($A291="",4&gt;Controls!$B$6),"",MOD(O290*48271,2147483647))</f>
        <v/>
      </c>
      <c r="F291" s="10" t="str">
        <f>IF(OR($A291="",5&gt;Controls!$B$6),"",MOD(P290*48271,2147483647))</f>
        <v/>
      </c>
      <c r="G291" s="10" t="str">
        <f>IF(OR($A291="",6&gt;Controls!$B$6),"",MOD(Q290*48271,2147483647))</f>
        <v/>
      </c>
      <c r="H291" s="10" t="str">
        <f>IF(OR($A291="",7&gt;Controls!$B$6),"",MOD(R290*48271,2147483647))</f>
        <v/>
      </c>
      <c r="I291" s="10" t="str">
        <f>IF(OR($A291="",8&gt;Controls!$B$6),"",MOD(S290*48271,2147483647))</f>
        <v/>
      </c>
      <c r="J291" s="10" t="str">
        <f>IF(OR($A291="",9&gt;Controls!$B$6),"",MOD(T290*48271,2147483647))</f>
        <v/>
      </c>
      <c r="K291" s="10" t="str">
        <f>IF(OR($A291="",10&gt;Controls!$B$6),"",MOD(U290*48271,2147483647))</f>
        <v/>
      </c>
      <c r="L291" s="10" t="str">
        <f t="shared" ref="L291:U291" si="290">IF(B291="","",MOD(B291*48271,2147483647))</f>
        <v/>
      </c>
      <c r="M291" s="10" t="str">
        <f t="shared" si="290"/>
        <v/>
      </c>
      <c r="N291" s="10" t="str">
        <f t="shared" si="290"/>
        <v/>
      </c>
      <c r="O291" s="10" t="str">
        <f t="shared" si="290"/>
        <v/>
      </c>
      <c r="P291" s="10" t="str">
        <f t="shared" si="290"/>
        <v/>
      </c>
      <c r="Q291" s="10" t="str">
        <f t="shared" si="290"/>
        <v/>
      </c>
      <c r="R291" s="10" t="str">
        <f t="shared" si="290"/>
        <v/>
      </c>
      <c r="S291" s="10" t="str">
        <f t="shared" si="290"/>
        <v/>
      </c>
      <c r="T291" s="10" t="str">
        <f t="shared" si="290"/>
        <v/>
      </c>
      <c r="U291" s="10" t="str">
        <f t="shared" si="290"/>
        <v/>
      </c>
      <c r="V291" s="10" t="str">
        <f>IF(B291="","",IF(Controls!$B$7="Normal",Controls!$B$8+Controls!$B$9*SQRT(-2*LN(B291/2147483647))*COS(2*PI()*L291/2147483647),Controls!$B$8+(Controls!$B$9-Controls!$B$8)*B291/2147483647))</f>
        <v/>
      </c>
      <c r="W291" s="10" t="str">
        <f>IF(C291="","",IF(Controls!$B$7="Normal",Controls!$B$8+Controls!$B$9*SQRT(-2*LN(C291/2147483647))*COS(2*PI()*M291/2147483647),Controls!$B$8+(Controls!$B$9-Controls!$B$8)*C291/2147483647))</f>
        <v/>
      </c>
      <c r="X291" s="10" t="str">
        <f>IF(D291="","",IF(Controls!$B$7="Normal",Controls!$B$8+Controls!$B$9*SQRT(-2*LN(D291/2147483647))*COS(2*PI()*N291/2147483647),Controls!$B$8+(Controls!$B$9-Controls!$B$8)*D291/2147483647))</f>
        <v/>
      </c>
      <c r="Y291" s="10" t="str">
        <f>IF(E291="","",IF(Controls!$B$7="Normal",Controls!$B$8+Controls!$B$9*SQRT(-2*LN(E291/2147483647))*COS(2*PI()*O291/2147483647),Controls!$B$8+(Controls!$B$9-Controls!$B$8)*E291/2147483647))</f>
        <v/>
      </c>
      <c r="Z291" s="10" t="str">
        <f>IF(F291="","",IF(Controls!$B$7="Normal",Controls!$B$8+Controls!$B$9*SQRT(-2*LN(F291/2147483647))*COS(2*PI()*P291/2147483647),Controls!$B$8+(Controls!$B$9-Controls!$B$8)*F291/2147483647))</f>
        <v/>
      </c>
      <c r="AA291" s="10" t="str">
        <f>IF(G291="","",IF(Controls!$B$7="Normal",Controls!$B$8+Controls!$B$9*SQRT(-2*LN(G291/2147483647))*COS(2*PI()*Q291/2147483647),Controls!$B$8+(Controls!$B$9-Controls!$B$8)*G291/2147483647))</f>
        <v/>
      </c>
      <c r="AB291" s="10" t="str">
        <f>IF(H291="","",IF(Controls!$B$7="Normal",Controls!$B$8+Controls!$B$9*SQRT(-2*LN(H291/2147483647))*COS(2*PI()*R291/2147483647),Controls!$B$8+(Controls!$B$9-Controls!$B$8)*H291/2147483647))</f>
        <v/>
      </c>
      <c r="AC291" s="10" t="str">
        <f>IF(I291="","",IF(Controls!$B$7="Normal",Controls!$B$8+Controls!$B$9*SQRT(-2*LN(I291/2147483647))*COS(2*PI()*S291/2147483647),Controls!$B$8+(Controls!$B$9-Controls!$B$8)*I291/2147483647))</f>
        <v/>
      </c>
      <c r="AD291" s="10" t="str">
        <f>IF(J291="","",IF(Controls!$B$7="Normal",Controls!$B$8+Controls!$B$9*SQRT(-2*LN(J291/2147483647))*COS(2*PI()*T291/2147483647),Controls!$B$8+(Controls!$B$9-Controls!$B$8)*J291/2147483647))</f>
        <v/>
      </c>
      <c r="AE291" s="10" t="str">
        <f>IF(K291="","",IF(Controls!$B$7="Normal",Controls!$B$8+Controls!$B$9*SQRT(-2*LN(K291/2147483647))*COS(2*PI()*U291/2147483647),Controls!$B$8+(Controls!$B$9-Controls!$B$8)*K291/2147483647))</f>
        <v/>
      </c>
    </row>
    <row r="292" ht="21.0" customHeight="1">
      <c r="A292" s="7" t="str">
        <f>IF(291&lt;=Controls!$B$5,Controls!$B$4+290,"")</f>
        <v/>
      </c>
      <c r="B292" s="10" t="str">
        <f>IF(OR($A292="",1&gt;Controls!$B$6),"",MOD(L291*48271,2147483647))</f>
        <v/>
      </c>
      <c r="C292" s="10" t="str">
        <f>IF(OR($A292="",2&gt;Controls!$B$6),"",MOD(M291*48271,2147483647))</f>
        <v/>
      </c>
      <c r="D292" s="10" t="str">
        <f>IF(OR($A292="",3&gt;Controls!$B$6),"",MOD(N291*48271,2147483647))</f>
        <v/>
      </c>
      <c r="E292" s="10" t="str">
        <f>IF(OR($A292="",4&gt;Controls!$B$6),"",MOD(O291*48271,2147483647))</f>
        <v/>
      </c>
      <c r="F292" s="10" t="str">
        <f>IF(OR($A292="",5&gt;Controls!$B$6),"",MOD(P291*48271,2147483647))</f>
        <v/>
      </c>
      <c r="G292" s="10" t="str">
        <f>IF(OR($A292="",6&gt;Controls!$B$6),"",MOD(Q291*48271,2147483647))</f>
        <v/>
      </c>
      <c r="H292" s="10" t="str">
        <f>IF(OR($A292="",7&gt;Controls!$B$6),"",MOD(R291*48271,2147483647))</f>
        <v/>
      </c>
      <c r="I292" s="10" t="str">
        <f>IF(OR($A292="",8&gt;Controls!$B$6),"",MOD(S291*48271,2147483647))</f>
        <v/>
      </c>
      <c r="J292" s="10" t="str">
        <f>IF(OR($A292="",9&gt;Controls!$B$6),"",MOD(T291*48271,2147483647))</f>
        <v/>
      </c>
      <c r="K292" s="10" t="str">
        <f>IF(OR($A292="",10&gt;Controls!$B$6),"",MOD(U291*48271,2147483647))</f>
        <v/>
      </c>
      <c r="L292" s="10" t="str">
        <f t="shared" ref="L292:U292" si="291">IF(B292="","",MOD(B292*48271,2147483647))</f>
        <v/>
      </c>
      <c r="M292" s="10" t="str">
        <f t="shared" si="291"/>
        <v/>
      </c>
      <c r="N292" s="10" t="str">
        <f t="shared" si="291"/>
        <v/>
      </c>
      <c r="O292" s="10" t="str">
        <f t="shared" si="291"/>
        <v/>
      </c>
      <c r="P292" s="10" t="str">
        <f t="shared" si="291"/>
        <v/>
      </c>
      <c r="Q292" s="10" t="str">
        <f t="shared" si="291"/>
        <v/>
      </c>
      <c r="R292" s="10" t="str">
        <f t="shared" si="291"/>
        <v/>
      </c>
      <c r="S292" s="10" t="str">
        <f t="shared" si="291"/>
        <v/>
      </c>
      <c r="T292" s="10" t="str">
        <f t="shared" si="291"/>
        <v/>
      </c>
      <c r="U292" s="10" t="str">
        <f t="shared" si="291"/>
        <v/>
      </c>
      <c r="V292" s="10" t="str">
        <f>IF(B292="","",IF(Controls!$B$7="Normal",Controls!$B$8+Controls!$B$9*SQRT(-2*LN(B292/2147483647))*COS(2*PI()*L292/2147483647),Controls!$B$8+(Controls!$B$9-Controls!$B$8)*B292/2147483647))</f>
        <v/>
      </c>
      <c r="W292" s="10" t="str">
        <f>IF(C292="","",IF(Controls!$B$7="Normal",Controls!$B$8+Controls!$B$9*SQRT(-2*LN(C292/2147483647))*COS(2*PI()*M292/2147483647),Controls!$B$8+(Controls!$B$9-Controls!$B$8)*C292/2147483647))</f>
        <v/>
      </c>
      <c r="X292" s="10" t="str">
        <f>IF(D292="","",IF(Controls!$B$7="Normal",Controls!$B$8+Controls!$B$9*SQRT(-2*LN(D292/2147483647))*COS(2*PI()*N292/2147483647),Controls!$B$8+(Controls!$B$9-Controls!$B$8)*D292/2147483647))</f>
        <v/>
      </c>
      <c r="Y292" s="10" t="str">
        <f>IF(E292="","",IF(Controls!$B$7="Normal",Controls!$B$8+Controls!$B$9*SQRT(-2*LN(E292/2147483647))*COS(2*PI()*O292/2147483647),Controls!$B$8+(Controls!$B$9-Controls!$B$8)*E292/2147483647))</f>
        <v/>
      </c>
      <c r="Z292" s="10" t="str">
        <f>IF(F292="","",IF(Controls!$B$7="Normal",Controls!$B$8+Controls!$B$9*SQRT(-2*LN(F292/2147483647))*COS(2*PI()*P292/2147483647),Controls!$B$8+(Controls!$B$9-Controls!$B$8)*F292/2147483647))</f>
        <v/>
      </c>
      <c r="AA292" s="10" t="str">
        <f>IF(G292="","",IF(Controls!$B$7="Normal",Controls!$B$8+Controls!$B$9*SQRT(-2*LN(G292/2147483647))*COS(2*PI()*Q292/2147483647),Controls!$B$8+(Controls!$B$9-Controls!$B$8)*G292/2147483647))</f>
        <v/>
      </c>
      <c r="AB292" s="10" t="str">
        <f>IF(H292="","",IF(Controls!$B$7="Normal",Controls!$B$8+Controls!$B$9*SQRT(-2*LN(H292/2147483647))*COS(2*PI()*R292/2147483647),Controls!$B$8+(Controls!$B$9-Controls!$B$8)*H292/2147483647))</f>
        <v/>
      </c>
      <c r="AC292" s="10" t="str">
        <f>IF(I292="","",IF(Controls!$B$7="Normal",Controls!$B$8+Controls!$B$9*SQRT(-2*LN(I292/2147483647))*COS(2*PI()*S292/2147483647),Controls!$B$8+(Controls!$B$9-Controls!$B$8)*I292/2147483647))</f>
        <v/>
      </c>
      <c r="AD292" s="10" t="str">
        <f>IF(J292="","",IF(Controls!$B$7="Normal",Controls!$B$8+Controls!$B$9*SQRT(-2*LN(J292/2147483647))*COS(2*PI()*T292/2147483647),Controls!$B$8+(Controls!$B$9-Controls!$B$8)*J292/2147483647))</f>
        <v/>
      </c>
      <c r="AE292" s="10" t="str">
        <f>IF(K292="","",IF(Controls!$B$7="Normal",Controls!$B$8+Controls!$B$9*SQRT(-2*LN(K292/2147483647))*COS(2*PI()*U292/2147483647),Controls!$B$8+(Controls!$B$9-Controls!$B$8)*K292/2147483647))</f>
        <v/>
      </c>
    </row>
    <row r="293" ht="21.0" customHeight="1">
      <c r="A293" s="7" t="str">
        <f>IF(292&lt;=Controls!$B$5,Controls!$B$4+291,"")</f>
        <v/>
      </c>
      <c r="B293" s="10" t="str">
        <f>IF(OR($A293="",1&gt;Controls!$B$6),"",MOD(L292*48271,2147483647))</f>
        <v/>
      </c>
      <c r="C293" s="10" t="str">
        <f>IF(OR($A293="",2&gt;Controls!$B$6),"",MOD(M292*48271,2147483647))</f>
        <v/>
      </c>
      <c r="D293" s="10" t="str">
        <f>IF(OR($A293="",3&gt;Controls!$B$6),"",MOD(N292*48271,2147483647))</f>
        <v/>
      </c>
      <c r="E293" s="10" t="str">
        <f>IF(OR($A293="",4&gt;Controls!$B$6),"",MOD(O292*48271,2147483647))</f>
        <v/>
      </c>
      <c r="F293" s="10" t="str">
        <f>IF(OR($A293="",5&gt;Controls!$B$6),"",MOD(P292*48271,2147483647))</f>
        <v/>
      </c>
      <c r="G293" s="10" t="str">
        <f>IF(OR($A293="",6&gt;Controls!$B$6),"",MOD(Q292*48271,2147483647))</f>
        <v/>
      </c>
      <c r="H293" s="10" t="str">
        <f>IF(OR($A293="",7&gt;Controls!$B$6),"",MOD(R292*48271,2147483647))</f>
        <v/>
      </c>
      <c r="I293" s="10" t="str">
        <f>IF(OR($A293="",8&gt;Controls!$B$6),"",MOD(S292*48271,2147483647))</f>
        <v/>
      </c>
      <c r="J293" s="10" t="str">
        <f>IF(OR($A293="",9&gt;Controls!$B$6),"",MOD(T292*48271,2147483647))</f>
        <v/>
      </c>
      <c r="K293" s="10" t="str">
        <f>IF(OR($A293="",10&gt;Controls!$B$6),"",MOD(U292*48271,2147483647))</f>
        <v/>
      </c>
      <c r="L293" s="10" t="str">
        <f t="shared" ref="L293:U293" si="292">IF(B293="","",MOD(B293*48271,2147483647))</f>
        <v/>
      </c>
      <c r="M293" s="10" t="str">
        <f t="shared" si="292"/>
        <v/>
      </c>
      <c r="N293" s="10" t="str">
        <f t="shared" si="292"/>
        <v/>
      </c>
      <c r="O293" s="10" t="str">
        <f t="shared" si="292"/>
        <v/>
      </c>
      <c r="P293" s="10" t="str">
        <f t="shared" si="292"/>
        <v/>
      </c>
      <c r="Q293" s="10" t="str">
        <f t="shared" si="292"/>
        <v/>
      </c>
      <c r="R293" s="10" t="str">
        <f t="shared" si="292"/>
        <v/>
      </c>
      <c r="S293" s="10" t="str">
        <f t="shared" si="292"/>
        <v/>
      </c>
      <c r="T293" s="10" t="str">
        <f t="shared" si="292"/>
        <v/>
      </c>
      <c r="U293" s="10" t="str">
        <f t="shared" si="292"/>
        <v/>
      </c>
      <c r="V293" s="10" t="str">
        <f>IF(B293="","",IF(Controls!$B$7="Normal",Controls!$B$8+Controls!$B$9*SQRT(-2*LN(B293/2147483647))*COS(2*PI()*L293/2147483647),Controls!$B$8+(Controls!$B$9-Controls!$B$8)*B293/2147483647))</f>
        <v/>
      </c>
      <c r="W293" s="10" t="str">
        <f>IF(C293="","",IF(Controls!$B$7="Normal",Controls!$B$8+Controls!$B$9*SQRT(-2*LN(C293/2147483647))*COS(2*PI()*M293/2147483647),Controls!$B$8+(Controls!$B$9-Controls!$B$8)*C293/2147483647))</f>
        <v/>
      </c>
      <c r="X293" s="10" t="str">
        <f>IF(D293="","",IF(Controls!$B$7="Normal",Controls!$B$8+Controls!$B$9*SQRT(-2*LN(D293/2147483647))*COS(2*PI()*N293/2147483647),Controls!$B$8+(Controls!$B$9-Controls!$B$8)*D293/2147483647))</f>
        <v/>
      </c>
      <c r="Y293" s="10" t="str">
        <f>IF(E293="","",IF(Controls!$B$7="Normal",Controls!$B$8+Controls!$B$9*SQRT(-2*LN(E293/2147483647))*COS(2*PI()*O293/2147483647),Controls!$B$8+(Controls!$B$9-Controls!$B$8)*E293/2147483647))</f>
        <v/>
      </c>
      <c r="Z293" s="10" t="str">
        <f>IF(F293="","",IF(Controls!$B$7="Normal",Controls!$B$8+Controls!$B$9*SQRT(-2*LN(F293/2147483647))*COS(2*PI()*P293/2147483647),Controls!$B$8+(Controls!$B$9-Controls!$B$8)*F293/2147483647))</f>
        <v/>
      </c>
      <c r="AA293" s="10" t="str">
        <f>IF(G293="","",IF(Controls!$B$7="Normal",Controls!$B$8+Controls!$B$9*SQRT(-2*LN(G293/2147483647))*COS(2*PI()*Q293/2147483647),Controls!$B$8+(Controls!$B$9-Controls!$B$8)*G293/2147483647))</f>
        <v/>
      </c>
      <c r="AB293" s="10" t="str">
        <f>IF(H293="","",IF(Controls!$B$7="Normal",Controls!$B$8+Controls!$B$9*SQRT(-2*LN(H293/2147483647))*COS(2*PI()*R293/2147483647),Controls!$B$8+(Controls!$B$9-Controls!$B$8)*H293/2147483647))</f>
        <v/>
      </c>
      <c r="AC293" s="10" t="str">
        <f>IF(I293="","",IF(Controls!$B$7="Normal",Controls!$B$8+Controls!$B$9*SQRT(-2*LN(I293/2147483647))*COS(2*PI()*S293/2147483647),Controls!$B$8+(Controls!$B$9-Controls!$B$8)*I293/2147483647))</f>
        <v/>
      </c>
      <c r="AD293" s="10" t="str">
        <f>IF(J293="","",IF(Controls!$B$7="Normal",Controls!$B$8+Controls!$B$9*SQRT(-2*LN(J293/2147483647))*COS(2*PI()*T293/2147483647),Controls!$B$8+(Controls!$B$9-Controls!$B$8)*J293/2147483647))</f>
        <v/>
      </c>
      <c r="AE293" s="10" t="str">
        <f>IF(K293="","",IF(Controls!$B$7="Normal",Controls!$B$8+Controls!$B$9*SQRT(-2*LN(K293/2147483647))*COS(2*PI()*U293/2147483647),Controls!$B$8+(Controls!$B$9-Controls!$B$8)*K293/2147483647))</f>
        <v/>
      </c>
    </row>
    <row r="294" ht="21.0" customHeight="1">
      <c r="A294" s="7" t="str">
        <f>IF(293&lt;=Controls!$B$5,Controls!$B$4+292,"")</f>
        <v/>
      </c>
      <c r="B294" s="10" t="str">
        <f>IF(OR($A294="",1&gt;Controls!$B$6),"",MOD(L293*48271,2147483647))</f>
        <v/>
      </c>
      <c r="C294" s="10" t="str">
        <f>IF(OR($A294="",2&gt;Controls!$B$6),"",MOD(M293*48271,2147483647))</f>
        <v/>
      </c>
      <c r="D294" s="10" t="str">
        <f>IF(OR($A294="",3&gt;Controls!$B$6),"",MOD(N293*48271,2147483647))</f>
        <v/>
      </c>
      <c r="E294" s="10" t="str">
        <f>IF(OR($A294="",4&gt;Controls!$B$6),"",MOD(O293*48271,2147483647))</f>
        <v/>
      </c>
      <c r="F294" s="10" t="str">
        <f>IF(OR($A294="",5&gt;Controls!$B$6),"",MOD(P293*48271,2147483647))</f>
        <v/>
      </c>
      <c r="G294" s="10" t="str">
        <f>IF(OR($A294="",6&gt;Controls!$B$6),"",MOD(Q293*48271,2147483647))</f>
        <v/>
      </c>
      <c r="H294" s="10" t="str">
        <f>IF(OR($A294="",7&gt;Controls!$B$6),"",MOD(R293*48271,2147483647))</f>
        <v/>
      </c>
      <c r="I294" s="10" t="str">
        <f>IF(OR($A294="",8&gt;Controls!$B$6),"",MOD(S293*48271,2147483647))</f>
        <v/>
      </c>
      <c r="J294" s="10" t="str">
        <f>IF(OR($A294="",9&gt;Controls!$B$6),"",MOD(T293*48271,2147483647))</f>
        <v/>
      </c>
      <c r="K294" s="10" t="str">
        <f>IF(OR($A294="",10&gt;Controls!$B$6),"",MOD(U293*48271,2147483647))</f>
        <v/>
      </c>
      <c r="L294" s="10" t="str">
        <f t="shared" ref="L294:U294" si="293">IF(B294="","",MOD(B294*48271,2147483647))</f>
        <v/>
      </c>
      <c r="M294" s="10" t="str">
        <f t="shared" si="293"/>
        <v/>
      </c>
      <c r="N294" s="10" t="str">
        <f t="shared" si="293"/>
        <v/>
      </c>
      <c r="O294" s="10" t="str">
        <f t="shared" si="293"/>
        <v/>
      </c>
      <c r="P294" s="10" t="str">
        <f t="shared" si="293"/>
        <v/>
      </c>
      <c r="Q294" s="10" t="str">
        <f t="shared" si="293"/>
        <v/>
      </c>
      <c r="R294" s="10" t="str">
        <f t="shared" si="293"/>
        <v/>
      </c>
      <c r="S294" s="10" t="str">
        <f t="shared" si="293"/>
        <v/>
      </c>
      <c r="T294" s="10" t="str">
        <f t="shared" si="293"/>
        <v/>
      </c>
      <c r="U294" s="10" t="str">
        <f t="shared" si="293"/>
        <v/>
      </c>
      <c r="V294" s="10" t="str">
        <f>IF(B294="","",IF(Controls!$B$7="Normal",Controls!$B$8+Controls!$B$9*SQRT(-2*LN(B294/2147483647))*COS(2*PI()*L294/2147483647),Controls!$B$8+(Controls!$B$9-Controls!$B$8)*B294/2147483647))</f>
        <v/>
      </c>
      <c r="W294" s="10" t="str">
        <f>IF(C294="","",IF(Controls!$B$7="Normal",Controls!$B$8+Controls!$B$9*SQRT(-2*LN(C294/2147483647))*COS(2*PI()*M294/2147483647),Controls!$B$8+(Controls!$B$9-Controls!$B$8)*C294/2147483647))</f>
        <v/>
      </c>
      <c r="X294" s="10" t="str">
        <f>IF(D294="","",IF(Controls!$B$7="Normal",Controls!$B$8+Controls!$B$9*SQRT(-2*LN(D294/2147483647))*COS(2*PI()*N294/2147483647),Controls!$B$8+(Controls!$B$9-Controls!$B$8)*D294/2147483647))</f>
        <v/>
      </c>
      <c r="Y294" s="10" t="str">
        <f>IF(E294="","",IF(Controls!$B$7="Normal",Controls!$B$8+Controls!$B$9*SQRT(-2*LN(E294/2147483647))*COS(2*PI()*O294/2147483647),Controls!$B$8+(Controls!$B$9-Controls!$B$8)*E294/2147483647))</f>
        <v/>
      </c>
      <c r="Z294" s="10" t="str">
        <f>IF(F294="","",IF(Controls!$B$7="Normal",Controls!$B$8+Controls!$B$9*SQRT(-2*LN(F294/2147483647))*COS(2*PI()*P294/2147483647),Controls!$B$8+(Controls!$B$9-Controls!$B$8)*F294/2147483647))</f>
        <v/>
      </c>
      <c r="AA294" s="10" t="str">
        <f>IF(G294="","",IF(Controls!$B$7="Normal",Controls!$B$8+Controls!$B$9*SQRT(-2*LN(G294/2147483647))*COS(2*PI()*Q294/2147483647),Controls!$B$8+(Controls!$B$9-Controls!$B$8)*G294/2147483647))</f>
        <v/>
      </c>
      <c r="AB294" s="10" t="str">
        <f>IF(H294="","",IF(Controls!$B$7="Normal",Controls!$B$8+Controls!$B$9*SQRT(-2*LN(H294/2147483647))*COS(2*PI()*R294/2147483647),Controls!$B$8+(Controls!$B$9-Controls!$B$8)*H294/2147483647))</f>
        <v/>
      </c>
      <c r="AC294" s="10" t="str">
        <f>IF(I294="","",IF(Controls!$B$7="Normal",Controls!$B$8+Controls!$B$9*SQRT(-2*LN(I294/2147483647))*COS(2*PI()*S294/2147483647),Controls!$B$8+(Controls!$B$9-Controls!$B$8)*I294/2147483647))</f>
        <v/>
      </c>
      <c r="AD294" s="10" t="str">
        <f>IF(J294="","",IF(Controls!$B$7="Normal",Controls!$B$8+Controls!$B$9*SQRT(-2*LN(J294/2147483647))*COS(2*PI()*T294/2147483647),Controls!$B$8+(Controls!$B$9-Controls!$B$8)*J294/2147483647))</f>
        <v/>
      </c>
      <c r="AE294" s="10" t="str">
        <f>IF(K294="","",IF(Controls!$B$7="Normal",Controls!$B$8+Controls!$B$9*SQRT(-2*LN(K294/2147483647))*COS(2*PI()*U294/2147483647),Controls!$B$8+(Controls!$B$9-Controls!$B$8)*K294/2147483647))</f>
        <v/>
      </c>
    </row>
    <row r="295" ht="21.0" customHeight="1">
      <c r="A295" s="7" t="str">
        <f>IF(294&lt;=Controls!$B$5,Controls!$B$4+293,"")</f>
        <v/>
      </c>
      <c r="B295" s="10" t="str">
        <f>IF(OR($A295="",1&gt;Controls!$B$6),"",MOD(L294*48271,2147483647))</f>
        <v/>
      </c>
      <c r="C295" s="10" t="str">
        <f>IF(OR($A295="",2&gt;Controls!$B$6),"",MOD(M294*48271,2147483647))</f>
        <v/>
      </c>
      <c r="D295" s="10" t="str">
        <f>IF(OR($A295="",3&gt;Controls!$B$6),"",MOD(N294*48271,2147483647))</f>
        <v/>
      </c>
      <c r="E295" s="10" t="str">
        <f>IF(OR($A295="",4&gt;Controls!$B$6),"",MOD(O294*48271,2147483647))</f>
        <v/>
      </c>
      <c r="F295" s="10" t="str">
        <f>IF(OR($A295="",5&gt;Controls!$B$6),"",MOD(P294*48271,2147483647))</f>
        <v/>
      </c>
      <c r="G295" s="10" t="str">
        <f>IF(OR($A295="",6&gt;Controls!$B$6),"",MOD(Q294*48271,2147483647))</f>
        <v/>
      </c>
      <c r="H295" s="10" t="str">
        <f>IF(OR($A295="",7&gt;Controls!$B$6),"",MOD(R294*48271,2147483647))</f>
        <v/>
      </c>
      <c r="I295" s="10" t="str">
        <f>IF(OR($A295="",8&gt;Controls!$B$6),"",MOD(S294*48271,2147483647))</f>
        <v/>
      </c>
      <c r="J295" s="10" t="str">
        <f>IF(OR($A295="",9&gt;Controls!$B$6),"",MOD(T294*48271,2147483647))</f>
        <v/>
      </c>
      <c r="K295" s="10" t="str">
        <f>IF(OR($A295="",10&gt;Controls!$B$6),"",MOD(U294*48271,2147483647))</f>
        <v/>
      </c>
      <c r="L295" s="10" t="str">
        <f t="shared" ref="L295:U295" si="294">IF(B295="","",MOD(B295*48271,2147483647))</f>
        <v/>
      </c>
      <c r="M295" s="10" t="str">
        <f t="shared" si="294"/>
        <v/>
      </c>
      <c r="N295" s="10" t="str">
        <f t="shared" si="294"/>
        <v/>
      </c>
      <c r="O295" s="10" t="str">
        <f t="shared" si="294"/>
        <v/>
      </c>
      <c r="P295" s="10" t="str">
        <f t="shared" si="294"/>
        <v/>
      </c>
      <c r="Q295" s="10" t="str">
        <f t="shared" si="294"/>
        <v/>
      </c>
      <c r="R295" s="10" t="str">
        <f t="shared" si="294"/>
        <v/>
      </c>
      <c r="S295" s="10" t="str">
        <f t="shared" si="294"/>
        <v/>
      </c>
      <c r="T295" s="10" t="str">
        <f t="shared" si="294"/>
        <v/>
      </c>
      <c r="U295" s="10" t="str">
        <f t="shared" si="294"/>
        <v/>
      </c>
      <c r="V295" s="10" t="str">
        <f>IF(B295="","",IF(Controls!$B$7="Normal",Controls!$B$8+Controls!$B$9*SQRT(-2*LN(B295/2147483647))*COS(2*PI()*L295/2147483647),Controls!$B$8+(Controls!$B$9-Controls!$B$8)*B295/2147483647))</f>
        <v/>
      </c>
      <c r="W295" s="10" t="str">
        <f>IF(C295="","",IF(Controls!$B$7="Normal",Controls!$B$8+Controls!$B$9*SQRT(-2*LN(C295/2147483647))*COS(2*PI()*M295/2147483647),Controls!$B$8+(Controls!$B$9-Controls!$B$8)*C295/2147483647))</f>
        <v/>
      </c>
      <c r="X295" s="10" t="str">
        <f>IF(D295="","",IF(Controls!$B$7="Normal",Controls!$B$8+Controls!$B$9*SQRT(-2*LN(D295/2147483647))*COS(2*PI()*N295/2147483647),Controls!$B$8+(Controls!$B$9-Controls!$B$8)*D295/2147483647))</f>
        <v/>
      </c>
      <c r="Y295" s="10" t="str">
        <f>IF(E295="","",IF(Controls!$B$7="Normal",Controls!$B$8+Controls!$B$9*SQRT(-2*LN(E295/2147483647))*COS(2*PI()*O295/2147483647),Controls!$B$8+(Controls!$B$9-Controls!$B$8)*E295/2147483647))</f>
        <v/>
      </c>
      <c r="Z295" s="10" t="str">
        <f>IF(F295="","",IF(Controls!$B$7="Normal",Controls!$B$8+Controls!$B$9*SQRT(-2*LN(F295/2147483647))*COS(2*PI()*P295/2147483647),Controls!$B$8+(Controls!$B$9-Controls!$B$8)*F295/2147483647))</f>
        <v/>
      </c>
      <c r="AA295" s="10" t="str">
        <f>IF(G295="","",IF(Controls!$B$7="Normal",Controls!$B$8+Controls!$B$9*SQRT(-2*LN(G295/2147483647))*COS(2*PI()*Q295/2147483647),Controls!$B$8+(Controls!$B$9-Controls!$B$8)*G295/2147483647))</f>
        <v/>
      </c>
      <c r="AB295" s="10" t="str">
        <f>IF(H295="","",IF(Controls!$B$7="Normal",Controls!$B$8+Controls!$B$9*SQRT(-2*LN(H295/2147483647))*COS(2*PI()*R295/2147483647),Controls!$B$8+(Controls!$B$9-Controls!$B$8)*H295/2147483647))</f>
        <v/>
      </c>
      <c r="AC295" s="10" t="str">
        <f>IF(I295="","",IF(Controls!$B$7="Normal",Controls!$B$8+Controls!$B$9*SQRT(-2*LN(I295/2147483647))*COS(2*PI()*S295/2147483647),Controls!$B$8+(Controls!$B$9-Controls!$B$8)*I295/2147483647))</f>
        <v/>
      </c>
      <c r="AD295" s="10" t="str">
        <f>IF(J295="","",IF(Controls!$B$7="Normal",Controls!$B$8+Controls!$B$9*SQRT(-2*LN(J295/2147483647))*COS(2*PI()*T295/2147483647),Controls!$B$8+(Controls!$B$9-Controls!$B$8)*J295/2147483647))</f>
        <v/>
      </c>
      <c r="AE295" s="10" t="str">
        <f>IF(K295="","",IF(Controls!$B$7="Normal",Controls!$B$8+Controls!$B$9*SQRT(-2*LN(K295/2147483647))*COS(2*PI()*U295/2147483647),Controls!$B$8+(Controls!$B$9-Controls!$B$8)*K295/2147483647))</f>
        <v/>
      </c>
    </row>
    <row r="296" ht="21.0" customHeight="1">
      <c r="A296" s="7" t="str">
        <f>IF(295&lt;=Controls!$B$5,Controls!$B$4+294,"")</f>
        <v/>
      </c>
      <c r="B296" s="10" t="str">
        <f>IF(OR($A296="",1&gt;Controls!$B$6),"",MOD(L295*48271,2147483647))</f>
        <v/>
      </c>
      <c r="C296" s="10" t="str">
        <f>IF(OR($A296="",2&gt;Controls!$B$6),"",MOD(M295*48271,2147483647))</f>
        <v/>
      </c>
      <c r="D296" s="10" t="str">
        <f>IF(OR($A296="",3&gt;Controls!$B$6),"",MOD(N295*48271,2147483647))</f>
        <v/>
      </c>
      <c r="E296" s="10" t="str">
        <f>IF(OR($A296="",4&gt;Controls!$B$6),"",MOD(O295*48271,2147483647))</f>
        <v/>
      </c>
      <c r="F296" s="10" t="str">
        <f>IF(OR($A296="",5&gt;Controls!$B$6),"",MOD(P295*48271,2147483647))</f>
        <v/>
      </c>
      <c r="G296" s="10" t="str">
        <f>IF(OR($A296="",6&gt;Controls!$B$6),"",MOD(Q295*48271,2147483647))</f>
        <v/>
      </c>
      <c r="H296" s="10" t="str">
        <f>IF(OR($A296="",7&gt;Controls!$B$6),"",MOD(R295*48271,2147483647))</f>
        <v/>
      </c>
      <c r="I296" s="10" t="str">
        <f>IF(OR($A296="",8&gt;Controls!$B$6),"",MOD(S295*48271,2147483647))</f>
        <v/>
      </c>
      <c r="J296" s="10" t="str">
        <f>IF(OR($A296="",9&gt;Controls!$B$6),"",MOD(T295*48271,2147483647))</f>
        <v/>
      </c>
      <c r="K296" s="10" t="str">
        <f>IF(OR($A296="",10&gt;Controls!$B$6),"",MOD(U295*48271,2147483647))</f>
        <v/>
      </c>
      <c r="L296" s="10" t="str">
        <f t="shared" ref="L296:U296" si="295">IF(B296="","",MOD(B296*48271,2147483647))</f>
        <v/>
      </c>
      <c r="M296" s="10" t="str">
        <f t="shared" si="295"/>
        <v/>
      </c>
      <c r="N296" s="10" t="str">
        <f t="shared" si="295"/>
        <v/>
      </c>
      <c r="O296" s="10" t="str">
        <f t="shared" si="295"/>
        <v/>
      </c>
      <c r="P296" s="10" t="str">
        <f t="shared" si="295"/>
        <v/>
      </c>
      <c r="Q296" s="10" t="str">
        <f t="shared" si="295"/>
        <v/>
      </c>
      <c r="R296" s="10" t="str">
        <f t="shared" si="295"/>
        <v/>
      </c>
      <c r="S296" s="10" t="str">
        <f t="shared" si="295"/>
        <v/>
      </c>
      <c r="T296" s="10" t="str">
        <f t="shared" si="295"/>
        <v/>
      </c>
      <c r="U296" s="10" t="str">
        <f t="shared" si="295"/>
        <v/>
      </c>
      <c r="V296" s="10" t="str">
        <f>IF(B296="","",IF(Controls!$B$7="Normal",Controls!$B$8+Controls!$B$9*SQRT(-2*LN(B296/2147483647))*COS(2*PI()*L296/2147483647),Controls!$B$8+(Controls!$B$9-Controls!$B$8)*B296/2147483647))</f>
        <v/>
      </c>
      <c r="W296" s="10" t="str">
        <f>IF(C296="","",IF(Controls!$B$7="Normal",Controls!$B$8+Controls!$B$9*SQRT(-2*LN(C296/2147483647))*COS(2*PI()*M296/2147483647),Controls!$B$8+(Controls!$B$9-Controls!$B$8)*C296/2147483647))</f>
        <v/>
      </c>
      <c r="X296" s="10" t="str">
        <f>IF(D296="","",IF(Controls!$B$7="Normal",Controls!$B$8+Controls!$B$9*SQRT(-2*LN(D296/2147483647))*COS(2*PI()*N296/2147483647),Controls!$B$8+(Controls!$B$9-Controls!$B$8)*D296/2147483647))</f>
        <v/>
      </c>
      <c r="Y296" s="10" t="str">
        <f>IF(E296="","",IF(Controls!$B$7="Normal",Controls!$B$8+Controls!$B$9*SQRT(-2*LN(E296/2147483647))*COS(2*PI()*O296/2147483647),Controls!$B$8+(Controls!$B$9-Controls!$B$8)*E296/2147483647))</f>
        <v/>
      </c>
      <c r="Z296" s="10" t="str">
        <f>IF(F296="","",IF(Controls!$B$7="Normal",Controls!$B$8+Controls!$B$9*SQRT(-2*LN(F296/2147483647))*COS(2*PI()*P296/2147483647),Controls!$B$8+(Controls!$B$9-Controls!$B$8)*F296/2147483647))</f>
        <v/>
      </c>
      <c r="AA296" s="10" t="str">
        <f>IF(G296="","",IF(Controls!$B$7="Normal",Controls!$B$8+Controls!$B$9*SQRT(-2*LN(G296/2147483647))*COS(2*PI()*Q296/2147483647),Controls!$B$8+(Controls!$B$9-Controls!$B$8)*G296/2147483647))</f>
        <v/>
      </c>
      <c r="AB296" s="10" t="str">
        <f>IF(H296="","",IF(Controls!$B$7="Normal",Controls!$B$8+Controls!$B$9*SQRT(-2*LN(H296/2147483647))*COS(2*PI()*R296/2147483647),Controls!$B$8+(Controls!$B$9-Controls!$B$8)*H296/2147483647))</f>
        <v/>
      </c>
      <c r="AC296" s="10" t="str">
        <f>IF(I296="","",IF(Controls!$B$7="Normal",Controls!$B$8+Controls!$B$9*SQRT(-2*LN(I296/2147483647))*COS(2*PI()*S296/2147483647),Controls!$B$8+(Controls!$B$9-Controls!$B$8)*I296/2147483647))</f>
        <v/>
      </c>
      <c r="AD296" s="10" t="str">
        <f>IF(J296="","",IF(Controls!$B$7="Normal",Controls!$B$8+Controls!$B$9*SQRT(-2*LN(J296/2147483647))*COS(2*PI()*T296/2147483647),Controls!$B$8+(Controls!$B$9-Controls!$B$8)*J296/2147483647))</f>
        <v/>
      </c>
      <c r="AE296" s="10" t="str">
        <f>IF(K296="","",IF(Controls!$B$7="Normal",Controls!$B$8+Controls!$B$9*SQRT(-2*LN(K296/2147483647))*COS(2*PI()*U296/2147483647),Controls!$B$8+(Controls!$B$9-Controls!$B$8)*K296/2147483647))</f>
        <v/>
      </c>
    </row>
    <row r="297" ht="21.0" customHeight="1">
      <c r="A297" s="7" t="str">
        <f>IF(296&lt;=Controls!$B$5,Controls!$B$4+295,"")</f>
        <v/>
      </c>
      <c r="B297" s="10" t="str">
        <f>IF(OR($A297="",1&gt;Controls!$B$6),"",MOD(L296*48271,2147483647))</f>
        <v/>
      </c>
      <c r="C297" s="10" t="str">
        <f>IF(OR($A297="",2&gt;Controls!$B$6),"",MOD(M296*48271,2147483647))</f>
        <v/>
      </c>
      <c r="D297" s="10" t="str">
        <f>IF(OR($A297="",3&gt;Controls!$B$6),"",MOD(N296*48271,2147483647))</f>
        <v/>
      </c>
      <c r="E297" s="10" t="str">
        <f>IF(OR($A297="",4&gt;Controls!$B$6),"",MOD(O296*48271,2147483647))</f>
        <v/>
      </c>
      <c r="F297" s="10" t="str">
        <f>IF(OR($A297="",5&gt;Controls!$B$6),"",MOD(P296*48271,2147483647))</f>
        <v/>
      </c>
      <c r="G297" s="10" t="str">
        <f>IF(OR($A297="",6&gt;Controls!$B$6),"",MOD(Q296*48271,2147483647))</f>
        <v/>
      </c>
      <c r="H297" s="10" t="str">
        <f>IF(OR($A297="",7&gt;Controls!$B$6),"",MOD(R296*48271,2147483647))</f>
        <v/>
      </c>
      <c r="I297" s="10" t="str">
        <f>IF(OR($A297="",8&gt;Controls!$B$6),"",MOD(S296*48271,2147483647))</f>
        <v/>
      </c>
      <c r="J297" s="10" t="str">
        <f>IF(OR($A297="",9&gt;Controls!$B$6),"",MOD(T296*48271,2147483647))</f>
        <v/>
      </c>
      <c r="K297" s="10" t="str">
        <f>IF(OR($A297="",10&gt;Controls!$B$6),"",MOD(U296*48271,2147483647))</f>
        <v/>
      </c>
      <c r="L297" s="10" t="str">
        <f t="shared" ref="L297:U297" si="296">IF(B297="","",MOD(B297*48271,2147483647))</f>
        <v/>
      </c>
      <c r="M297" s="10" t="str">
        <f t="shared" si="296"/>
        <v/>
      </c>
      <c r="N297" s="10" t="str">
        <f t="shared" si="296"/>
        <v/>
      </c>
      <c r="O297" s="10" t="str">
        <f t="shared" si="296"/>
        <v/>
      </c>
      <c r="P297" s="10" t="str">
        <f t="shared" si="296"/>
        <v/>
      </c>
      <c r="Q297" s="10" t="str">
        <f t="shared" si="296"/>
        <v/>
      </c>
      <c r="R297" s="10" t="str">
        <f t="shared" si="296"/>
        <v/>
      </c>
      <c r="S297" s="10" t="str">
        <f t="shared" si="296"/>
        <v/>
      </c>
      <c r="T297" s="10" t="str">
        <f t="shared" si="296"/>
        <v/>
      </c>
      <c r="U297" s="10" t="str">
        <f t="shared" si="296"/>
        <v/>
      </c>
      <c r="V297" s="10" t="str">
        <f>IF(B297="","",IF(Controls!$B$7="Normal",Controls!$B$8+Controls!$B$9*SQRT(-2*LN(B297/2147483647))*COS(2*PI()*L297/2147483647),Controls!$B$8+(Controls!$B$9-Controls!$B$8)*B297/2147483647))</f>
        <v/>
      </c>
      <c r="W297" s="10" t="str">
        <f>IF(C297="","",IF(Controls!$B$7="Normal",Controls!$B$8+Controls!$B$9*SQRT(-2*LN(C297/2147483647))*COS(2*PI()*M297/2147483647),Controls!$B$8+(Controls!$B$9-Controls!$B$8)*C297/2147483647))</f>
        <v/>
      </c>
      <c r="X297" s="10" t="str">
        <f>IF(D297="","",IF(Controls!$B$7="Normal",Controls!$B$8+Controls!$B$9*SQRT(-2*LN(D297/2147483647))*COS(2*PI()*N297/2147483647),Controls!$B$8+(Controls!$B$9-Controls!$B$8)*D297/2147483647))</f>
        <v/>
      </c>
      <c r="Y297" s="10" t="str">
        <f>IF(E297="","",IF(Controls!$B$7="Normal",Controls!$B$8+Controls!$B$9*SQRT(-2*LN(E297/2147483647))*COS(2*PI()*O297/2147483647),Controls!$B$8+(Controls!$B$9-Controls!$B$8)*E297/2147483647))</f>
        <v/>
      </c>
      <c r="Z297" s="10" t="str">
        <f>IF(F297="","",IF(Controls!$B$7="Normal",Controls!$B$8+Controls!$B$9*SQRT(-2*LN(F297/2147483647))*COS(2*PI()*P297/2147483647),Controls!$B$8+(Controls!$B$9-Controls!$B$8)*F297/2147483647))</f>
        <v/>
      </c>
      <c r="AA297" s="10" t="str">
        <f>IF(G297="","",IF(Controls!$B$7="Normal",Controls!$B$8+Controls!$B$9*SQRT(-2*LN(G297/2147483647))*COS(2*PI()*Q297/2147483647),Controls!$B$8+(Controls!$B$9-Controls!$B$8)*G297/2147483647))</f>
        <v/>
      </c>
      <c r="AB297" s="10" t="str">
        <f>IF(H297="","",IF(Controls!$B$7="Normal",Controls!$B$8+Controls!$B$9*SQRT(-2*LN(H297/2147483647))*COS(2*PI()*R297/2147483647),Controls!$B$8+(Controls!$B$9-Controls!$B$8)*H297/2147483647))</f>
        <v/>
      </c>
      <c r="AC297" s="10" t="str">
        <f>IF(I297="","",IF(Controls!$B$7="Normal",Controls!$B$8+Controls!$B$9*SQRT(-2*LN(I297/2147483647))*COS(2*PI()*S297/2147483647),Controls!$B$8+(Controls!$B$9-Controls!$B$8)*I297/2147483647))</f>
        <v/>
      </c>
      <c r="AD297" s="10" t="str">
        <f>IF(J297="","",IF(Controls!$B$7="Normal",Controls!$B$8+Controls!$B$9*SQRT(-2*LN(J297/2147483647))*COS(2*PI()*T297/2147483647),Controls!$B$8+(Controls!$B$9-Controls!$B$8)*J297/2147483647))</f>
        <v/>
      </c>
      <c r="AE297" s="10" t="str">
        <f>IF(K297="","",IF(Controls!$B$7="Normal",Controls!$B$8+Controls!$B$9*SQRT(-2*LN(K297/2147483647))*COS(2*PI()*U297/2147483647),Controls!$B$8+(Controls!$B$9-Controls!$B$8)*K297/2147483647))</f>
        <v/>
      </c>
    </row>
    <row r="298" ht="21.0" customHeight="1">
      <c r="A298" s="7" t="str">
        <f>IF(297&lt;=Controls!$B$5,Controls!$B$4+296,"")</f>
        <v/>
      </c>
      <c r="B298" s="10" t="str">
        <f>IF(OR($A298="",1&gt;Controls!$B$6),"",MOD(L297*48271,2147483647))</f>
        <v/>
      </c>
      <c r="C298" s="10" t="str">
        <f>IF(OR($A298="",2&gt;Controls!$B$6),"",MOD(M297*48271,2147483647))</f>
        <v/>
      </c>
      <c r="D298" s="10" t="str">
        <f>IF(OR($A298="",3&gt;Controls!$B$6),"",MOD(N297*48271,2147483647))</f>
        <v/>
      </c>
      <c r="E298" s="10" t="str">
        <f>IF(OR($A298="",4&gt;Controls!$B$6),"",MOD(O297*48271,2147483647))</f>
        <v/>
      </c>
      <c r="F298" s="10" t="str">
        <f>IF(OR($A298="",5&gt;Controls!$B$6),"",MOD(P297*48271,2147483647))</f>
        <v/>
      </c>
      <c r="G298" s="10" t="str">
        <f>IF(OR($A298="",6&gt;Controls!$B$6),"",MOD(Q297*48271,2147483647))</f>
        <v/>
      </c>
      <c r="H298" s="10" t="str">
        <f>IF(OR($A298="",7&gt;Controls!$B$6),"",MOD(R297*48271,2147483647))</f>
        <v/>
      </c>
      <c r="I298" s="10" t="str">
        <f>IF(OR($A298="",8&gt;Controls!$B$6),"",MOD(S297*48271,2147483647))</f>
        <v/>
      </c>
      <c r="J298" s="10" t="str">
        <f>IF(OR($A298="",9&gt;Controls!$B$6),"",MOD(T297*48271,2147483647))</f>
        <v/>
      </c>
      <c r="K298" s="10" t="str">
        <f>IF(OR($A298="",10&gt;Controls!$B$6),"",MOD(U297*48271,2147483647))</f>
        <v/>
      </c>
      <c r="L298" s="10" t="str">
        <f t="shared" ref="L298:U298" si="297">IF(B298="","",MOD(B298*48271,2147483647))</f>
        <v/>
      </c>
      <c r="M298" s="10" t="str">
        <f t="shared" si="297"/>
        <v/>
      </c>
      <c r="N298" s="10" t="str">
        <f t="shared" si="297"/>
        <v/>
      </c>
      <c r="O298" s="10" t="str">
        <f t="shared" si="297"/>
        <v/>
      </c>
      <c r="P298" s="10" t="str">
        <f t="shared" si="297"/>
        <v/>
      </c>
      <c r="Q298" s="10" t="str">
        <f t="shared" si="297"/>
        <v/>
      </c>
      <c r="R298" s="10" t="str">
        <f t="shared" si="297"/>
        <v/>
      </c>
      <c r="S298" s="10" t="str">
        <f t="shared" si="297"/>
        <v/>
      </c>
      <c r="T298" s="10" t="str">
        <f t="shared" si="297"/>
        <v/>
      </c>
      <c r="U298" s="10" t="str">
        <f t="shared" si="297"/>
        <v/>
      </c>
      <c r="V298" s="10" t="str">
        <f>IF(B298="","",IF(Controls!$B$7="Normal",Controls!$B$8+Controls!$B$9*SQRT(-2*LN(B298/2147483647))*COS(2*PI()*L298/2147483647),Controls!$B$8+(Controls!$B$9-Controls!$B$8)*B298/2147483647))</f>
        <v/>
      </c>
      <c r="W298" s="10" t="str">
        <f>IF(C298="","",IF(Controls!$B$7="Normal",Controls!$B$8+Controls!$B$9*SQRT(-2*LN(C298/2147483647))*COS(2*PI()*M298/2147483647),Controls!$B$8+(Controls!$B$9-Controls!$B$8)*C298/2147483647))</f>
        <v/>
      </c>
      <c r="X298" s="10" t="str">
        <f>IF(D298="","",IF(Controls!$B$7="Normal",Controls!$B$8+Controls!$B$9*SQRT(-2*LN(D298/2147483647))*COS(2*PI()*N298/2147483647),Controls!$B$8+(Controls!$B$9-Controls!$B$8)*D298/2147483647))</f>
        <v/>
      </c>
      <c r="Y298" s="10" t="str">
        <f>IF(E298="","",IF(Controls!$B$7="Normal",Controls!$B$8+Controls!$B$9*SQRT(-2*LN(E298/2147483647))*COS(2*PI()*O298/2147483647),Controls!$B$8+(Controls!$B$9-Controls!$B$8)*E298/2147483647))</f>
        <v/>
      </c>
      <c r="Z298" s="10" t="str">
        <f>IF(F298="","",IF(Controls!$B$7="Normal",Controls!$B$8+Controls!$B$9*SQRT(-2*LN(F298/2147483647))*COS(2*PI()*P298/2147483647),Controls!$B$8+(Controls!$B$9-Controls!$B$8)*F298/2147483647))</f>
        <v/>
      </c>
      <c r="AA298" s="10" t="str">
        <f>IF(G298="","",IF(Controls!$B$7="Normal",Controls!$B$8+Controls!$B$9*SQRT(-2*LN(G298/2147483647))*COS(2*PI()*Q298/2147483647),Controls!$B$8+(Controls!$B$9-Controls!$B$8)*G298/2147483647))</f>
        <v/>
      </c>
      <c r="AB298" s="10" t="str">
        <f>IF(H298="","",IF(Controls!$B$7="Normal",Controls!$B$8+Controls!$B$9*SQRT(-2*LN(H298/2147483647))*COS(2*PI()*R298/2147483647),Controls!$B$8+(Controls!$B$9-Controls!$B$8)*H298/2147483647))</f>
        <v/>
      </c>
      <c r="AC298" s="10" t="str">
        <f>IF(I298="","",IF(Controls!$B$7="Normal",Controls!$B$8+Controls!$B$9*SQRT(-2*LN(I298/2147483647))*COS(2*PI()*S298/2147483647),Controls!$B$8+(Controls!$B$9-Controls!$B$8)*I298/2147483647))</f>
        <v/>
      </c>
      <c r="AD298" s="10" t="str">
        <f>IF(J298="","",IF(Controls!$B$7="Normal",Controls!$B$8+Controls!$B$9*SQRT(-2*LN(J298/2147483647))*COS(2*PI()*T298/2147483647),Controls!$B$8+(Controls!$B$9-Controls!$B$8)*J298/2147483647))</f>
        <v/>
      </c>
      <c r="AE298" s="10" t="str">
        <f>IF(K298="","",IF(Controls!$B$7="Normal",Controls!$B$8+Controls!$B$9*SQRT(-2*LN(K298/2147483647))*COS(2*PI()*U298/2147483647),Controls!$B$8+(Controls!$B$9-Controls!$B$8)*K298/2147483647))</f>
        <v/>
      </c>
    </row>
    <row r="299" ht="21.0" customHeight="1">
      <c r="A299" s="7" t="str">
        <f>IF(298&lt;=Controls!$B$5,Controls!$B$4+297,"")</f>
        <v/>
      </c>
      <c r="B299" s="10" t="str">
        <f>IF(OR($A299="",1&gt;Controls!$B$6),"",MOD(L298*48271,2147483647))</f>
        <v/>
      </c>
      <c r="C299" s="10" t="str">
        <f>IF(OR($A299="",2&gt;Controls!$B$6),"",MOD(M298*48271,2147483647))</f>
        <v/>
      </c>
      <c r="D299" s="10" t="str">
        <f>IF(OR($A299="",3&gt;Controls!$B$6),"",MOD(N298*48271,2147483647))</f>
        <v/>
      </c>
      <c r="E299" s="10" t="str">
        <f>IF(OR($A299="",4&gt;Controls!$B$6),"",MOD(O298*48271,2147483647))</f>
        <v/>
      </c>
      <c r="F299" s="10" t="str">
        <f>IF(OR($A299="",5&gt;Controls!$B$6),"",MOD(P298*48271,2147483647))</f>
        <v/>
      </c>
      <c r="G299" s="10" t="str">
        <f>IF(OR($A299="",6&gt;Controls!$B$6),"",MOD(Q298*48271,2147483647))</f>
        <v/>
      </c>
      <c r="H299" s="10" t="str">
        <f>IF(OR($A299="",7&gt;Controls!$B$6),"",MOD(R298*48271,2147483647))</f>
        <v/>
      </c>
      <c r="I299" s="10" t="str">
        <f>IF(OR($A299="",8&gt;Controls!$B$6),"",MOD(S298*48271,2147483647))</f>
        <v/>
      </c>
      <c r="J299" s="10" t="str">
        <f>IF(OR($A299="",9&gt;Controls!$B$6),"",MOD(T298*48271,2147483647))</f>
        <v/>
      </c>
      <c r="K299" s="10" t="str">
        <f>IF(OR($A299="",10&gt;Controls!$B$6),"",MOD(U298*48271,2147483647))</f>
        <v/>
      </c>
      <c r="L299" s="10" t="str">
        <f t="shared" ref="L299:U299" si="298">IF(B299="","",MOD(B299*48271,2147483647))</f>
        <v/>
      </c>
      <c r="M299" s="10" t="str">
        <f t="shared" si="298"/>
        <v/>
      </c>
      <c r="N299" s="10" t="str">
        <f t="shared" si="298"/>
        <v/>
      </c>
      <c r="O299" s="10" t="str">
        <f t="shared" si="298"/>
        <v/>
      </c>
      <c r="P299" s="10" t="str">
        <f t="shared" si="298"/>
        <v/>
      </c>
      <c r="Q299" s="10" t="str">
        <f t="shared" si="298"/>
        <v/>
      </c>
      <c r="R299" s="10" t="str">
        <f t="shared" si="298"/>
        <v/>
      </c>
      <c r="S299" s="10" t="str">
        <f t="shared" si="298"/>
        <v/>
      </c>
      <c r="T299" s="10" t="str">
        <f t="shared" si="298"/>
        <v/>
      </c>
      <c r="U299" s="10" t="str">
        <f t="shared" si="298"/>
        <v/>
      </c>
      <c r="V299" s="10" t="str">
        <f>IF(B299="","",IF(Controls!$B$7="Normal",Controls!$B$8+Controls!$B$9*SQRT(-2*LN(B299/2147483647))*COS(2*PI()*L299/2147483647),Controls!$B$8+(Controls!$B$9-Controls!$B$8)*B299/2147483647))</f>
        <v/>
      </c>
      <c r="W299" s="10" t="str">
        <f>IF(C299="","",IF(Controls!$B$7="Normal",Controls!$B$8+Controls!$B$9*SQRT(-2*LN(C299/2147483647))*COS(2*PI()*M299/2147483647),Controls!$B$8+(Controls!$B$9-Controls!$B$8)*C299/2147483647))</f>
        <v/>
      </c>
      <c r="X299" s="10" t="str">
        <f>IF(D299="","",IF(Controls!$B$7="Normal",Controls!$B$8+Controls!$B$9*SQRT(-2*LN(D299/2147483647))*COS(2*PI()*N299/2147483647),Controls!$B$8+(Controls!$B$9-Controls!$B$8)*D299/2147483647))</f>
        <v/>
      </c>
      <c r="Y299" s="10" t="str">
        <f>IF(E299="","",IF(Controls!$B$7="Normal",Controls!$B$8+Controls!$B$9*SQRT(-2*LN(E299/2147483647))*COS(2*PI()*O299/2147483647),Controls!$B$8+(Controls!$B$9-Controls!$B$8)*E299/2147483647))</f>
        <v/>
      </c>
      <c r="Z299" s="10" t="str">
        <f>IF(F299="","",IF(Controls!$B$7="Normal",Controls!$B$8+Controls!$B$9*SQRT(-2*LN(F299/2147483647))*COS(2*PI()*P299/2147483647),Controls!$B$8+(Controls!$B$9-Controls!$B$8)*F299/2147483647))</f>
        <v/>
      </c>
      <c r="AA299" s="10" t="str">
        <f>IF(G299="","",IF(Controls!$B$7="Normal",Controls!$B$8+Controls!$B$9*SQRT(-2*LN(G299/2147483647))*COS(2*PI()*Q299/2147483647),Controls!$B$8+(Controls!$B$9-Controls!$B$8)*G299/2147483647))</f>
        <v/>
      </c>
      <c r="AB299" s="10" t="str">
        <f>IF(H299="","",IF(Controls!$B$7="Normal",Controls!$B$8+Controls!$B$9*SQRT(-2*LN(H299/2147483647))*COS(2*PI()*R299/2147483647),Controls!$B$8+(Controls!$B$9-Controls!$B$8)*H299/2147483647))</f>
        <v/>
      </c>
      <c r="AC299" s="10" t="str">
        <f>IF(I299="","",IF(Controls!$B$7="Normal",Controls!$B$8+Controls!$B$9*SQRT(-2*LN(I299/2147483647))*COS(2*PI()*S299/2147483647),Controls!$B$8+(Controls!$B$9-Controls!$B$8)*I299/2147483647))</f>
        <v/>
      </c>
      <c r="AD299" s="10" t="str">
        <f>IF(J299="","",IF(Controls!$B$7="Normal",Controls!$B$8+Controls!$B$9*SQRT(-2*LN(J299/2147483647))*COS(2*PI()*T299/2147483647),Controls!$B$8+(Controls!$B$9-Controls!$B$8)*J299/2147483647))</f>
        <v/>
      </c>
      <c r="AE299" s="10" t="str">
        <f>IF(K299="","",IF(Controls!$B$7="Normal",Controls!$B$8+Controls!$B$9*SQRT(-2*LN(K299/2147483647))*COS(2*PI()*U299/2147483647),Controls!$B$8+(Controls!$B$9-Controls!$B$8)*K299/2147483647))</f>
        <v/>
      </c>
    </row>
    <row r="300" ht="21.0" customHeight="1">
      <c r="A300" s="7" t="str">
        <f>IF(299&lt;=Controls!$B$5,Controls!$B$4+298,"")</f>
        <v/>
      </c>
      <c r="B300" s="10" t="str">
        <f>IF(OR($A300="",1&gt;Controls!$B$6),"",MOD(L299*48271,2147483647))</f>
        <v/>
      </c>
      <c r="C300" s="10" t="str">
        <f>IF(OR($A300="",2&gt;Controls!$B$6),"",MOD(M299*48271,2147483647))</f>
        <v/>
      </c>
      <c r="D300" s="10" t="str">
        <f>IF(OR($A300="",3&gt;Controls!$B$6),"",MOD(N299*48271,2147483647))</f>
        <v/>
      </c>
      <c r="E300" s="10" t="str">
        <f>IF(OR($A300="",4&gt;Controls!$B$6),"",MOD(O299*48271,2147483647))</f>
        <v/>
      </c>
      <c r="F300" s="10" t="str">
        <f>IF(OR($A300="",5&gt;Controls!$B$6),"",MOD(P299*48271,2147483647))</f>
        <v/>
      </c>
      <c r="G300" s="10" t="str">
        <f>IF(OR($A300="",6&gt;Controls!$B$6),"",MOD(Q299*48271,2147483647))</f>
        <v/>
      </c>
      <c r="H300" s="10" t="str">
        <f>IF(OR($A300="",7&gt;Controls!$B$6),"",MOD(R299*48271,2147483647))</f>
        <v/>
      </c>
      <c r="I300" s="10" t="str">
        <f>IF(OR($A300="",8&gt;Controls!$B$6),"",MOD(S299*48271,2147483647))</f>
        <v/>
      </c>
      <c r="J300" s="10" t="str">
        <f>IF(OR($A300="",9&gt;Controls!$B$6),"",MOD(T299*48271,2147483647))</f>
        <v/>
      </c>
      <c r="K300" s="10" t="str">
        <f>IF(OR($A300="",10&gt;Controls!$B$6),"",MOD(U299*48271,2147483647))</f>
        <v/>
      </c>
      <c r="L300" s="10" t="str">
        <f t="shared" ref="L300:U300" si="299">IF(B300="","",MOD(B300*48271,2147483647))</f>
        <v/>
      </c>
      <c r="M300" s="10" t="str">
        <f t="shared" si="299"/>
        <v/>
      </c>
      <c r="N300" s="10" t="str">
        <f t="shared" si="299"/>
        <v/>
      </c>
      <c r="O300" s="10" t="str">
        <f t="shared" si="299"/>
        <v/>
      </c>
      <c r="P300" s="10" t="str">
        <f t="shared" si="299"/>
        <v/>
      </c>
      <c r="Q300" s="10" t="str">
        <f t="shared" si="299"/>
        <v/>
      </c>
      <c r="R300" s="10" t="str">
        <f t="shared" si="299"/>
        <v/>
      </c>
      <c r="S300" s="10" t="str">
        <f t="shared" si="299"/>
        <v/>
      </c>
      <c r="T300" s="10" t="str">
        <f t="shared" si="299"/>
        <v/>
      </c>
      <c r="U300" s="10" t="str">
        <f t="shared" si="299"/>
        <v/>
      </c>
      <c r="V300" s="10" t="str">
        <f>IF(B300="","",IF(Controls!$B$7="Normal",Controls!$B$8+Controls!$B$9*SQRT(-2*LN(B300/2147483647))*COS(2*PI()*L300/2147483647),Controls!$B$8+(Controls!$B$9-Controls!$B$8)*B300/2147483647))</f>
        <v/>
      </c>
      <c r="W300" s="10" t="str">
        <f>IF(C300="","",IF(Controls!$B$7="Normal",Controls!$B$8+Controls!$B$9*SQRT(-2*LN(C300/2147483647))*COS(2*PI()*M300/2147483647),Controls!$B$8+(Controls!$B$9-Controls!$B$8)*C300/2147483647))</f>
        <v/>
      </c>
      <c r="X300" s="10" t="str">
        <f>IF(D300="","",IF(Controls!$B$7="Normal",Controls!$B$8+Controls!$B$9*SQRT(-2*LN(D300/2147483647))*COS(2*PI()*N300/2147483647),Controls!$B$8+(Controls!$B$9-Controls!$B$8)*D300/2147483647))</f>
        <v/>
      </c>
      <c r="Y300" s="10" t="str">
        <f>IF(E300="","",IF(Controls!$B$7="Normal",Controls!$B$8+Controls!$B$9*SQRT(-2*LN(E300/2147483647))*COS(2*PI()*O300/2147483647),Controls!$B$8+(Controls!$B$9-Controls!$B$8)*E300/2147483647))</f>
        <v/>
      </c>
      <c r="Z300" s="10" t="str">
        <f>IF(F300="","",IF(Controls!$B$7="Normal",Controls!$B$8+Controls!$B$9*SQRT(-2*LN(F300/2147483647))*COS(2*PI()*P300/2147483647),Controls!$B$8+(Controls!$B$9-Controls!$B$8)*F300/2147483647))</f>
        <v/>
      </c>
      <c r="AA300" s="10" t="str">
        <f>IF(G300="","",IF(Controls!$B$7="Normal",Controls!$B$8+Controls!$B$9*SQRT(-2*LN(G300/2147483647))*COS(2*PI()*Q300/2147483647),Controls!$B$8+(Controls!$B$9-Controls!$B$8)*G300/2147483647))</f>
        <v/>
      </c>
      <c r="AB300" s="10" t="str">
        <f>IF(H300="","",IF(Controls!$B$7="Normal",Controls!$B$8+Controls!$B$9*SQRT(-2*LN(H300/2147483647))*COS(2*PI()*R300/2147483647),Controls!$B$8+(Controls!$B$9-Controls!$B$8)*H300/2147483647))</f>
        <v/>
      </c>
      <c r="AC300" s="10" t="str">
        <f>IF(I300="","",IF(Controls!$B$7="Normal",Controls!$B$8+Controls!$B$9*SQRT(-2*LN(I300/2147483647))*COS(2*PI()*S300/2147483647),Controls!$B$8+(Controls!$B$9-Controls!$B$8)*I300/2147483647))</f>
        <v/>
      </c>
      <c r="AD300" s="10" t="str">
        <f>IF(J300="","",IF(Controls!$B$7="Normal",Controls!$B$8+Controls!$B$9*SQRT(-2*LN(J300/2147483647))*COS(2*PI()*T300/2147483647),Controls!$B$8+(Controls!$B$9-Controls!$B$8)*J300/2147483647))</f>
        <v/>
      </c>
      <c r="AE300" s="10" t="str">
        <f>IF(K300="","",IF(Controls!$B$7="Normal",Controls!$B$8+Controls!$B$9*SQRT(-2*LN(K300/2147483647))*COS(2*PI()*U300/2147483647),Controls!$B$8+(Controls!$B$9-Controls!$B$8)*K300/2147483647))</f>
        <v/>
      </c>
    </row>
    <row r="301" ht="21.0" customHeight="1">
      <c r="A301" s="7" t="str">
        <f>IF(300&lt;=Controls!$B$5,Controls!$B$4+299,"")</f>
        <v/>
      </c>
      <c r="B301" s="10" t="str">
        <f>IF(OR($A301="",1&gt;Controls!$B$6),"",MOD(L300*48271,2147483647))</f>
        <v/>
      </c>
      <c r="C301" s="10" t="str">
        <f>IF(OR($A301="",2&gt;Controls!$B$6),"",MOD(M300*48271,2147483647))</f>
        <v/>
      </c>
      <c r="D301" s="10" t="str">
        <f>IF(OR($A301="",3&gt;Controls!$B$6),"",MOD(N300*48271,2147483647))</f>
        <v/>
      </c>
      <c r="E301" s="10" t="str">
        <f>IF(OR($A301="",4&gt;Controls!$B$6),"",MOD(O300*48271,2147483647))</f>
        <v/>
      </c>
      <c r="F301" s="10" t="str">
        <f>IF(OR($A301="",5&gt;Controls!$B$6),"",MOD(P300*48271,2147483647))</f>
        <v/>
      </c>
      <c r="G301" s="10" t="str">
        <f>IF(OR($A301="",6&gt;Controls!$B$6),"",MOD(Q300*48271,2147483647))</f>
        <v/>
      </c>
      <c r="H301" s="10" t="str">
        <f>IF(OR($A301="",7&gt;Controls!$B$6),"",MOD(R300*48271,2147483647))</f>
        <v/>
      </c>
      <c r="I301" s="10" t="str">
        <f>IF(OR($A301="",8&gt;Controls!$B$6),"",MOD(S300*48271,2147483647))</f>
        <v/>
      </c>
      <c r="J301" s="10" t="str">
        <f>IF(OR($A301="",9&gt;Controls!$B$6),"",MOD(T300*48271,2147483647))</f>
        <v/>
      </c>
      <c r="K301" s="10" t="str">
        <f>IF(OR($A301="",10&gt;Controls!$B$6),"",MOD(U300*48271,2147483647))</f>
        <v/>
      </c>
      <c r="L301" s="10" t="str">
        <f t="shared" ref="L301:U301" si="300">IF(B301="","",MOD(B301*48271,2147483647))</f>
        <v/>
      </c>
      <c r="M301" s="10" t="str">
        <f t="shared" si="300"/>
        <v/>
      </c>
      <c r="N301" s="10" t="str">
        <f t="shared" si="300"/>
        <v/>
      </c>
      <c r="O301" s="10" t="str">
        <f t="shared" si="300"/>
        <v/>
      </c>
      <c r="P301" s="10" t="str">
        <f t="shared" si="300"/>
        <v/>
      </c>
      <c r="Q301" s="10" t="str">
        <f t="shared" si="300"/>
        <v/>
      </c>
      <c r="R301" s="10" t="str">
        <f t="shared" si="300"/>
        <v/>
      </c>
      <c r="S301" s="10" t="str">
        <f t="shared" si="300"/>
        <v/>
      </c>
      <c r="T301" s="10" t="str">
        <f t="shared" si="300"/>
        <v/>
      </c>
      <c r="U301" s="10" t="str">
        <f t="shared" si="300"/>
        <v/>
      </c>
      <c r="V301" s="10" t="str">
        <f>IF(B301="","",IF(Controls!$B$7="Normal",Controls!$B$8+Controls!$B$9*SQRT(-2*LN(B301/2147483647))*COS(2*PI()*L301/2147483647),Controls!$B$8+(Controls!$B$9-Controls!$B$8)*B301/2147483647))</f>
        <v/>
      </c>
      <c r="W301" s="10" t="str">
        <f>IF(C301="","",IF(Controls!$B$7="Normal",Controls!$B$8+Controls!$B$9*SQRT(-2*LN(C301/2147483647))*COS(2*PI()*M301/2147483647),Controls!$B$8+(Controls!$B$9-Controls!$B$8)*C301/2147483647))</f>
        <v/>
      </c>
      <c r="X301" s="10" t="str">
        <f>IF(D301="","",IF(Controls!$B$7="Normal",Controls!$B$8+Controls!$B$9*SQRT(-2*LN(D301/2147483647))*COS(2*PI()*N301/2147483647),Controls!$B$8+(Controls!$B$9-Controls!$B$8)*D301/2147483647))</f>
        <v/>
      </c>
      <c r="Y301" s="10" t="str">
        <f>IF(E301="","",IF(Controls!$B$7="Normal",Controls!$B$8+Controls!$B$9*SQRT(-2*LN(E301/2147483647))*COS(2*PI()*O301/2147483647),Controls!$B$8+(Controls!$B$9-Controls!$B$8)*E301/2147483647))</f>
        <v/>
      </c>
      <c r="Z301" s="10" t="str">
        <f>IF(F301="","",IF(Controls!$B$7="Normal",Controls!$B$8+Controls!$B$9*SQRT(-2*LN(F301/2147483647))*COS(2*PI()*P301/2147483647),Controls!$B$8+(Controls!$B$9-Controls!$B$8)*F301/2147483647))</f>
        <v/>
      </c>
      <c r="AA301" s="10" t="str">
        <f>IF(G301="","",IF(Controls!$B$7="Normal",Controls!$B$8+Controls!$B$9*SQRT(-2*LN(G301/2147483647))*COS(2*PI()*Q301/2147483647),Controls!$B$8+(Controls!$B$9-Controls!$B$8)*G301/2147483647))</f>
        <v/>
      </c>
      <c r="AB301" s="10" t="str">
        <f>IF(H301="","",IF(Controls!$B$7="Normal",Controls!$B$8+Controls!$B$9*SQRT(-2*LN(H301/2147483647))*COS(2*PI()*R301/2147483647),Controls!$B$8+(Controls!$B$9-Controls!$B$8)*H301/2147483647))</f>
        <v/>
      </c>
      <c r="AC301" s="10" t="str">
        <f>IF(I301="","",IF(Controls!$B$7="Normal",Controls!$B$8+Controls!$B$9*SQRT(-2*LN(I301/2147483647))*COS(2*PI()*S301/2147483647),Controls!$B$8+(Controls!$B$9-Controls!$B$8)*I301/2147483647))</f>
        <v/>
      </c>
      <c r="AD301" s="10" t="str">
        <f>IF(J301="","",IF(Controls!$B$7="Normal",Controls!$B$8+Controls!$B$9*SQRT(-2*LN(J301/2147483647))*COS(2*PI()*T301/2147483647),Controls!$B$8+(Controls!$B$9-Controls!$B$8)*J301/2147483647))</f>
        <v/>
      </c>
      <c r="AE301" s="10" t="str">
        <f>IF(K301="","",IF(Controls!$B$7="Normal",Controls!$B$8+Controls!$B$9*SQRT(-2*LN(K301/2147483647))*COS(2*PI()*U301/2147483647),Controls!$B$8+(Controls!$B$9-Controls!$B$8)*K301/2147483647))</f>
        <v/>
      </c>
    </row>
    <row r="302" ht="21.0" customHeight="1">
      <c r="A302" s="7" t="str">
        <f>IF(301&lt;=Controls!$B$5,Controls!$B$4+300,"")</f>
        <v/>
      </c>
      <c r="B302" s="10" t="str">
        <f>IF(OR($A302="",1&gt;Controls!$B$6),"",MOD(L301*48271,2147483647))</f>
        <v/>
      </c>
      <c r="C302" s="10" t="str">
        <f>IF(OR($A302="",2&gt;Controls!$B$6),"",MOD(M301*48271,2147483647))</f>
        <v/>
      </c>
      <c r="D302" s="10" t="str">
        <f>IF(OR($A302="",3&gt;Controls!$B$6),"",MOD(N301*48271,2147483647))</f>
        <v/>
      </c>
      <c r="E302" s="10" t="str">
        <f>IF(OR($A302="",4&gt;Controls!$B$6),"",MOD(O301*48271,2147483647))</f>
        <v/>
      </c>
      <c r="F302" s="10" t="str">
        <f>IF(OR($A302="",5&gt;Controls!$B$6),"",MOD(P301*48271,2147483647))</f>
        <v/>
      </c>
      <c r="G302" s="10" t="str">
        <f>IF(OR($A302="",6&gt;Controls!$B$6),"",MOD(Q301*48271,2147483647))</f>
        <v/>
      </c>
      <c r="H302" s="10" t="str">
        <f>IF(OR($A302="",7&gt;Controls!$B$6),"",MOD(R301*48271,2147483647))</f>
        <v/>
      </c>
      <c r="I302" s="10" t="str">
        <f>IF(OR($A302="",8&gt;Controls!$B$6),"",MOD(S301*48271,2147483647))</f>
        <v/>
      </c>
      <c r="J302" s="10" t="str">
        <f>IF(OR($A302="",9&gt;Controls!$B$6),"",MOD(T301*48271,2147483647))</f>
        <v/>
      </c>
      <c r="K302" s="10" t="str">
        <f>IF(OR($A302="",10&gt;Controls!$B$6),"",MOD(U301*48271,2147483647))</f>
        <v/>
      </c>
      <c r="L302" s="10" t="str">
        <f t="shared" ref="L302:U302" si="301">IF(B302="","",MOD(B302*48271,2147483647))</f>
        <v/>
      </c>
      <c r="M302" s="10" t="str">
        <f t="shared" si="301"/>
        <v/>
      </c>
      <c r="N302" s="10" t="str">
        <f t="shared" si="301"/>
        <v/>
      </c>
      <c r="O302" s="10" t="str">
        <f t="shared" si="301"/>
        <v/>
      </c>
      <c r="P302" s="10" t="str">
        <f t="shared" si="301"/>
        <v/>
      </c>
      <c r="Q302" s="10" t="str">
        <f t="shared" si="301"/>
        <v/>
      </c>
      <c r="R302" s="10" t="str">
        <f t="shared" si="301"/>
        <v/>
      </c>
      <c r="S302" s="10" t="str">
        <f t="shared" si="301"/>
        <v/>
      </c>
      <c r="T302" s="10" t="str">
        <f t="shared" si="301"/>
        <v/>
      </c>
      <c r="U302" s="10" t="str">
        <f t="shared" si="301"/>
        <v/>
      </c>
      <c r="V302" s="10" t="str">
        <f>IF(B302="","",IF(Controls!$B$7="Normal",Controls!$B$8+Controls!$B$9*SQRT(-2*LN(B302/2147483647))*COS(2*PI()*L302/2147483647),Controls!$B$8+(Controls!$B$9-Controls!$B$8)*B302/2147483647))</f>
        <v/>
      </c>
      <c r="W302" s="10" t="str">
        <f>IF(C302="","",IF(Controls!$B$7="Normal",Controls!$B$8+Controls!$B$9*SQRT(-2*LN(C302/2147483647))*COS(2*PI()*M302/2147483647),Controls!$B$8+(Controls!$B$9-Controls!$B$8)*C302/2147483647))</f>
        <v/>
      </c>
      <c r="X302" s="10" t="str">
        <f>IF(D302="","",IF(Controls!$B$7="Normal",Controls!$B$8+Controls!$B$9*SQRT(-2*LN(D302/2147483647))*COS(2*PI()*N302/2147483647),Controls!$B$8+(Controls!$B$9-Controls!$B$8)*D302/2147483647))</f>
        <v/>
      </c>
      <c r="Y302" s="10" t="str">
        <f>IF(E302="","",IF(Controls!$B$7="Normal",Controls!$B$8+Controls!$B$9*SQRT(-2*LN(E302/2147483647))*COS(2*PI()*O302/2147483647),Controls!$B$8+(Controls!$B$9-Controls!$B$8)*E302/2147483647))</f>
        <v/>
      </c>
      <c r="Z302" s="10" t="str">
        <f>IF(F302="","",IF(Controls!$B$7="Normal",Controls!$B$8+Controls!$B$9*SQRT(-2*LN(F302/2147483647))*COS(2*PI()*P302/2147483647),Controls!$B$8+(Controls!$B$9-Controls!$B$8)*F302/2147483647))</f>
        <v/>
      </c>
      <c r="AA302" s="10" t="str">
        <f>IF(G302="","",IF(Controls!$B$7="Normal",Controls!$B$8+Controls!$B$9*SQRT(-2*LN(G302/2147483647))*COS(2*PI()*Q302/2147483647),Controls!$B$8+(Controls!$B$9-Controls!$B$8)*G302/2147483647))</f>
        <v/>
      </c>
      <c r="AB302" s="10" t="str">
        <f>IF(H302="","",IF(Controls!$B$7="Normal",Controls!$B$8+Controls!$B$9*SQRT(-2*LN(H302/2147483647))*COS(2*PI()*R302/2147483647),Controls!$B$8+(Controls!$B$9-Controls!$B$8)*H302/2147483647))</f>
        <v/>
      </c>
      <c r="AC302" s="10" t="str">
        <f>IF(I302="","",IF(Controls!$B$7="Normal",Controls!$B$8+Controls!$B$9*SQRT(-2*LN(I302/2147483647))*COS(2*PI()*S302/2147483647),Controls!$B$8+(Controls!$B$9-Controls!$B$8)*I302/2147483647))</f>
        <v/>
      </c>
      <c r="AD302" s="10" t="str">
        <f>IF(J302="","",IF(Controls!$B$7="Normal",Controls!$B$8+Controls!$B$9*SQRT(-2*LN(J302/2147483647))*COS(2*PI()*T302/2147483647),Controls!$B$8+(Controls!$B$9-Controls!$B$8)*J302/2147483647))</f>
        <v/>
      </c>
      <c r="AE302" s="10" t="str">
        <f>IF(K302="","",IF(Controls!$B$7="Normal",Controls!$B$8+Controls!$B$9*SQRT(-2*LN(K302/2147483647))*COS(2*PI()*U302/2147483647),Controls!$B$8+(Controls!$B$9-Controls!$B$8)*K302/2147483647))</f>
        <v/>
      </c>
    </row>
    <row r="303" ht="21.0" customHeight="1">
      <c r="A303" s="7" t="str">
        <f>IF(302&lt;=Controls!$B$5,Controls!$B$4+301,"")</f>
        <v/>
      </c>
      <c r="B303" s="10" t="str">
        <f>IF(OR($A303="",1&gt;Controls!$B$6),"",MOD(L302*48271,2147483647))</f>
        <v/>
      </c>
      <c r="C303" s="10" t="str">
        <f>IF(OR($A303="",2&gt;Controls!$B$6),"",MOD(M302*48271,2147483647))</f>
        <v/>
      </c>
      <c r="D303" s="10" t="str">
        <f>IF(OR($A303="",3&gt;Controls!$B$6),"",MOD(N302*48271,2147483647))</f>
        <v/>
      </c>
      <c r="E303" s="10" t="str">
        <f>IF(OR($A303="",4&gt;Controls!$B$6),"",MOD(O302*48271,2147483647))</f>
        <v/>
      </c>
      <c r="F303" s="10" t="str">
        <f>IF(OR($A303="",5&gt;Controls!$B$6),"",MOD(P302*48271,2147483647))</f>
        <v/>
      </c>
      <c r="G303" s="10" t="str">
        <f>IF(OR($A303="",6&gt;Controls!$B$6),"",MOD(Q302*48271,2147483647))</f>
        <v/>
      </c>
      <c r="H303" s="10" t="str">
        <f>IF(OR($A303="",7&gt;Controls!$B$6),"",MOD(R302*48271,2147483647))</f>
        <v/>
      </c>
      <c r="I303" s="10" t="str">
        <f>IF(OR($A303="",8&gt;Controls!$B$6),"",MOD(S302*48271,2147483647))</f>
        <v/>
      </c>
      <c r="J303" s="10" t="str">
        <f>IF(OR($A303="",9&gt;Controls!$B$6),"",MOD(T302*48271,2147483647))</f>
        <v/>
      </c>
      <c r="K303" s="10" t="str">
        <f>IF(OR($A303="",10&gt;Controls!$B$6),"",MOD(U302*48271,2147483647))</f>
        <v/>
      </c>
      <c r="L303" s="10" t="str">
        <f t="shared" ref="L303:U303" si="302">IF(B303="","",MOD(B303*48271,2147483647))</f>
        <v/>
      </c>
      <c r="M303" s="10" t="str">
        <f t="shared" si="302"/>
        <v/>
      </c>
      <c r="N303" s="10" t="str">
        <f t="shared" si="302"/>
        <v/>
      </c>
      <c r="O303" s="10" t="str">
        <f t="shared" si="302"/>
        <v/>
      </c>
      <c r="P303" s="10" t="str">
        <f t="shared" si="302"/>
        <v/>
      </c>
      <c r="Q303" s="10" t="str">
        <f t="shared" si="302"/>
        <v/>
      </c>
      <c r="R303" s="10" t="str">
        <f t="shared" si="302"/>
        <v/>
      </c>
      <c r="S303" s="10" t="str">
        <f t="shared" si="302"/>
        <v/>
      </c>
      <c r="T303" s="10" t="str">
        <f t="shared" si="302"/>
        <v/>
      </c>
      <c r="U303" s="10" t="str">
        <f t="shared" si="302"/>
        <v/>
      </c>
      <c r="V303" s="10" t="str">
        <f>IF(B303="","",IF(Controls!$B$7="Normal",Controls!$B$8+Controls!$B$9*SQRT(-2*LN(B303/2147483647))*COS(2*PI()*L303/2147483647),Controls!$B$8+(Controls!$B$9-Controls!$B$8)*B303/2147483647))</f>
        <v/>
      </c>
      <c r="W303" s="10" t="str">
        <f>IF(C303="","",IF(Controls!$B$7="Normal",Controls!$B$8+Controls!$B$9*SQRT(-2*LN(C303/2147483647))*COS(2*PI()*M303/2147483647),Controls!$B$8+(Controls!$B$9-Controls!$B$8)*C303/2147483647))</f>
        <v/>
      </c>
      <c r="X303" s="10" t="str">
        <f>IF(D303="","",IF(Controls!$B$7="Normal",Controls!$B$8+Controls!$B$9*SQRT(-2*LN(D303/2147483647))*COS(2*PI()*N303/2147483647),Controls!$B$8+(Controls!$B$9-Controls!$B$8)*D303/2147483647))</f>
        <v/>
      </c>
      <c r="Y303" s="10" t="str">
        <f>IF(E303="","",IF(Controls!$B$7="Normal",Controls!$B$8+Controls!$B$9*SQRT(-2*LN(E303/2147483647))*COS(2*PI()*O303/2147483647),Controls!$B$8+(Controls!$B$9-Controls!$B$8)*E303/2147483647))</f>
        <v/>
      </c>
      <c r="Z303" s="10" t="str">
        <f>IF(F303="","",IF(Controls!$B$7="Normal",Controls!$B$8+Controls!$B$9*SQRT(-2*LN(F303/2147483647))*COS(2*PI()*P303/2147483647),Controls!$B$8+(Controls!$B$9-Controls!$B$8)*F303/2147483647))</f>
        <v/>
      </c>
      <c r="AA303" s="10" t="str">
        <f>IF(G303="","",IF(Controls!$B$7="Normal",Controls!$B$8+Controls!$B$9*SQRT(-2*LN(G303/2147483647))*COS(2*PI()*Q303/2147483647),Controls!$B$8+(Controls!$B$9-Controls!$B$8)*G303/2147483647))</f>
        <v/>
      </c>
      <c r="AB303" s="10" t="str">
        <f>IF(H303="","",IF(Controls!$B$7="Normal",Controls!$B$8+Controls!$B$9*SQRT(-2*LN(H303/2147483647))*COS(2*PI()*R303/2147483647),Controls!$B$8+(Controls!$B$9-Controls!$B$8)*H303/2147483647))</f>
        <v/>
      </c>
      <c r="AC303" s="10" t="str">
        <f>IF(I303="","",IF(Controls!$B$7="Normal",Controls!$B$8+Controls!$B$9*SQRT(-2*LN(I303/2147483647))*COS(2*PI()*S303/2147483647),Controls!$B$8+(Controls!$B$9-Controls!$B$8)*I303/2147483647))</f>
        <v/>
      </c>
      <c r="AD303" s="10" t="str">
        <f>IF(J303="","",IF(Controls!$B$7="Normal",Controls!$B$8+Controls!$B$9*SQRT(-2*LN(J303/2147483647))*COS(2*PI()*T303/2147483647),Controls!$B$8+(Controls!$B$9-Controls!$B$8)*J303/2147483647))</f>
        <v/>
      </c>
      <c r="AE303" s="10" t="str">
        <f>IF(K303="","",IF(Controls!$B$7="Normal",Controls!$B$8+Controls!$B$9*SQRT(-2*LN(K303/2147483647))*COS(2*PI()*U303/2147483647),Controls!$B$8+(Controls!$B$9-Controls!$B$8)*K303/2147483647))</f>
        <v/>
      </c>
    </row>
    <row r="304" ht="21.0" customHeight="1">
      <c r="A304" s="7" t="str">
        <f>IF(303&lt;=Controls!$B$5,Controls!$B$4+302,"")</f>
        <v/>
      </c>
      <c r="B304" s="10" t="str">
        <f>IF(OR($A304="",1&gt;Controls!$B$6),"",MOD(L303*48271,2147483647))</f>
        <v/>
      </c>
      <c r="C304" s="10" t="str">
        <f>IF(OR($A304="",2&gt;Controls!$B$6),"",MOD(M303*48271,2147483647))</f>
        <v/>
      </c>
      <c r="D304" s="10" t="str">
        <f>IF(OR($A304="",3&gt;Controls!$B$6),"",MOD(N303*48271,2147483647))</f>
        <v/>
      </c>
      <c r="E304" s="10" t="str">
        <f>IF(OR($A304="",4&gt;Controls!$B$6),"",MOD(O303*48271,2147483647))</f>
        <v/>
      </c>
      <c r="F304" s="10" t="str">
        <f>IF(OR($A304="",5&gt;Controls!$B$6),"",MOD(P303*48271,2147483647))</f>
        <v/>
      </c>
      <c r="G304" s="10" t="str">
        <f>IF(OR($A304="",6&gt;Controls!$B$6),"",MOD(Q303*48271,2147483647))</f>
        <v/>
      </c>
      <c r="H304" s="10" t="str">
        <f>IF(OR($A304="",7&gt;Controls!$B$6),"",MOD(R303*48271,2147483647))</f>
        <v/>
      </c>
      <c r="I304" s="10" t="str">
        <f>IF(OR($A304="",8&gt;Controls!$B$6),"",MOD(S303*48271,2147483647))</f>
        <v/>
      </c>
      <c r="J304" s="10" t="str">
        <f>IF(OR($A304="",9&gt;Controls!$B$6),"",MOD(T303*48271,2147483647))</f>
        <v/>
      </c>
      <c r="K304" s="10" t="str">
        <f>IF(OR($A304="",10&gt;Controls!$B$6),"",MOD(U303*48271,2147483647))</f>
        <v/>
      </c>
      <c r="L304" s="10" t="str">
        <f t="shared" ref="L304:U304" si="303">IF(B304="","",MOD(B304*48271,2147483647))</f>
        <v/>
      </c>
      <c r="M304" s="10" t="str">
        <f t="shared" si="303"/>
        <v/>
      </c>
      <c r="N304" s="10" t="str">
        <f t="shared" si="303"/>
        <v/>
      </c>
      <c r="O304" s="10" t="str">
        <f t="shared" si="303"/>
        <v/>
      </c>
      <c r="P304" s="10" t="str">
        <f t="shared" si="303"/>
        <v/>
      </c>
      <c r="Q304" s="10" t="str">
        <f t="shared" si="303"/>
        <v/>
      </c>
      <c r="R304" s="10" t="str">
        <f t="shared" si="303"/>
        <v/>
      </c>
      <c r="S304" s="10" t="str">
        <f t="shared" si="303"/>
        <v/>
      </c>
      <c r="T304" s="10" t="str">
        <f t="shared" si="303"/>
        <v/>
      </c>
      <c r="U304" s="10" t="str">
        <f t="shared" si="303"/>
        <v/>
      </c>
      <c r="V304" s="10" t="str">
        <f>IF(B304="","",IF(Controls!$B$7="Normal",Controls!$B$8+Controls!$B$9*SQRT(-2*LN(B304/2147483647))*COS(2*PI()*L304/2147483647),Controls!$B$8+(Controls!$B$9-Controls!$B$8)*B304/2147483647))</f>
        <v/>
      </c>
      <c r="W304" s="10" t="str">
        <f>IF(C304="","",IF(Controls!$B$7="Normal",Controls!$B$8+Controls!$B$9*SQRT(-2*LN(C304/2147483647))*COS(2*PI()*M304/2147483647),Controls!$B$8+(Controls!$B$9-Controls!$B$8)*C304/2147483647))</f>
        <v/>
      </c>
      <c r="X304" s="10" t="str">
        <f>IF(D304="","",IF(Controls!$B$7="Normal",Controls!$B$8+Controls!$B$9*SQRT(-2*LN(D304/2147483647))*COS(2*PI()*N304/2147483647),Controls!$B$8+(Controls!$B$9-Controls!$B$8)*D304/2147483647))</f>
        <v/>
      </c>
      <c r="Y304" s="10" t="str">
        <f>IF(E304="","",IF(Controls!$B$7="Normal",Controls!$B$8+Controls!$B$9*SQRT(-2*LN(E304/2147483647))*COS(2*PI()*O304/2147483647),Controls!$B$8+(Controls!$B$9-Controls!$B$8)*E304/2147483647))</f>
        <v/>
      </c>
      <c r="Z304" s="10" t="str">
        <f>IF(F304="","",IF(Controls!$B$7="Normal",Controls!$B$8+Controls!$B$9*SQRT(-2*LN(F304/2147483647))*COS(2*PI()*P304/2147483647),Controls!$B$8+(Controls!$B$9-Controls!$B$8)*F304/2147483647))</f>
        <v/>
      </c>
      <c r="AA304" s="10" t="str">
        <f>IF(G304="","",IF(Controls!$B$7="Normal",Controls!$B$8+Controls!$B$9*SQRT(-2*LN(G304/2147483647))*COS(2*PI()*Q304/2147483647),Controls!$B$8+(Controls!$B$9-Controls!$B$8)*G304/2147483647))</f>
        <v/>
      </c>
      <c r="AB304" s="10" t="str">
        <f>IF(H304="","",IF(Controls!$B$7="Normal",Controls!$B$8+Controls!$B$9*SQRT(-2*LN(H304/2147483647))*COS(2*PI()*R304/2147483647),Controls!$B$8+(Controls!$B$9-Controls!$B$8)*H304/2147483647))</f>
        <v/>
      </c>
      <c r="AC304" s="10" t="str">
        <f>IF(I304="","",IF(Controls!$B$7="Normal",Controls!$B$8+Controls!$B$9*SQRT(-2*LN(I304/2147483647))*COS(2*PI()*S304/2147483647),Controls!$B$8+(Controls!$B$9-Controls!$B$8)*I304/2147483647))</f>
        <v/>
      </c>
      <c r="AD304" s="10" t="str">
        <f>IF(J304="","",IF(Controls!$B$7="Normal",Controls!$B$8+Controls!$B$9*SQRT(-2*LN(J304/2147483647))*COS(2*PI()*T304/2147483647),Controls!$B$8+(Controls!$B$9-Controls!$B$8)*J304/2147483647))</f>
        <v/>
      </c>
      <c r="AE304" s="10" t="str">
        <f>IF(K304="","",IF(Controls!$B$7="Normal",Controls!$B$8+Controls!$B$9*SQRT(-2*LN(K304/2147483647))*COS(2*PI()*U304/2147483647),Controls!$B$8+(Controls!$B$9-Controls!$B$8)*K304/2147483647))</f>
        <v/>
      </c>
    </row>
    <row r="305" ht="21.0" customHeight="1">
      <c r="A305" s="7" t="str">
        <f>IF(304&lt;=Controls!$B$5,Controls!$B$4+303,"")</f>
        <v/>
      </c>
      <c r="B305" s="10" t="str">
        <f>IF(OR($A305="",1&gt;Controls!$B$6),"",MOD(L304*48271,2147483647))</f>
        <v/>
      </c>
      <c r="C305" s="10" t="str">
        <f>IF(OR($A305="",2&gt;Controls!$B$6),"",MOD(M304*48271,2147483647))</f>
        <v/>
      </c>
      <c r="D305" s="10" t="str">
        <f>IF(OR($A305="",3&gt;Controls!$B$6),"",MOD(N304*48271,2147483647))</f>
        <v/>
      </c>
      <c r="E305" s="10" t="str">
        <f>IF(OR($A305="",4&gt;Controls!$B$6),"",MOD(O304*48271,2147483647))</f>
        <v/>
      </c>
      <c r="F305" s="10" t="str">
        <f>IF(OR($A305="",5&gt;Controls!$B$6),"",MOD(P304*48271,2147483647))</f>
        <v/>
      </c>
      <c r="G305" s="10" t="str">
        <f>IF(OR($A305="",6&gt;Controls!$B$6),"",MOD(Q304*48271,2147483647))</f>
        <v/>
      </c>
      <c r="H305" s="10" t="str">
        <f>IF(OR($A305="",7&gt;Controls!$B$6),"",MOD(R304*48271,2147483647))</f>
        <v/>
      </c>
      <c r="I305" s="10" t="str">
        <f>IF(OR($A305="",8&gt;Controls!$B$6),"",MOD(S304*48271,2147483647))</f>
        <v/>
      </c>
      <c r="J305" s="10" t="str">
        <f>IF(OR($A305="",9&gt;Controls!$B$6),"",MOD(T304*48271,2147483647))</f>
        <v/>
      </c>
      <c r="K305" s="10" t="str">
        <f>IF(OR($A305="",10&gt;Controls!$B$6),"",MOD(U304*48271,2147483647))</f>
        <v/>
      </c>
      <c r="L305" s="10" t="str">
        <f t="shared" ref="L305:U305" si="304">IF(B305="","",MOD(B305*48271,2147483647))</f>
        <v/>
      </c>
      <c r="M305" s="10" t="str">
        <f t="shared" si="304"/>
        <v/>
      </c>
      <c r="N305" s="10" t="str">
        <f t="shared" si="304"/>
        <v/>
      </c>
      <c r="O305" s="10" t="str">
        <f t="shared" si="304"/>
        <v/>
      </c>
      <c r="P305" s="10" t="str">
        <f t="shared" si="304"/>
        <v/>
      </c>
      <c r="Q305" s="10" t="str">
        <f t="shared" si="304"/>
        <v/>
      </c>
      <c r="R305" s="10" t="str">
        <f t="shared" si="304"/>
        <v/>
      </c>
      <c r="S305" s="10" t="str">
        <f t="shared" si="304"/>
        <v/>
      </c>
      <c r="T305" s="10" t="str">
        <f t="shared" si="304"/>
        <v/>
      </c>
      <c r="U305" s="10" t="str">
        <f t="shared" si="304"/>
        <v/>
      </c>
      <c r="V305" s="10" t="str">
        <f>IF(B305="","",IF(Controls!$B$7="Normal",Controls!$B$8+Controls!$B$9*SQRT(-2*LN(B305/2147483647))*COS(2*PI()*L305/2147483647),Controls!$B$8+(Controls!$B$9-Controls!$B$8)*B305/2147483647))</f>
        <v/>
      </c>
      <c r="W305" s="10" t="str">
        <f>IF(C305="","",IF(Controls!$B$7="Normal",Controls!$B$8+Controls!$B$9*SQRT(-2*LN(C305/2147483647))*COS(2*PI()*M305/2147483647),Controls!$B$8+(Controls!$B$9-Controls!$B$8)*C305/2147483647))</f>
        <v/>
      </c>
      <c r="X305" s="10" t="str">
        <f>IF(D305="","",IF(Controls!$B$7="Normal",Controls!$B$8+Controls!$B$9*SQRT(-2*LN(D305/2147483647))*COS(2*PI()*N305/2147483647),Controls!$B$8+(Controls!$B$9-Controls!$B$8)*D305/2147483647))</f>
        <v/>
      </c>
      <c r="Y305" s="10" t="str">
        <f>IF(E305="","",IF(Controls!$B$7="Normal",Controls!$B$8+Controls!$B$9*SQRT(-2*LN(E305/2147483647))*COS(2*PI()*O305/2147483647),Controls!$B$8+(Controls!$B$9-Controls!$B$8)*E305/2147483647))</f>
        <v/>
      </c>
      <c r="Z305" s="10" t="str">
        <f>IF(F305="","",IF(Controls!$B$7="Normal",Controls!$B$8+Controls!$B$9*SQRT(-2*LN(F305/2147483647))*COS(2*PI()*P305/2147483647),Controls!$B$8+(Controls!$B$9-Controls!$B$8)*F305/2147483647))</f>
        <v/>
      </c>
      <c r="AA305" s="10" t="str">
        <f>IF(G305="","",IF(Controls!$B$7="Normal",Controls!$B$8+Controls!$B$9*SQRT(-2*LN(G305/2147483647))*COS(2*PI()*Q305/2147483647),Controls!$B$8+(Controls!$B$9-Controls!$B$8)*G305/2147483647))</f>
        <v/>
      </c>
      <c r="AB305" s="10" t="str">
        <f>IF(H305="","",IF(Controls!$B$7="Normal",Controls!$B$8+Controls!$B$9*SQRT(-2*LN(H305/2147483647))*COS(2*PI()*R305/2147483647),Controls!$B$8+(Controls!$B$9-Controls!$B$8)*H305/2147483647))</f>
        <v/>
      </c>
      <c r="AC305" s="10" t="str">
        <f>IF(I305="","",IF(Controls!$B$7="Normal",Controls!$B$8+Controls!$B$9*SQRT(-2*LN(I305/2147483647))*COS(2*PI()*S305/2147483647),Controls!$B$8+(Controls!$B$9-Controls!$B$8)*I305/2147483647))</f>
        <v/>
      </c>
      <c r="AD305" s="10" t="str">
        <f>IF(J305="","",IF(Controls!$B$7="Normal",Controls!$B$8+Controls!$B$9*SQRT(-2*LN(J305/2147483647))*COS(2*PI()*T305/2147483647),Controls!$B$8+(Controls!$B$9-Controls!$B$8)*J305/2147483647))</f>
        <v/>
      </c>
      <c r="AE305" s="10" t="str">
        <f>IF(K305="","",IF(Controls!$B$7="Normal",Controls!$B$8+Controls!$B$9*SQRT(-2*LN(K305/2147483647))*COS(2*PI()*U305/2147483647),Controls!$B$8+(Controls!$B$9-Controls!$B$8)*K305/2147483647))</f>
        <v/>
      </c>
    </row>
    <row r="306" ht="21.0" customHeight="1">
      <c r="A306" s="7" t="str">
        <f>IF(305&lt;=Controls!$B$5,Controls!$B$4+304,"")</f>
        <v/>
      </c>
      <c r="B306" s="10" t="str">
        <f>IF(OR($A306="",1&gt;Controls!$B$6),"",MOD(L305*48271,2147483647))</f>
        <v/>
      </c>
      <c r="C306" s="10" t="str">
        <f>IF(OR($A306="",2&gt;Controls!$B$6),"",MOD(M305*48271,2147483647))</f>
        <v/>
      </c>
      <c r="D306" s="10" t="str">
        <f>IF(OR($A306="",3&gt;Controls!$B$6),"",MOD(N305*48271,2147483647))</f>
        <v/>
      </c>
      <c r="E306" s="10" t="str">
        <f>IF(OR($A306="",4&gt;Controls!$B$6),"",MOD(O305*48271,2147483647))</f>
        <v/>
      </c>
      <c r="F306" s="10" t="str">
        <f>IF(OR($A306="",5&gt;Controls!$B$6),"",MOD(P305*48271,2147483647))</f>
        <v/>
      </c>
      <c r="G306" s="10" t="str">
        <f>IF(OR($A306="",6&gt;Controls!$B$6),"",MOD(Q305*48271,2147483647))</f>
        <v/>
      </c>
      <c r="H306" s="10" t="str">
        <f>IF(OR($A306="",7&gt;Controls!$B$6),"",MOD(R305*48271,2147483647))</f>
        <v/>
      </c>
      <c r="I306" s="10" t="str">
        <f>IF(OR($A306="",8&gt;Controls!$B$6),"",MOD(S305*48271,2147483647))</f>
        <v/>
      </c>
      <c r="J306" s="10" t="str">
        <f>IF(OR($A306="",9&gt;Controls!$B$6),"",MOD(T305*48271,2147483647))</f>
        <v/>
      </c>
      <c r="K306" s="10" t="str">
        <f>IF(OR($A306="",10&gt;Controls!$B$6),"",MOD(U305*48271,2147483647))</f>
        <v/>
      </c>
      <c r="L306" s="10" t="str">
        <f t="shared" ref="L306:U306" si="305">IF(B306="","",MOD(B306*48271,2147483647))</f>
        <v/>
      </c>
      <c r="M306" s="10" t="str">
        <f t="shared" si="305"/>
        <v/>
      </c>
      <c r="N306" s="10" t="str">
        <f t="shared" si="305"/>
        <v/>
      </c>
      <c r="O306" s="10" t="str">
        <f t="shared" si="305"/>
        <v/>
      </c>
      <c r="P306" s="10" t="str">
        <f t="shared" si="305"/>
        <v/>
      </c>
      <c r="Q306" s="10" t="str">
        <f t="shared" si="305"/>
        <v/>
      </c>
      <c r="R306" s="10" t="str">
        <f t="shared" si="305"/>
        <v/>
      </c>
      <c r="S306" s="10" t="str">
        <f t="shared" si="305"/>
        <v/>
      </c>
      <c r="T306" s="10" t="str">
        <f t="shared" si="305"/>
        <v/>
      </c>
      <c r="U306" s="10" t="str">
        <f t="shared" si="305"/>
        <v/>
      </c>
      <c r="V306" s="10" t="str">
        <f>IF(B306="","",IF(Controls!$B$7="Normal",Controls!$B$8+Controls!$B$9*SQRT(-2*LN(B306/2147483647))*COS(2*PI()*L306/2147483647),Controls!$B$8+(Controls!$B$9-Controls!$B$8)*B306/2147483647))</f>
        <v/>
      </c>
      <c r="W306" s="10" t="str">
        <f>IF(C306="","",IF(Controls!$B$7="Normal",Controls!$B$8+Controls!$B$9*SQRT(-2*LN(C306/2147483647))*COS(2*PI()*M306/2147483647),Controls!$B$8+(Controls!$B$9-Controls!$B$8)*C306/2147483647))</f>
        <v/>
      </c>
      <c r="X306" s="10" t="str">
        <f>IF(D306="","",IF(Controls!$B$7="Normal",Controls!$B$8+Controls!$B$9*SQRT(-2*LN(D306/2147483647))*COS(2*PI()*N306/2147483647),Controls!$B$8+(Controls!$B$9-Controls!$B$8)*D306/2147483647))</f>
        <v/>
      </c>
      <c r="Y306" s="10" t="str">
        <f>IF(E306="","",IF(Controls!$B$7="Normal",Controls!$B$8+Controls!$B$9*SQRT(-2*LN(E306/2147483647))*COS(2*PI()*O306/2147483647),Controls!$B$8+(Controls!$B$9-Controls!$B$8)*E306/2147483647))</f>
        <v/>
      </c>
      <c r="Z306" s="10" t="str">
        <f>IF(F306="","",IF(Controls!$B$7="Normal",Controls!$B$8+Controls!$B$9*SQRT(-2*LN(F306/2147483647))*COS(2*PI()*P306/2147483647),Controls!$B$8+(Controls!$B$9-Controls!$B$8)*F306/2147483647))</f>
        <v/>
      </c>
      <c r="AA306" s="10" t="str">
        <f>IF(G306="","",IF(Controls!$B$7="Normal",Controls!$B$8+Controls!$B$9*SQRT(-2*LN(G306/2147483647))*COS(2*PI()*Q306/2147483647),Controls!$B$8+(Controls!$B$9-Controls!$B$8)*G306/2147483647))</f>
        <v/>
      </c>
      <c r="AB306" s="10" t="str">
        <f>IF(H306="","",IF(Controls!$B$7="Normal",Controls!$B$8+Controls!$B$9*SQRT(-2*LN(H306/2147483647))*COS(2*PI()*R306/2147483647),Controls!$B$8+(Controls!$B$9-Controls!$B$8)*H306/2147483647))</f>
        <v/>
      </c>
      <c r="AC306" s="10" t="str">
        <f>IF(I306="","",IF(Controls!$B$7="Normal",Controls!$B$8+Controls!$B$9*SQRT(-2*LN(I306/2147483647))*COS(2*PI()*S306/2147483647),Controls!$B$8+(Controls!$B$9-Controls!$B$8)*I306/2147483647))</f>
        <v/>
      </c>
      <c r="AD306" s="10" t="str">
        <f>IF(J306="","",IF(Controls!$B$7="Normal",Controls!$B$8+Controls!$B$9*SQRT(-2*LN(J306/2147483647))*COS(2*PI()*T306/2147483647),Controls!$B$8+(Controls!$B$9-Controls!$B$8)*J306/2147483647))</f>
        <v/>
      </c>
      <c r="AE306" s="10" t="str">
        <f>IF(K306="","",IF(Controls!$B$7="Normal",Controls!$B$8+Controls!$B$9*SQRT(-2*LN(K306/2147483647))*COS(2*PI()*U306/2147483647),Controls!$B$8+(Controls!$B$9-Controls!$B$8)*K306/2147483647))</f>
        <v/>
      </c>
    </row>
    <row r="307" ht="21.0" customHeight="1">
      <c r="A307" s="7" t="str">
        <f>IF(306&lt;=Controls!$B$5,Controls!$B$4+305,"")</f>
        <v/>
      </c>
      <c r="B307" s="10" t="str">
        <f>IF(OR($A307="",1&gt;Controls!$B$6),"",MOD(L306*48271,2147483647))</f>
        <v/>
      </c>
      <c r="C307" s="10" t="str">
        <f>IF(OR($A307="",2&gt;Controls!$B$6),"",MOD(M306*48271,2147483647))</f>
        <v/>
      </c>
      <c r="D307" s="10" t="str">
        <f>IF(OR($A307="",3&gt;Controls!$B$6),"",MOD(N306*48271,2147483647))</f>
        <v/>
      </c>
      <c r="E307" s="10" t="str">
        <f>IF(OR($A307="",4&gt;Controls!$B$6),"",MOD(O306*48271,2147483647))</f>
        <v/>
      </c>
      <c r="F307" s="10" t="str">
        <f>IF(OR($A307="",5&gt;Controls!$B$6),"",MOD(P306*48271,2147483647))</f>
        <v/>
      </c>
      <c r="G307" s="10" t="str">
        <f>IF(OR($A307="",6&gt;Controls!$B$6),"",MOD(Q306*48271,2147483647))</f>
        <v/>
      </c>
      <c r="H307" s="10" t="str">
        <f>IF(OR($A307="",7&gt;Controls!$B$6),"",MOD(R306*48271,2147483647))</f>
        <v/>
      </c>
      <c r="I307" s="10" t="str">
        <f>IF(OR($A307="",8&gt;Controls!$B$6),"",MOD(S306*48271,2147483647))</f>
        <v/>
      </c>
      <c r="J307" s="10" t="str">
        <f>IF(OR($A307="",9&gt;Controls!$B$6),"",MOD(T306*48271,2147483647))</f>
        <v/>
      </c>
      <c r="K307" s="10" t="str">
        <f>IF(OR($A307="",10&gt;Controls!$B$6),"",MOD(U306*48271,2147483647))</f>
        <v/>
      </c>
      <c r="L307" s="10" t="str">
        <f t="shared" ref="L307:U307" si="306">IF(B307="","",MOD(B307*48271,2147483647))</f>
        <v/>
      </c>
      <c r="M307" s="10" t="str">
        <f t="shared" si="306"/>
        <v/>
      </c>
      <c r="N307" s="10" t="str">
        <f t="shared" si="306"/>
        <v/>
      </c>
      <c r="O307" s="10" t="str">
        <f t="shared" si="306"/>
        <v/>
      </c>
      <c r="P307" s="10" t="str">
        <f t="shared" si="306"/>
        <v/>
      </c>
      <c r="Q307" s="10" t="str">
        <f t="shared" si="306"/>
        <v/>
      </c>
      <c r="R307" s="10" t="str">
        <f t="shared" si="306"/>
        <v/>
      </c>
      <c r="S307" s="10" t="str">
        <f t="shared" si="306"/>
        <v/>
      </c>
      <c r="T307" s="10" t="str">
        <f t="shared" si="306"/>
        <v/>
      </c>
      <c r="U307" s="10" t="str">
        <f t="shared" si="306"/>
        <v/>
      </c>
      <c r="V307" s="10" t="str">
        <f>IF(B307="","",IF(Controls!$B$7="Normal",Controls!$B$8+Controls!$B$9*SQRT(-2*LN(B307/2147483647))*COS(2*PI()*L307/2147483647),Controls!$B$8+(Controls!$B$9-Controls!$B$8)*B307/2147483647))</f>
        <v/>
      </c>
      <c r="W307" s="10" t="str">
        <f>IF(C307="","",IF(Controls!$B$7="Normal",Controls!$B$8+Controls!$B$9*SQRT(-2*LN(C307/2147483647))*COS(2*PI()*M307/2147483647),Controls!$B$8+(Controls!$B$9-Controls!$B$8)*C307/2147483647))</f>
        <v/>
      </c>
      <c r="X307" s="10" t="str">
        <f>IF(D307="","",IF(Controls!$B$7="Normal",Controls!$B$8+Controls!$B$9*SQRT(-2*LN(D307/2147483647))*COS(2*PI()*N307/2147483647),Controls!$B$8+(Controls!$B$9-Controls!$B$8)*D307/2147483647))</f>
        <v/>
      </c>
      <c r="Y307" s="10" t="str">
        <f>IF(E307="","",IF(Controls!$B$7="Normal",Controls!$B$8+Controls!$B$9*SQRT(-2*LN(E307/2147483647))*COS(2*PI()*O307/2147483647),Controls!$B$8+(Controls!$B$9-Controls!$B$8)*E307/2147483647))</f>
        <v/>
      </c>
      <c r="Z307" s="10" t="str">
        <f>IF(F307="","",IF(Controls!$B$7="Normal",Controls!$B$8+Controls!$B$9*SQRT(-2*LN(F307/2147483647))*COS(2*PI()*P307/2147483647),Controls!$B$8+(Controls!$B$9-Controls!$B$8)*F307/2147483647))</f>
        <v/>
      </c>
      <c r="AA307" s="10" t="str">
        <f>IF(G307="","",IF(Controls!$B$7="Normal",Controls!$B$8+Controls!$B$9*SQRT(-2*LN(G307/2147483647))*COS(2*PI()*Q307/2147483647),Controls!$B$8+(Controls!$B$9-Controls!$B$8)*G307/2147483647))</f>
        <v/>
      </c>
      <c r="AB307" s="10" t="str">
        <f>IF(H307="","",IF(Controls!$B$7="Normal",Controls!$B$8+Controls!$B$9*SQRT(-2*LN(H307/2147483647))*COS(2*PI()*R307/2147483647),Controls!$B$8+(Controls!$B$9-Controls!$B$8)*H307/2147483647))</f>
        <v/>
      </c>
      <c r="AC307" s="10" t="str">
        <f>IF(I307="","",IF(Controls!$B$7="Normal",Controls!$B$8+Controls!$B$9*SQRT(-2*LN(I307/2147483647))*COS(2*PI()*S307/2147483647),Controls!$B$8+(Controls!$B$9-Controls!$B$8)*I307/2147483647))</f>
        <v/>
      </c>
      <c r="AD307" s="10" t="str">
        <f>IF(J307="","",IF(Controls!$B$7="Normal",Controls!$B$8+Controls!$B$9*SQRT(-2*LN(J307/2147483647))*COS(2*PI()*T307/2147483647),Controls!$B$8+(Controls!$B$9-Controls!$B$8)*J307/2147483647))</f>
        <v/>
      </c>
      <c r="AE307" s="10" t="str">
        <f>IF(K307="","",IF(Controls!$B$7="Normal",Controls!$B$8+Controls!$B$9*SQRT(-2*LN(K307/2147483647))*COS(2*PI()*U307/2147483647),Controls!$B$8+(Controls!$B$9-Controls!$B$8)*K307/2147483647))</f>
        <v/>
      </c>
    </row>
    <row r="308" ht="21.0" customHeight="1">
      <c r="A308" s="7" t="str">
        <f>IF(307&lt;=Controls!$B$5,Controls!$B$4+306,"")</f>
        <v/>
      </c>
      <c r="B308" s="10" t="str">
        <f>IF(OR($A308="",1&gt;Controls!$B$6),"",MOD(L307*48271,2147483647))</f>
        <v/>
      </c>
      <c r="C308" s="10" t="str">
        <f>IF(OR($A308="",2&gt;Controls!$B$6),"",MOD(M307*48271,2147483647))</f>
        <v/>
      </c>
      <c r="D308" s="10" t="str">
        <f>IF(OR($A308="",3&gt;Controls!$B$6),"",MOD(N307*48271,2147483647))</f>
        <v/>
      </c>
      <c r="E308" s="10" t="str">
        <f>IF(OR($A308="",4&gt;Controls!$B$6),"",MOD(O307*48271,2147483647))</f>
        <v/>
      </c>
      <c r="F308" s="10" t="str">
        <f>IF(OR($A308="",5&gt;Controls!$B$6),"",MOD(P307*48271,2147483647))</f>
        <v/>
      </c>
      <c r="G308" s="10" t="str">
        <f>IF(OR($A308="",6&gt;Controls!$B$6),"",MOD(Q307*48271,2147483647))</f>
        <v/>
      </c>
      <c r="H308" s="10" t="str">
        <f>IF(OR($A308="",7&gt;Controls!$B$6),"",MOD(R307*48271,2147483647))</f>
        <v/>
      </c>
      <c r="I308" s="10" t="str">
        <f>IF(OR($A308="",8&gt;Controls!$B$6),"",MOD(S307*48271,2147483647))</f>
        <v/>
      </c>
      <c r="J308" s="10" t="str">
        <f>IF(OR($A308="",9&gt;Controls!$B$6),"",MOD(T307*48271,2147483647))</f>
        <v/>
      </c>
      <c r="K308" s="10" t="str">
        <f>IF(OR($A308="",10&gt;Controls!$B$6),"",MOD(U307*48271,2147483647))</f>
        <v/>
      </c>
      <c r="L308" s="10" t="str">
        <f t="shared" ref="L308:U308" si="307">IF(B308="","",MOD(B308*48271,2147483647))</f>
        <v/>
      </c>
      <c r="M308" s="10" t="str">
        <f t="shared" si="307"/>
        <v/>
      </c>
      <c r="N308" s="10" t="str">
        <f t="shared" si="307"/>
        <v/>
      </c>
      <c r="O308" s="10" t="str">
        <f t="shared" si="307"/>
        <v/>
      </c>
      <c r="P308" s="10" t="str">
        <f t="shared" si="307"/>
        <v/>
      </c>
      <c r="Q308" s="10" t="str">
        <f t="shared" si="307"/>
        <v/>
      </c>
      <c r="R308" s="10" t="str">
        <f t="shared" si="307"/>
        <v/>
      </c>
      <c r="S308" s="10" t="str">
        <f t="shared" si="307"/>
        <v/>
      </c>
      <c r="T308" s="10" t="str">
        <f t="shared" si="307"/>
        <v/>
      </c>
      <c r="U308" s="10" t="str">
        <f t="shared" si="307"/>
        <v/>
      </c>
      <c r="V308" s="10" t="str">
        <f>IF(B308="","",IF(Controls!$B$7="Normal",Controls!$B$8+Controls!$B$9*SQRT(-2*LN(B308/2147483647))*COS(2*PI()*L308/2147483647),Controls!$B$8+(Controls!$B$9-Controls!$B$8)*B308/2147483647))</f>
        <v/>
      </c>
      <c r="W308" s="10" t="str">
        <f>IF(C308="","",IF(Controls!$B$7="Normal",Controls!$B$8+Controls!$B$9*SQRT(-2*LN(C308/2147483647))*COS(2*PI()*M308/2147483647),Controls!$B$8+(Controls!$B$9-Controls!$B$8)*C308/2147483647))</f>
        <v/>
      </c>
      <c r="X308" s="10" t="str">
        <f>IF(D308="","",IF(Controls!$B$7="Normal",Controls!$B$8+Controls!$B$9*SQRT(-2*LN(D308/2147483647))*COS(2*PI()*N308/2147483647),Controls!$B$8+(Controls!$B$9-Controls!$B$8)*D308/2147483647))</f>
        <v/>
      </c>
      <c r="Y308" s="10" t="str">
        <f>IF(E308="","",IF(Controls!$B$7="Normal",Controls!$B$8+Controls!$B$9*SQRT(-2*LN(E308/2147483647))*COS(2*PI()*O308/2147483647),Controls!$B$8+(Controls!$B$9-Controls!$B$8)*E308/2147483647))</f>
        <v/>
      </c>
      <c r="Z308" s="10" t="str">
        <f>IF(F308="","",IF(Controls!$B$7="Normal",Controls!$B$8+Controls!$B$9*SQRT(-2*LN(F308/2147483647))*COS(2*PI()*P308/2147483647),Controls!$B$8+(Controls!$B$9-Controls!$B$8)*F308/2147483647))</f>
        <v/>
      </c>
      <c r="AA308" s="10" t="str">
        <f>IF(G308="","",IF(Controls!$B$7="Normal",Controls!$B$8+Controls!$B$9*SQRT(-2*LN(G308/2147483647))*COS(2*PI()*Q308/2147483647),Controls!$B$8+(Controls!$B$9-Controls!$B$8)*G308/2147483647))</f>
        <v/>
      </c>
      <c r="AB308" s="10" t="str">
        <f>IF(H308="","",IF(Controls!$B$7="Normal",Controls!$B$8+Controls!$B$9*SQRT(-2*LN(H308/2147483647))*COS(2*PI()*R308/2147483647),Controls!$B$8+(Controls!$B$9-Controls!$B$8)*H308/2147483647))</f>
        <v/>
      </c>
      <c r="AC308" s="10" t="str">
        <f>IF(I308="","",IF(Controls!$B$7="Normal",Controls!$B$8+Controls!$B$9*SQRT(-2*LN(I308/2147483647))*COS(2*PI()*S308/2147483647),Controls!$B$8+(Controls!$B$9-Controls!$B$8)*I308/2147483647))</f>
        <v/>
      </c>
      <c r="AD308" s="10" t="str">
        <f>IF(J308="","",IF(Controls!$B$7="Normal",Controls!$B$8+Controls!$B$9*SQRT(-2*LN(J308/2147483647))*COS(2*PI()*T308/2147483647),Controls!$B$8+(Controls!$B$9-Controls!$B$8)*J308/2147483647))</f>
        <v/>
      </c>
      <c r="AE308" s="10" t="str">
        <f>IF(K308="","",IF(Controls!$B$7="Normal",Controls!$B$8+Controls!$B$9*SQRT(-2*LN(K308/2147483647))*COS(2*PI()*U308/2147483647),Controls!$B$8+(Controls!$B$9-Controls!$B$8)*K308/2147483647))</f>
        <v/>
      </c>
    </row>
    <row r="309" ht="21.0" customHeight="1">
      <c r="A309" s="7" t="str">
        <f>IF(308&lt;=Controls!$B$5,Controls!$B$4+307,"")</f>
        <v/>
      </c>
      <c r="B309" s="10" t="str">
        <f>IF(OR($A309="",1&gt;Controls!$B$6),"",MOD(L308*48271,2147483647))</f>
        <v/>
      </c>
      <c r="C309" s="10" t="str">
        <f>IF(OR($A309="",2&gt;Controls!$B$6),"",MOD(M308*48271,2147483647))</f>
        <v/>
      </c>
      <c r="D309" s="10" t="str">
        <f>IF(OR($A309="",3&gt;Controls!$B$6),"",MOD(N308*48271,2147483647))</f>
        <v/>
      </c>
      <c r="E309" s="10" t="str">
        <f>IF(OR($A309="",4&gt;Controls!$B$6),"",MOD(O308*48271,2147483647))</f>
        <v/>
      </c>
      <c r="F309" s="10" t="str">
        <f>IF(OR($A309="",5&gt;Controls!$B$6),"",MOD(P308*48271,2147483647))</f>
        <v/>
      </c>
      <c r="G309" s="10" t="str">
        <f>IF(OR($A309="",6&gt;Controls!$B$6),"",MOD(Q308*48271,2147483647))</f>
        <v/>
      </c>
      <c r="H309" s="10" t="str">
        <f>IF(OR($A309="",7&gt;Controls!$B$6),"",MOD(R308*48271,2147483647))</f>
        <v/>
      </c>
      <c r="I309" s="10" t="str">
        <f>IF(OR($A309="",8&gt;Controls!$B$6),"",MOD(S308*48271,2147483647))</f>
        <v/>
      </c>
      <c r="J309" s="10" t="str">
        <f>IF(OR($A309="",9&gt;Controls!$B$6),"",MOD(T308*48271,2147483647))</f>
        <v/>
      </c>
      <c r="K309" s="10" t="str">
        <f>IF(OR($A309="",10&gt;Controls!$B$6),"",MOD(U308*48271,2147483647))</f>
        <v/>
      </c>
      <c r="L309" s="10" t="str">
        <f t="shared" ref="L309:U309" si="308">IF(B309="","",MOD(B309*48271,2147483647))</f>
        <v/>
      </c>
      <c r="M309" s="10" t="str">
        <f t="shared" si="308"/>
        <v/>
      </c>
      <c r="N309" s="10" t="str">
        <f t="shared" si="308"/>
        <v/>
      </c>
      <c r="O309" s="10" t="str">
        <f t="shared" si="308"/>
        <v/>
      </c>
      <c r="P309" s="10" t="str">
        <f t="shared" si="308"/>
        <v/>
      </c>
      <c r="Q309" s="10" t="str">
        <f t="shared" si="308"/>
        <v/>
      </c>
      <c r="R309" s="10" t="str">
        <f t="shared" si="308"/>
        <v/>
      </c>
      <c r="S309" s="10" t="str">
        <f t="shared" si="308"/>
        <v/>
      </c>
      <c r="T309" s="10" t="str">
        <f t="shared" si="308"/>
        <v/>
      </c>
      <c r="U309" s="10" t="str">
        <f t="shared" si="308"/>
        <v/>
      </c>
      <c r="V309" s="10" t="str">
        <f>IF(B309="","",IF(Controls!$B$7="Normal",Controls!$B$8+Controls!$B$9*SQRT(-2*LN(B309/2147483647))*COS(2*PI()*L309/2147483647),Controls!$B$8+(Controls!$B$9-Controls!$B$8)*B309/2147483647))</f>
        <v/>
      </c>
      <c r="W309" s="10" t="str">
        <f>IF(C309="","",IF(Controls!$B$7="Normal",Controls!$B$8+Controls!$B$9*SQRT(-2*LN(C309/2147483647))*COS(2*PI()*M309/2147483647),Controls!$B$8+(Controls!$B$9-Controls!$B$8)*C309/2147483647))</f>
        <v/>
      </c>
      <c r="X309" s="10" t="str">
        <f>IF(D309="","",IF(Controls!$B$7="Normal",Controls!$B$8+Controls!$B$9*SQRT(-2*LN(D309/2147483647))*COS(2*PI()*N309/2147483647),Controls!$B$8+(Controls!$B$9-Controls!$B$8)*D309/2147483647))</f>
        <v/>
      </c>
      <c r="Y309" s="10" t="str">
        <f>IF(E309="","",IF(Controls!$B$7="Normal",Controls!$B$8+Controls!$B$9*SQRT(-2*LN(E309/2147483647))*COS(2*PI()*O309/2147483647),Controls!$B$8+(Controls!$B$9-Controls!$B$8)*E309/2147483647))</f>
        <v/>
      </c>
      <c r="Z309" s="10" t="str">
        <f>IF(F309="","",IF(Controls!$B$7="Normal",Controls!$B$8+Controls!$B$9*SQRT(-2*LN(F309/2147483647))*COS(2*PI()*P309/2147483647),Controls!$B$8+(Controls!$B$9-Controls!$B$8)*F309/2147483647))</f>
        <v/>
      </c>
      <c r="AA309" s="10" t="str">
        <f>IF(G309="","",IF(Controls!$B$7="Normal",Controls!$B$8+Controls!$B$9*SQRT(-2*LN(G309/2147483647))*COS(2*PI()*Q309/2147483647),Controls!$B$8+(Controls!$B$9-Controls!$B$8)*G309/2147483647))</f>
        <v/>
      </c>
      <c r="AB309" s="10" t="str">
        <f>IF(H309="","",IF(Controls!$B$7="Normal",Controls!$B$8+Controls!$B$9*SQRT(-2*LN(H309/2147483647))*COS(2*PI()*R309/2147483647),Controls!$B$8+(Controls!$B$9-Controls!$B$8)*H309/2147483647))</f>
        <v/>
      </c>
      <c r="AC309" s="10" t="str">
        <f>IF(I309="","",IF(Controls!$B$7="Normal",Controls!$B$8+Controls!$B$9*SQRT(-2*LN(I309/2147483647))*COS(2*PI()*S309/2147483647),Controls!$B$8+(Controls!$B$9-Controls!$B$8)*I309/2147483647))</f>
        <v/>
      </c>
      <c r="AD309" s="10" t="str">
        <f>IF(J309="","",IF(Controls!$B$7="Normal",Controls!$B$8+Controls!$B$9*SQRT(-2*LN(J309/2147483647))*COS(2*PI()*T309/2147483647),Controls!$B$8+(Controls!$B$9-Controls!$B$8)*J309/2147483647))</f>
        <v/>
      </c>
      <c r="AE309" s="10" t="str">
        <f>IF(K309="","",IF(Controls!$B$7="Normal",Controls!$B$8+Controls!$B$9*SQRT(-2*LN(K309/2147483647))*COS(2*PI()*U309/2147483647),Controls!$B$8+(Controls!$B$9-Controls!$B$8)*K309/2147483647))</f>
        <v/>
      </c>
    </row>
    <row r="310" ht="21.0" customHeight="1">
      <c r="A310" s="7" t="str">
        <f>IF(309&lt;=Controls!$B$5,Controls!$B$4+308,"")</f>
        <v/>
      </c>
      <c r="B310" s="10" t="str">
        <f>IF(OR($A310="",1&gt;Controls!$B$6),"",MOD(L309*48271,2147483647))</f>
        <v/>
      </c>
      <c r="C310" s="10" t="str">
        <f>IF(OR($A310="",2&gt;Controls!$B$6),"",MOD(M309*48271,2147483647))</f>
        <v/>
      </c>
      <c r="D310" s="10" t="str">
        <f>IF(OR($A310="",3&gt;Controls!$B$6),"",MOD(N309*48271,2147483647))</f>
        <v/>
      </c>
      <c r="E310" s="10" t="str">
        <f>IF(OR($A310="",4&gt;Controls!$B$6),"",MOD(O309*48271,2147483647))</f>
        <v/>
      </c>
      <c r="F310" s="10" t="str">
        <f>IF(OR($A310="",5&gt;Controls!$B$6),"",MOD(P309*48271,2147483647))</f>
        <v/>
      </c>
      <c r="G310" s="10" t="str">
        <f>IF(OR($A310="",6&gt;Controls!$B$6),"",MOD(Q309*48271,2147483647))</f>
        <v/>
      </c>
      <c r="H310" s="10" t="str">
        <f>IF(OR($A310="",7&gt;Controls!$B$6),"",MOD(R309*48271,2147483647))</f>
        <v/>
      </c>
      <c r="I310" s="10" t="str">
        <f>IF(OR($A310="",8&gt;Controls!$B$6),"",MOD(S309*48271,2147483647))</f>
        <v/>
      </c>
      <c r="J310" s="10" t="str">
        <f>IF(OR($A310="",9&gt;Controls!$B$6),"",MOD(T309*48271,2147483647))</f>
        <v/>
      </c>
      <c r="K310" s="10" t="str">
        <f>IF(OR($A310="",10&gt;Controls!$B$6),"",MOD(U309*48271,2147483647))</f>
        <v/>
      </c>
      <c r="L310" s="10" t="str">
        <f t="shared" ref="L310:U310" si="309">IF(B310="","",MOD(B310*48271,2147483647))</f>
        <v/>
      </c>
      <c r="M310" s="10" t="str">
        <f t="shared" si="309"/>
        <v/>
      </c>
      <c r="N310" s="10" t="str">
        <f t="shared" si="309"/>
        <v/>
      </c>
      <c r="O310" s="10" t="str">
        <f t="shared" si="309"/>
        <v/>
      </c>
      <c r="P310" s="10" t="str">
        <f t="shared" si="309"/>
        <v/>
      </c>
      <c r="Q310" s="10" t="str">
        <f t="shared" si="309"/>
        <v/>
      </c>
      <c r="R310" s="10" t="str">
        <f t="shared" si="309"/>
        <v/>
      </c>
      <c r="S310" s="10" t="str">
        <f t="shared" si="309"/>
        <v/>
      </c>
      <c r="T310" s="10" t="str">
        <f t="shared" si="309"/>
        <v/>
      </c>
      <c r="U310" s="10" t="str">
        <f t="shared" si="309"/>
        <v/>
      </c>
      <c r="V310" s="10" t="str">
        <f>IF(B310="","",IF(Controls!$B$7="Normal",Controls!$B$8+Controls!$B$9*SQRT(-2*LN(B310/2147483647))*COS(2*PI()*L310/2147483647),Controls!$B$8+(Controls!$B$9-Controls!$B$8)*B310/2147483647))</f>
        <v/>
      </c>
      <c r="W310" s="10" t="str">
        <f>IF(C310="","",IF(Controls!$B$7="Normal",Controls!$B$8+Controls!$B$9*SQRT(-2*LN(C310/2147483647))*COS(2*PI()*M310/2147483647),Controls!$B$8+(Controls!$B$9-Controls!$B$8)*C310/2147483647))</f>
        <v/>
      </c>
      <c r="X310" s="10" t="str">
        <f>IF(D310="","",IF(Controls!$B$7="Normal",Controls!$B$8+Controls!$B$9*SQRT(-2*LN(D310/2147483647))*COS(2*PI()*N310/2147483647),Controls!$B$8+(Controls!$B$9-Controls!$B$8)*D310/2147483647))</f>
        <v/>
      </c>
      <c r="Y310" s="10" t="str">
        <f>IF(E310="","",IF(Controls!$B$7="Normal",Controls!$B$8+Controls!$B$9*SQRT(-2*LN(E310/2147483647))*COS(2*PI()*O310/2147483647),Controls!$B$8+(Controls!$B$9-Controls!$B$8)*E310/2147483647))</f>
        <v/>
      </c>
      <c r="Z310" s="10" t="str">
        <f>IF(F310="","",IF(Controls!$B$7="Normal",Controls!$B$8+Controls!$B$9*SQRT(-2*LN(F310/2147483647))*COS(2*PI()*P310/2147483647),Controls!$B$8+(Controls!$B$9-Controls!$B$8)*F310/2147483647))</f>
        <v/>
      </c>
      <c r="AA310" s="10" t="str">
        <f>IF(G310="","",IF(Controls!$B$7="Normal",Controls!$B$8+Controls!$B$9*SQRT(-2*LN(G310/2147483647))*COS(2*PI()*Q310/2147483647),Controls!$B$8+(Controls!$B$9-Controls!$B$8)*G310/2147483647))</f>
        <v/>
      </c>
      <c r="AB310" s="10" t="str">
        <f>IF(H310="","",IF(Controls!$B$7="Normal",Controls!$B$8+Controls!$B$9*SQRT(-2*LN(H310/2147483647))*COS(2*PI()*R310/2147483647),Controls!$B$8+(Controls!$B$9-Controls!$B$8)*H310/2147483647))</f>
        <v/>
      </c>
      <c r="AC310" s="10" t="str">
        <f>IF(I310="","",IF(Controls!$B$7="Normal",Controls!$B$8+Controls!$B$9*SQRT(-2*LN(I310/2147483647))*COS(2*PI()*S310/2147483647),Controls!$B$8+(Controls!$B$9-Controls!$B$8)*I310/2147483647))</f>
        <v/>
      </c>
      <c r="AD310" s="10" t="str">
        <f>IF(J310="","",IF(Controls!$B$7="Normal",Controls!$B$8+Controls!$B$9*SQRT(-2*LN(J310/2147483647))*COS(2*PI()*T310/2147483647),Controls!$B$8+(Controls!$B$9-Controls!$B$8)*J310/2147483647))</f>
        <v/>
      </c>
      <c r="AE310" s="10" t="str">
        <f>IF(K310="","",IF(Controls!$B$7="Normal",Controls!$B$8+Controls!$B$9*SQRT(-2*LN(K310/2147483647))*COS(2*PI()*U310/2147483647),Controls!$B$8+(Controls!$B$9-Controls!$B$8)*K310/2147483647))</f>
        <v/>
      </c>
    </row>
    <row r="311" ht="21.0" customHeight="1">
      <c r="A311" s="7" t="str">
        <f>IF(310&lt;=Controls!$B$5,Controls!$B$4+309,"")</f>
        <v/>
      </c>
      <c r="B311" s="10" t="str">
        <f>IF(OR($A311="",1&gt;Controls!$B$6),"",MOD(L310*48271,2147483647))</f>
        <v/>
      </c>
      <c r="C311" s="10" t="str">
        <f>IF(OR($A311="",2&gt;Controls!$B$6),"",MOD(M310*48271,2147483647))</f>
        <v/>
      </c>
      <c r="D311" s="10" t="str">
        <f>IF(OR($A311="",3&gt;Controls!$B$6),"",MOD(N310*48271,2147483647))</f>
        <v/>
      </c>
      <c r="E311" s="10" t="str">
        <f>IF(OR($A311="",4&gt;Controls!$B$6),"",MOD(O310*48271,2147483647))</f>
        <v/>
      </c>
      <c r="F311" s="10" t="str">
        <f>IF(OR($A311="",5&gt;Controls!$B$6),"",MOD(P310*48271,2147483647))</f>
        <v/>
      </c>
      <c r="G311" s="10" t="str">
        <f>IF(OR($A311="",6&gt;Controls!$B$6),"",MOD(Q310*48271,2147483647))</f>
        <v/>
      </c>
      <c r="H311" s="10" t="str">
        <f>IF(OR($A311="",7&gt;Controls!$B$6),"",MOD(R310*48271,2147483647))</f>
        <v/>
      </c>
      <c r="I311" s="10" t="str">
        <f>IF(OR($A311="",8&gt;Controls!$B$6),"",MOD(S310*48271,2147483647))</f>
        <v/>
      </c>
      <c r="J311" s="10" t="str">
        <f>IF(OR($A311="",9&gt;Controls!$B$6),"",MOD(T310*48271,2147483647))</f>
        <v/>
      </c>
      <c r="K311" s="10" t="str">
        <f>IF(OR($A311="",10&gt;Controls!$B$6),"",MOD(U310*48271,2147483647))</f>
        <v/>
      </c>
      <c r="L311" s="10" t="str">
        <f t="shared" ref="L311:U311" si="310">IF(B311="","",MOD(B311*48271,2147483647))</f>
        <v/>
      </c>
      <c r="M311" s="10" t="str">
        <f t="shared" si="310"/>
        <v/>
      </c>
      <c r="N311" s="10" t="str">
        <f t="shared" si="310"/>
        <v/>
      </c>
      <c r="O311" s="10" t="str">
        <f t="shared" si="310"/>
        <v/>
      </c>
      <c r="P311" s="10" t="str">
        <f t="shared" si="310"/>
        <v/>
      </c>
      <c r="Q311" s="10" t="str">
        <f t="shared" si="310"/>
        <v/>
      </c>
      <c r="R311" s="10" t="str">
        <f t="shared" si="310"/>
        <v/>
      </c>
      <c r="S311" s="10" t="str">
        <f t="shared" si="310"/>
        <v/>
      </c>
      <c r="T311" s="10" t="str">
        <f t="shared" si="310"/>
        <v/>
      </c>
      <c r="U311" s="10" t="str">
        <f t="shared" si="310"/>
        <v/>
      </c>
      <c r="V311" s="10" t="str">
        <f>IF(B311="","",IF(Controls!$B$7="Normal",Controls!$B$8+Controls!$B$9*SQRT(-2*LN(B311/2147483647))*COS(2*PI()*L311/2147483647),Controls!$B$8+(Controls!$B$9-Controls!$B$8)*B311/2147483647))</f>
        <v/>
      </c>
      <c r="W311" s="10" t="str">
        <f>IF(C311="","",IF(Controls!$B$7="Normal",Controls!$B$8+Controls!$B$9*SQRT(-2*LN(C311/2147483647))*COS(2*PI()*M311/2147483647),Controls!$B$8+(Controls!$B$9-Controls!$B$8)*C311/2147483647))</f>
        <v/>
      </c>
      <c r="X311" s="10" t="str">
        <f>IF(D311="","",IF(Controls!$B$7="Normal",Controls!$B$8+Controls!$B$9*SQRT(-2*LN(D311/2147483647))*COS(2*PI()*N311/2147483647),Controls!$B$8+(Controls!$B$9-Controls!$B$8)*D311/2147483647))</f>
        <v/>
      </c>
      <c r="Y311" s="10" t="str">
        <f>IF(E311="","",IF(Controls!$B$7="Normal",Controls!$B$8+Controls!$B$9*SQRT(-2*LN(E311/2147483647))*COS(2*PI()*O311/2147483647),Controls!$B$8+(Controls!$B$9-Controls!$B$8)*E311/2147483647))</f>
        <v/>
      </c>
      <c r="Z311" s="10" t="str">
        <f>IF(F311="","",IF(Controls!$B$7="Normal",Controls!$B$8+Controls!$B$9*SQRT(-2*LN(F311/2147483647))*COS(2*PI()*P311/2147483647),Controls!$B$8+(Controls!$B$9-Controls!$B$8)*F311/2147483647))</f>
        <v/>
      </c>
      <c r="AA311" s="10" t="str">
        <f>IF(G311="","",IF(Controls!$B$7="Normal",Controls!$B$8+Controls!$B$9*SQRT(-2*LN(G311/2147483647))*COS(2*PI()*Q311/2147483647),Controls!$B$8+(Controls!$B$9-Controls!$B$8)*G311/2147483647))</f>
        <v/>
      </c>
      <c r="AB311" s="10" t="str">
        <f>IF(H311="","",IF(Controls!$B$7="Normal",Controls!$B$8+Controls!$B$9*SQRT(-2*LN(H311/2147483647))*COS(2*PI()*R311/2147483647),Controls!$B$8+(Controls!$B$9-Controls!$B$8)*H311/2147483647))</f>
        <v/>
      </c>
      <c r="AC311" s="10" t="str">
        <f>IF(I311="","",IF(Controls!$B$7="Normal",Controls!$B$8+Controls!$B$9*SQRT(-2*LN(I311/2147483647))*COS(2*PI()*S311/2147483647),Controls!$B$8+(Controls!$B$9-Controls!$B$8)*I311/2147483647))</f>
        <v/>
      </c>
      <c r="AD311" s="10" t="str">
        <f>IF(J311="","",IF(Controls!$B$7="Normal",Controls!$B$8+Controls!$B$9*SQRT(-2*LN(J311/2147483647))*COS(2*PI()*T311/2147483647),Controls!$B$8+(Controls!$B$9-Controls!$B$8)*J311/2147483647))</f>
        <v/>
      </c>
      <c r="AE311" s="10" t="str">
        <f>IF(K311="","",IF(Controls!$B$7="Normal",Controls!$B$8+Controls!$B$9*SQRT(-2*LN(K311/2147483647))*COS(2*PI()*U311/2147483647),Controls!$B$8+(Controls!$B$9-Controls!$B$8)*K311/2147483647))</f>
        <v/>
      </c>
    </row>
    <row r="312" ht="21.0" customHeight="1">
      <c r="A312" s="7" t="str">
        <f>IF(311&lt;=Controls!$B$5,Controls!$B$4+310,"")</f>
        <v/>
      </c>
      <c r="B312" s="10" t="str">
        <f>IF(OR($A312="",1&gt;Controls!$B$6),"",MOD(L311*48271,2147483647))</f>
        <v/>
      </c>
      <c r="C312" s="10" t="str">
        <f>IF(OR($A312="",2&gt;Controls!$B$6),"",MOD(M311*48271,2147483647))</f>
        <v/>
      </c>
      <c r="D312" s="10" t="str">
        <f>IF(OR($A312="",3&gt;Controls!$B$6),"",MOD(N311*48271,2147483647))</f>
        <v/>
      </c>
      <c r="E312" s="10" t="str">
        <f>IF(OR($A312="",4&gt;Controls!$B$6),"",MOD(O311*48271,2147483647))</f>
        <v/>
      </c>
      <c r="F312" s="10" t="str">
        <f>IF(OR($A312="",5&gt;Controls!$B$6),"",MOD(P311*48271,2147483647))</f>
        <v/>
      </c>
      <c r="G312" s="10" t="str">
        <f>IF(OR($A312="",6&gt;Controls!$B$6),"",MOD(Q311*48271,2147483647))</f>
        <v/>
      </c>
      <c r="H312" s="10" t="str">
        <f>IF(OR($A312="",7&gt;Controls!$B$6),"",MOD(R311*48271,2147483647))</f>
        <v/>
      </c>
      <c r="I312" s="10" t="str">
        <f>IF(OR($A312="",8&gt;Controls!$B$6),"",MOD(S311*48271,2147483647))</f>
        <v/>
      </c>
      <c r="J312" s="10" t="str">
        <f>IF(OR($A312="",9&gt;Controls!$B$6),"",MOD(T311*48271,2147483647))</f>
        <v/>
      </c>
      <c r="K312" s="10" t="str">
        <f>IF(OR($A312="",10&gt;Controls!$B$6),"",MOD(U311*48271,2147483647))</f>
        <v/>
      </c>
      <c r="L312" s="10" t="str">
        <f t="shared" ref="L312:U312" si="311">IF(B312="","",MOD(B312*48271,2147483647))</f>
        <v/>
      </c>
      <c r="M312" s="10" t="str">
        <f t="shared" si="311"/>
        <v/>
      </c>
      <c r="N312" s="10" t="str">
        <f t="shared" si="311"/>
        <v/>
      </c>
      <c r="O312" s="10" t="str">
        <f t="shared" si="311"/>
        <v/>
      </c>
      <c r="P312" s="10" t="str">
        <f t="shared" si="311"/>
        <v/>
      </c>
      <c r="Q312" s="10" t="str">
        <f t="shared" si="311"/>
        <v/>
      </c>
      <c r="R312" s="10" t="str">
        <f t="shared" si="311"/>
        <v/>
      </c>
      <c r="S312" s="10" t="str">
        <f t="shared" si="311"/>
        <v/>
      </c>
      <c r="T312" s="10" t="str">
        <f t="shared" si="311"/>
        <v/>
      </c>
      <c r="U312" s="10" t="str">
        <f t="shared" si="311"/>
        <v/>
      </c>
      <c r="V312" s="10" t="str">
        <f>IF(B312="","",IF(Controls!$B$7="Normal",Controls!$B$8+Controls!$B$9*SQRT(-2*LN(B312/2147483647))*COS(2*PI()*L312/2147483647),Controls!$B$8+(Controls!$B$9-Controls!$B$8)*B312/2147483647))</f>
        <v/>
      </c>
      <c r="W312" s="10" t="str">
        <f>IF(C312="","",IF(Controls!$B$7="Normal",Controls!$B$8+Controls!$B$9*SQRT(-2*LN(C312/2147483647))*COS(2*PI()*M312/2147483647),Controls!$B$8+(Controls!$B$9-Controls!$B$8)*C312/2147483647))</f>
        <v/>
      </c>
      <c r="X312" s="10" t="str">
        <f>IF(D312="","",IF(Controls!$B$7="Normal",Controls!$B$8+Controls!$B$9*SQRT(-2*LN(D312/2147483647))*COS(2*PI()*N312/2147483647),Controls!$B$8+(Controls!$B$9-Controls!$B$8)*D312/2147483647))</f>
        <v/>
      </c>
      <c r="Y312" s="10" t="str">
        <f>IF(E312="","",IF(Controls!$B$7="Normal",Controls!$B$8+Controls!$B$9*SQRT(-2*LN(E312/2147483647))*COS(2*PI()*O312/2147483647),Controls!$B$8+(Controls!$B$9-Controls!$B$8)*E312/2147483647))</f>
        <v/>
      </c>
      <c r="Z312" s="10" t="str">
        <f>IF(F312="","",IF(Controls!$B$7="Normal",Controls!$B$8+Controls!$B$9*SQRT(-2*LN(F312/2147483647))*COS(2*PI()*P312/2147483647),Controls!$B$8+(Controls!$B$9-Controls!$B$8)*F312/2147483647))</f>
        <v/>
      </c>
      <c r="AA312" s="10" t="str">
        <f>IF(G312="","",IF(Controls!$B$7="Normal",Controls!$B$8+Controls!$B$9*SQRT(-2*LN(G312/2147483647))*COS(2*PI()*Q312/2147483647),Controls!$B$8+(Controls!$B$9-Controls!$B$8)*G312/2147483647))</f>
        <v/>
      </c>
      <c r="AB312" s="10" t="str">
        <f>IF(H312="","",IF(Controls!$B$7="Normal",Controls!$B$8+Controls!$B$9*SQRT(-2*LN(H312/2147483647))*COS(2*PI()*R312/2147483647),Controls!$B$8+(Controls!$B$9-Controls!$B$8)*H312/2147483647))</f>
        <v/>
      </c>
      <c r="AC312" s="10" t="str">
        <f>IF(I312="","",IF(Controls!$B$7="Normal",Controls!$B$8+Controls!$B$9*SQRT(-2*LN(I312/2147483647))*COS(2*PI()*S312/2147483647),Controls!$B$8+(Controls!$B$9-Controls!$B$8)*I312/2147483647))</f>
        <v/>
      </c>
      <c r="AD312" s="10" t="str">
        <f>IF(J312="","",IF(Controls!$B$7="Normal",Controls!$B$8+Controls!$B$9*SQRT(-2*LN(J312/2147483647))*COS(2*PI()*T312/2147483647),Controls!$B$8+(Controls!$B$9-Controls!$B$8)*J312/2147483647))</f>
        <v/>
      </c>
      <c r="AE312" s="10" t="str">
        <f>IF(K312="","",IF(Controls!$B$7="Normal",Controls!$B$8+Controls!$B$9*SQRT(-2*LN(K312/2147483647))*COS(2*PI()*U312/2147483647),Controls!$B$8+(Controls!$B$9-Controls!$B$8)*K312/2147483647))</f>
        <v/>
      </c>
    </row>
    <row r="313" ht="21.0" customHeight="1">
      <c r="A313" s="7" t="str">
        <f>IF(312&lt;=Controls!$B$5,Controls!$B$4+311,"")</f>
        <v/>
      </c>
      <c r="B313" s="10" t="str">
        <f>IF(OR($A313="",1&gt;Controls!$B$6),"",MOD(L312*48271,2147483647))</f>
        <v/>
      </c>
      <c r="C313" s="10" t="str">
        <f>IF(OR($A313="",2&gt;Controls!$B$6),"",MOD(M312*48271,2147483647))</f>
        <v/>
      </c>
      <c r="D313" s="10" t="str">
        <f>IF(OR($A313="",3&gt;Controls!$B$6),"",MOD(N312*48271,2147483647))</f>
        <v/>
      </c>
      <c r="E313" s="10" t="str">
        <f>IF(OR($A313="",4&gt;Controls!$B$6),"",MOD(O312*48271,2147483647))</f>
        <v/>
      </c>
      <c r="F313" s="10" t="str">
        <f>IF(OR($A313="",5&gt;Controls!$B$6),"",MOD(P312*48271,2147483647))</f>
        <v/>
      </c>
      <c r="G313" s="10" t="str">
        <f>IF(OR($A313="",6&gt;Controls!$B$6),"",MOD(Q312*48271,2147483647))</f>
        <v/>
      </c>
      <c r="H313" s="10" t="str">
        <f>IF(OR($A313="",7&gt;Controls!$B$6),"",MOD(R312*48271,2147483647))</f>
        <v/>
      </c>
      <c r="I313" s="10" t="str">
        <f>IF(OR($A313="",8&gt;Controls!$B$6),"",MOD(S312*48271,2147483647))</f>
        <v/>
      </c>
      <c r="J313" s="10" t="str">
        <f>IF(OR($A313="",9&gt;Controls!$B$6),"",MOD(T312*48271,2147483647))</f>
        <v/>
      </c>
      <c r="K313" s="10" t="str">
        <f>IF(OR($A313="",10&gt;Controls!$B$6),"",MOD(U312*48271,2147483647))</f>
        <v/>
      </c>
      <c r="L313" s="10" t="str">
        <f t="shared" ref="L313:U313" si="312">IF(B313="","",MOD(B313*48271,2147483647))</f>
        <v/>
      </c>
      <c r="M313" s="10" t="str">
        <f t="shared" si="312"/>
        <v/>
      </c>
      <c r="N313" s="10" t="str">
        <f t="shared" si="312"/>
        <v/>
      </c>
      <c r="O313" s="10" t="str">
        <f t="shared" si="312"/>
        <v/>
      </c>
      <c r="P313" s="10" t="str">
        <f t="shared" si="312"/>
        <v/>
      </c>
      <c r="Q313" s="10" t="str">
        <f t="shared" si="312"/>
        <v/>
      </c>
      <c r="R313" s="10" t="str">
        <f t="shared" si="312"/>
        <v/>
      </c>
      <c r="S313" s="10" t="str">
        <f t="shared" si="312"/>
        <v/>
      </c>
      <c r="T313" s="10" t="str">
        <f t="shared" si="312"/>
        <v/>
      </c>
      <c r="U313" s="10" t="str">
        <f t="shared" si="312"/>
        <v/>
      </c>
      <c r="V313" s="10" t="str">
        <f>IF(B313="","",IF(Controls!$B$7="Normal",Controls!$B$8+Controls!$B$9*SQRT(-2*LN(B313/2147483647))*COS(2*PI()*L313/2147483647),Controls!$B$8+(Controls!$B$9-Controls!$B$8)*B313/2147483647))</f>
        <v/>
      </c>
      <c r="W313" s="10" t="str">
        <f>IF(C313="","",IF(Controls!$B$7="Normal",Controls!$B$8+Controls!$B$9*SQRT(-2*LN(C313/2147483647))*COS(2*PI()*M313/2147483647),Controls!$B$8+(Controls!$B$9-Controls!$B$8)*C313/2147483647))</f>
        <v/>
      </c>
      <c r="X313" s="10" t="str">
        <f>IF(D313="","",IF(Controls!$B$7="Normal",Controls!$B$8+Controls!$B$9*SQRT(-2*LN(D313/2147483647))*COS(2*PI()*N313/2147483647),Controls!$B$8+(Controls!$B$9-Controls!$B$8)*D313/2147483647))</f>
        <v/>
      </c>
      <c r="Y313" s="10" t="str">
        <f>IF(E313="","",IF(Controls!$B$7="Normal",Controls!$B$8+Controls!$B$9*SQRT(-2*LN(E313/2147483647))*COS(2*PI()*O313/2147483647),Controls!$B$8+(Controls!$B$9-Controls!$B$8)*E313/2147483647))</f>
        <v/>
      </c>
      <c r="Z313" s="10" t="str">
        <f>IF(F313="","",IF(Controls!$B$7="Normal",Controls!$B$8+Controls!$B$9*SQRT(-2*LN(F313/2147483647))*COS(2*PI()*P313/2147483647),Controls!$B$8+(Controls!$B$9-Controls!$B$8)*F313/2147483647))</f>
        <v/>
      </c>
      <c r="AA313" s="10" t="str">
        <f>IF(G313="","",IF(Controls!$B$7="Normal",Controls!$B$8+Controls!$B$9*SQRT(-2*LN(G313/2147483647))*COS(2*PI()*Q313/2147483647),Controls!$B$8+(Controls!$B$9-Controls!$B$8)*G313/2147483647))</f>
        <v/>
      </c>
      <c r="AB313" s="10" t="str">
        <f>IF(H313="","",IF(Controls!$B$7="Normal",Controls!$B$8+Controls!$B$9*SQRT(-2*LN(H313/2147483647))*COS(2*PI()*R313/2147483647),Controls!$B$8+(Controls!$B$9-Controls!$B$8)*H313/2147483647))</f>
        <v/>
      </c>
      <c r="AC313" s="10" t="str">
        <f>IF(I313="","",IF(Controls!$B$7="Normal",Controls!$B$8+Controls!$B$9*SQRT(-2*LN(I313/2147483647))*COS(2*PI()*S313/2147483647),Controls!$B$8+(Controls!$B$9-Controls!$B$8)*I313/2147483647))</f>
        <v/>
      </c>
      <c r="AD313" s="10" t="str">
        <f>IF(J313="","",IF(Controls!$B$7="Normal",Controls!$B$8+Controls!$B$9*SQRT(-2*LN(J313/2147483647))*COS(2*PI()*T313/2147483647),Controls!$B$8+(Controls!$B$9-Controls!$B$8)*J313/2147483647))</f>
        <v/>
      </c>
      <c r="AE313" s="10" t="str">
        <f>IF(K313="","",IF(Controls!$B$7="Normal",Controls!$B$8+Controls!$B$9*SQRT(-2*LN(K313/2147483647))*COS(2*PI()*U313/2147483647),Controls!$B$8+(Controls!$B$9-Controls!$B$8)*K313/2147483647))</f>
        <v/>
      </c>
    </row>
    <row r="314" ht="21.0" customHeight="1">
      <c r="A314" s="7" t="str">
        <f>IF(313&lt;=Controls!$B$5,Controls!$B$4+312,"")</f>
        <v/>
      </c>
      <c r="B314" s="10" t="str">
        <f>IF(OR($A314="",1&gt;Controls!$B$6),"",MOD(L313*48271,2147483647))</f>
        <v/>
      </c>
      <c r="C314" s="10" t="str">
        <f>IF(OR($A314="",2&gt;Controls!$B$6),"",MOD(M313*48271,2147483647))</f>
        <v/>
      </c>
      <c r="D314" s="10" t="str">
        <f>IF(OR($A314="",3&gt;Controls!$B$6),"",MOD(N313*48271,2147483647))</f>
        <v/>
      </c>
      <c r="E314" s="10" t="str">
        <f>IF(OR($A314="",4&gt;Controls!$B$6),"",MOD(O313*48271,2147483647))</f>
        <v/>
      </c>
      <c r="F314" s="10" t="str">
        <f>IF(OR($A314="",5&gt;Controls!$B$6),"",MOD(P313*48271,2147483647))</f>
        <v/>
      </c>
      <c r="G314" s="10" t="str">
        <f>IF(OR($A314="",6&gt;Controls!$B$6),"",MOD(Q313*48271,2147483647))</f>
        <v/>
      </c>
      <c r="H314" s="10" t="str">
        <f>IF(OR($A314="",7&gt;Controls!$B$6),"",MOD(R313*48271,2147483647))</f>
        <v/>
      </c>
      <c r="I314" s="10" t="str">
        <f>IF(OR($A314="",8&gt;Controls!$B$6),"",MOD(S313*48271,2147483647))</f>
        <v/>
      </c>
      <c r="J314" s="10" t="str">
        <f>IF(OR($A314="",9&gt;Controls!$B$6),"",MOD(T313*48271,2147483647))</f>
        <v/>
      </c>
      <c r="K314" s="10" t="str">
        <f>IF(OR($A314="",10&gt;Controls!$B$6),"",MOD(U313*48271,2147483647))</f>
        <v/>
      </c>
      <c r="L314" s="10" t="str">
        <f t="shared" ref="L314:U314" si="313">IF(B314="","",MOD(B314*48271,2147483647))</f>
        <v/>
      </c>
      <c r="M314" s="10" t="str">
        <f t="shared" si="313"/>
        <v/>
      </c>
      <c r="N314" s="10" t="str">
        <f t="shared" si="313"/>
        <v/>
      </c>
      <c r="O314" s="10" t="str">
        <f t="shared" si="313"/>
        <v/>
      </c>
      <c r="P314" s="10" t="str">
        <f t="shared" si="313"/>
        <v/>
      </c>
      <c r="Q314" s="10" t="str">
        <f t="shared" si="313"/>
        <v/>
      </c>
      <c r="R314" s="10" t="str">
        <f t="shared" si="313"/>
        <v/>
      </c>
      <c r="S314" s="10" t="str">
        <f t="shared" si="313"/>
        <v/>
      </c>
      <c r="T314" s="10" t="str">
        <f t="shared" si="313"/>
        <v/>
      </c>
      <c r="U314" s="10" t="str">
        <f t="shared" si="313"/>
        <v/>
      </c>
      <c r="V314" s="10" t="str">
        <f>IF(B314="","",IF(Controls!$B$7="Normal",Controls!$B$8+Controls!$B$9*SQRT(-2*LN(B314/2147483647))*COS(2*PI()*L314/2147483647),Controls!$B$8+(Controls!$B$9-Controls!$B$8)*B314/2147483647))</f>
        <v/>
      </c>
      <c r="W314" s="10" t="str">
        <f>IF(C314="","",IF(Controls!$B$7="Normal",Controls!$B$8+Controls!$B$9*SQRT(-2*LN(C314/2147483647))*COS(2*PI()*M314/2147483647),Controls!$B$8+(Controls!$B$9-Controls!$B$8)*C314/2147483647))</f>
        <v/>
      </c>
      <c r="X314" s="10" t="str">
        <f>IF(D314="","",IF(Controls!$B$7="Normal",Controls!$B$8+Controls!$B$9*SQRT(-2*LN(D314/2147483647))*COS(2*PI()*N314/2147483647),Controls!$B$8+(Controls!$B$9-Controls!$B$8)*D314/2147483647))</f>
        <v/>
      </c>
      <c r="Y314" s="10" t="str">
        <f>IF(E314="","",IF(Controls!$B$7="Normal",Controls!$B$8+Controls!$B$9*SQRT(-2*LN(E314/2147483647))*COS(2*PI()*O314/2147483647),Controls!$B$8+(Controls!$B$9-Controls!$B$8)*E314/2147483647))</f>
        <v/>
      </c>
      <c r="Z314" s="10" t="str">
        <f>IF(F314="","",IF(Controls!$B$7="Normal",Controls!$B$8+Controls!$B$9*SQRT(-2*LN(F314/2147483647))*COS(2*PI()*P314/2147483647),Controls!$B$8+(Controls!$B$9-Controls!$B$8)*F314/2147483647))</f>
        <v/>
      </c>
      <c r="AA314" s="10" t="str">
        <f>IF(G314="","",IF(Controls!$B$7="Normal",Controls!$B$8+Controls!$B$9*SQRT(-2*LN(G314/2147483647))*COS(2*PI()*Q314/2147483647),Controls!$B$8+(Controls!$B$9-Controls!$B$8)*G314/2147483647))</f>
        <v/>
      </c>
      <c r="AB314" s="10" t="str">
        <f>IF(H314="","",IF(Controls!$B$7="Normal",Controls!$B$8+Controls!$B$9*SQRT(-2*LN(H314/2147483647))*COS(2*PI()*R314/2147483647),Controls!$B$8+(Controls!$B$9-Controls!$B$8)*H314/2147483647))</f>
        <v/>
      </c>
      <c r="AC314" s="10" t="str">
        <f>IF(I314="","",IF(Controls!$B$7="Normal",Controls!$B$8+Controls!$B$9*SQRT(-2*LN(I314/2147483647))*COS(2*PI()*S314/2147483647),Controls!$B$8+(Controls!$B$9-Controls!$B$8)*I314/2147483647))</f>
        <v/>
      </c>
      <c r="AD314" s="10" t="str">
        <f>IF(J314="","",IF(Controls!$B$7="Normal",Controls!$B$8+Controls!$B$9*SQRT(-2*LN(J314/2147483647))*COS(2*PI()*T314/2147483647),Controls!$B$8+(Controls!$B$9-Controls!$B$8)*J314/2147483647))</f>
        <v/>
      </c>
      <c r="AE314" s="10" t="str">
        <f>IF(K314="","",IF(Controls!$B$7="Normal",Controls!$B$8+Controls!$B$9*SQRT(-2*LN(K314/2147483647))*COS(2*PI()*U314/2147483647),Controls!$B$8+(Controls!$B$9-Controls!$B$8)*K314/2147483647))</f>
        <v/>
      </c>
    </row>
    <row r="315" ht="21.0" customHeight="1">
      <c r="A315" s="7" t="str">
        <f>IF(314&lt;=Controls!$B$5,Controls!$B$4+313,"")</f>
        <v/>
      </c>
      <c r="B315" s="10" t="str">
        <f>IF(OR($A315="",1&gt;Controls!$B$6),"",MOD(L314*48271,2147483647))</f>
        <v/>
      </c>
      <c r="C315" s="10" t="str">
        <f>IF(OR($A315="",2&gt;Controls!$B$6),"",MOD(M314*48271,2147483647))</f>
        <v/>
      </c>
      <c r="D315" s="10" t="str">
        <f>IF(OR($A315="",3&gt;Controls!$B$6),"",MOD(N314*48271,2147483647))</f>
        <v/>
      </c>
      <c r="E315" s="10" t="str">
        <f>IF(OR($A315="",4&gt;Controls!$B$6),"",MOD(O314*48271,2147483647))</f>
        <v/>
      </c>
      <c r="F315" s="10" t="str">
        <f>IF(OR($A315="",5&gt;Controls!$B$6),"",MOD(P314*48271,2147483647))</f>
        <v/>
      </c>
      <c r="G315" s="10" t="str">
        <f>IF(OR($A315="",6&gt;Controls!$B$6),"",MOD(Q314*48271,2147483647))</f>
        <v/>
      </c>
      <c r="H315" s="10" t="str">
        <f>IF(OR($A315="",7&gt;Controls!$B$6),"",MOD(R314*48271,2147483647))</f>
        <v/>
      </c>
      <c r="I315" s="10" t="str">
        <f>IF(OR($A315="",8&gt;Controls!$B$6),"",MOD(S314*48271,2147483647))</f>
        <v/>
      </c>
      <c r="J315" s="10" t="str">
        <f>IF(OR($A315="",9&gt;Controls!$B$6),"",MOD(T314*48271,2147483647))</f>
        <v/>
      </c>
      <c r="K315" s="10" t="str">
        <f>IF(OR($A315="",10&gt;Controls!$B$6),"",MOD(U314*48271,2147483647))</f>
        <v/>
      </c>
      <c r="L315" s="10" t="str">
        <f t="shared" ref="L315:U315" si="314">IF(B315="","",MOD(B315*48271,2147483647))</f>
        <v/>
      </c>
      <c r="M315" s="10" t="str">
        <f t="shared" si="314"/>
        <v/>
      </c>
      <c r="N315" s="10" t="str">
        <f t="shared" si="314"/>
        <v/>
      </c>
      <c r="O315" s="10" t="str">
        <f t="shared" si="314"/>
        <v/>
      </c>
      <c r="P315" s="10" t="str">
        <f t="shared" si="314"/>
        <v/>
      </c>
      <c r="Q315" s="10" t="str">
        <f t="shared" si="314"/>
        <v/>
      </c>
      <c r="R315" s="10" t="str">
        <f t="shared" si="314"/>
        <v/>
      </c>
      <c r="S315" s="10" t="str">
        <f t="shared" si="314"/>
        <v/>
      </c>
      <c r="T315" s="10" t="str">
        <f t="shared" si="314"/>
        <v/>
      </c>
      <c r="U315" s="10" t="str">
        <f t="shared" si="314"/>
        <v/>
      </c>
      <c r="V315" s="10" t="str">
        <f>IF(B315="","",IF(Controls!$B$7="Normal",Controls!$B$8+Controls!$B$9*SQRT(-2*LN(B315/2147483647))*COS(2*PI()*L315/2147483647),Controls!$B$8+(Controls!$B$9-Controls!$B$8)*B315/2147483647))</f>
        <v/>
      </c>
      <c r="W315" s="10" t="str">
        <f>IF(C315="","",IF(Controls!$B$7="Normal",Controls!$B$8+Controls!$B$9*SQRT(-2*LN(C315/2147483647))*COS(2*PI()*M315/2147483647),Controls!$B$8+(Controls!$B$9-Controls!$B$8)*C315/2147483647))</f>
        <v/>
      </c>
      <c r="X315" s="10" t="str">
        <f>IF(D315="","",IF(Controls!$B$7="Normal",Controls!$B$8+Controls!$B$9*SQRT(-2*LN(D315/2147483647))*COS(2*PI()*N315/2147483647),Controls!$B$8+(Controls!$B$9-Controls!$B$8)*D315/2147483647))</f>
        <v/>
      </c>
      <c r="Y315" s="10" t="str">
        <f>IF(E315="","",IF(Controls!$B$7="Normal",Controls!$B$8+Controls!$B$9*SQRT(-2*LN(E315/2147483647))*COS(2*PI()*O315/2147483647),Controls!$B$8+(Controls!$B$9-Controls!$B$8)*E315/2147483647))</f>
        <v/>
      </c>
      <c r="Z315" s="10" t="str">
        <f>IF(F315="","",IF(Controls!$B$7="Normal",Controls!$B$8+Controls!$B$9*SQRT(-2*LN(F315/2147483647))*COS(2*PI()*P315/2147483647),Controls!$B$8+(Controls!$B$9-Controls!$B$8)*F315/2147483647))</f>
        <v/>
      </c>
      <c r="AA315" s="10" t="str">
        <f>IF(G315="","",IF(Controls!$B$7="Normal",Controls!$B$8+Controls!$B$9*SQRT(-2*LN(G315/2147483647))*COS(2*PI()*Q315/2147483647),Controls!$B$8+(Controls!$B$9-Controls!$B$8)*G315/2147483647))</f>
        <v/>
      </c>
      <c r="AB315" s="10" t="str">
        <f>IF(H315="","",IF(Controls!$B$7="Normal",Controls!$B$8+Controls!$B$9*SQRT(-2*LN(H315/2147483647))*COS(2*PI()*R315/2147483647),Controls!$B$8+(Controls!$B$9-Controls!$B$8)*H315/2147483647))</f>
        <v/>
      </c>
      <c r="AC315" s="10" t="str">
        <f>IF(I315="","",IF(Controls!$B$7="Normal",Controls!$B$8+Controls!$B$9*SQRT(-2*LN(I315/2147483647))*COS(2*PI()*S315/2147483647),Controls!$B$8+(Controls!$B$9-Controls!$B$8)*I315/2147483647))</f>
        <v/>
      </c>
      <c r="AD315" s="10" t="str">
        <f>IF(J315="","",IF(Controls!$B$7="Normal",Controls!$B$8+Controls!$B$9*SQRT(-2*LN(J315/2147483647))*COS(2*PI()*T315/2147483647),Controls!$B$8+(Controls!$B$9-Controls!$B$8)*J315/2147483647))</f>
        <v/>
      </c>
      <c r="AE315" s="10" t="str">
        <f>IF(K315="","",IF(Controls!$B$7="Normal",Controls!$B$8+Controls!$B$9*SQRT(-2*LN(K315/2147483647))*COS(2*PI()*U315/2147483647),Controls!$B$8+(Controls!$B$9-Controls!$B$8)*K315/2147483647))</f>
        <v/>
      </c>
    </row>
    <row r="316" ht="21.0" customHeight="1">
      <c r="A316" s="7" t="str">
        <f>IF(315&lt;=Controls!$B$5,Controls!$B$4+314,"")</f>
        <v/>
      </c>
      <c r="B316" s="10" t="str">
        <f>IF(OR($A316="",1&gt;Controls!$B$6),"",MOD(L315*48271,2147483647))</f>
        <v/>
      </c>
      <c r="C316" s="10" t="str">
        <f>IF(OR($A316="",2&gt;Controls!$B$6),"",MOD(M315*48271,2147483647))</f>
        <v/>
      </c>
      <c r="D316" s="10" t="str">
        <f>IF(OR($A316="",3&gt;Controls!$B$6),"",MOD(N315*48271,2147483647))</f>
        <v/>
      </c>
      <c r="E316" s="10" t="str">
        <f>IF(OR($A316="",4&gt;Controls!$B$6),"",MOD(O315*48271,2147483647))</f>
        <v/>
      </c>
      <c r="F316" s="10" t="str">
        <f>IF(OR($A316="",5&gt;Controls!$B$6),"",MOD(P315*48271,2147483647))</f>
        <v/>
      </c>
      <c r="G316" s="10" t="str">
        <f>IF(OR($A316="",6&gt;Controls!$B$6),"",MOD(Q315*48271,2147483647))</f>
        <v/>
      </c>
      <c r="H316" s="10" t="str">
        <f>IF(OR($A316="",7&gt;Controls!$B$6),"",MOD(R315*48271,2147483647))</f>
        <v/>
      </c>
      <c r="I316" s="10" t="str">
        <f>IF(OR($A316="",8&gt;Controls!$B$6),"",MOD(S315*48271,2147483647))</f>
        <v/>
      </c>
      <c r="J316" s="10" t="str">
        <f>IF(OR($A316="",9&gt;Controls!$B$6),"",MOD(T315*48271,2147483647))</f>
        <v/>
      </c>
      <c r="K316" s="10" t="str">
        <f>IF(OR($A316="",10&gt;Controls!$B$6),"",MOD(U315*48271,2147483647))</f>
        <v/>
      </c>
      <c r="L316" s="10" t="str">
        <f t="shared" ref="L316:U316" si="315">IF(B316="","",MOD(B316*48271,2147483647))</f>
        <v/>
      </c>
      <c r="M316" s="10" t="str">
        <f t="shared" si="315"/>
        <v/>
      </c>
      <c r="N316" s="10" t="str">
        <f t="shared" si="315"/>
        <v/>
      </c>
      <c r="O316" s="10" t="str">
        <f t="shared" si="315"/>
        <v/>
      </c>
      <c r="P316" s="10" t="str">
        <f t="shared" si="315"/>
        <v/>
      </c>
      <c r="Q316" s="10" t="str">
        <f t="shared" si="315"/>
        <v/>
      </c>
      <c r="R316" s="10" t="str">
        <f t="shared" si="315"/>
        <v/>
      </c>
      <c r="S316" s="10" t="str">
        <f t="shared" si="315"/>
        <v/>
      </c>
      <c r="T316" s="10" t="str">
        <f t="shared" si="315"/>
        <v/>
      </c>
      <c r="U316" s="10" t="str">
        <f t="shared" si="315"/>
        <v/>
      </c>
      <c r="V316" s="10" t="str">
        <f>IF(B316="","",IF(Controls!$B$7="Normal",Controls!$B$8+Controls!$B$9*SQRT(-2*LN(B316/2147483647))*COS(2*PI()*L316/2147483647),Controls!$B$8+(Controls!$B$9-Controls!$B$8)*B316/2147483647))</f>
        <v/>
      </c>
      <c r="W316" s="10" t="str">
        <f>IF(C316="","",IF(Controls!$B$7="Normal",Controls!$B$8+Controls!$B$9*SQRT(-2*LN(C316/2147483647))*COS(2*PI()*M316/2147483647),Controls!$B$8+(Controls!$B$9-Controls!$B$8)*C316/2147483647))</f>
        <v/>
      </c>
      <c r="X316" s="10" t="str">
        <f>IF(D316="","",IF(Controls!$B$7="Normal",Controls!$B$8+Controls!$B$9*SQRT(-2*LN(D316/2147483647))*COS(2*PI()*N316/2147483647),Controls!$B$8+(Controls!$B$9-Controls!$B$8)*D316/2147483647))</f>
        <v/>
      </c>
      <c r="Y316" s="10" t="str">
        <f>IF(E316="","",IF(Controls!$B$7="Normal",Controls!$B$8+Controls!$B$9*SQRT(-2*LN(E316/2147483647))*COS(2*PI()*O316/2147483647),Controls!$B$8+(Controls!$B$9-Controls!$B$8)*E316/2147483647))</f>
        <v/>
      </c>
      <c r="Z316" s="10" t="str">
        <f>IF(F316="","",IF(Controls!$B$7="Normal",Controls!$B$8+Controls!$B$9*SQRT(-2*LN(F316/2147483647))*COS(2*PI()*P316/2147483647),Controls!$B$8+(Controls!$B$9-Controls!$B$8)*F316/2147483647))</f>
        <v/>
      </c>
      <c r="AA316" s="10" t="str">
        <f>IF(G316="","",IF(Controls!$B$7="Normal",Controls!$B$8+Controls!$B$9*SQRT(-2*LN(G316/2147483647))*COS(2*PI()*Q316/2147483647),Controls!$B$8+(Controls!$B$9-Controls!$B$8)*G316/2147483647))</f>
        <v/>
      </c>
      <c r="AB316" s="10" t="str">
        <f>IF(H316="","",IF(Controls!$B$7="Normal",Controls!$B$8+Controls!$B$9*SQRT(-2*LN(H316/2147483647))*COS(2*PI()*R316/2147483647),Controls!$B$8+(Controls!$B$9-Controls!$B$8)*H316/2147483647))</f>
        <v/>
      </c>
      <c r="AC316" s="10" t="str">
        <f>IF(I316="","",IF(Controls!$B$7="Normal",Controls!$B$8+Controls!$B$9*SQRT(-2*LN(I316/2147483647))*COS(2*PI()*S316/2147483647),Controls!$B$8+(Controls!$B$9-Controls!$B$8)*I316/2147483647))</f>
        <v/>
      </c>
      <c r="AD316" s="10" t="str">
        <f>IF(J316="","",IF(Controls!$B$7="Normal",Controls!$B$8+Controls!$B$9*SQRT(-2*LN(J316/2147483647))*COS(2*PI()*T316/2147483647),Controls!$B$8+(Controls!$B$9-Controls!$B$8)*J316/2147483647))</f>
        <v/>
      </c>
      <c r="AE316" s="10" t="str">
        <f>IF(K316="","",IF(Controls!$B$7="Normal",Controls!$B$8+Controls!$B$9*SQRT(-2*LN(K316/2147483647))*COS(2*PI()*U316/2147483647),Controls!$B$8+(Controls!$B$9-Controls!$B$8)*K316/2147483647))</f>
        <v/>
      </c>
    </row>
    <row r="317" ht="21.0" customHeight="1">
      <c r="A317" s="7" t="str">
        <f>IF(316&lt;=Controls!$B$5,Controls!$B$4+315,"")</f>
        <v/>
      </c>
      <c r="B317" s="10" t="str">
        <f>IF(OR($A317="",1&gt;Controls!$B$6),"",MOD(L316*48271,2147483647))</f>
        <v/>
      </c>
      <c r="C317" s="10" t="str">
        <f>IF(OR($A317="",2&gt;Controls!$B$6),"",MOD(M316*48271,2147483647))</f>
        <v/>
      </c>
      <c r="D317" s="10" t="str">
        <f>IF(OR($A317="",3&gt;Controls!$B$6),"",MOD(N316*48271,2147483647))</f>
        <v/>
      </c>
      <c r="E317" s="10" t="str">
        <f>IF(OR($A317="",4&gt;Controls!$B$6),"",MOD(O316*48271,2147483647))</f>
        <v/>
      </c>
      <c r="F317" s="10" t="str">
        <f>IF(OR($A317="",5&gt;Controls!$B$6),"",MOD(P316*48271,2147483647))</f>
        <v/>
      </c>
      <c r="G317" s="10" t="str">
        <f>IF(OR($A317="",6&gt;Controls!$B$6),"",MOD(Q316*48271,2147483647))</f>
        <v/>
      </c>
      <c r="H317" s="10" t="str">
        <f>IF(OR($A317="",7&gt;Controls!$B$6),"",MOD(R316*48271,2147483647))</f>
        <v/>
      </c>
      <c r="I317" s="10" t="str">
        <f>IF(OR($A317="",8&gt;Controls!$B$6),"",MOD(S316*48271,2147483647))</f>
        <v/>
      </c>
      <c r="J317" s="10" t="str">
        <f>IF(OR($A317="",9&gt;Controls!$B$6),"",MOD(T316*48271,2147483647))</f>
        <v/>
      </c>
      <c r="K317" s="10" t="str">
        <f>IF(OR($A317="",10&gt;Controls!$B$6),"",MOD(U316*48271,2147483647))</f>
        <v/>
      </c>
      <c r="L317" s="10" t="str">
        <f t="shared" ref="L317:U317" si="316">IF(B317="","",MOD(B317*48271,2147483647))</f>
        <v/>
      </c>
      <c r="M317" s="10" t="str">
        <f t="shared" si="316"/>
        <v/>
      </c>
      <c r="N317" s="10" t="str">
        <f t="shared" si="316"/>
        <v/>
      </c>
      <c r="O317" s="10" t="str">
        <f t="shared" si="316"/>
        <v/>
      </c>
      <c r="P317" s="10" t="str">
        <f t="shared" si="316"/>
        <v/>
      </c>
      <c r="Q317" s="10" t="str">
        <f t="shared" si="316"/>
        <v/>
      </c>
      <c r="R317" s="10" t="str">
        <f t="shared" si="316"/>
        <v/>
      </c>
      <c r="S317" s="10" t="str">
        <f t="shared" si="316"/>
        <v/>
      </c>
      <c r="T317" s="10" t="str">
        <f t="shared" si="316"/>
        <v/>
      </c>
      <c r="U317" s="10" t="str">
        <f t="shared" si="316"/>
        <v/>
      </c>
      <c r="V317" s="10" t="str">
        <f>IF(B317="","",IF(Controls!$B$7="Normal",Controls!$B$8+Controls!$B$9*SQRT(-2*LN(B317/2147483647))*COS(2*PI()*L317/2147483647),Controls!$B$8+(Controls!$B$9-Controls!$B$8)*B317/2147483647))</f>
        <v/>
      </c>
      <c r="W317" s="10" t="str">
        <f>IF(C317="","",IF(Controls!$B$7="Normal",Controls!$B$8+Controls!$B$9*SQRT(-2*LN(C317/2147483647))*COS(2*PI()*M317/2147483647),Controls!$B$8+(Controls!$B$9-Controls!$B$8)*C317/2147483647))</f>
        <v/>
      </c>
      <c r="X317" s="10" t="str">
        <f>IF(D317="","",IF(Controls!$B$7="Normal",Controls!$B$8+Controls!$B$9*SQRT(-2*LN(D317/2147483647))*COS(2*PI()*N317/2147483647),Controls!$B$8+(Controls!$B$9-Controls!$B$8)*D317/2147483647))</f>
        <v/>
      </c>
      <c r="Y317" s="10" t="str">
        <f>IF(E317="","",IF(Controls!$B$7="Normal",Controls!$B$8+Controls!$B$9*SQRT(-2*LN(E317/2147483647))*COS(2*PI()*O317/2147483647),Controls!$B$8+(Controls!$B$9-Controls!$B$8)*E317/2147483647))</f>
        <v/>
      </c>
      <c r="Z317" s="10" t="str">
        <f>IF(F317="","",IF(Controls!$B$7="Normal",Controls!$B$8+Controls!$B$9*SQRT(-2*LN(F317/2147483647))*COS(2*PI()*P317/2147483647),Controls!$B$8+(Controls!$B$9-Controls!$B$8)*F317/2147483647))</f>
        <v/>
      </c>
      <c r="AA317" s="10" t="str">
        <f>IF(G317="","",IF(Controls!$B$7="Normal",Controls!$B$8+Controls!$B$9*SQRT(-2*LN(G317/2147483647))*COS(2*PI()*Q317/2147483647),Controls!$B$8+(Controls!$B$9-Controls!$B$8)*G317/2147483647))</f>
        <v/>
      </c>
      <c r="AB317" s="10" t="str">
        <f>IF(H317="","",IF(Controls!$B$7="Normal",Controls!$B$8+Controls!$B$9*SQRT(-2*LN(H317/2147483647))*COS(2*PI()*R317/2147483647),Controls!$B$8+(Controls!$B$9-Controls!$B$8)*H317/2147483647))</f>
        <v/>
      </c>
      <c r="AC317" s="10" t="str">
        <f>IF(I317="","",IF(Controls!$B$7="Normal",Controls!$B$8+Controls!$B$9*SQRT(-2*LN(I317/2147483647))*COS(2*PI()*S317/2147483647),Controls!$B$8+(Controls!$B$9-Controls!$B$8)*I317/2147483647))</f>
        <v/>
      </c>
      <c r="AD317" s="10" t="str">
        <f>IF(J317="","",IF(Controls!$B$7="Normal",Controls!$B$8+Controls!$B$9*SQRT(-2*LN(J317/2147483647))*COS(2*PI()*T317/2147483647),Controls!$B$8+(Controls!$B$9-Controls!$B$8)*J317/2147483647))</f>
        <v/>
      </c>
      <c r="AE317" s="10" t="str">
        <f>IF(K317="","",IF(Controls!$B$7="Normal",Controls!$B$8+Controls!$B$9*SQRT(-2*LN(K317/2147483647))*COS(2*PI()*U317/2147483647),Controls!$B$8+(Controls!$B$9-Controls!$B$8)*K317/2147483647))</f>
        <v/>
      </c>
    </row>
    <row r="318" ht="21.0" customHeight="1">
      <c r="A318" s="7" t="str">
        <f>IF(317&lt;=Controls!$B$5,Controls!$B$4+316,"")</f>
        <v/>
      </c>
      <c r="B318" s="10" t="str">
        <f>IF(OR($A318="",1&gt;Controls!$B$6),"",MOD(L317*48271,2147483647))</f>
        <v/>
      </c>
      <c r="C318" s="10" t="str">
        <f>IF(OR($A318="",2&gt;Controls!$B$6),"",MOD(M317*48271,2147483647))</f>
        <v/>
      </c>
      <c r="D318" s="10" t="str">
        <f>IF(OR($A318="",3&gt;Controls!$B$6),"",MOD(N317*48271,2147483647))</f>
        <v/>
      </c>
      <c r="E318" s="10" t="str">
        <f>IF(OR($A318="",4&gt;Controls!$B$6),"",MOD(O317*48271,2147483647))</f>
        <v/>
      </c>
      <c r="F318" s="10" t="str">
        <f>IF(OR($A318="",5&gt;Controls!$B$6),"",MOD(P317*48271,2147483647))</f>
        <v/>
      </c>
      <c r="G318" s="10" t="str">
        <f>IF(OR($A318="",6&gt;Controls!$B$6),"",MOD(Q317*48271,2147483647))</f>
        <v/>
      </c>
      <c r="H318" s="10" t="str">
        <f>IF(OR($A318="",7&gt;Controls!$B$6),"",MOD(R317*48271,2147483647))</f>
        <v/>
      </c>
      <c r="I318" s="10" t="str">
        <f>IF(OR($A318="",8&gt;Controls!$B$6),"",MOD(S317*48271,2147483647))</f>
        <v/>
      </c>
      <c r="J318" s="10" t="str">
        <f>IF(OR($A318="",9&gt;Controls!$B$6),"",MOD(T317*48271,2147483647))</f>
        <v/>
      </c>
      <c r="K318" s="10" t="str">
        <f>IF(OR($A318="",10&gt;Controls!$B$6),"",MOD(U317*48271,2147483647))</f>
        <v/>
      </c>
      <c r="L318" s="10" t="str">
        <f t="shared" ref="L318:U318" si="317">IF(B318="","",MOD(B318*48271,2147483647))</f>
        <v/>
      </c>
      <c r="M318" s="10" t="str">
        <f t="shared" si="317"/>
        <v/>
      </c>
      <c r="N318" s="10" t="str">
        <f t="shared" si="317"/>
        <v/>
      </c>
      <c r="O318" s="10" t="str">
        <f t="shared" si="317"/>
        <v/>
      </c>
      <c r="P318" s="10" t="str">
        <f t="shared" si="317"/>
        <v/>
      </c>
      <c r="Q318" s="10" t="str">
        <f t="shared" si="317"/>
        <v/>
      </c>
      <c r="R318" s="10" t="str">
        <f t="shared" si="317"/>
        <v/>
      </c>
      <c r="S318" s="10" t="str">
        <f t="shared" si="317"/>
        <v/>
      </c>
      <c r="T318" s="10" t="str">
        <f t="shared" si="317"/>
        <v/>
      </c>
      <c r="U318" s="10" t="str">
        <f t="shared" si="317"/>
        <v/>
      </c>
      <c r="V318" s="10" t="str">
        <f>IF(B318="","",IF(Controls!$B$7="Normal",Controls!$B$8+Controls!$B$9*SQRT(-2*LN(B318/2147483647))*COS(2*PI()*L318/2147483647),Controls!$B$8+(Controls!$B$9-Controls!$B$8)*B318/2147483647))</f>
        <v/>
      </c>
      <c r="W318" s="10" t="str">
        <f>IF(C318="","",IF(Controls!$B$7="Normal",Controls!$B$8+Controls!$B$9*SQRT(-2*LN(C318/2147483647))*COS(2*PI()*M318/2147483647),Controls!$B$8+(Controls!$B$9-Controls!$B$8)*C318/2147483647))</f>
        <v/>
      </c>
      <c r="X318" s="10" t="str">
        <f>IF(D318="","",IF(Controls!$B$7="Normal",Controls!$B$8+Controls!$B$9*SQRT(-2*LN(D318/2147483647))*COS(2*PI()*N318/2147483647),Controls!$B$8+(Controls!$B$9-Controls!$B$8)*D318/2147483647))</f>
        <v/>
      </c>
      <c r="Y318" s="10" t="str">
        <f>IF(E318="","",IF(Controls!$B$7="Normal",Controls!$B$8+Controls!$B$9*SQRT(-2*LN(E318/2147483647))*COS(2*PI()*O318/2147483647),Controls!$B$8+(Controls!$B$9-Controls!$B$8)*E318/2147483647))</f>
        <v/>
      </c>
      <c r="Z318" s="10" t="str">
        <f>IF(F318="","",IF(Controls!$B$7="Normal",Controls!$B$8+Controls!$B$9*SQRT(-2*LN(F318/2147483647))*COS(2*PI()*P318/2147483647),Controls!$B$8+(Controls!$B$9-Controls!$B$8)*F318/2147483647))</f>
        <v/>
      </c>
      <c r="AA318" s="10" t="str">
        <f>IF(G318="","",IF(Controls!$B$7="Normal",Controls!$B$8+Controls!$B$9*SQRT(-2*LN(G318/2147483647))*COS(2*PI()*Q318/2147483647),Controls!$B$8+(Controls!$B$9-Controls!$B$8)*G318/2147483647))</f>
        <v/>
      </c>
      <c r="AB318" s="10" t="str">
        <f>IF(H318="","",IF(Controls!$B$7="Normal",Controls!$B$8+Controls!$B$9*SQRT(-2*LN(H318/2147483647))*COS(2*PI()*R318/2147483647),Controls!$B$8+(Controls!$B$9-Controls!$B$8)*H318/2147483647))</f>
        <v/>
      </c>
      <c r="AC318" s="10" t="str">
        <f>IF(I318="","",IF(Controls!$B$7="Normal",Controls!$B$8+Controls!$B$9*SQRT(-2*LN(I318/2147483647))*COS(2*PI()*S318/2147483647),Controls!$B$8+(Controls!$B$9-Controls!$B$8)*I318/2147483647))</f>
        <v/>
      </c>
      <c r="AD318" s="10" t="str">
        <f>IF(J318="","",IF(Controls!$B$7="Normal",Controls!$B$8+Controls!$B$9*SQRT(-2*LN(J318/2147483647))*COS(2*PI()*T318/2147483647),Controls!$B$8+(Controls!$B$9-Controls!$B$8)*J318/2147483647))</f>
        <v/>
      </c>
      <c r="AE318" s="10" t="str">
        <f>IF(K318="","",IF(Controls!$B$7="Normal",Controls!$B$8+Controls!$B$9*SQRT(-2*LN(K318/2147483647))*COS(2*PI()*U318/2147483647),Controls!$B$8+(Controls!$B$9-Controls!$B$8)*K318/2147483647))</f>
        <v/>
      </c>
    </row>
    <row r="319" ht="21.0" customHeight="1">
      <c r="A319" s="7" t="str">
        <f>IF(318&lt;=Controls!$B$5,Controls!$B$4+317,"")</f>
        <v/>
      </c>
      <c r="B319" s="10" t="str">
        <f>IF(OR($A319="",1&gt;Controls!$B$6),"",MOD(L318*48271,2147483647))</f>
        <v/>
      </c>
      <c r="C319" s="10" t="str">
        <f>IF(OR($A319="",2&gt;Controls!$B$6),"",MOD(M318*48271,2147483647))</f>
        <v/>
      </c>
      <c r="D319" s="10" t="str">
        <f>IF(OR($A319="",3&gt;Controls!$B$6),"",MOD(N318*48271,2147483647))</f>
        <v/>
      </c>
      <c r="E319" s="10" t="str">
        <f>IF(OR($A319="",4&gt;Controls!$B$6),"",MOD(O318*48271,2147483647))</f>
        <v/>
      </c>
      <c r="F319" s="10" t="str">
        <f>IF(OR($A319="",5&gt;Controls!$B$6),"",MOD(P318*48271,2147483647))</f>
        <v/>
      </c>
      <c r="G319" s="10" t="str">
        <f>IF(OR($A319="",6&gt;Controls!$B$6),"",MOD(Q318*48271,2147483647))</f>
        <v/>
      </c>
      <c r="H319" s="10" t="str">
        <f>IF(OR($A319="",7&gt;Controls!$B$6),"",MOD(R318*48271,2147483647))</f>
        <v/>
      </c>
      <c r="I319" s="10" t="str">
        <f>IF(OR($A319="",8&gt;Controls!$B$6),"",MOD(S318*48271,2147483647))</f>
        <v/>
      </c>
      <c r="J319" s="10" t="str">
        <f>IF(OR($A319="",9&gt;Controls!$B$6),"",MOD(T318*48271,2147483647))</f>
        <v/>
      </c>
      <c r="K319" s="10" t="str">
        <f>IF(OR($A319="",10&gt;Controls!$B$6),"",MOD(U318*48271,2147483647))</f>
        <v/>
      </c>
      <c r="L319" s="10" t="str">
        <f t="shared" ref="L319:U319" si="318">IF(B319="","",MOD(B319*48271,2147483647))</f>
        <v/>
      </c>
      <c r="M319" s="10" t="str">
        <f t="shared" si="318"/>
        <v/>
      </c>
      <c r="N319" s="10" t="str">
        <f t="shared" si="318"/>
        <v/>
      </c>
      <c r="O319" s="10" t="str">
        <f t="shared" si="318"/>
        <v/>
      </c>
      <c r="P319" s="10" t="str">
        <f t="shared" si="318"/>
        <v/>
      </c>
      <c r="Q319" s="10" t="str">
        <f t="shared" si="318"/>
        <v/>
      </c>
      <c r="R319" s="10" t="str">
        <f t="shared" si="318"/>
        <v/>
      </c>
      <c r="S319" s="10" t="str">
        <f t="shared" si="318"/>
        <v/>
      </c>
      <c r="T319" s="10" t="str">
        <f t="shared" si="318"/>
        <v/>
      </c>
      <c r="U319" s="10" t="str">
        <f t="shared" si="318"/>
        <v/>
      </c>
      <c r="V319" s="10" t="str">
        <f>IF(B319="","",IF(Controls!$B$7="Normal",Controls!$B$8+Controls!$B$9*SQRT(-2*LN(B319/2147483647))*COS(2*PI()*L319/2147483647),Controls!$B$8+(Controls!$B$9-Controls!$B$8)*B319/2147483647))</f>
        <v/>
      </c>
      <c r="W319" s="10" t="str">
        <f>IF(C319="","",IF(Controls!$B$7="Normal",Controls!$B$8+Controls!$B$9*SQRT(-2*LN(C319/2147483647))*COS(2*PI()*M319/2147483647),Controls!$B$8+(Controls!$B$9-Controls!$B$8)*C319/2147483647))</f>
        <v/>
      </c>
      <c r="X319" s="10" t="str">
        <f>IF(D319="","",IF(Controls!$B$7="Normal",Controls!$B$8+Controls!$B$9*SQRT(-2*LN(D319/2147483647))*COS(2*PI()*N319/2147483647),Controls!$B$8+(Controls!$B$9-Controls!$B$8)*D319/2147483647))</f>
        <v/>
      </c>
      <c r="Y319" s="10" t="str">
        <f>IF(E319="","",IF(Controls!$B$7="Normal",Controls!$B$8+Controls!$B$9*SQRT(-2*LN(E319/2147483647))*COS(2*PI()*O319/2147483647),Controls!$B$8+(Controls!$B$9-Controls!$B$8)*E319/2147483647))</f>
        <v/>
      </c>
      <c r="Z319" s="10" t="str">
        <f>IF(F319="","",IF(Controls!$B$7="Normal",Controls!$B$8+Controls!$B$9*SQRT(-2*LN(F319/2147483647))*COS(2*PI()*P319/2147483647),Controls!$B$8+(Controls!$B$9-Controls!$B$8)*F319/2147483647))</f>
        <v/>
      </c>
      <c r="AA319" s="10" t="str">
        <f>IF(G319="","",IF(Controls!$B$7="Normal",Controls!$B$8+Controls!$B$9*SQRT(-2*LN(G319/2147483647))*COS(2*PI()*Q319/2147483647),Controls!$B$8+(Controls!$B$9-Controls!$B$8)*G319/2147483647))</f>
        <v/>
      </c>
      <c r="AB319" s="10" t="str">
        <f>IF(H319="","",IF(Controls!$B$7="Normal",Controls!$B$8+Controls!$B$9*SQRT(-2*LN(H319/2147483647))*COS(2*PI()*R319/2147483647),Controls!$B$8+(Controls!$B$9-Controls!$B$8)*H319/2147483647))</f>
        <v/>
      </c>
      <c r="AC319" s="10" t="str">
        <f>IF(I319="","",IF(Controls!$B$7="Normal",Controls!$B$8+Controls!$B$9*SQRT(-2*LN(I319/2147483647))*COS(2*PI()*S319/2147483647),Controls!$B$8+(Controls!$B$9-Controls!$B$8)*I319/2147483647))</f>
        <v/>
      </c>
      <c r="AD319" s="10" t="str">
        <f>IF(J319="","",IF(Controls!$B$7="Normal",Controls!$B$8+Controls!$B$9*SQRT(-2*LN(J319/2147483647))*COS(2*PI()*T319/2147483647),Controls!$B$8+(Controls!$B$9-Controls!$B$8)*J319/2147483647))</f>
        <v/>
      </c>
      <c r="AE319" s="10" t="str">
        <f>IF(K319="","",IF(Controls!$B$7="Normal",Controls!$B$8+Controls!$B$9*SQRT(-2*LN(K319/2147483647))*COS(2*PI()*U319/2147483647),Controls!$B$8+(Controls!$B$9-Controls!$B$8)*K319/2147483647))</f>
        <v/>
      </c>
    </row>
    <row r="320" ht="21.0" customHeight="1">
      <c r="A320" s="7" t="str">
        <f>IF(319&lt;=Controls!$B$5,Controls!$B$4+318,"")</f>
        <v/>
      </c>
      <c r="B320" s="10" t="str">
        <f>IF(OR($A320="",1&gt;Controls!$B$6),"",MOD(L319*48271,2147483647))</f>
        <v/>
      </c>
      <c r="C320" s="10" t="str">
        <f>IF(OR($A320="",2&gt;Controls!$B$6),"",MOD(M319*48271,2147483647))</f>
        <v/>
      </c>
      <c r="D320" s="10" t="str">
        <f>IF(OR($A320="",3&gt;Controls!$B$6),"",MOD(N319*48271,2147483647))</f>
        <v/>
      </c>
      <c r="E320" s="10" t="str">
        <f>IF(OR($A320="",4&gt;Controls!$B$6),"",MOD(O319*48271,2147483647))</f>
        <v/>
      </c>
      <c r="F320" s="10" t="str">
        <f>IF(OR($A320="",5&gt;Controls!$B$6),"",MOD(P319*48271,2147483647))</f>
        <v/>
      </c>
      <c r="G320" s="10" t="str">
        <f>IF(OR($A320="",6&gt;Controls!$B$6),"",MOD(Q319*48271,2147483647))</f>
        <v/>
      </c>
      <c r="H320" s="10" t="str">
        <f>IF(OR($A320="",7&gt;Controls!$B$6),"",MOD(R319*48271,2147483647))</f>
        <v/>
      </c>
      <c r="I320" s="10" t="str">
        <f>IF(OR($A320="",8&gt;Controls!$B$6),"",MOD(S319*48271,2147483647))</f>
        <v/>
      </c>
      <c r="J320" s="10" t="str">
        <f>IF(OR($A320="",9&gt;Controls!$B$6),"",MOD(T319*48271,2147483647))</f>
        <v/>
      </c>
      <c r="K320" s="10" t="str">
        <f>IF(OR($A320="",10&gt;Controls!$B$6),"",MOD(U319*48271,2147483647))</f>
        <v/>
      </c>
      <c r="L320" s="10" t="str">
        <f t="shared" ref="L320:U320" si="319">IF(B320="","",MOD(B320*48271,2147483647))</f>
        <v/>
      </c>
      <c r="M320" s="10" t="str">
        <f t="shared" si="319"/>
        <v/>
      </c>
      <c r="N320" s="10" t="str">
        <f t="shared" si="319"/>
        <v/>
      </c>
      <c r="O320" s="10" t="str">
        <f t="shared" si="319"/>
        <v/>
      </c>
      <c r="P320" s="10" t="str">
        <f t="shared" si="319"/>
        <v/>
      </c>
      <c r="Q320" s="10" t="str">
        <f t="shared" si="319"/>
        <v/>
      </c>
      <c r="R320" s="10" t="str">
        <f t="shared" si="319"/>
        <v/>
      </c>
      <c r="S320" s="10" t="str">
        <f t="shared" si="319"/>
        <v/>
      </c>
      <c r="T320" s="10" t="str">
        <f t="shared" si="319"/>
        <v/>
      </c>
      <c r="U320" s="10" t="str">
        <f t="shared" si="319"/>
        <v/>
      </c>
      <c r="V320" s="10" t="str">
        <f>IF(B320="","",IF(Controls!$B$7="Normal",Controls!$B$8+Controls!$B$9*SQRT(-2*LN(B320/2147483647))*COS(2*PI()*L320/2147483647),Controls!$B$8+(Controls!$B$9-Controls!$B$8)*B320/2147483647))</f>
        <v/>
      </c>
      <c r="W320" s="10" t="str">
        <f>IF(C320="","",IF(Controls!$B$7="Normal",Controls!$B$8+Controls!$B$9*SQRT(-2*LN(C320/2147483647))*COS(2*PI()*M320/2147483647),Controls!$B$8+(Controls!$B$9-Controls!$B$8)*C320/2147483647))</f>
        <v/>
      </c>
      <c r="X320" s="10" t="str">
        <f>IF(D320="","",IF(Controls!$B$7="Normal",Controls!$B$8+Controls!$B$9*SQRT(-2*LN(D320/2147483647))*COS(2*PI()*N320/2147483647),Controls!$B$8+(Controls!$B$9-Controls!$B$8)*D320/2147483647))</f>
        <v/>
      </c>
      <c r="Y320" s="10" t="str">
        <f>IF(E320="","",IF(Controls!$B$7="Normal",Controls!$B$8+Controls!$B$9*SQRT(-2*LN(E320/2147483647))*COS(2*PI()*O320/2147483647),Controls!$B$8+(Controls!$B$9-Controls!$B$8)*E320/2147483647))</f>
        <v/>
      </c>
      <c r="Z320" s="10" t="str">
        <f>IF(F320="","",IF(Controls!$B$7="Normal",Controls!$B$8+Controls!$B$9*SQRT(-2*LN(F320/2147483647))*COS(2*PI()*P320/2147483647),Controls!$B$8+(Controls!$B$9-Controls!$B$8)*F320/2147483647))</f>
        <v/>
      </c>
      <c r="AA320" s="10" t="str">
        <f>IF(G320="","",IF(Controls!$B$7="Normal",Controls!$B$8+Controls!$B$9*SQRT(-2*LN(G320/2147483647))*COS(2*PI()*Q320/2147483647),Controls!$B$8+(Controls!$B$9-Controls!$B$8)*G320/2147483647))</f>
        <v/>
      </c>
      <c r="AB320" s="10" t="str">
        <f>IF(H320="","",IF(Controls!$B$7="Normal",Controls!$B$8+Controls!$B$9*SQRT(-2*LN(H320/2147483647))*COS(2*PI()*R320/2147483647),Controls!$B$8+(Controls!$B$9-Controls!$B$8)*H320/2147483647))</f>
        <v/>
      </c>
      <c r="AC320" s="10" t="str">
        <f>IF(I320="","",IF(Controls!$B$7="Normal",Controls!$B$8+Controls!$B$9*SQRT(-2*LN(I320/2147483647))*COS(2*PI()*S320/2147483647),Controls!$B$8+(Controls!$B$9-Controls!$B$8)*I320/2147483647))</f>
        <v/>
      </c>
      <c r="AD320" s="10" t="str">
        <f>IF(J320="","",IF(Controls!$B$7="Normal",Controls!$B$8+Controls!$B$9*SQRT(-2*LN(J320/2147483647))*COS(2*PI()*T320/2147483647),Controls!$B$8+(Controls!$B$9-Controls!$B$8)*J320/2147483647))</f>
        <v/>
      </c>
      <c r="AE320" s="10" t="str">
        <f>IF(K320="","",IF(Controls!$B$7="Normal",Controls!$B$8+Controls!$B$9*SQRT(-2*LN(K320/2147483647))*COS(2*PI()*U320/2147483647),Controls!$B$8+(Controls!$B$9-Controls!$B$8)*K320/2147483647))</f>
        <v/>
      </c>
    </row>
    <row r="321" ht="21.0" customHeight="1">
      <c r="A321" s="7" t="str">
        <f>IF(320&lt;=Controls!$B$5,Controls!$B$4+319,"")</f>
        <v/>
      </c>
      <c r="B321" s="10" t="str">
        <f>IF(OR($A321="",1&gt;Controls!$B$6),"",MOD(L320*48271,2147483647))</f>
        <v/>
      </c>
      <c r="C321" s="10" t="str">
        <f>IF(OR($A321="",2&gt;Controls!$B$6),"",MOD(M320*48271,2147483647))</f>
        <v/>
      </c>
      <c r="D321" s="10" t="str">
        <f>IF(OR($A321="",3&gt;Controls!$B$6),"",MOD(N320*48271,2147483647))</f>
        <v/>
      </c>
      <c r="E321" s="10" t="str">
        <f>IF(OR($A321="",4&gt;Controls!$B$6),"",MOD(O320*48271,2147483647))</f>
        <v/>
      </c>
      <c r="F321" s="10" t="str">
        <f>IF(OR($A321="",5&gt;Controls!$B$6),"",MOD(P320*48271,2147483647))</f>
        <v/>
      </c>
      <c r="G321" s="10" t="str">
        <f>IF(OR($A321="",6&gt;Controls!$B$6),"",MOD(Q320*48271,2147483647))</f>
        <v/>
      </c>
      <c r="H321" s="10" t="str">
        <f>IF(OR($A321="",7&gt;Controls!$B$6),"",MOD(R320*48271,2147483647))</f>
        <v/>
      </c>
      <c r="I321" s="10" t="str">
        <f>IF(OR($A321="",8&gt;Controls!$B$6),"",MOD(S320*48271,2147483647))</f>
        <v/>
      </c>
      <c r="J321" s="10" t="str">
        <f>IF(OR($A321="",9&gt;Controls!$B$6),"",MOD(T320*48271,2147483647))</f>
        <v/>
      </c>
      <c r="K321" s="10" t="str">
        <f>IF(OR($A321="",10&gt;Controls!$B$6),"",MOD(U320*48271,2147483647))</f>
        <v/>
      </c>
      <c r="L321" s="10" t="str">
        <f t="shared" ref="L321:U321" si="320">IF(B321="","",MOD(B321*48271,2147483647))</f>
        <v/>
      </c>
      <c r="M321" s="10" t="str">
        <f t="shared" si="320"/>
        <v/>
      </c>
      <c r="N321" s="10" t="str">
        <f t="shared" si="320"/>
        <v/>
      </c>
      <c r="O321" s="10" t="str">
        <f t="shared" si="320"/>
        <v/>
      </c>
      <c r="P321" s="10" t="str">
        <f t="shared" si="320"/>
        <v/>
      </c>
      <c r="Q321" s="10" t="str">
        <f t="shared" si="320"/>
        <v/>
      </c>
      <c r="R321" s="10" t="str">
        <f t="shared" si="320"/>
        <v/>
      </c>
      <c r="S321" s="10" t="str">
        <f t="shared" si="320"/>
        <v/>
      </c>
      <c r="T321" s="10" t="str">
        <f t="shared" si="320"/>
        <v/>
      </c>
      <c r="U321" s="10" t="str">
        <f t="shared" si="320"/>
        <v/>
      </c>
      <c r="V321" s="10" t="str">
        <f>IF(B321="","",IF(Controls!$B$7="Normal",Controls!$B$8+Controls!$B$9*SQRT(-2*LN(B321/2147483647))*COS(2*PI()*L321/2147483647),Controls!$B$8+(Controls!$B$9-Controls!$B$8)*B321/2147483647))</f>
        <v/>
      </c>
      <c r="W321" s="10" t="str">
        <f>IF(C321="","",IF(Controls!$B$7="Normal",Controls!$B$8+Controls!$B$9*SQRT(-2*LN(C321/2147483647))*COS(2*PI()*M321/2147483647),Controls!$B$8+(Controls!$B$9-Controls!$B$8)*C321/2147483647))</f>
        <v/>
      </c>
      <c r="X321" s="10" t="str">
        <f>IF(D321="","",IF(Controls!$B$7="Normal",Controls!$B$8+Controls!$B$9*SQRT(-2*LN(D321/2147483647))*COS(2*PI()*N321/2147483647),Controls!$B$8+(Controls!$B$9-Controls!$B$8)*D321/2147483647))</f>
        <v/>
      </c>
      <c r="Y321" s="10" t="str">
        <f>IF(E321="","",IF(Controls!$B$7="Normal",Controls!$B$8+Controls!$B$9*SQRT(-2*LN(E321/2147483647))*COS(2*PI()*O321/2147483647),Controls!$B$8+(Controls!$B$9-Controls!$B$8)*E321/2147483647))</f>
        <v/>
      </c>
      <c r="Z321" s="10" t="str">
        <f>IF(F321="","",IF(Controls!$B$7="Normal",Controls!$B$8+Controls!$B$9*SQRT(-2*LN(F321/2147483647))*COS(2*PI()*P321/2147483647),Controls!$B$8+(Controls!$B$9-Controls!$B$8)*F321/2147483647))</f>
        <v/>
      </c>
      <c r="AA321" s="10" t="str">
        <f>IF(G321="","",IF(Controls!$B$7="Normal",Controls!$B$8+Controls!$B$9*SQRT(-2*LN(G321/2147483647))*COS(2*PI()*Q321/2147483647),Controls!$B$8+(Controls!$B$9-Controls!$B$8)*G321/2147483647))</f>
        <v/>
      </c>
      <c r="AB321" s="10" t="str">
        <f>IF(H321="","",IF(Controls!$B$7="Normal",Controls!$B$8+Controls!$B$9*SQRT(-2*LN(H321/2147483647))*COS(2*PI()*R321/2147483647),Controls!$B$8+(Controls!$B$9-Controls!$B$8)*H321/2147483647))</f>
        <v/>
      </c>
      <c r="AC321" s="10" t="str">
        <f>IF(I321="","",IF(Controls!$B$7="Normal",Controls!$B$8+Controls!$B$9*SQRT(-2*LN(I321/2147483647))*COS(2*PI()*S321/2147483647),Controls!$B$8+(Controls!$B$9-Controls!$B$8)*I321/2147483647))</f>
        <v/>
      </c>
      <c r="AD321" s="10" t="str">
        <f>IF(J321="","",IF(Controls!$B$7="Normal",Controls!$B$8+Controls!$B$9*SQRT(-2*LN(J321/2147483647))*COS(2*PI()*T321/2147483647),Controls!$B$8+(Controls!$B$9-Controls!$B$8)*J321/2147483647))</f>
        <v/>
      </c>
      <c r="AE321" s="10" t="str">
        <f>IF(K321="","",IF(Controls!$B$7="Normal",Controls!$B$8+Controls!$B$9*SQRT(-2*LN(K321/2147483647))*COS(2*PI()*U321/2147483647),Controls!$B$8+(Controls!$B$9-Controls!$B$8)*K321/2147483647))</f>
        <v/>
      </c>
    </row>
    <row r="322" ht="21.0" customHeight="1">
      <c r="A322" s="7" t="str">
        <f>IF(321&lt;=Controls!$B$5,Controls!$B$4+320,"")</f>
        <v/>
      </c>
      <c r="B322" s="10" t="str">
        <f>IF(OR($A322="",1&gt;Controls!$B$6),"",MOD(L321*48271,2147483647))</f>
        <v/>
      </c>
      <c r="C322" s="10" t="str">
        <f>IF(OR($A322="",2&gt;Controls!$B$6),"",MOD(M321*48271,2147483647))</f>
        <v/>
      </c>
      <c r="D322" s="10" t="str">
        <f>IF(OR($A322="",3&gt;Controls!$B$6),"",MOD(N321*48271,2147483647))</f>
        <v/>
      </c>
      <c r="E322" s="10" t="str">
        <f>IF(OR($A322="",4&gt;Controls!$B$6),"",MOD(O321*48271,2147483647))</f>
        <v/>
      </c>
      <c r="F322" s="10" t="str">
        <f>IF(OR($A322="",5&gt;Controls!$B$6),"",MOD(P321*48271,2147483647))</f>
        <v/>
      </c>
      <c r="G322" s="10" t="str">
        <f>IF(OR($A322="",6&gt;Controls!$B$6),"",MOD(Q321*48271,2147483647))</f>
        <v/>
      </c>
      <c r="H322" s="10" t="str">
        <f>IF(OR($A322="",7&gt;Controls!$B$6),"",MOD(R321*48271,2147483647))</f>
        <v/>
      </c>
      <c r="I322" s="10" t="str">
        <f>IF(OR($A322="",8&gt;Controls!$B$6),"",MOD(S321*48271,2147483647))</f>
        <v/>
      </c>
      <c r="J322" s="10" t="str">
        <f>IF(OR($A322="",9&gt;Controls!$B$6),"",MOD(T321*48271,2147483647))</f>
        <v/>
      </c>
      <c r="K322" s="10" t="str">
        <f>IF(OR($A322="",10&gt;Controls!$B$6),"",MOD(U321*48271,2147483647))</f>
        <v/>
      </c>
      <c r="L322" s="10" t="str">
        <f t="shared" ref="L322:U322" si="321">IF(B322="","",MOD(B322*48271,2147483647))</f>
        <v/>
      </c>
      <c r="M322" s="10" t="str">
        <f t="shared" si="321"/>
        <v/>
      </c>
      <c r="N322" s="10" t="str">
        <f t="shared" si="321"/>
        <v/>
      </c>
      <c r="O322" s="10" t="str">
        <f t="shared" si="321"/>
        <v/>
      </c>
      <c r="P322" s="10" t="str">
        <f t="shared" si="321"/>
        <v/>
      </c>
      <c r="Q322" s="10" t="str">
        <f t="shared" si="321"/>
        <v/>
      </c>
      <c r="R322" s="10" t="str">
        <f t="shared" si="321"/>
        <v/>
      </c>
      <c r="S322" s="10" t="str">
        <f t="shared" si="321"/>
        <v/>
      </c>
      <c r="T322" s="10" t="str">
        <f t="shared" si="321"/>
        <v/>
      </c>
      <c r="U322" s="10" t="str">
        <f t="shared" si="321"/>
        <v/>
      </c>
      <c r="V322" s="10" t="str">
        <f>IF(B322="","",IF(Controls!$B$7="Normal",Controls!$B$8+Controls!$B$9*SQRT(-2*LN(B322/2147483647))*COS(2*PI()*L322/2147483647),Controls!$B$8+(Controls!$B$9-Controls!$B$8)*B322/2147483647))</f>
        <v/>
      </c>
      <c r="W322" s="10" t="str">
        <f>IF(C322="","",IF(Controls!$B$7="Normal",Controls!$B$8+Controls!$B$9*SQRT(-2*LN(C322/2147483647))*COS(2*PI()*M322/2147483647),Controls!$B$8+(Controls!$B$9-Controls!$B$8)*C322/2147483647))</f>
        <v/>
      </c>
      <c r="X322" s="10" t="str">
        <f>IF(D322="","",IF(Controls!$B$7="Normal",Controls!$B$8+Controls!$B$9*SQRT(-2*LN(D322/2147483647))*COS(2*PI()*N322/2147483647),Controls!$B$8+(Controls!$B$9-Controls!$B$8)*D322/2147483647))</f>
        <v/>
      </c>
      <c r="Y322" s="10" t="str">
        <f>IF(E322="","",IF(Controls!$B$7="Normal",Controls!$B$8+Controls!$B$9*SQRT(-2*LN(E322/2147483647))*COS(2*PI()*O322/2147483647),Controls!$B$8+(Controls!$B$9-Controls!$B$8)*E322/2147483647))</f>
        <v/>
      </c>
      <c r="Z322" s="10" t="str">
        <f>IF(F322="","",IF(Controls!$B$7="Normal",Controls!$B$8+Controls!$B$9*SQRT(-2*LN(F322/2147483647))*COS(2*PI()*P322/2147483647),Controls!$B$8+(Controls!$B$9-Controls!$B$8)*F322/2147483647))</f>
        <v/>
      </c>
      <c r="AA322" s="10" t="str">
        <f>IF(G322="","",IF(Controls!$B$7="Normal",Controls!$B$8+Controls!$B$9*SQRT(-2*LN(G322/2147483647))*COS(2*PI()*Q322/2147483647),Controls!$B$8+(Controls!$B$9-Controls!$B$8)*G322/2147483647))</f>
        <v/>
      </c>
      <c r="AB322" s="10" t="str">
        <f>IF(H322="","",IF(Controls!$B$7="Normal",Controls!$B$8+Controls!$B$9*SQRT(-2*LN(H322/2147483647))*COS(2*PI()*R322/2147483647),Controls!$B$8+(Controls!$B$9-Controls!$B$8)*H322/2147483647))</f>
        <v/>
      </c>
      <c r="AC322" s="10" t="str">
        <f>IF(I322="","",IF(Controls!$B$7="Normal",Controls!$B$8+Controls!$B$9*SQRT(-2*LN(I322/2147483647))*COS(2*PI()*S322/2147483647),Controls!$B$8+(Controls!$B$9-Controls!$B$8)*I322/2147483647))</f>
        <v/>
      </c>
      <c r="AD322" s="10" t="str">
        <f>IF(J322="","",IF(Controls!$B$7="Normal",Controls!$B$8+Controls!$B$9*SQRT(-2*LN(J322/2147483647))*COS(2*PI()*T322/2147483647),Controls!$B$8+(Controls!$B$9-Controls!$B$8)*J322/2147483647))</f>
        <v/>
      </c>
      <c r="AE322" s="10" t="str">
        <f>IF(K322="","",IF(Controls!$B$7="Normal",Controls!$B$8+Controls!$B$9*SQRT(-2*LN(K322/2147483647))*COS(2*PI()*U322/2147483647),Controls!$B$8+(Controls!$B$9-Controls!$B$8)*K322/2147483647))</f>
        <v/>
      </c>
    </row>
    <row r="323" ht="21.0" customHeight="1">
      <c r="A323" s="7" t="str">
        <f>IF(322&lt;=Controls!$B$5,Controls!$B$4+321,"")</f>
        <v/>
      </c>
      <c r="B323" s="10" t="str">
        <f>IF(OR($A323="",1&gt;Controls!$B$6),"",MOD(L322*48271,2147483647))</f>
        <v/>
      </c>
      <c r="C323" s="10" t="str">
        <f>IF(OR($A323="",2&gt;Controls!$B$6),"",MOD(M322*48271,2147483647))</f>
        <v/>
      </c>
      <c r="D323" s="10" t="str">
        <f>IF(OR($A323="",3&gt;Controls!$B$6),"",MOD(N322*48271,2147483647))</f>
        <v/>
      </c>
      <c r="E323" s="10" t="str">
        <f>IF(OR($A323="",4&gt;Controls!$B$6),"",MOD(O322*48271,2147483647))</f>
        <v/>
      </c>
      <c r="F323" s="10" t="str">
        <f>IF(OR($A323="",5&gt;Controls!$B$6),"",MOD(P322*48271,2147483647))</f>
        <v/>
      </c>
      <c r="G323" s="10" t="str">
        <f>IF(OR($A323="",6&gt;Controls!$B$6),"",MOD(Q322*48271,2147483647))</f>
        <v/>
      </c>
      <c r="H323" s="10" t="str">
        <f>IF(OR($A323="",7&gt;Controls!$B$6),"",MOD(R322*48271,2147483647))</f>
        <v/>
      </c>
      <c r="I323" s="10" t="str">
        <f>IF(OR($A323="",8&gt;Controls!$B$6),"",MOD(S322*48271,2147483647))</f>
        <v/>
      </c>
      <c r="J323" s="10" t="str">
        <f>IF(OR($A323="",9&gt;Controls!$B$6),"",MOD(T322*48271,2147483647))</f>
        <v/>
      </c>
      <c r="K323" s="10" t="str">
        <f>IF(OR($A323="",10&gt;Controls!$B$6),"",MOD(U322*48271,2147483647))</f>
        <v/>
      </c>
      <c r="L323" s="10" t="str">
        <f t="shared" ref="L323:U323" si="322">IF(B323="","",MOD(B323*48271,2147483647))</f>
        <v/>
      </c>
      <c r="M323" s="10" t="str">
        <f t="shared" si="322"/>
        <v/>
      </c>
      <c r="N323" s="10" t="str">
        <f t="shared" si="322"/>
        <v/>
      </c>
      <c r="O323" s="10" t="str">
        <f t="shared" si="322"/>
        <v/>
      </c>
      <c r="P323" s="10" t="str">
        <f t="shared" si="322"/>
        <v/>
      </c>
      <c r="Q323" s="10" t="str">
        <f t="shared" si="322"/>
        <v/>
      </c>
      <c r="R323" s="10" t="str">
        <f t="shared" si="322"/>
        <v/>
      </c>
      <c r="S323" s="10" t="str">
        <f t="shared" si="322"/>
        <v/>
      </c>
      <c r="T323" s="10" t="str">
        <f t="shared" si="322"/>
        <v/>
      </c>
      <c r="U323" s="10" t="str">
        <f t="shared" si="322"/>
        <v/>
      </c>
      <c r="V323" s="10" t="str">
        <f>IF(B323="","",IF(Controls!$B$7="Normal",Controls!$B$8+Controls!$B$9*SQRT(-2*LN(B323/2147483647))*COS(2*PI()*L323/2147483647),Controls!$B$8+(Controls!$B$9-Controls!$B$8)*B323/2147483647))</f>
        <v/>
      </c>
      <c r="W323" s="10" t="str">
        <f>IF(C323="","",IF(Controls!$B$7="Normal",Controls!$B$8+Controls!$B$9*SQRT(-2*LN(C323/2147483647))*COS(2*PI()*M323/2147483647),Controls!$B$8+(Controls!$B$9-Controls!$B$8)*C323/2147483647))</f>
        <v/>
      </c>
      <c r="X323" s="10" t="str">
        <f>IF(D323="","",IF(Controls!$B$7="Normal",Controls!$B$8+Controls!$B$9*SQRT(-2*LN(D323/2147483647))*COS(2*PI()*N323/2147483647),Controls!$B$8+(Controls!$B$9-Controls!$B$8)*D323/2147483647))</f>
        <v/>
      </c>
      <c r="Y323" s="10" t="str">
        <f>IF(E323="","",IF(Controls!$B$7="Normal",Controls!$B$8+Controls!$B$9*SQRT(-2*LN(E323/2147483647))*COS(2*PI()*O323/2147483647),Controls!$B$8+(Controls!$B$9-Controls!$B$8)*E323/2147483647))</f>
        <v/>
      </c>
      <c r="Z323" s="10" t="str">
        <f>IF(F323="","",IF(Controls!$B$7="Normal",Controls!$B$8+Controls!$B$9*SQRT(-2*LN(F323/2147483647))*COS(2*PI()*P323/2147483647),Controls!$B$8+(Controls!$B$9-Controls!$B$8)*F323/2147483647))</f>
        <v/>
      </c>
      <c r="AA323" s="10" t="str">
        <f>IF(G323="","",IF(Controls!$B$7="Normal",Controls!$B$8+Controls!$B$9*SQRT(-2*LN(G323/2147483647))*COS(2*PI()*Q323/2147483647),Controls!$B$8+(Controls!$B$9-Controls!$B$8)*G323/2147483647))</f>
        <v/>
      </c>
      <c r="AB323" s="10" t="str">
        <f>IF(H323="","",IF(Controls!$B$7="Normal",Controls!$B$8+Controls!$B$9*SQRT(-2*LN(H323/2147483647))*COS(2*PI()*R323/2147483647),Controls!$B$8+(Controls!$B$9-Controls!$B$8)*H323/2147483647))</f>
        <v/>
      </c>
      <c r="AC323" s="10" t="str">
        <f>IF(I323="","",IF(Controls!$B$7="Normal",Controls!$B$8+Controls!$B$9*SQRT(-2*LN(I323/2147483647))*COS(2*PI()*S323/2147483647),Controls!$B$8+(Controls!$B$9-Controls!$B$8)*I323/2147483647))</f>
        <v/>
      </c>
      <c r="AD323" s="10" t="str">
        <f>IF(J323="","",IF(Controls!$B$7="Normal",Controls!$B$8+Controls!$B$9*SQRT(-2*LN(J323/2147483647))*COS(2*PI()*T323/2147483647),Controls!$B$8+(Controls!$B$9-Controls!$B$8)*J323/2147483647))</f>
        <v/>
      </c>
      <c r="AE323" s="10" t="str">
        <f>IF(K323="","",IF(Controls!$B$7="Normal",Controls!$B$8+Controls!$B$9*SQRT(-2*LN(K323/2147483647))*COS(2*PI()*U323/2147483647),Controls!$B$8+(Controls!$B$9-Controls!$B$8)*K323/2147483647))</f>
        <v/>
      </c>
    </row>
    <row r="324" ht="21.0" customHeight="1">
      <c r="A324" s="7" t="str">
        <f>IF(323&lt;=Controls!$B$5,Controls!$B$4+322,"")</f>
        <v/>
      </c>
      <c r="B324" s="10" t="str">
        <f>IF(OR($A324="",1&gt;Controls!$B$6),"",MOD(L323*48271,2147483647))</f>
        <v/>
      </c>
      <c r="C324" s="10" t="str">
        <f>IF(OR($A324="",2&gt;Controls!$B$6),"",MOD(M323*48271,2147483647))</f>
        <v/>
      </c>
      <c r="D324" s="10" t="str">
        <f>IF(OR($A324="",3&gt;Controls!$B$6),"",MOD(N323*48271,2147483647))</f>
        <v/>
      </c>
      <c r="E324" s="10" t="str">
        <f>IF(OR($A324="",4&gt;Controls!$B$6),"",MOD(O323*48271,2147483647))</f>
        <v/>
      </c>
      <c r="F324" s="10" t="str">
        <f>IF(OR($A324="",5&gt;Controls!$B$6),"",MOD(P323*48271,2147483647))</f>
        <v/>
      </c>
      <c r="G324" s="10" t="str">
        <f>IF(OR($A324="",6&gt;Controls!$B$6),"",MOD(Q323*48271,2147483647))</f>
        <v/>
      </c>
      <c r="H324" s="10" t="str">
        <f>IF(OR($A324="",7&gt;Controls!$B$6),"",MOD(R323*48271,2147483647))</f>
        <v/>
      </c>
      <c r="I324" s="10" t="str">
        <f>IF(OR($A324="",8&gt;Controls!$B$6),"",MOD(S323*48271,2147483647))</f>
        <v/>
      </c>
      <c r="J324" s="10" t="str">
        <f>IF(OR($A324="",9&gt;Controls!$B$6),"",MOD(T323*48271,2147483647))</f>
        <v/>
      </c>
      <c r="K324" s="10" t="str">
        <f>IF(OR($A324="",10&gt;Controls!$B$6),"",MOD(U323*48271,2147483647))</f>
        <v/>
      </c>
      <c r="L324" s="10" t="str">
        <f t="shared" ref="L324:U324" si="323">IF(B324="","",MOD(B324*48271,2147483647))</f>
        <v/>
      </c>
      <c r="M324" s="10" t="str">
        <f t="shared" si="323"/>
        <v/>
      </c>
      <c r="N324" s="10" t="str">
        <f t="shared" si="323"/>
        <v/>
      </c>
      <c r="O324" s="10" t="str">
        <f t="shared" si="323"/>
        <v/>
      </c>
      <c r="P324" s="10" t="str">
        <f t="shared" si="323"/>
        <v/>
      </c>
      <c r="Q324" s="10" t="str">
        <f t="shared" si="323"/>
        <v/>
      </c>
      <c r="R324" s="10" t="str">
        <f t="shared" si="323"/>
        <v/>
      </c>
      <c r="S324" s="10" t="str">
        <f t="shared" si="323"/>
        <v/>
      </c>
      <c r="T324" s="10" t="str">
        <f t="shared" si="323"/>
        <v/>
      </c>
      <c r="U324" s="10" t="str">
        <f t="shared" si="323"/>
        <v/>
      </c>
      <c r="V324" s="10" t="str">
        <f>IF(B324="","",IF(Controls!$B$7="Normal",Controls!$B$8+Controls!$B$9*SQRT(-2*LN(B324/2147483647))*COS(2*PI()*L324/2147483647),Controls!$B$8+(Controls!$B$9-Controls!$B$8)*B324/2147483647))</f>
        <v/>
      </c>
      <c r="W324" s="10" t="str">
        <f>IF(C324="","",IF(Controls!$B$7="Normal",Controls!$B$8+Controls!$B$9*SQRT(-2*LN(C324/2147483647))*COS(2*PI()*M324/2147483647),Controls!$B$8+(Controls!$B$9-Controls!$B$8)*C324/2147483647))</f>
        <v/>
      </c>
      <c r="X324" s="10" t="str">
        <f>IF(D324="","",IF(Controls!$B$7="Normal",Controls!$B$8+Controls!$B$9*SQRT(-2*LN(D324/2147483647))*COS(2*PI()*N324/2147483647),Controls!$B$8+(Controls!$B$9-Controls!$B$8)*D324/2147483647))</f>
        <v/>
      </c>
      <c r="Y324" s="10" t="str">
        <f>IF(E324="","",IF(Controls!$B$7="Normal",Controls!$B$8+Controls!$B$9*SQRT(-2*LN(E324/2147483647))*COS(2*PI()*O324/2147483647),Controls!$B$8+(Controls!$B$9-Controls!$B$8)*E324/2147483647))</f>
        <v/>
      </c>
      <c r="Z324" s="10" t="str">
        <f>IF(F324="","",IF(Controls!$B$7="Normal",Controls!$B$8+Controls!$B$9*SQRT(-2*LN(F324/2147483647))*COS(2*PI()*P324/2147483647),Controls!$B$8+(Controls!$B$9-Controls!$B$8)*F324/2147483647))</f>
        <v/>
      </c>
      <c r="AA324" s="10" t="str">
        <f>IF(G324="","",IF(Controls!$B$7="Normal",Controls!$B$8+Controls!$B$9*SQRT(-2*LN(G324/2147483647))*COS(2*PI()*Q324/2147483647),Controls!$B$8+(Controls!$B$9-Controls!$B$8)*G324/2147483647))</f>
        <v/>
      </c>
      <c r="AB324" s="10" t="str">
        <f>IF(H324="","",IF(Controls!$B$7="Normal",Controls!$B$8+Controls!$B$9*SQRT(-2*LN(H324/2147483647))*COS(2*PI()*R324/2147483647),Controls!$B$8+(Controls!$B$9-Controls!$B$8)*H324/2147483647))</f>
        <v/>
      </c>
      <c r="AC324" s="10" t="str">
        <f>IF(I324="","",IF(Controls!$B$7="Normal",Controls!$B$8+Controls!$B$9*SQRT(-2*LN(I324/2147483647))*COS(2*PI()*S324/2147483647),Controls!$B$8+(Controls!$B$9-Controls!$B$8)*I324/2147483647))</f>
        <v/>
      </c>
      <c r="AD324" s="10" t="str">
        <f>IF(J324="","",IF(Controls!$B$7="Normal",Controls!$B$8+Controls!$B$9*SQRT(-2*LN(J324/2147483647))*COS(2*PI()*T324/2147483647),Controls!$B$8+(Controls!$B$9-Controls!$B$8)*J324/2147483647))</f>
        <v/>
      </c>
      <c r="AE324" s="10" t="str">
        <f>IF(K324="","",IF(Controls!$B$7="Normal",Controls!$B$8+Controls!$B$9*SQRT(-2*LN(K324/2147483647))*COS(2*PI()*U324/2147483647),Controls!$B$8+(Controls!$B$9-Controls!$B$8)*K324/2147483647))</f>
        <v/>
      </c>
    </row>
    <row r="325" ht="21.0" customHeight="1">
      <c r="A325" s="7" t="str">
        <f>IF(324&lt;=Controls!$B$5,Controls!$B$4+323,"")</f>
        <v/>
      </c>
      <c r="B325" s="10" t="str">
        <f>IF(OR($A325="",1&gt;Controls!$B$6),"",MOD(L324*48271,2147483647))</f>
        <v/>
      </c>
      <c r="C325" s="10" t="str">
        <f>IF(OR($A325="",2&gt;Controls!$B$6),"",MOD(M324*48271,2147483647))</f>
        <v/>
      </c>
      <c r="D325" s="10" t="str">
        <f>IF(OR($A325="",3&gt;Controls!$B$6),"",MOD(N324*48271,2147483647))</f>
        <v/>
      </c>
      <c r="E325" s="10" t="str">
        <f>IF(OR($A325="",4&gt;Controls!$B$6),"",MOD(O324*48271,2147483647))</f>
        <v/>
      </c>
      <c r="F325" s="10" t="str">
        <f>IF(OR($A325="",5&gt;Controls!$B$6),"",MOD(P324*48271,2147483647))</f>
        <v/>
      </c>
      <c r="G325" s="10" t="str">
        <f>IF(OR($A325="",6&gt;Controls!$B$6),"",MOD(Q324*48271,2147483647))</f>
        <v/>
      </c>
      <c r="H325" s="10" t="str">
        <f>IF(OR($A325="",7&gt;Controls!$B$6),"",MOD(R324*48271,2147483647))</f>
        <v/>
      </c>
      <c r="I325" s="10" t="str">
        <f>IF(OR($A325="",8&gt;Controls!$B$6),"",MOD(S324*48271,2147483647))</f>
        <v/>
      </c>
      <c r="J325" s="10" t="str">
        <f>IF(OR($A325="",9&gt;Controls!$B$6),"",MOD(T324*48271,2147483647))</f>
        <v/>
      </c>
      <c r="K325" s="10" t="str">
        <f>IF(OR($A325="",10&gt;Controls!$B$6),"",MOD(U324*48271,2147483647))</f>
        <v/>
      </c>
      <c r="L325" s="10" t="str">
        <f t="shared" ref="L325:U325" si="324">IF(B325="","",MOD(B325*48271,2147483647))</f>
        <v/>
      </c>
      <c r="M325" s="10" t="str">
        <f t="shared" si="324"/>
        <v/>
      </c>
      <c r="N325" s="10" t="str">
        <f t="shared" si="324"/>
        <v/>
      </c>
      <c r="O325" s="10" t="str">
        <f t="shared" si="324"/>
        <v/>
      </c>
      <c r="P325" s="10" t="str">
        <f t="shared" si="324"/>
        <v/>
      </c>
      <c r="Q325" s="10" t="str">
        <f t="shared" si="324"/>
        <v/>
      </c>
      <c r="R325" s="10" t="str">
        <f t="shared" si="324"/>
        <v/>
      </c>
      <c r="S325" s="10" t="str">
        <f t="shared" si="324"/>
        <v/>
      </c>
      <c r="T325" s="10" t="str">
        <f t="shared" si="324"/>
        <v/>
      </c>
      <c r="U325" s="10" t="str">
        <f t="shared" si="324"/>
        <v/>
      </c>
      <c r="V325" s="10" t="str">
        <f>IF(B325="","",IF(Controls!$B$7="Normal",Controls!$B$8+Controls!$B$9*SQRT(-2*LN(B325/2147483647))*COS(2*PI()*L325/2147483647),Controls!$B$8+(Controls!$B$9-Controls!$B$8)*B325/2147483647))</f>
        <v/>
      </c>
      <c r="W325" s="10" t="str">
        <f>IF(C325="","",IF(Controls!$B$7="Normal",Controls!$B$8+Controls!$B$9*SQRT(-2*LN(C325/2147483647))*COS(2*PI()*M325/2147483647),Controls!$B$8+(Controls!$B$9-Controls!$B$8)*C325/2147483647))</f>
        <v/>
      </c>
      <c r="X325" s="10" t="str">
        <f>IF(D325="","",IF(Controls!$B$7="Normal",Controls!$B$8+Controls!$B$9*SQRT(-2*LN(D325/2147483647))*COS(2*PI()*N325/2147483647),Controls!$B$8+(Controls!$B$9-Controls!$B$8)*D325/2147483647))</f>
        <v/>
      </c>
      <c r="Y325" s="10" t="str">
        <f>IF(E325="","",IF(Controls!$B$7="Normal",Controls!$B$8+Controls!$B$9*SQRT(-2*LN(E325/2147483647))*COS(2*PI()*O325/2147483647),Controls!$B$8+(Controls!$B$9-Controls!$B$8)*E325/2147483647))</f>
        <v/>
      </c>
      <c r="Z325" s="10" t="str">
        <f>IF(F325="","",IF(Controls!$B$7="Normal",Controls!$B$8+Controls!$B$9*SQRT(-2*LN(F325/2147483647))*COS(2*PI()*P325/2147483647),Controls!$B$8+(Controls!$B$9-Controls!$B$8)*F325/2147483647))</f>
        <v/>
      </c>
      <c r="AA325" s="10" t="str">
        <f>IF(G325="","",IF(Controls!$B$7="Normal",Controls!$B$8+Controls!$B$9*SQRT(-2*LN(G325/2147483647))*COS(2*PI()*Q325/2147483647),Controls!$B$8+(Controls!$B$9-Controls!$B$8)*G325/2147483647))</f>
        <v/>
      </c>
      <c r="AB325" s="10" t="str">
        <f>IF(H325="","",IF(Controls!$B$7="Normal",Controls!$B$8+Controls!$B$9*SQRT(-2*LN(H325/2147483647))*COS(2*PI()*R325/2147483647),Controls!$B$8+(Controls!$B$9-Controls!$B$8)*H325/2147483647))</f>
        <v/>
      </c>
      <c r="AC325" s="10" t="str">
        <f>IF(I325="","",IF(Controls!$B$7="Normal",Controls!$B$8+Controls!$B$9*SQRT(-2*LN(I325/2147483647))*COS(2*PI()*S325/2147483647),Controls!$B$8+(Controls!$B$9-Controls!$B$8)*I325/2147483647))</f>
        <v/>
      </c>
      <c r="AD325" s="10" t="str">
        <f>IF(J325="","",IF(Controls!$B$7="Normal",Controls!$B$8+Controls!$B$9*SQRT(-2*LN(J325/2147483647))*COS(2*PI()*T325/2147483647),Controls!$B$8+(Controls!$B$9-Controls!$B$8)*J325/2147483647))</f>
        <v/>
      </c>
      <c r="AE325" s="10" t="str">
        <f>IF(K325="","",IF(Controls!$B$7="Normal",Controls!$B$8+Controls!$B$9*SQRT(-2*LN(K325/2147483647))*COS(2*PI()*U325/2147483647),Controls!$B$8+(Controls!$B$9-Controls!$B$8)*K325/2147483647))</f>
        <v/>
      </c>
    </row>
    <row r="326" ht="21.0" customHeight="1">
      <c r="A326" s="7" t="str">
        <f>IF(325&lt;=Controls!$B$5,Controls!$B$4+324,"")</f>
        <v/>
      </c>
      <c r="B326" s="10" t="str">
        <f>IF(OR($A326="",1&gt;Controls!$B$6),"",MOD(L325*48271,2147483647))</f>
        <v/>
      </c>
      <c r="C326" s="10" t="str">
        <f>IF(OR($A326="",2&gt;Controls!$B$6),"",MOD(M325*48271,2147483647))</f>
        <v/>
      </c>
      <c r="D326" s="10" t="str">
        <f>IF(OR($A326="",3&gt;Controls!$B$6),"",MOD(N325*48271,2147483647))</f>
        <v/>
      </c>
      <c r="E326" s="10" t="str">
        <f>IF(OR($A326="",4&gt;Controls!$B$6),"",MOD(O325*48271,2147483647))</f>
        <v/>
      </c>
      <c r="F326" s="10" t="str">
        <f>IF(OR($A326="",5&gt;Controls!$B$6),"",MOD(P325*48271,2147483647))</f>
        <v/>
      </c>
      <c r="G326" s="10" t="str">
        <f>IF(OR($A326="",6&gt;Controls!$B$6),"",MOD(Q325*48271,2147483647))</f>
        <v/>
      </c>
      <c r="H326" s="10" t="str">
        <f>IF(OR($A326="",7&gt;Controls!$B$6),"",MOD(R325*48271,2147483647))</f>
        <v/>
      </c>
      <c r="I326" s="10" t="str">
        <f>IF(OR($A326="",8&gt;Controls!$B$6),"",MOD(S325*48271,2147483647))</f>
        <v/>
      </c>
      <c r="J326" s="10" t="str">
        <f>IF(OR($A326="",9&gt;Controls!$B$6),"",MOD(T325*48271,2147483647))</f>
        <v/>
      </c>
      <c r="K326" s="10" t="str">
        <f>IF(OR($A326="",10&gt;Controls!$B$6),"",MOD(U325*48271,2147483647))</f>
        <v/>
      </c>
      <c r="L326" s="10" t="str">
        <f t="shared" ref="L326:U326" si="325">IF(B326="","",MOD(B326*48271,2147483647))</f>
        <v/>
      </c>
      <c r="M326" s="10" t="str">
        <f t="shared" si="325"/>
        <v/>
      </c>
      <c r="N326" s="10" t="str">
        <f t="shared" si="325"/>
        <v/>
      </c>
      <c r="O326" s="10" t="str">
        <f t="shared" si="325"/>
        <v/>
      </c>
      <c r="P326" s="10" t="str">
        <f t="shared" si="325"/>
        <v/>
      </c>
      <c r="Q326" s="10" t="str">
        <f t="shared" si="325"/>
        <v/>
      </c>
      <c r="R326" s="10" t="str">
        <f t="shared" si="325"/>
        <v/>
      </c>
      <c r="S326" s="10" t="str">
        <f t="shared" si="325"/>
        <v/>
      </c>
      <c r="T326" s="10" t="str">
        <f t="shared" si="325"/>
        <v/>
      </c>
      <c r="U326" s="10" t="str">
        <f t="shared" si="325"/>
        <v/>
      </c>
      <c r="V326" s="10" t="str">
        <f>IF(B326="","",IF(Controls!$B$7="Normal",Controls!$B$8+Controls!$B$9*SQRT(-2*LN(B326/2147483647))*COS(2*PI()*L326/2147483647),Controls!$B$8+(Controls!$B$9-Controls!$B$8)*B326/2147483647))</f>
        <v/>
      </c>
      <c r="W326" s="10" t="str">
        <f>IF(C326="","",IF(Controls!$B$7="Normal",Controls!$B$8+Controls!$B$9*SQRT(-2*LN(C326/2147483647))*COS(2*PI()*M326/2147483647),Controls!$B$8+(Controls!$B$9-Controls!$B$8)*C326/2147483647))</f>
        <v/>
      </c>
      <c r="X326" s="10" t="str">
        <f>IF(D326="","",IF(Controls!$B$7="Normal",Controls!$B$8+Controls!$B$9*SQRT(-2*LN(D326/2147483647))*COS(2*PI()*N326/2147483647),Controls!$B$8+(Controls!$B$9-Controls!$B$8)*D326/2147483647))</f>
        <v/>
      </c>
      <c r="Y326" s="10" t="str">
        <f>IF(E326="","",IF(Controls!$B$7="Normal",Controls!$B$8+Controls!$B$9*SQRT(-2*LN(E326/2147483647))*COS(2*PI()*O326/2147483647),Controls!$B$8+(Controls!$B$9-Controls!$B$8)*E326/2147483647))</f>
        <v/>
      </c>
      <c r="Z326" s="10" t="str">
        <f>IF(F326="","",IF(Controls!$B$7="Normal",Controls!$B$8+Controls!$B$9*SQRT(-2*LN(F326/2147483647))*COS(2*PI()*P326/2147483647),Controls!$B$8+(Controls!$B$9-Controls!$B$8)*F326/2147483647))</f>
        <v/>
      </c>
      <c r="AA326" s="10" t="str">
        <f>IF(G326="","",IF(Controls!$B$7="Normal",Controls!$B$8+Controls!$B$9*SQRT(-2*LN(G326/2147483647))*COS(2*PI()*Q326/2147483647),Controls!$B$8+(Controls!$B$9-Controls!$B$8)*G326/2147483647))</f>
        <v/>
      </c>
      <c r="AB326" s="10" t="str">
        <f>IF(H326="","",IF(Controls!$B$7="Normal",Controls!$B$8+Controls!$B$9*SQRT(-2*LN(H326/2147483647))*COS(2*PI()*R326/2147483647),Controls!$B$8+(Controls!$B$9-Controls!$B$8)*H326/2147483647))</f>
        <v/>
      </c>
      <c r="AC326" s="10" t="str">
        <f>IF(I326="","",IF(Controls!$B$7="Normal",Controls!$B$8+Controls!$B$9*SQRT(-2*LN(I326/2147483647))*COS(2*PI()*S326/2147483647),Controls!$B$8+(Controls!$B$9-Controls!$B$8)*I326/2147483647))</f>
        <v/>
      </c>
      <c r="AD326" s="10" t="str">
        <f>IF(J326="","",IF(Controls!$B$7="Normal",Controls!$B$8+Controls!$B$9*SQRT(-2*LN(J326/2147483647))*COS(2*PI()*T326/2147483647),Controls!$B$8+(Controls!$B$9-Controls!$B$8)*J326/2147483647))</f>
        <v/>
      </c>
      <c r="AE326" s="10" t="str">
        <f>IF(K326="","",IF(Controls!$B$7="Normal",Controls!$B$8+Controls!$B$9*SQRT(-2*LN(K326/2147483647))*COS(2*PI()*U326/2147483647),Controls!$B$8+(Controls!$B$9-Controls!$B$8)*K326/2147483647))</f>
        <v/>
      </c>
    </row>
    <row r="327" ht="21.0" customHeight="1">
      <c r="A327" s="7" t="str">
        <f>IF(326&lt;=Controls!$B$5,Controls!$B$4+325,"")</f>
        <v/>
      </c>
      <c r="B327" s="10" t="str">
        <f>IF(OR($A327="",1&gt;Controls!$B$6),"",MOD(L326*48271,2147483647))</f>
        <v/>
      </c>
      <c r="C327" s="10" t="str">
        <f>IF(OR($A327="",2&gt;Controls!$B$6),"",MOD(M326*48271,2147483647))</f>
        <v/>
      </c>
      <c r="D327" s="10" t="str">
        <f>IF(OR($A327="",3&gt;Controls!$B$6),"",MOD(N326*48271,2147483647))</f>
        <v/>
      </c>
      <c r="E327" s="10" t="str">
        <f>IF(OR($A327="",4&gt;Controls!$B$6),"",MOD(O326*48271,2147483647))</f>
        <v/>
      </c>
      <c r="F327" s="10" t="str">
        <f>IF(OR($A327="",5&gt;Controls!$B$6),"",MOD(P326*48271,2147483647))</f>
        <v/>
      </c>
      <c r="G327" s="10" t="str">
        <f>IF(OR($A327="",6&gt;Controls!$B$6),"",MOD(Q326*48271,2147483647))</f>
        <v/>
      </c>
      <c r="H327" s="10" t="str">
        <f>IF(OR($A327="",7&gt;Controls!$B$6),"",MOD(R326*48271,2147483647))</f>
        <v/>
      </c>
      <c r="I327" s="10" t="str">
        <f>IF(OR($A327="",8&gt;Controls!$B$6),"",MOD(S326*48271,2147483647))</f>
        <v/>
      </c>
      <c r="J327" s="10" t="str">
        <f>IF(OR($A327="",9&gt;Controls!$B$6),"",MOD(T326*48271,2147483647))</f>
        <v/>
      </c>
      <c r="K327" s="10" t="str">
        <f>IF(OR($A327="",10&gt;Controls!$B$6),"",MOD(U326*48271,2147483647))</f>
        <v/>
      </c>
      <c r="L327" s="10" t="str">
        <f t="shared" ref="L327:U327" si="326">IF(B327="","",MOD(B327*48271,2147483647))</f>
        <v/>
      </c>
      <c r="M327" s="10" t="str">
        <f t="shared" si="326"/>
        <v/>
      </c>
      <c r="N327" s="10" t="str">
        <f t="shared" si="326"/>
        <v/>
      </c>
      <c r="O327" s="10" t="str">
        <f t="shared" si="326"/>
        <v/>
      </c>
      <c r="P327" s="10" t="str">
        <f t="shared" si="326"/>
        <v/>
      </c>
      <c r="Q327" s="10" t="str">
        <f t="shared" si="326"/>
        <v/>
      </c>
      <c r="R327" s="10" t="str">
        <f t="shared" si="326"/>
        <v/>
      </c>
      <c r="S327" s="10" t="str">
        <f t="shared" si="326"/>
        <v/>
      </c>
      <c r="T327" s="10" t="str">
        <f t="shared" si="326"/>
        <v/>
      </c>
      <c r="U327" s="10" t="str">
        <f t="shared" si="326"/>
        <v/>
      </c>
      <c r="V327" s="10" t="str">
        <f>IF(B327="","",IF(Controls!$B$7="Normal",Controls!$B$8+Controls!$B$9*SQRT(-2*LN(B327/2147483647))*COS(2*PI()*L327/2147483647),Controls!$B$8+(Controls!$B$9-Controls!$B$8)*B327/2147483647))</f>
        <v/>
      </c>
      <c r="W327" s="10" t="str">
        <f>IF(C327="","",IF(Controls!$B$7="Normal",Controls!$B$8+Controls!$B$9*SQRT(-2*LN(C327/2147483647))*COS(2*PI()*M327/2147483647),Controls!$B$8+(Controls!$B$9-Controls!$B$8)*C327/2147483647))</f>
        <v/>
      </c>
      <c r="X327" s="10" t="str">
        <f>IF(D327="","",IF(Controls!$B$7="Normal",Controls!$B$8+Controls!$B$9*SQRT(-2*LN(D327/2147483647))*COS(2*PI()*N327/2147483647),Controls!$B$8+(Controls!$B$9-Controls!$B$8)*D327/2147483647))</f>
        <v/>
      </c>
      <c r="Y327" s="10" t="str">
        <f>IF(E327="","",IF(Controls!$B$7="Normal",Controls!$B$8+Controls!$B$9*SQRT(-2*LN(E327/2147483647))*COS(2*PI()*O327/2147483647),Controls!$B$8+(Controls!$B$9-Controls!$B$8)*E327/2147483647))</f>
        <v/>
      </c>
      <c r="Z327" s="10" t="str">
        <f>IF(F327="","",IF(Controls!$B$7="Normal",Controls!$B$8+Controls!$B$9*SQRT(-2*LN(F327/2147483647))*COS(2*PI()*P327/2147483647),Controls!$B$8+(Controls!$B$9-Controls!$B$8)*F327/2147483647))</f>
        <v/>
      </c>
      <c r="AA327" s="10" t="str">
        <f>IF(G327="","",IF(Controls!$B$7="Normal",Controls!$B$8+Controls!$B$9*SQRT(-2*LN(G327/2147483647))*COS(2*PI()*Q327/2147483647),Controls!$B$8+(Controls!$B$9-Controls!$B$8)*G327/2147483647))</f>
        <v/>
      </c>
      <c r="AB327" s="10" t="str">
        <f>IF(H327="","",IF(Controls!$B$7="Normal",Controls!$B$8+Controls!$B$9*SQRT(-2*LN(H327/2147483647))*COS(2*PI()*R327/2147483647),Controls!$B$8+(Controls!$B$9-Controls!$B$8)*H327/2147483647))</f>
        <v/>
      </c>
      <c r="AC327" s="10" t="str">
        <f>IF(I327="","",IF(Controls!$B$7="Normal",Controls!$B$8+Controls!$B$9*SQRT(-2*LN(I327/2147483647))*COS(2*PI()*S327/2147483647),Controls!$B$8+(Controls!$B$9-Controls!$B$8)*I327/2147483647))</f>
        <v/>
      </c>
      <c r="AD327" s="10" t="str">
        <f>IF(J327="","",IF(Controls!$B$7="Normal",Controls!$B$8+Controls!$B$9*SQRT(-2*LN(J327/2147483647))*COS(2*PI()*T327/2147483647),Controls!$B$8+(Controls!$B$9-Controls!$B$8)*J327/2147483647))</f>
        <v/>
      </c>
      <c r="AE327" s="10" t="str">
        <f>IF(K327="","",IF(Controls!$B$7="Normal",Controls!$B$8+Controls!$B$9*SQRT(-2*LN(K327/2147483647))*COS(2*PI()*U327/2147483647),Controls!$B$8+(Controls!$B$9-Controls!$B$8)*K327/2147483647))</f>
        <v/>
      </c>
    </row>
    <row r="328" ht="21.0" customHeight="1">
      <c r="A328" s="7" t="str">
        <f>IF(327&lt;=Controls!$B$5,Controls!$B$4+326,"")</f>
        <v/>
      </c>
      <c r="B328" s="10" t="str">
        <f>IF(OR($A328="",1&gt;Controls!$B$6),"",MOD(L327*48271,2147483647))</f>
        <v/>
      </c>
      <c r="C328" s="10" t="str">
        <f>IF(OR($A328="",2&gt;Controls!$B$6),"",MOD(M327*48271,2147483647))</f>
        <v/>
      </c>
      <c r="D328" s="10" t="str">
        <f>IF(OR($A328="",3&gt;Controls!$B$6),"",MOD(N327*48271,2147483647))</f>
        <v/>
      </c>
      <c r="E328" s="10" t="str">
        <f>IF(OR($A328="",4&gt;Controls!$B$6),"",MOD(O327*48271,2147483647))</f>
        <v/>
      </c>
      <c r="F328" s="10" t="str">
        <f>IF(OR($A328="",5&gt;Controls!$B$6),"",MOD(P327*48271,2147483647))</f>
        <v/>
      </c>
      <c r="G328" s="10" t="str">
        <f>IF(OR($A328="",6&gt;Controls!$B$6),"",MOD(Q327*48271,2147483647))</f>
        <v/>
      </c>
      <c r="H328" s="10" t="str">
        <f>IF(OR($A328="",7&gt;Controls!$B$6),"",MOD(R327*48271,2147483647))</f>
        <v/>
      </c>
      <c r="I328" s="10" t="str">
        <f>IF(OR($A328="",8&gt;Controls!$B$6),"",MOD(S327*48271,2147483647))</f>
        <v/>
      </c>
      <c r="J328" s="10" t="str">
        <f>IF(OR($A328="",9&gt;Controls!$B$6),"",MOD(T327*48271,2147483647))</f>
        <v/>
      </c>
      <c r="K328" s="10" t="str">
        <f>IF(OR($A328="",10&gt;Controls!$B$6),"",MOD(U327*48271,2147483647))</f>
        <v/>
      </c>
      <c r="L328" s="10" t="str">
        <f t="shared" ref="L328:U328" si="327">IF(B328="","",MOD(B328*48271,2147483647))</f>
        <v/>
      </c>
      <c r="M328" s="10" t="str">
        <f t="shared" si="327"/>
        <v/>
      </c>
      <c r="N328" s="10" t="str">
        <f t="shared" si="327"/>
        <v/>
      </c>
      <c r="O328" s="10" t="str">
        <f t="shared" si="327"/>
        <v/>
      </c>
      <c r="P328" s="10" t="str">
        <f t="shared" si="327"/>
        <v/>
      </c>
      <c r="Q328" s="10" t="str">
        <f t="shared" si="327"/>
        <v/>
      </c>
      <c r="R328" s="10" t="str">
        <f t="shared" si="327"/>
        <v/>
      </c>
      <c r="S328" s="10" t="str">
        <f t="shared" si="327"/>
        <v/>
      </c>
      <c r="T328" s="10" t="str">
        <f t="shared" si="327"/>
        <v/>
      </c>
      <c r="U328" s="10" t="str">
        <f t="shared" si="327"/>
        <v/>
      </c>
      <c r="V328" s="10" t="str">
        <f>IF(B328="","",IF(Controls!$B$7="Normal",Controls!$B$8+Controls!$B$9*SQRT(-2*LN(B328/2147483647))*COS(2*PI()*L328/2147483647),Controls!$B$8+(Controls!$B$9-Controls!$B$8)*B328/2147483647))</f>
        <v/>
      </c>
      <c r="W328" s="10" t="str">
        <f>IF(C328="","",IF(Controls!$B$7="Normal",Controls!$B$8+Controls!$B$9*SQRT(-2*LN(C328/2147483647))*COS(2*PI()*M328/2147483647),Controls!$B$8+(Controls!$B$9-Controls!$B$8)*C328/2147483647))</f>
        <v/>
      </c>
      <c r="X328" s="10" t="str">
        <f>IF(D328="","",IF(Controls!$B$7="Normal",Controls!$B$8+Controls!$B$9*SQRT(-2*LN(D328/2147483647))*COS(2*PI()*N328/2147483647),Controls!$B$8+(Controls!$B$9-Controls!$B$8)*D328/2147483647))</f>
        <v/>
      </c>
      <c r="Y328" s="10" t="str">
        <f>IF(E328="","",IF(Controls!$B$7="Normal",Controls!$B$8+Controls!$B$9*SQRT(-2*LN(E328/2147483647))*COS(2*PI()*O328/2147483647),Controls!$B$8+(Controls!$B$9-Controls!$B$8)*E328/2147483647))</f>
        <v/>
      </c>
      <c r="Z328" s="10" t="str">
        <f>IF(F328="","",IF(Controls!$B$7="Normal",Controls!$B$8+Controls!$B$9*SQRT(-2*LN(F328/2147483647))*COS(2*PI()*P328/2147483647),Controls!$B$8+(Controls!$B$9-Controls!$B$8)*F328/2147483647))</f>
        <v/>
      </c>
      <c r="AA328" s="10" t="str">
        <f>IF(G328="","",IF(Controls!$B$7="Normal",Controls!$B$8+Controls!$B$9*SQRT(-2*LN(G328/2147483647))*COS(2*PI()*Q328/2147483647),Controls!$B$8+(Controls!$B$9-Controls!$B$8)*G328/2147483647))</f>
        <v/>
      </c>
      <c r="AB328" s="10" t="str">
        <f>IF(H328="","",IF(Controls!$B$7="Normal",Controls!$B$8+Controls!$B$9*SQRT(-2*LN(H328/2147483647))*COS(2*PI()*R328/2147483647),Controls!$B$8+(Controls!$B$9-Controls!$B$8)*H328/2147483647))</f>
        <v/>
      </c>
      <c r="AC328" s="10" t="str">
        <f>IF(I328="","",IF(Controls!$B$7="Normal",Controls!$B$8+Controls!$B$9*SQRT(-2*LN(I328/2147483647))*COS(2*PI()*S328/2147483647),Controls!$B$8+(Controls!$B$9-Controls!$B$8)*I328/2147483647))</f>
        <v/>
      </c>
      <c r="AD328" s="10" t="str">
        <f>IF(J328="","",IF(Controls!$B$7="Normal",Controls!$B$8+Controls!$B$9*SQRT(-2*LN(J328/2147483647))*COS(2*PI()*T328/2147483647),Controls!$B$8+(Controls!$B$9-Controls!$B$8)*J328/2147483647))</f>
        <v/>
      </c>
      <c r="AE328" s="10" t="str">
        <f>IF(K328="","",IF(Controls!$B$7="Normal",Controls!$B$8+Controls!$B$9*SQRT(-2*LN(K328/2147483647))*COS(2*PI()*U328/2147483647),Controls!$B$8+(Controls!$B$9-Controls!$B$8)*K328/2147483647))</f>
        <v/>
      </c>
    </row>
    <row r="329" ht="21.0" customHeight="1">
      <c r="A329" s="7" t="str">
        <f>IF(328&lt;=Controls!$B$5,Controls!$B$4+327,"")</f>
        <v/>
      </c>
      <c r="B329" s="10" t="str">
        <f>IF(OR($A329="",1&gt;Controls!$B$6),"",MOD(L328*48271,2147483647))</f>
        <v/>
      </c>
      <c r="C329" s="10" t="str">
        <f>IF(OR($A329="",2&gt;Controls!$B$6),"",MOD(M328*48271,2147483647))</f>
        <v/>
      </c>
      <c r="D329" s="10" t="str">
        <f>IF(OR($A329="",3&gt;Controls!$B$6),"",MOD(N328*48271,2147483647))</f>
        <v/>
      </c>
      <c r="E329" s="10" t="str">
        <f>IF(OR($A329="",4&gt;Controls!$B$6),"",MOD(O328*48271,2147483647))</f>
        <v/>
      </c>
      <c r="F329" s="10" t="str">
        <f>IF(OR($A329="",5&gt;Controls!$B$6),"",MOD(P328*48271,2147483647))</f>
        <v/>
      </c>
      <c r="G329" s="10" t="str">
        <f>IF(OR($A329="",6&gt;Controls!$B$6),"",MOD(Q328*48271,2147483647))</f>
        <v/>
      </c>
      <c r="H329" s="10" t="str">
        <f>IF(OR($A329="",7&gt;Controls!$B$6),"",MOD(R328*48271,2147483647))</f>
        <v/>
      </c>
      <c r="I329" s="10" t="str">
        <f>IF(OR($A329="",8&gt;Controls!$B$6),"",MOD(S328*48271,2147483647))</f>
        <v/>
      </c>
      <c r="J329" s="10" t="str">
        <f>IF(OR($A329="",9&gt;Controls!$B$6),"",MOD(T328*48271,2147483647))</f>
        <v/>
      </c>
      <c r="K329" s="10" t="str">
        <f>IF(OR($A329="",10&gt;Controls!$B$6),"",MOD(U328*48271,2147483647))</f>
        <v/>
      </c>
      <c r="L329" s="10" t="str">
        <f t="shared" ref="L329:U329" si="328">IF(B329="","",MOD(B329*48271,2147483647))</f>
        <v/>
      </c>
      <c r="M329" s="10" t="str">
        <f t="shared" si="328"/>
        <v/>
      </c>
      <c r="N329" s="10" t="str">
        <f t="shared" si="328"/>
        <v/>
      </c>
      <c r="O329" s="10" t="str">
        <f t="shared" si="328"/>
        <v/>
      </c>
      <c r="P329" s="10" t="str">
        <f t="shared" si="328"/>
        <v/>
      </c>
      <c r="Q329" s="10" t="str">
        <f t="shared" si="328"/>
        <v/>
      </c>
      <c r="R329" s="10" t="str">
        <f t="shared" si="328"/>
        <v/>
      </c>
      <c r="S329" s="10" t="str">
        <f t="shared" si="328"/>
        <v/>
      </c>
      <c r="T329" s="10" t="str">
        <f t="shared" si="328"/>
        <v/>
      </c>
      <c r="U329" s="10" t="str">
        <f t="shared" si="328"/>
        <v/>
      </c>
      <c r="V329" s="10" t="str">
        <f>IF(B329="","",IF(Controls!$B$7="Normal",Controls!$B$8+Controls!$B$9*SQRT(-2*LN(B329/2147483647))*COS(2*PI()*L329/2147483647),Controls!$B$8+(Controls!$B$9-Controls!$B$8)*B329/2147483647))</f>
        <v/>
      </c>
      <c r="W329" s="10" t="str">
        <f>IF(C329="","",IF(Controls!$B$7="Normal",Controls!$B$8+Controls!$B$9*SQRT(-2*LN(C329/2147483647))*COS(2*PI()*M329/2147483647),Controls!$B$8+(Controls!$B$9-Controls!$B$8)*C329/2147483647))</f>
        <v/>
      </c>
      <c r="X329" s="10" t="str">
        <f>IF(D329="","",IF(Controls!$B$7="Normal",Controls!$B$8+Controls!$B$9*SQRT(-2*LN(D329/2147483647))*COS(2*PI()*N329/2147483647),Controls!$B$8+(Controls!$B$9-Controls!$B$8)*D329/2147483647))</f>
        <v/>
      </c>
      <c r="Y329" s="10" t="str">
        <f>IF(E329="","",IF(Controls!$B$7="Normal",Controls!$B$8+Controls!$B$9*SQRT(-2*LN(E329/2147483647))*COS(2*PI()*O329/2147483647),Controls!$B$8+(Controls!$B$9-Controls!$B$8)*E329/2147483647))</f>
        <v/>
      </c>
      <c r="Z329" s="10" t="str">
        <f>IF(F329="","",IF(Controls!$B$7="Normal",Controls!$B$8+Controls!$B$9*SQRT(-2*LN(F329/2147483647))*COS(2*PI()*P329/2147483647),Controls!$B$8+(Controls!$B$9-Controls!$B$8)*F329/2147483647))</f>
        <v/>
      </c>
      <c r="AA329" s="10" t="str">
        <f>IF(G329="","",IF(Controls!$B$7="Normal",Controls!$B$8+Controls!$B$9*SQRT(-2*LN(G329/2147483647))*COS(2*PI()*Q329/2147483647),Controls!$B$8+(Controls!$B$9-Controls!$B$8)*G329/2147483647))</f>
        <v/>
      </c>
      <c r="AB329" s="10" t="str">
        <f>IF(H329="","",IF(Controls!$B$7="Normal",Controls!$B$8+Controls!$B$9*SQRT(-2*LN(H329/2147483647))*COS(2*PI()*R329/2147483647),Controls!$B$8+(Controls!$B$9-Controls!$B$8)*H329/2147483647))</f>
        <v/>
      </c>
      <c r="AC329" s="10" t="str">
        <f>IF(I329="","",IF(Controls!$B$7="Normal",Controls!$B$8+Controls!$B$9*SQRT(-2*LN(I329/2147483647))*COS(2*PI()*S329/2147483647),Controls!$B$8+(Controls!$B$9-Controls!$B$8)*I329/2147483647))</f>
        <v/>
      </c>
      <c r="AD329" s="10" t="str">
        <f>IF(J329="","",IF(Controls!$B$7="Normal",Controls!$B$8+Controls!$B$9*SQRT(-2*LN(J329/2147483647))*COS(2*PI()*T329/2147483647),Controls!$B$8+(Controls!$B$9-Controls!$B$8)*J329/2147483647))</f>
        <v/>
      </c>
      <c r="AE329" s="10" t="str">
        <f>IF(K329="","",IF(Controls!$B$7="Normal",Controls!$B$8+Controls!$B$9*SQRT(-2*LN(K329/2147483647))*COS(2*PI()*U329/2147483647),Controls!$B$8+(Controls!$B$9-Controls!$B$8)*K329/2147483647))</f>
        <v/>
      </c>
    </row>
    <row r="330" ht="21.0" customHeight="1">
      <c r="A330" s="7" t="str">
        <f>IF(329&lt;=Controls!$B$5,Controls!$B$4+328,"")</f>
        <v/>
      </c>
      <c r="B330" s="10" t="str">
        <f>IF(OR($A330="",1&gt;Controls!$B$6),"",MOD(L329*48271,2147483647))</f>
        <v/>
      </c>
      <c r="C330" s="10" t="str">
        <f>IF(OR($A330="",2&gt;Controls!$B$6),"",MOD(M329*48271,2147483647))</f>
        <v/>
      </c>
      <c r="D330" s="10" t="str">
        <f>IF(OR($A330="",3&gt;Controls!$B$6),"",MOD(N329*48271,2147483647))</f>
        <v/>
      </c>
      <c r="E330" s="10" t="str">
        <f>IF(OR($A330="",4&gt;Controls!$B$6),"",MOD(O329*48271,2147483647))</f>
        <v/>
      </c>
      <c r="F330" s="10" t="str">
        <f>IF(OR($A330="",5&gt;Controls!$B$6),"",MOD(P329*48271,2147483647))</f>
        <v/>
      </c>
      <c r="G330" s="10" t="str">
        <f>IF(OR($A330="",6&gt;Controls!$B$6),"",MOD(Q329*48271,2147483647))</f>
        <v/>
      </c>
      <c r="H330" s="10" t="str">
        <f>IF(OR($A330="",7&gt;Controls!$B$6),"",MOD(R329*48271,2147483647))</f>
        <v/>
      </c>
      <c r="I330" s="10" t="str">
        <f>IF(OR($A330="",8&gt;Controls!$B$6),"",MOD(S329*48271,2147483647))</f>
        <v/>
      </c>
      <c r="J330" s="10" t="str">
        <f>IF(OR($A330="",9&gt;Controls!$B$6),"",MOD(T329*48271,2147483647))</f>
        <v/>
      </c>
      <c r="K330" s="10" t="str">
        <f>IF(OR($A330="",10&gt;Controls!$B$6),"",MOD(U329*48271,2147483647))</f>
        <v/>
      </c>
      <c r="L330" s="10" t="str">
        <f t="shared" ref="L330:U330" si="329">IF(B330="","",MOD(B330*48271,2147483647))</f>
        <v/>
      </c>
      <c r="M330" s="10" t="str">
        <f t="shared" si="329"/>
        <v/>
      </c>
      <c r="N330" s="10" t="str">
        <f t="shared" si="329"/>
        <v/>
      </c>
      <c r="O330" s="10" t="str">
        <f t="shared" si="329"/>
        <v/>
      </c>
      <c r="P330" s="10" t="str">
        <f t="shared" si="329"/>
        <v/>
      </c>
      <c r="Q330" s="10" t="str">
        <f t="shared" si="329"/>
        <v/>
      </c>
      <c r="R330" s="10" t="str">
        <f t="shared" si="329"/>
        <v/>
      </c>
      <c r="S330" s="10" t="str">
        <f t="shared" si="329"/>
        <v/>
      </c>
      <c r="T330" s="10" t="str">
        <f t="shared" si="329"/>
        <v/>
      </c>
      <c r="U330" s="10" t="str">
        <f t="shared" si="329"/>
        <v/>
      </c>
      <c r="V330" s="10" t="str">
        <f>IF(B330="","",IF(Controls!$B$7="Normal",Controls!$B$8+Controls!$B$9*SQRT(-2*LN(B330/2147483647))*COS(2*PI()*L330/2147483647),Controls!$B$8+(Controls!$B$9-Controls!$B$8)*B330/2147483647))</f>
        <v/>
      </c>
      <c r="W330" s="10" t="str">
        <f>IF(C330="","",IF(Controls!$B$7="Normal",Controls!$B$8+Controls!$B$9*SQRT(-2*LN(C330/2147483647))*COS(2*PI()*M330/2147483647),Controls!$B$8+(Controls!$B$9-Controls!$B$8)*C330/2147483647))</f>
        <v/>
      </c>
      <c r="X330" s="10" t="str">
        <f>IF(D330="","",IF(Controls!$B$7="Normal",Controls!$B$8+Controls!$B$9*SQRT(-2*LN(D330/2147483647))*COS(2*PI()*N330/2147483647),Controls!$B$8+(Controls!$B$9-Controls!$B$8)*D330/2147483647))</f>
        <v/>
      </c>
      <c r="Y330" s="10" t="str">
        <f>IF(E330="","",IF(Controls!$B$7="Normal",Controls!$B$8+Controls!$B$9*SQRT(-2*LN(E330/2147483647))*COS(2*PI()*O330/2147483647),Controls!$B$8+(Controls!$B$9-Controls!$B$8)*E330/2147483647))</f>
        <v/>
      </c>
      <c r="Z330" s="10" t="str">
        <f>IF(F330="","",IF(Controls!$B$7="Normal",Controls!$B$8+Controls!$B$9*SQRT(-2*LN(F330/2147483647))*COS(2*PI()*P330/2147483647),Controls!$B$8+(Controls!$B$9-Controls!$B$8)*F330/2147483647))</f>
        <v/>
      </c>
      <c r="AA330" s="10" t="str">
        <f>IF(G330="","",IF(Controls!$B$7="Normal",Controls!$B$8+Controls!$B$9*SQRT(-2*LN(G330/2147483647))*COS(2*PI()*Q330/2147483647),Controls!$B$8+(Controls!$B$9-Controls!$B$8)*G330/2147483647))</f>
        <v/>
      </c>
      <c r="AB330" s="10" t="str">
        <f>IF(H330="","",IF(Controls!$B$7="Normal",Controls!$B$8+Controls!$B$9*SQRT(-2*LN(H330/2147483647))*COS(2*PI()*R330/2147483647),Controls!$B$8+(Controls!$B$9-Controls!$B$8)*H330/2147483647))</f>
        <v/>
      </c>
      <c r="AC330" s="10" t="str">
        <f>IF(I330="","",IF(Controls!$B$7="Normal",Controls!$B$8+Controls!$B$9*SQRT(-2*LN(I330/2147483647))*COS(2*PI()*S330/2147483647),Controls!$B$8+(Controls!$B$9-Controls!$B$8)*I330/2147483647))</f>
        <v/>
      </c>
      <c r="AD330" s="10" t="str">
        <f>IF(J330="","",IF(Controls!$B$7="Normal",Controls!$B$8+Controls!$B$9*SQRT(-2*LN(J330/2147483647))*COS(2*PI()*T330/2147483647),Controls!$B$8+(Controls!$B$9-Controls!$B$8)*J330/2147483647))</f>
        <v/>
      </c>
      <c r="AE330" s="10" t="str">
        <f>IF(K330="","",IF(Controls!$B$7="Normal",Controls!$B$8+Controls!$B$9*SQRT(-2*LN(K330/2147483647))*COS(2*PI()*U330/2147483647),Controls!$B$8+(Controls!$B$9-Controls!$B$8)*K330/2147483647))</f>
        <v/>
      </c>
    </row>
    <row r="331" ht="21.0" customHeight="1">
      <c r="A331" s="7" t="str">
        <f>IF(330&lt;=Controls!$B$5,Controls!$B$4+329,"")</f>
        <v/>
      </c>
      <c r="B331" s="10" t="str">
        <f>IF(OR($A331="",1&gt;Controls!$B$6),"",MOD(L330*48271,2147483647))</f>
        <v/>
      </c>
      <c r="C331" s="10" t="str">
        <f>IF(OR($A331="",2&gt;Controls!$B$6),"",MOD(M330*48271,2147483647))</f>
        <v/>
      </c>
      <c r="D331" s="10" t="str">
        <f>IF(OR($A331="",3&gt;Controls!$B$6),"",MOD(N330*48271,2147483647))</f>
        <v/>
      </c>
      <c r="E331" s="10" t="str">
        <f>IF(OR($A331="",4&gt;Controls!$B$6),"",MOD(O330*48271,2147483647))</f>
        <v/>
      </c>
      <c r="F331" s="10" t="str">
        <f>IF(OR($A331="",5&gt;Controls!$B$6),"",MOD(P330*48271,2147483647))</f>
        <v/>
      </c>
      <c r="G331" s="10" t="str">
        <f>IF(OR($A331="",6&gt;Controls!$B$6),"",MOD(Q330*48271,2147483647))</f>
        <v/>
      </c>
      <c r="H331" s="10" t="str">
        <f>IF(OR($A331="",7&gt;Controls!$B$6),"",MOD(R330*48271,2147483647))</f>
        <v/>
      </c>
      <c r="I331" s="10" t="str">
        <f>IF(OR($A331="",8&gt;Controls!$B$6),"",MOD(S330*48271,2147483647))</f>
        <v/>
      </c>
      <c r="J331" s="10" t="str">
        <f>IF(OR($A331="",9&gt;Controls!$B$6),"",MOD(T330*48271,2147483647))</f>
        <v/>
      </c>
      <c r="K331" s="10" t="str">
        <f>IF(OR($A331="",10&gt;Controls!$B$6),"",MOD(U330*48271,2147483647))</f>
        <v/>
      </c>
      <c r="L331" s="10" t="str">
        <f t="shared" ref="L331:U331" si="330">IF(B331="","",MOD(B331*48271,2147483647))</f>
        <v/>
      </c>
      <c r="M331" s="10" t="str">
        <f t="shared" si="330"/>
        <v/>
      </c>
      <c r="N331" s="10" t="str">
        <f t="shared" si="330"/>
        <v/>
      </c>
      <c r="O331" s="10" t="str">
        <f t="shared" si="330"/>
        <v/>
      </c>
      <c r="P331" s="10" t="str">
        <f t="shared" si="330"/>
        <v/>
      </c>
      <c r="Q331" s="10" t="str">
        <f t="shared" si="330"/>
        <v/>
      </c>
      <c r="R331" s="10" t="str">
        <f t="shared" si="330"/>
        <v/>
      </c>
      <c r="S331" s="10" t="str">
        <f t="shared" si="330"/>
        <v/>
      </c>
      <c r="T331" s="10" t="str">
        <f t="shared" si="330"/>
        <v/>
      </c>
      <c r="U331" s="10" t="str">
        <f t="shared" si="330"/>
        <v/>
      </c>
      <c r="V331" s="10" t="str">
        <f>IF(B331="","",IF(Controls!$B$7="Normal",Controls!$B$8+Controls!$B$9*SQRT(-2*LN(B331/2147483647))*COS(2*PI()*L331/2147483647),Controls!$B$8+(Controls!$B$9-Controls!$B$8)*B331/2147483647))</f>
        <v/>
      </c>
      <c r="W331" s="10" t="str">
        <f>IF(C331="","",IF(Controls!$B$7="Normal",Controls!$B$8+Controls!$B$9*SQRT(-2*LN(C331/2147483647))*COS(2*PI()*M331/2147483647),Controls!$B$8+(Controls!$B$9-Controls!$B$8)*C331/2147483647))</f>
        <v/>
      </c>
      <c r="X331" s="10" t="str">
        <f>IF(D331="","",IF(Controls!$B$7="Normal",Controls!$B$8+Controls!$B$9*SQRT(-2*LN(D331/2147483647))*COS(2*PI()*N331/2147483647),Controls!$B$8+(Controls!$B$9-Controls!$B$8)*D331/2147483647))</f>
        <v/>
      </c>
      <c r="Y331" s="10" t="str">
        <f>IF(E331="","",IF(Controls!$B$7="Normal",Controls!$B$8+Controls!$B$9*SQRT(-2*LN(E331/2147483647))*COS(2*PI()*O331/2147483647),Controls!$B$8+(Controls!$B$9-Controls!$B$8)*E331/2147483647))</f>
        <v/>
      </c>
      <c r="Z331" s="10" t="str">
        <f>IF(F331="","",IF(Controls!$B$7="Normal",Controls!$B$8+Controls!$B$9*SQRT(-2*LN(F331/2147483647))*COS(2*PI()*P331/2147483647),Controls!$B$8+(Controls!$B$9-Controls!$B$8)*F331/2147483647))</f>
        <v/>
      </c>
      <c r="AA331" s="10" t="str">
        <f>IF(G331="","",IF(Controls!$B$7="Normal",Controls!$B$8+Controls!$B$9*SQRT(-2*LN(G331/2147483647))*COS(2*PI()*Q331/2147483647),Controls!$B$8+(Controls!$B$9-Controls!$B$8)*G331/2147483647))</f>
        <v/>
      </c>
      <c r="AB331" s="10" t="str">
        <f>IF(H331="","",IF(Controls!$B$7="Normal",Controls!$B$8+Controls!$B$9*SQRT(-2*LN(H331/2147483647))*COS(2*PI()*R331/2147483647),Controls!$B$8+(Controls!$B$9-Controls!$B$8)*H331/2147483647))</f>
        <v/>
      </c>
      <c r="AC331" s="10" t="str">
        <f>IF(I331="","",IF(Controls!$B$7="Normal",Controls!$B$8+Controls!$B$9*SQRT(-2*LN(I331/2147483647))*COS(2*PI()*S331/2147483647),Controls!$B$8+(Controls!$B$9-Controls!$B$8)*I331/2147483647))</f>
        <v/>
      </c>
      <c r="AD331" s="10" t="str">
        <f>IF(J331="","",IF(Controls!$B$7="Normal",Controls!$B$8+Controls!$B$9*SQRT(-2*LN(J331/2147483647))*COS(2*PI()*T331/2147483647),Controls!$B$8+(Controls!$B$9-Controls!$B$8)*J331/2147483647))</f>
        <v/>
      </c>
      <c r="AE331" s="10" t="str">
        <f>IF(K331="","",IF(Controls!$B$7="Normal",Controls!$B$8+Controls!$B$9*SQRT(-2*LN(K331/2147483647))*COS(2*PI()*U331/2147483647),Controls!$B$8+(Controls!$B$9-Controls!$B$8)*K331/2147483647))</f>
        <v/>
      </c>
    </row>
    <row r="332" ht="21.0" customHeight="1">
      <c r="A332" s="7" t="str">
        <f>IF(331&lt;=Controls!$B$5,Controls!$B$4+330,"")</f>
        <v/>
      </c>
      <c r="B332" s="10" t="str">
        <f>IF(OR($A332="",1&gt;Controls!$B$6),"",MOD(L331*48271,2147483647))</f>
        <v/>
      </c>
      <c r="C332" s="10" t="str">
        <f>IF(OR($A332="",2&gt;Controls!$B$6),"",MOD(M331*48271,2147483647))</f>
        <v/>
      </c>
      <c r="D332" s="10" t="str">
        <f>IF(OR($A332="",3&gt;Controls!$B$6),"",MOD(N331*48271,2147483647))</f>
        <v/>
      </c>
      <c r="E332" s="10" t="str">
        <f>IF(OR($A332="",4&gt;Controls!$B$6),"",MOD(O331*48271,2147483647))</f>
        <v/>
      </c>
      <c r="F332" s="10" t="str">
        <f>IF(OR($A332="",5&gt;Controls!$B$6),"",MOD(P331*48271,2147483647))</f>
        <v/>
      </c>
      <c r="G332" s="10" t="str">
        <f>IF(OR($A332="",6&gt;Controls!$B$6),"",MOD(Q331*48271,2147483647))</f>
        <v/>
      </c>
      <c r="H332" s="10" t="str">
        <f>IF(OR($A332="",7&gt;Controls!$B$6),"",MOD(R331*48271,2147483647))</f>
        <v/>
      </c>
      <c r="I332" s="10" t="str">
        <f>IF(OR($A332="",8&gt;Controls!$B$6),"",MOD(S331*48271,2147483647))</f>
        <v/>
      </c>
      <c r="J332" s="10" t="str">
        <f>IF(OR($A332="",9&gt;Controls!$B$6),"",MOD(T331*48271,2147483647))</f>
        <v/>
      </c>
      <c r="K332" s="10" t="str">
        <f>IF(OR($A332="",10&gt;Controls!$B$6),"",MOD(U331*48271,2147483647))</f>
        <v/>
      </c>
      <c r="L332" s="10" t="str">
        <f t="shared" ref="L332:U332" si="331">IF(B332="","",MOD(B332*48271,2147483647))</f>
        <v/>
      </c>
      <c r="M332" s="10" t="str">
        <f t="shared" si="331"/>
        <v/>
      </c>
      <c r="N332" s="10" t="str">
        <f t="shared" si="331"/>
        <v/>
      </c>
      <c r="O332" s="10" t="str">
        <f t="shared" si="331"/>
        <v/>
      </c>
      <c r="P332" s="10" t="str">
        <f t="shared" si="331"/>
        <v/>
      </c>
      <c r="Q332" s="10" t="str">
        <f t="shared" si="331"/>
        <v/>
      </c>
      <c r="R332" s="10" t="str">
        <f t="shared" si="331"/>
        <v/>
      </c>
      <c r="S332" s="10" t="str">
        <f t="shared" si="331"/>
        <v/>
      </c>
      <c r="T332" s="10" t="str">
        <f t="shared" si="331"/>
        <v/>
      </c>
      <c r="U332" s="10" t="str">
        <f t="shared" si="331"/>
        <v/>
      </c>
      <c r="V332" s="10" t="str">
        <f>IF(B332="","",IF(Controls!$B$7="Normal",Controls!$B$8+Controls!$B$9*SQRT(-2*LN(B332/2147483647))*COS(2*PI()*L332/2147483647),Controls!$B$8+(Controls!$B$9-Controls!$B$8)*B332/2147483647))</f>
        <v/>
      </c>
      <c r="W332" s="10" t="str">
        <f>IF(C332="","",IF(Controls!$B$7="Normal",Controls!$B$8+Controls!$B$9*SQRT(-2*LN(C332/2147483647))*COS(2*PI()*M332/2147483647),Controls!$B$8+(Controls!$B$9-Controls!$B$8)*C332/2147483647))</f>
        <v/>
      </c>
      <c r="X332" s="10" t="str">
        <f>IF(D332="","",IF(Controls!$B$7="Normal",Controls!$B$8+Controls!$B$9*SQRT(-2*LN(D332/2147483647))*COS(2*PI()*N332/2147483647),Controls!$B$8+(Controls!$B$9-Controls!$B$8)*D332/2147483647))</f>
        <v/>
      </c>
      <c r="Y332" s="10" t="str">
        <f>IF(E332="","",IF(Controls!$B$7="Normal",Controls!$B$8+Controls!$B$9*SQRT(-2*LN(E332/2147483647))*COS(2*PI()*O332/2147483647),Controls!$B$8+(Controls!$B$9-Controls!$B$8)*E332/2147483647))</f>
        <v/>
      </c>
      <c r="Z332" s="10" t="str">
        <f>IF(F332="","",IF(Controls!$B$7="Normal",Controls!$B$8+Controls!$B$9*SQRT(-2*LN(F332/2147483647))*COS(2*PI()*P332/2147483647),Controls!$B$8+(Controls!$B$9-Controls!$B$8)*F332/2147483647))</f>
        <v/>
      </c>
      <c r="AA332" s="10" t="str">
        <f>IF(G332="","",IF(Controls!$B$7="Normal",Controls!$B$8+Controls!$B$9*SQRT(-2*LN(G332/2147483647))*COS(2*PI()*Q332/2147483647),Controls!$B$8+(Controls!$B$9-Controls!$B$8)*G332/2147483647))</f>
        <v/>
      </c>
      <c r="AB332" s="10" t="str">
        <f>IF(H332="","",IF(Controls!$B$7="Normal",Controls!$B$8+Controls!$B$9*SQRT(-2*LN(H332/2147483647))*COS(2*PI()*R332/2147483647),Controls!$B$8+(Controls!$B$9-Controls!$B$8)*H332/2147483647))</f>
        <v/>
      </c>
      <c r="AC332" s="10" t="str">
        <f>IF(I332="","",IF(Controls!$B$7="Normal",Controls!$B$8+Controls!$B$9*SQRT(-2*LN(I332/2147483647))*COS(2*PI()*S332/2147483647),Controls!$B$8+(Controls!$B$9-Controls!$B$8)*I332/2147483647))</f>
        <v/>
      </c>
      <c r="AD332" s="10" t="str">
        <f>IF(J332="","",IF(Controls!$B$7="Normal",Controls!$B$8+Controls!$B$9*SQRT(-2*LN(J332/2147483647))*COS(2*PI()*T332/2147483647),Controls!$B$8+(Controls!$B$9-Controls!$B$8)*J332/2147483647))</f>
        <v/>
      </c>
      <c r="AE332" s="10" t="str">
        <f>IF(K332="","",IF(Controls!$B$7="Normal",Controls!$B$8+Controls!$B$9*SQRT(-2*LN(K332/2147483647))*COS(2*PI()*U332/2147483647),Controls!$B$8+(Controls!$B$9-Controls!$B$8)*K332/2147483647))</f>
        <v/>
      </c>
    </row>
    <row r="333" ht="21.0" customHeight="1">
      <c r="A333" s="7" t="str">
        <f>IF(332&lt;=Controls!$B$5,Controls!$B$4+331,"")</f>
        <v/>
      </c>
      <c r="B333" s="10" t="str">
        <f>IF(OR($A333="",1&gt;Controls!$B$6),"",MOD(L332*48271,2147483647))</f>
        <v/>
      </c>
      <c r="C333" s="10" t="str">
        <f>IF(OR($A333="",2&gt;Controls!$B$6),"",MOD(M332*48271,2147483647))</f>
        <v/>
      </c>
      <c r="D333" s="10" t="str">
        <f>IF(OR($A333="",3&gt;Controls!$B$6),"",MOD(N332*48271,2147483647))</f>
        <v/>
      </c>
      <c r="E333" s="10" t="str">
        <f>IF(OR($A333="",4&gt;Controls!$B$6),"",MOD(O332*48271,2147483647))</f>
        <v/>
      </c>
      <c r="F333" s="10" t="str">
        <f>IF(OR($A333="",5&gt;Controls!$B$6),"",MOD(P332*48271,2147483647))</f>
        <v/>
      </c>
      <c r="G333" s="10" t="str">
        <f>IF(OR($A333="",6&gt;Controls!$B$6),"",MOD(Q332*48271,2147483647))</f>
        <v/>
      </c>
      <c r="H333" s="10" t="str">
        <f>IF(OR($A333="",7&gt;Controls!$B$6),"",MOD(R332*48271,2147483647))</f>
        <v/>
      </c>
      <c r="I333" s="10" t="str">
        <f>IF(OR($A333="",8&gt;Controls!$B$6),"",MOD(S332*48271,2147483647))</f>
        <v/>
      </c>
      <c r="J333" s="10" t="str">
        <f>IF(OR($A333="",9&gt;Controls!$B$6),"",MOD(T332*48271,2147483647))</f>
        <v/>
      </c>
      <c r="K333" s="10" t="str">
        <f>IF(OR($A333="",10&gt;Controls!$B$6),"",MOD(U332*48271,2147483647))</f>
        <v/>
      </c>
      <c r="L333" s="10" t="str">
        <f t="shared" ref="L333:U333" si="332">IF(B333="","",MOD(B333*48271,2147483647))</f>
        <v/>
      </c>
      <c r="M333" s="10" t="str">
        <f t="shared" si="332"/>
        <v/>
      </c>
      <c r="N333" s="10" t="str">
        <f t="shared" si="332"/>
        <v/>
      </c>
      <c r="O333" s="10" t="str">
        <f t="shared" si="332"/>
        <v/>
      </c>
      <c r="P333" s="10" t="str">
        <f t="shared" si="332"/>
        <v/>
      </c>
      <c r="Q333" s="10" t="str">
        <f t="shared" si="332"/>
        <v/>
      </c>
      <c r="R333" s="10" t="str">
        <f t="shared" si="332"/>
        <v/>
      </c>
      <c r="S333" s="10" t="str">
        <f t="shared" si="332"/>
        <v/>
      </c>
      <c r="T333" s="10" t="str">
        <f t="shared" si="332"/>
        <v/>
      </c>
      <c r="U333" s="10" t="str">
        <f t="shared" si="332"/>
        <v/>
      </c>
      <c r="V333" s="10" t="str">
        <f>IF(B333="","",IF(Controls!$B$7="Normal",Controls!$B$8+Controls!$B$9*SQRT(-2*LN(B333/2147483647))*COS(2*PI()*L333/2147483647),Controls!$B$8+(Controls!$B$9-Controls!$B$8)*B333/2147483647))</f>
        <v/>
      </c>
      <c r="W333" s="10" t="str">
        <f>IF(C333="","",IF(Controls!$B$7="Normal",Controls!$B$8+Controls!$B$9*SQRT(-2*LN(C333/2147483647))*COS(2*PI()*M333/2147483647),Controls!$B$8+(Controls!$B$9-Controls!$B$8)*C333/2147483647))</f>
        <v/>
      </c>
      <c r="X333" s="10" t="str">
        <f>IF(D333="","",IF(Controls!$B$7="Normal",Controls!$B$8+Controls!$B$9*SQRT(-2*LN(D333/2147483647))*COS(2*PI()*N333/2147483647),Controls!$B$8+(Controls!$B$9-Controls!$B$8)*D333/2147483647))</f>
        <v/>
      </c>
      <c r="Y333" s="10" t="str">
        <f>IF(E333="","",IF(Controls!$B$7="Normal",Controls!$B$8+Controls!$B$9*SQRT(-2*LN(E333/2147483647))*COS(2*PI()*O333/2147483647),Controls!$B$8+(Controls!$B$9-Controls!$B$8)*E333/2147483647))</f>
        <v/>
      </c>
      <c r="Z333" s="10" t="str">
        <f>IF(F333="","",IF(Controls!$B$7="Normal",Controls!$B$8+Controls!$B$9*SQRT(-2*LN(F333/2147483647))*COS(2*PI()*P333/2147483647),Controls!$B$8+(Controls!$B$9-Controls!$B$8)*F333/2147483647))</f>
        <v/>
      </c>
      <c r="AA333" s="10" t="str">
        <f>IF(G333="","",IF(Controls!$B$7="Normal",Controls!$B$8+Controls!$B$9*SQRT(-2*LN(G333/2147483647))*COS(2*PI()*Q333/2147483647),Controls!$B$8+(Controls!$B$9-Controls!$B$8)*G333/2147483647))</f>
        <v/>
      </c>
      <c r="AB333" s="10" t="str">
        <f>IF(H333="","",IF(Controls!$B$7="Normal",Controls!$B$8+Controls!$B$9*SQRT(-2*LN(H333/2147483647))*COS(2*PI()*R333/2147483647),Controls!$B$8+(Controls!$B$9-Controls!$B$8)*H333/2147483647))</f>
        <v/>
      </c>
      <c r="AC333" s="10" t="str">
        <f>IF(I333="","",IF(Controls!$B$7="Normal",Controls!$B$8+Controls!$B$9*SQRT(-2*LN(I333/2147483647))*COS(2*PI()*S333/2147483647),Controls!$B$8+(Controls!$B$9-Controls!$B$8)*I333/2147483647))</f>
        <v/>
      </c>
      <c r="AD333" s="10" t="str">
        <f>IF(J333="","",IF(Controls!$B$7="Normal",Controls!$B$8+Controls!$B$9*SQRT(-2*LN(J333/2147483647))*COS(2*PI()*T333/2147483647),Controls!$B$8+(Controls!$B$9-Controls!$B$8)*J333/2147483647))</f>
        <v/>
      </c>
      <c r="AE333" s="10" t="str">
        <f>IF(K333="","",IF(Controls!$B$7="Normal",Controls!$B$8+Controls!$B$9*SQRT(-2*LN(K333/2147483647))*COS(2*PI()*U333/2147483647),Controls!$B$8+(Controls!$B$9-Controls!$B$8)*K333/2147483647))</f>
        <v/>
      </c>
    </row>
    <row r="334" ht="21.0" customHeight="1">
      <c r="A334" s="7" t="str">
        <f>IF(333&lt;=Controls!$B$5,Controls!$B$4+332,"")</f>
        <v/>
      </c>
      <c r="B334" s="10" t="str">
        <f>IF(OR($A334="",1&gt;Controls!$B$6),"",MOD(L333*48271,2147483647))</f>
        <v/>
      </c>
      <c r="C334" s="10" t="str">
        <f>IF(OR($A334="",2&gt;Controls!$B$6),"",MOD(M333*48271,2147483647))</f>
        <v/>
      </c>
      <c r="D334" s="10" t="str">
        <f>IF(OR($A334="",3&gt;Controls!$B$6),"",MOD(N333*48271,2147483647))</f>
        <v/>
      </c>
      <c r="E334" s="10" t="str">
        <f>IF(OR($A334="",4&gt;Controls!$B$6),"",MOD(O333*48271,2147483647))</f>
        <v/>
      </c>
      <c r="F334" s="10" t="str">
        <f>IF(OR($A334="",5&gt;Controls!$B$6),"",MOD(P333*48271,2147483647))</f>
        <v/>
      </c>
      <c r="G334" s="10" t="str">
        <f>IF(OR($A334="",6&gt;Controls!$B$6),"",MOD(Q333*48271,2147483647))</f>
        <v/>
      </c>
      <c r="H334" s="10" t="str">
        <f>IF(OR($A334="",7&gt;Controls!$B$6),"",MOD(R333*48271,2147483647))</f>
        <v/>
      </c>
      <c r="I334" s="10" t="str">
        <f>IF(OR($A334="",8&gt;Controls!$B$6),"",MOD(S333*48271,2147483647))</f>
        <v/>
      </c>
      <c r="J334" s="10" t="str">
        <f>IF(OR($A334="",9&gt;Controls!$B$6),"",MOD(T333*48271,2147483647))</f>
        <v/>
      </c>
      <c r="K334" s="10" t="str">
        <f>IF(OR($A334="",10&gt;Controls!$B$6),"",MOD(U333*48271,2147483647))</f>
        <v/>
      </c>
      <c r="L334" s="10" t="str">
        <f t="shared" ref="L334:U334" si="333">IF(B334="","",MOD(B334*48271,2147483647))</f>
        <v/>
      </c>
      <c r="M334" s="10" t="str">
        <f t="shared" si="333"/>
        <v/>
      </c>
      <c r="N334" s="10" t="str">
        <f t="shared" si="333"/>
        <v/>
      </c>
      <c r="O334" s="10" t="str">
        <f t="shared" si="333"/>
        <v/>
      </c>
      <c r="P334" s="10" t="str">
        <f t="shared" si="333"/>
        <v/>
      </c>
      <c r="Q334" s="10" t="str">
        <f t="shared" si="333"/>
        <v/>
      </c>
      <c r="R334" s="10" t="str">
        <f t="shared" si="333"/>
        <v/>
      </c>
      <c r="S334" s="10" t="str">
        <f t="shared" si="333"/>
        <v/>
      </c>
      <c r="T334" s="10" t="str">
        <f t="shared" si="333"/>
        <v/>
      </c>
      <c r="U334" s="10" t="str">
        <f t="shared" si="333"/>
        <v/>
      </c>
      <c r="V334" s="10" t="str">
        <f>IF(B334="","",IF(Controls!$B$7="Normal",Controls!$B$8+Controls!$B$9*SQRT(-2*LN(B334/2147483647))*COS(2*PI()*L334/2147483647),Controls!$B$8+(Controls!$B$9-Controls!$B$8)*B334/2147483647))</f>
        <v/>
      </c>
      <c r="W334" s="10" t="str">
        <f>IF(C334="","",IF(Controls!$B$7="Normal",Controls!$B$8+Controls!$B$9*SQRT(-2*LN(C334/2147483647))*COS(2*PI()*M334/2147483647),Controls!$B$8+(Controls!$B$9-Controls!$B$8)*C334/2147483647))</f>
        <v/>
      </c>
      <c r="X334" s="10" t="str">
        <f>IF(D334="","",IF(Controls!$B$7="Normal",Controls!$B$8+Controls!$B$9*SQRT(-2*LN(D334/2147483647))*COS(2*PI()*N334/2147483647),Controls!$B$8+(Controls!$B$9-Controls!$B$8)*D334/2147483647))</f>
        <v/>
      </c>
      <c r="Y334" s="10" t="str">
        <f>IF(E334="","",IF(Controls!$B$7="Normal",Controls!$B$8+Controls!$B$9*SQRT(-2*LN(E334/2147483647))*COS(2*PI()*O334/2147483647),Controls!$B$8+(Controls!$B$9-Controls!$B$8)*E334/2147483647))</f>
        <v/>
      </c>
      <c r="Z334" s="10" t="str">
        <f>IF(F334="","",IF(Controls!$B$7="Normal",Controls!$B$8+Controls!$B$9*SQRT(-2*LN(F334/2147483647))*COS(2*PI()*P334/2147483647),Controls!$B$8+(Controls!$B$9-Controls!$B$8)*F334/2147483647))</f>
        <v/>
      </c>
      <c r="AA334" s="10" t="str">
        <f>IF(G334="","",IF(Controls!$B$7="Normal",Controls!$B$8+Controls!$B$9*SQRT(-2*LN(G334/2147483647))*COS(2*PI()*Q334/2147483647),Controls!$B$8+(Controls!$B$9-Controls!$B$8)*G334/2147483647))</f>
        <v/>
      </c>
      <c r="AB334" s="10" t="str">
        <f>IF(H334="","",IF(Controls!$B$7="Normal",Controls!$B$8+Controls!$B$9*SQRT(-2*LN(H334/2147483647))*COS(2*PI()*R334/2147483647),Controls!$B$8+(Controls!$B$9-Controls!$B$8)*H334/2147483647))</f>
        <v/>
      </c>
      <c r="AC334" s="10" t="str">
        <f>IF(I334="","",IF(Controls!$B$7="Normal",Controls!$B$8+Controls!$B$9*SQRT(-2*LN(I334/2147483647))*COS(2*PI()*S334/2147483647),Controls!$B$8+(Controls!$B$9-Controls!$B$8)*I334/2147483647))</f>
        <v/>
      </c>
      <c r="AD334" s="10" t="str">
        <f>IF(J334="","",IF(Controls!$B$7="Normal",Controls!$B$8+Controls!$B$9*SQRT(-2*LN(J334/2147483647))*COS(2*PI()*T334/2147483647),Controls!$B$8+(Controls!$B$9-Controls!$B$8)*J334/2147483647))</f>
        <v/>
      </c>
      <c r="AE334" s="10" t="str">
        <f>IF(K334="","",IF(Controls!$B$7="Normal",Controls!$B$8+Controls!$B$9*SQRT(-2*LN(K334/2147483647))*COS(2*PI()*U334/2147483647),Controls!$B$8+(Controls!$B$9-Controls!$B$8)*K334/2147483647))</f>
        <v/>
      </c>
    </row>
    <row r="335" ht="21.0" customHeight="1">
      <c r="A335" s="7" t="str">
        <f>IF(334&lt;=Controls!$B$5,Controls!$B$4+333,"")</f>
        <v/>
      </c>
      <c r="B335" s="10" t="str">
        <f>IF(OR($A335="",1&gt;Controls!$B$6),"",MOD(L334*48271,2147483647))</f>
        <v/>
      </c>
      <c r="C335" s="10" t="str">
        <f>IF(OR($A335="",2&gt;Controls!$B$6),"",MOD(M334*48271,2147483647))</f>
        <v/>
      </c>
      <c r="D335" s="10" t="str">
        <f>IF(OR($A335="",3&gt;Controls!$B$6),"",MOD(N334*48271,2147483647))</f>
        <v/>
      </c>
      <c r="E335" s="10" t="str">
        <f>IF(OR($A335="",4&gt;Controls!$B$6),"",MOD(O334*48271,2147483647))</f>
        <v/>
      </c>
      <c r="F335" s="10" t="str">
        <f>IF(OR($A335="",5&gt;Controls!$B$6),"",MOD(P334*48271,2147483647))</f>
        <v/>
      </c>
      <c r="G335" s="10" t="str">
        <f>IF(OR($A335="",6&gt;Controls!$B$6),"",MOD(Q334*48271,2147483647))</f>
        <v/>
      </c>
      <c r="H335" s="10" t="str">
        <f>IF(OR($A335="",7&gt;Controls!$B$6),"",MOD(R334*48271,2147483647))</f>
        <v/>
      </c>
      <c r="I335" s="10" t="str">
        <f>IF(OR($A335="",8&gt;Controls!$B$6),"",MOD(S334*48271,2147483647))</f>
        <v/>
      </c>
      <c r="J335" s="10" t="str">
        <f>IF(OR($A335="",9&gt;Controls!$B$6),"",MOD(T334*48271,2147483647))</f>
        <v/>
      </c>
      <c r="K335" s="10" t="str">
        <f>IF(OR($A335="",10&gt;Controls!$B$6),"",MOD(U334*48271,2147483647))</f>
        <v/>
      </c>
      <c r="L335" s="10" t="str">
        <f t="shared" ref="L335:U335" si="334">IF(B335="","",MOD(B335*48271,2147483647))</f>
        <v/>
      </c>
      <c r="M335" s="10" t="str">
        <f t="shared" si="334"/>
        <v/>
      </c>
      <c r="N335" s="10" t="str">
        <f t="shared" si="334"/>
        <v/>
      </c>
      <c r="O335" s="10" t="str">
        <f t="shared" si="334"/>
        <v/>
      </c>
      <c r="P335" s="10" t="str">
        <f t="shared" si="334"/>
        <v/>
      </c>
      <c r="Q335" s="10" t="str">
        <f t="shared" si="334"/>
        <v/>
      </c>
      <c r="R335" s="10" t="str">
        <f t="shared" si="334"/>
        <v/>
      </c>
      <c r="S335" s="10" t="str">
        <f t="shared" si="334"/>
        <v/>
      </c>
      <c r="T335" s="10" t="str">
        <f t="shared" si="334"/>
        <v/>
      </c>
      <c r="U335" s="10" t="str">
        <f t="shared" si="334"/>
        <v/>
      </c>
      <c r="V335" s="10" t="str">
        <f>IF(B335="","",IF(Controls!$B$7="Normal",Controls!$B$8+Controls!$B$9*SQRT(-2*LN(B335/2147483647))*COS(2*PI()*L335/2147483647),Controls!$B$8+(Controls!$B$9-Controls!$B$8)*B335/2147483647))</f>
        <v/>
      </c>
      <c r="W335" s="10" t="str">
        <f>IF(C335="","",IF(Controls!$B$7="Normal",Controls!$B$8+Controls!$B$9*SQRT(-2*LN(C335/2147483647))*COS(2*PI()*M335/2147483647),Controls!$B$8+(Controls!$B$9-Controls!$B$8)*C335/2147483647))</f>
        <v/>
      </c>
      <c r="X335" s="10" t="str">
        <f>IF(D335="","",IF(Controls!$B$7="Normal",Controls!$B$8+Controls!$B$9*SQRT(-2*LN(D335/2147483647))*COS(2*PI()*N335/2147483647),Controls!$B$8+(Controls!$B$9-Controls!$B$8)*D335/2147483647))</f>
        <v/>
      </c>
      <c r="Y335" s="10" t="str">
        <f>IF(E335="","",IF(Controls!$B$7="Normal",Controls!$B$8+Controls!$B$9*SQRT(-2*LN(E335/2147483647))*COS(2*PI()*O335/2147483647),Controls!$B$8+(Controls!$B$9-Controls!$B$8)*E335/2147483647))</f>
        <v/>
      </c>
      <c r="Z335" s="10" t="str">
        <f>IF(F335="","",IF(Controls!$B$7="Normal",Controls!$B$8+Controls!$B$9*SQRT(-2*LN(F335/2147483647))*COS(2*PI()*P335/2147483647),Controls!$B$8+(Controls!$B$9-Controls!$B$8)*F335/2147483647))</f>
        <v/>
      </c>
      <c r="AA335" s="10" t="str">
        <f>IF(G335="","",IF(Controls!$B$7="Normal",Controls!$B$8+Controls!$B$9*SQRT(-2*LN(G335/2147483647))*COS(2*PI()*Q335/2147483647),Controls!$B$8+(Controls!$B$9-Controls!$B$8)*G335/2147483647))</f>
        <v/>
      </c>
      <c r="AB335" s="10" t="str">
        <f>IF(H335="","",IF(Controls!$B$7="Normal",Controls!$B$8+Controls!$B$9*SQRT(-2*LN(H335/2147483647))*COS(2*PI()*R335/2147483647),Controls!$B$8+(Controls!$B$9-Controls!$B$8)*H335/2147483647))</f>
        <v/>
      </c>
      <c r="AC335" s="10" t="str">
        <f>IF(I335="","",IF(Controls!$B$7="Normal",Controls!$B$8+Controls!$B$9*SQRT(-2*LN(I335/2147483647))*COS(2*PI()*S335/2147483647),Controls!$B$8+(Controls!$B$9-Controls!$B$8)*I335/2147483647))</f>
        <v/>
      </c>
      <c r="AD335" s="10" t="str">
        <f>IF(J335="","",IF(Controls!$B$7="Normal",Controls!$B$8+Controls!$B$9*SQRT(-2*LN(J335/2147483647))*COS(2*PI()*T335/2147483647),Controls!$B$8+(Controls!$B$9-Controls!$B$8)*J335/2147483647))</f>
        <v/>
      </c>
      <c r="AE335" s="10" t="str">
        <f>IF(K335="","",IF(Controls!$B$7="Normal",Controls!$B$8+Controls!$B$9*SQRT(-2*LN(K335/2147483647))*COS(2*PI()*U335/2147483647),Controls!$B$8+(Controls!$B$9-Controls!$B$8)*K335/2147483647))</f>
        <v/>
      </c>
    </row>
    <row r="336" ht="21.0" customHeight="1">
      <c r="A336" s="7" t="str">
        <f>IF(335&lt;=Controls!$B$5,Controls!$B$4+334,"")</f>
        <v/>
      </c>
      <c r="B336" s="10" t="str">
        <f>IF(OR($A336="",1&gt;Controls!$B$6),"",MOD(L335*48271,2147483647))</f>
        <v/>
      </c>
      <c r="C336" s="10" t="str">
        <f>IF(OR($A336="",2&gt;Controls!$B$6),"",MOD(M335*48271,2147483647))</f>
        <v/>
      </c>
      <c r="D336" s="10" t="str">
        <f>IF(OR($A336="",3&gt;Controls!$B$6),"",MOD(N335*48271,2147483647))</f>
        <v/>
      </c>
      <c r="E336" s="10" t="str">
        <f>IF(OR($A336="",4&gt;Controls!$B$6),"",MOD(O335*48271,2147483647))</f>
        <v/>
      </c>
      <c r="F336" s="10" t="str">
        <f>IF(OR($A336="",5&gt;Controls!$B$6),"",MOD(P335*48271,2147483647))</f>
        <v/>
      </c>
      <c r="G336" s="10" t="str">
        <f>IF(OR($A336="",6&gt;Controls!$B$6),"",MOD(Q335*48271,2147483647))</f>
        <v/>
      </c>
      <c r="H336" s="10" t="str">
        <f>IF(OR($A336="",7&gt;Controls!$B$6),"",MOD(R335*48271,2147483647))</f>
        <v/>
      </c>
      <c r="I336" s="10" t="str">
        <f>IF(OR($A336="",8&gt;Controls!$B$6),"",MOD(S335*48271,2147483647))</f>
        <v/>
      </c>
      <c r="J336" s="10" t="str">
        <f>IF(OR($A336="",9&gt;Controls!$B$6),"",MOD(T335*48271,2147483647))</f>
        <v/>
      </c>
      <c r="K336" s="10" t="str">
        <f>IF(OR($A336="",10&gt;Controls!$B$6),"",MOD(U335*48271,2147483647))</f>
        <v/>
      </c>
      <c r="L336" s="10" t="str">
        <f t="shared" ref="L336:U336" si="335">IF(B336="","",MOD(B336*48271,2147483647))</f>
        <v/>
      </c>
      <c r="M336" s="10" t="str">
        <f t="shared" si="335"/>
        <v/>
      </c>
      <c r="N336" s="10" t="str">
        <f t="shared" si="335"/>
        <v/>
      </c>
      <c r="O336" s="10" t="str">
        <f t="shared" si="335"/>
        <v/>
      </c>
      <c r="P336" s="10" t="str">
        <f t="shared" si="335"/>
        <v/>
      </c>
      <c r="Q336" s="10" t="str">
        <f t="shared" si="335"/>
        <v/>
      </c>
      <c r="R336" s="10" t="str">
        <f t="shared" si="335"/>
        <v/>
      </c>
      <c r="S336" s="10" t="str">
        <f t="shared" si="335"/>
        <v/>
      </c>
      <c r="T336" s="10" t="str">
        <f t="shared" si="335"/>
        <v/>
      </c>
      <c r="U336" s="10" t="str">
        <f t="shared" si="335"/>
        <v/>
      </c>
      <c r="V336" s="10" t="str">
        <f>IF(B336="","",IF(Controls!$B$7="Normal",Controls!$B$8+Controls!$B$9*SQRT(-2*LN(B336/2147483647))*COS(2*PI()*L336/2147483647),Controls!$B$8+(Controls!$B$9-Controls!$B$8)*B336/2147483647))</f>
        <v/>
      </c>
      <c r="W336" s="10" t="str">
        <f>IF(C336="","",IF(Controls!$B$7="Normal",Controls!$B$8+Controls!$B$9*SQRT(-2*LN(C336/2147483647))*COS(2*PI()*M336/2147483647),Controls!$B$8+(Controls!$B$9-Controls!$B$8)*C336/2147483647))</f>
        <v/>
      </c>
      <c r="X336" s="10" t="str">
        <f>IF(D336="","",IF(Controls!$B$7="Normal",Controls!$B$8+Controls!$B$9*SQRT(-2*LN(D336/2147483647))*COS(2*PI()*N336/2147483647),Controls!$B$8+(Controls!$B$9-Controls!$B$8)*D336/2147483647))</f>
        <v/>
      </c>
      <c r="Y336" s="10" t="str">
        <f>IF(E336="","",IF(Controls!$B$7="Normal",Controls!$B$8+Controls!$B$9*SQRT(-2*LN(E336/2147483647))*COS(2*PI()*O336/2147483647),Controls!$B$8+(Controls!$B$9-Controls!$B$8)*E336/2147483647))</f>
        <v/>
      </c>
      <c r="Z336" s="10" t="str">
        <f>IF(F336="","",IF(Controls!$B$7="Normal",Controls!$B$8+Controls!$B$9*SQRT(-2*LN(F336/2147483647))*COS(2*PI()*P336/2147483647),Controls!$B$8+(Controls!$B$9-Controls!$B$8)*F336/2147483647))</f>
        <v/>
      </c>
      <c r="AA336" s="10" t="str">
        <f>IF(G336="","",IF(Controls!$B$7="Normal",Controls!$B$8+Controls!$B$9*SQRT(-2*LN(G336/2147483647))*COS(2*PI()*Q336/2147483647),Controls!$B$8+(Controls!$B$9-Controls!$B$8)*G336/2147483647))</f>
        <v/>
      </c>
      <c r="AB336" s="10" t="str">
        <f>IF(H336="","",IF(Controls!$B$7="Normal",Controls!$B$8+Controls!$B$9*SQRT(-2*LN(H336/2147483647))*COS(2*PI()*R336/2147483647),Controls!$B$8+(Controls!$B$9-Controls!$B$8)*H336/2147483647))</f>
        <v/>
      </c>
      <c r="AC336" s="10" t="str">
        <f>IF(I336="","",IF(Controls!$B$7="Normal",Controls!$B$8+Controls!$B$9*SQRT(-2*LN(I336/2147483647))*COS(2*PI()*S336/2147483647),Controls!$B$8+(Controls!$B$9-Controls!$B$8)*I336/2147483647))</f>
        <v/>
      </c>
      <c r="AD336" s="10" t="str">
        <f>IF(J336="","",IF(Controls!$B$7="Normal",Controls!$B$8+Controls!$B$9*SQRT(-2*LN(J336/2147483647))*COS(2*PI()*T336/2147483647),Controls!$B$8+(Controls!$B$9-Controls!$B$8)*J336/2147483647))</f>
        <v/>
      </c>
      <c r="AE336" s="10" t="str">
        <f>IF(K336="","",IF(Controls!$B$7="Normal",Controls!$B$8+Controls!$B$9*SQRT(-2*LN(K336/2147483647))*COS(2*PI()*U336/2147483647),Controls!$B$8+(Controls!$B$9-Controls!$B$8)*K336/2147483647))</f>
        <v/>
      </c>
    </row>
    <row r="337" ht="21.0" customHeight="1">
      <c r="A337" s="7" t="str">
        <f>IF(336&lt;=Controls!$B$5,Controls!$B$4+335,"")</f>
        <v/>
      </c>
      <c r="B337" s="10" t="str">
        <f>IF(OR($A337="",1&gt;Controls!$B$6),"",MOD(L336*48271,2147483647))</f>
        <v/>
      </c>
      <c r="C337" s="10" t="str">
        <f>IF(OR($A337="",2&gt;Controls!$B$6),"",MOD(M336*48271,2147483647))</f>
        <v/>
      </c>
      <c r="D337" s="10" t="str">
        <f>IF(OR($A337="",3&gt;Controls!$B$6),"",MOD(N336*48271,2147483647))</f>
        <v/>
      </c>
      <c r="E337" s="10" t="str">
        <f>IF(OR($A337="",4&gt;Controls!$B$6),"",MOD(O336*48271,2147483647))</f>
        <v/>
      </c>
      <c r="F337" s="10" t="str">
        <f>IF(OR($A337="",5&gt;Controls!$B$6),"",MOD(P336*48271,2147483647))</f>
        <v/>
      </c>
      <c r="G337" s="10" t="str">
        <f>IF(OR($A337="",6&gt;Controls!$B$6),"",MOD(Q336*48271,2147483647))</f>
        <v/>
      </c>
      <c r="H337" s="10" t="str">
        <f>IF(OR($A337="",7&gt;Controls!$B$6),"",MOD(R336*48271,2147483647))</f>
        <v/>
      </c>
      <c r="I337" s="10" t="str">
        <f>IF(OR($A337="",8&gt;Controls!$B$6),"",MOD(S336*48271,2147483647))</f>
        <v/>
      </c>
      <c r="J337" s="10" t="str">
        <f>IF(OR($A337="",9&gt;Controls!$B$6),"",MOD(T336*48271,2147483647))</f>
        <v/>
      </c>
      <c r="K337" s="10" t="str">
        <f>IF(OR($A337="",10&gt;Controls!$B$6),"",MOD(U336*48271,2147483647))</f>
        <v/>
      </c>
      <c r="L337" s="10" t="str">
        <f t="shared" ref="L337:U337" si="336">IF(B337="","",MOD(B337*48271,2147483647))</f>
        <v/>
      </c>
      <c r="M337" s="10" t="str">
        <f t="shared" si="336"/>
        <v/>
      </c>
      <c r="N337" s="10" t="str">
        <f t="shared" si="336"/>
        <v/>
      </c>
      <c r="O337" s="10" t="str">
        <f t="shared" si="336"/>
        <v/>
      </c>
      <c r="P337" s="10" t="str">
        <f t="shared" si="336"/>
        <v/>
      </c>
      <c r="Q337" s="10" t="str">
        <f t="shared" si="336"/>
        <v/>
      </c>
      <c r="R337" s="10" t="str">
        <f t="shared" si="336"/>
        <v/>
      </c>
      <c r="S337" s="10" t="str">
        <f t="shared" si="336"/>
        <v/>
      </c>
      <c r="T337" s="10" t="str">
        <f t="shared" si="336"/>
        <v/>
      </c>
      <c r="U337" s="10" t="str">
        <f t="shared" si="336"/>
        <v/>
      </c>
      <c r="V337" s="10" t="str">
        <f>IF(B337="","",IF(Controls!$B$7="Normal",Controls!$B$8+Controls!$B$9*SQRT(-2*LN(B337/2147483647))*COS(2*PI()*L337/2147483647),Controls!$B$8+(Controls!$B$9-Controls!$B$8)*B337/2147483647))</f>
        <v/>
      </c>
      <c r="W337" s="10" t="str">
        <f>IF(C337="","",IF(Controls!$B$7="Normal",Controls!$B$8+Controls!$B$9*SQRT(-2*LN(C337/2147483647))*COS(2*PI()*M337/2147483647),Controls!$B$8+(Controls!$B$9-Controls!$B$8)*C337/2147483647))</f>
        <v/>
      </c>
      <c r="X337" s="10" t="str">
        <f>IF(D337="","",IF(Controls!$B$7="Normal",Controls!$B$8+Controls!$B$9*SQRT(-2*LN(D337/2147483647))*COS(2*PI()*N337/2147483647),Controls!$B$8+(Controls!$B$9-Controls!$B$8)*D337/2147483647))</f>
        <v/>
      </c>
      <c r="Y337" s="10" t="str">
        <f>IF(E337="","",IF(Controls!$B$7="Normal",Controls!$B$8+Controls!$B$9*SQRT(-2*LN(E337/2147483647))*COS(2*PI()*O337/2147483647),Controls!$B$8+(Controls!$B$9-Controls!$B$8)*E337/2147483647))</f>
        <v/>
      </c>
      <c r="Z337" s="10" t="str">
        <f>IF(F337="","",IF(Controls!$B$7="Normal",Controls!$B$8+Controls!$B$9*SQRT(-2*LN(F337/2147483647))*COS(2*PI()*P337/2147483647),Controls!$B$8+(Controls!$B$9-Controls!$B$8)*F337/2147483647))</f>
        <v/>
      </c>
      <c r="AA337" s="10" t="str">
        <f>IF(G337="","",IF(Controls!$B$7="Normal",Controls!$B$8+Controls!$B$9*SQRT(-2*LN(G337/2147483647))*COS(2*PI()*Q337/2147483647),Controls!$B$8+(Controls!$B$9-Controls!$B$8)*G337/2147483647))</f>
        <v/>
      </c>
      <c r="AB337" s="10" t="str">
        <f>IF(H337="","",IF(Controls!$B$7="Normal",Controls!$B$8+Controls!$B$9*SQRT(-2*LN(H337/2147483647))*COS(2*PI()*R337/2147483647),Controls!$B$8+(Controls!$B$9-Controls!$B$8)*H337/2147483647))</f>
        <v/>
      </c>
      <c r="AC337" s="10" t="str">
        <f>IF(I337="","",IF(Controls!$B$7="Normal",Controls!$B$8+Controls!$B$9*SQRT(-2*LN(I337/2147483647))*COS(2*PI()*S337/2147483647),Controls!$B$8+(Controls!$B$9-Controls!$B$8)*I337/2147483647))</f>
        <v/>
      </c>
      <c r="AD337" s="10" t="str">
        <f>IF(J337="","",IF(Controls!$B$7="Normal",Controls!$B$8+Controls!$B$9*SQRT(-2*LN(J337/2147483647))*COS(2*PI()*T337/2147483647),Controls!$B$8+(Controls!$B$9-Controls!$B$8)*J337/2147483647))</f>
        <v/>
      </c>
      <c r="AE337" s="10" t="str">
        <f>IF(K337="","",IF(Controls!$B$7="Normal",Controls!$B$8+Controls!$B$9*SQRT(-2*LN(K337/2147483647))*COS(2*PI()*U337/2147483647),Controls!$B$8+(Controls!$B$9-Controls!$B$8)*K337/2147483647))</f>
        <v/>
      </c>
    </row>
    <row r="338" ht="21.0" customHeight="1">
      <c r="A338" s="7" t="str">
        <f>IF(337&lt;=Controls!$B$5,Controls!$B$4+336,"")</f>
        <v/>
      </c>
      <c r="B338" s="10" t="str">
        <f>IF(OR($A338="",1&gt;Controls!$B$6),"",MOD(L337*48271,2147483647))</f>
        <v/>
      </c>
      <c r="C338" s="10" t="str">
        <f>IF(OR($A338="",2&gt;Controls!$B$6),"",MOD(M337*48271,2147483647))</f>
        <v/>
      </c>
      <c r="D338" s="10" t="str">
        <f>IF(OR($A338="",3&gt;Controls!$B$6),"",MOD(N337*48271,2147483647))</f>
        <v/>
      </c>
      <c r="E338" s="10" t="str">
        <f>IF(OR($A338="",4&gt;Controls!$B$6),"",MOD(O337*48271,2147483647))</f>
        <v/>
      </c>
      <c r="F338" s="10" t="str">
        <f>IF(OR($A338="",5&gt;Controls!$B$6),"",MOD(P337*48271,2147483647))</f>
        <v/>
      </c>
      <c r="G338" s="10" t="str">
        <f>IF(OR($A338="",6&gt;Controls!$B$6),"",MOD(Q337*48271,2147483647))</f>
        <v/>
      </c>
      <c r="H338" s="10" t="str">
        <f>IF(OR($A338="",7&gt;Controls!$B$6),"",MOD(R337*48271,2147483647))</f>
        <v/>
      </c>
      <c r="I338" s="10" t="str">
        <f>IF(OR($A338="",8&gt;Controls!$B$6),"",MOD(S337*48271,2147483647))</f>
        <v/>
      </c>
      <c r="J338" s="10" t="str">
        <f>IF(OR($A338="",9&gt;Controls!$B$6),"",MOD(T337*48271,2147483647))</f>
        <v/>
      </c>
      <c r="K338" s="10" t="str">
        <f>IF(OR($A338="",10&gt;Controls!$B$6),"",MOD(U337*48271,2147483647))</f>
        <v/>
      </c>
      <c r="L338" s="10" t="str">
        <f t="shared" ref="L338:U338" si="337">IF(B338="","",MOD(B338*48271,2147483647))</f>
        <v/>
      </c>
      <c r="M338" s="10" t="str">
        <f t="shared" si="337"/>
        <v/>
      </c>
      <c r="N338" s="10" t="str">
        <f t="shared" si="337"/>
        <v/>
      </c>
      <c r="O338" s="10" t="str">
        <f t="shared" si="337"/>
        <v/>
      </c>
      <c r="P338" s="10" t="str">
        <f t="shared" si="337"/>
        <v/>
      </c>
      <c r="Q338" s="10" t="str">
        <f t="shared" si="337"/>
        <v/>
      </c>
      <c r="R338" s="10" t="str">
        <f t="shared" si="337"/>
        <v/>
      </c>
      <c r="S338" s="10" t="str">
        <f t="shared" si="337"/>
        <v/>
      </c>
      <c r="T338" s="10" t="str">
        <f t="shared" si="337"/>
        <v/>
      </c>
      <c r="U338" s="10" t="str">
        <f t="shared" si="337"/>
        <v/>
      </c>
      <c r="V338" s="10" t="str">
        <f>IF(B338="","",IF(Controls!$B$7="Normal",Controls!$B$8+Controls!$B$9*SQRT(-2*LN(B338/2147483647))*COS(2*PI()*L338/2147483647),Controls!$B$8+(Controls!$B$9-Controls!$B$8)*B338/2147483647))</f>
        <v/>
      </c>
      <c r="W338" s="10" t="str">
        <f>IF(C338="","",IF(Controls!$B$7="Normal",Controls!$B$8+Controls!$B$9*SQRT(-2*LN(C338/2147483647))*COS(2*PI()*M338/2147483647),Controls!$B$8+(Controls!$B$9-Controls!$B$8)*C338/2147483647))</f>
        <v/>
      </c>
      <c r="X338" s="10" t="str">
        <f>IF(D338="","",IF(Controls!$B$7="Normal",Controls!$B$8+Controls!$B$9*SQRT(-2*LN(D338/2147483647))*COS(2*PI()*N338/2147483647),Controls!$B$8+(Controls!$B$9-Controls!$B$8)*D338/2147483647))</f>
        <v/>
      </c>
      <c r="Y338" s="10" t="str">
        <f>IF(E338="","",IF(Controls!$B$7="Normal",Controls!$B$8+Controls!$B$9*SQRT(-2*LN(E338/2147483647))*COS(2*PI()*O338/2147483647),Controls!$B$8+(Controls!$B$9-Controls!$B$8)*E338/2147483647))</f>
        <v/>
      </c>
      <c r="Z338" s="10" t="str">
        <f>IF(F338="","",IF(Controls!$B$7="Normal",Controls!$B$8+Controls!$B$9*SQRT(-2*LN(F338/2147483647))*COS(2*PI()*P338/2147483647),Controls!$B$8+(Controls!$B$9-Controls!$B$8)*F338/2147483647))</f>
        <v/>
      </c>
      <c r="AA338" s="10" t="str">
        <f>IF(G338="","",IF(Controls!$B$7="Normal",Controls!$B$8+Controls!$B$9*SQRT(-2*LN(G338/2147483647))*COS(2*PI()*Q338/2147483647),Controls!$B$8+(Controls!$B$9-Controls!$B$8)*G338/2147483647))</f>
        <v/>
      </c>
      <c r="AB338" s="10" t="str">
        <f>IF(H338="","",IF(Controls!$B$7="Normal",Controls!$B$8+Controls!$B$9*SQRT(-2*LN(H338/2147483647))*COS(2*PI()*R338/2147483647),Controls!$B$8+(Controls!$B$9-Controls!$B$8)*H338/2147483647))</f>
        <v/>
      </c>
      <c r="AC338" s="10" t="str">
        <f>IF(I338="","",IF(Controls!$B$7="Normal",Controls!$B$8+Controls!$B$9*SQRT(-2*LN(I338/2147483647))*COS(2*PI()*S338/2147483647),Controls!$B$8+(Controls!$B$9-Controls!$B$8)*I338/2147483647))</f>
        <v/>
      </c>
      <c r="AD338" s="10" t="str">
        <f>IF(J338="","",IF(Controls!$B$7="Normal",Controls!$B$8+Controls!$B$9*SQRT(-2*LN(J338/2147483647))*COS(2*PI()*T338/2147483647),Controls!$B$8+(Controls!$B$9-Controls!$B$8)*J338/2147483647))</f>
        <v/>
      </c>
      <c r="AE338" s="10" t="str">
        <f>IF(K338="","",IF(Controls!$B$7="Normal",Controls!$B$8+Controls!$B$9*SQRT(-2*LN(K338/2147483647))*COS(2*PI()*U338/2147483647),Controls!$B$8+(Controls!$B$9-Controls!$B$8)*K338/2147483647))</f>
        <v/>
      </c>
    </row>
    <row r="339" ht="21.0" customHeight="1">
      <c r="A339" s="7" t="str">
        <f>IF(338&lt;=Controls!$B$5,Controls!$B$4+337,"")</f>
        <v/>
      </c>
      <c r="B339" s="10" t="str">
        <f>IF(OR($A339="",1&gt;Controls!$B$6),"",MOD(L338*48271,2147483647))</f>
        <v/>
      </c>
      <c r="C339" s="10" t="str">
        <f>IF(OR($A339="",2&gt;Controls!$B$6),"",MOD(M338*48271,2147483647))</f>
        <v/>
      </c>
      <c r="D339" s="10" t="str">
        <f>IF(OR($A339="",3&gt;Controls!$B$6),"",MOD(N338*48271,2147483647))</f>
        <v/>
      </c>
      <c r="E339" s="10" t="str">
        <f>IF(OR($A339="",4&gt;Controls!$B$6),"",MOD(O338*48271,2147483647))</f>
        <v/>
      </c>
      <c r="F339" s="10" t="str">
        <f>IF(OR($A339="",5&gt;Controls!$B$6),"",MOD(P338*48271,2147483647))</f>
        <v/>
      </c>
      <c r="G339" s="10" t="str">
        <f>IF(OR($A339="",6&gt;Controls!$B$6),"",MOD(Q338*48271,2147483647))</f>
        <v/>
      </c>
      <c r="H339" s="10" t="str">
        <f>IF(OR($A339="",7&gt;Controls!$B$6),"",MOD(R338*48271,2147483647))</f>
        <v/>
      </c>
      <c r="I339" s="10" t="str">
        <f>IF(OR($A339="",8&gt;Controls!$B$6),"",MOD(S338*48271,2147483647))</f>
        <v/>
      </c>
      <c r="J339" s="10" t="str">
        <f>IF(OR($A339="",9&gt;Controls!$B$6),"",MOD(T338*48271,2147483647))</f>
        <v/>
      </c>
      <c r="K339" s="10" t="str">
        <f>IF(OR($A339="",10&gt;Controls!$B$6),"",MOD(U338*48271,2147483647))</f>
        <v/>
      </c>
      <c r="L339" s="10" t="str">
        <f t="shared" ref="L339:U339" si="338">IF(B339="","",MOD(B339*48271,2147483647))</f>
        <v/>
      </c>
      <c r="M339" s="10" t="str">
        <f t="shared" si="338"/>
        <v/>
      </c>
      <c r="N339" s="10" t="str">
        <f t="shared" si="338"/>
        <v/>
      </c>
      <c r="O339" s="10" t="str">
        <f t="shared" si="338"/>
        <v/>
      </c>
      <c r="P339" s="10" t="str">
        <f t="shared" si="338"/>
        <v/>
      </c>
      <c r="Q339" s="10" t="str">
        <f t="shared" si="338"/>
        <v/>
      </c>
      <c r="R339" s="10" t="str">
        <f t="shared" si="338"/>
        <v/>
      </c>
      <c r="S339" s="10" t="str">
        <f t="shared" si="338"/>
        <v/>
      </c>
      <c r="T339" s="10" t="str">
        <f t="shared" si="338"/>
        <v/>
      </c>
      <c r="U339" s="10" t="str">
        <f t="shared" si="338"/>
        <v/>
      </c>
      <c r="V339" s="10" t="str">
        <f>IF(B339="","",IF(Controls!$B$7="Normal",Controls!$B$8+Controls!$B$9*SQRT(-2*LN(B339/2147483647))*COS(2*PI()*L339/2147483647),Controls!$B$8+(Controls!$B$9-Controls!$B$8)*B339/2147483647))</f>
        <v/>
      </c>
      <c r="W339" s="10" t="str">
        <f>IF(C339="","",IF(Controls!$B$7="Normal",Controls!$B$8+Controls!$B$9*SQRT(-2*LN(C339/2147483647))*COS(2*PI()*M339/2147483647),Controls!$B$8+(Controls!$B$9-Controls!$B$8)*C339/2147483647))</f>
        <v/>
      </c>
      <c r="X339" s="10" t="str">
        <f>IF(D339="","",IF(Controls!$B$7="Normal",Controls!$B$8+Controls!$B$9*SQRT(-2*LN(D339/2147483647))*COS(2*PI()*N339/2147483647),Controls!$B$8+(Controls!$B$9-Controls!$B$8)*D339/2147483647))</f>
        <v/>
      </c>
      <c r="Y339" s="10" t="str">
        <f>IF(E339="","",IF(Controls!$B$7="Normal",Controls!$B$8+Controls!$B$9*SQRT(-2*LN(E339/2147483647))*COS(2*PI()*O339/2147483647),Controls!$B$8+(Controls!$B$9-Controls!$B$8)*E339/2147483647))</f>
        <v/>
      </c>
      <c r="Z339" s="10" t="str">
        <f>IF(F339="","",IF(Controls!$B$7="Normal",Controls!$B$8+Controls!$B$9*SQRT(-2*LN(F339/2147483647))*COS(2*PI()*P339/2147483647),Controls!$B$8+(Controls!$B$9-Controls!$B$8)*F339/2147483647))</f>
        <v/>
      </c>
      <c r="AA339" s="10" t="str">
        <f>IF(G339="","",IF(Controls!$B$7="Normal",Controls!$B$8+Controls!$B$9*SQRT(-2*LN(G339/2147483647))*COS(2*PI()*Q339/2147483647),Controls!$B$8+(Controls!$B$9-Controls!$B$8)*G339/2147483647))</f>
        <v/>
      </c>
      <c r="AB339" s="10" t="str">
        <f>IF(H339="","",IF(Controls!$B$7="Normal",Controls!$B$8+Controls!$B$9*SQRT(-2*LN(H339/2147483647))*COS(2*PI()*R339/2147483647),Controls!$B$8+(Controls!$B$9-Controls!$B$8)*H339/2147483647))</f>
        <v/>
      </c>
      <c r="AC339" s="10" t="str">
        <f>IF(I339="","",IF(Controls!$B$7="Normal",Controls!$B$8+Controls!$B$9*SQRT(-2*LN(I339/2147483647))*COS(2*PI()*S339/2147483647),Controls!$B$8+(Controls!$B$9-Controls!$B$8)*I339/2147483647))</f>
        <v/>
      </c>
      <c r="AD339" s="10" t="str">
        <f>IF(J339="","",IF(Controls!$B$7="Normal",Controls!$B$8+Controls!$B$9*SQRT(-2*LN(J339/2147483647))*COS(2*PI()*T339/2147483647),Controls!$B$8+(Controls!$B$9-Controls!$B$8)*J339/2147483647))</f>
        <v/>
      </c>
      <c r="AE339" s="10" t="str">
        <f>IF(K339="","",IF(Controls!$B$7="Normal",Controls!$B$8+Controls!$B$9*SQRT(-2*LN(K339/2147483647))*COS(2*PI()*U339/2147483647),Controls!$B$8+(Controls!$B$9-Controls!$B$8)*K339/2147483647))</f>
        <v/>
      </c>
    </row>
    <row r="340" ht="21.0" customHeight="1">
      <c r="A340" s="7" t="str">
        <f>IF(339&lt;=Controls!$B$5,Controls!$B$4+338,"")</f>
        <v/>
      </c>
      <c r="B340" s="10" t="str">
        <f>IF(OR($A340="",1&gt;Controls!$B$6),"",MOD(L339*48271,2147483647))</f>
        <v/>
      </c>
      <c r="C340" s="10" t="str">
        <f>IF(OR($A340="",2&gt;Controls!$B$6),"",MOD(M339*48271,2147483647))</f>
        <v/>
      </c>
      <c r="D340" s="10" t="str">
        <f>IF(OR($A340="",3&gt;Controls!$B$6),"",MOD(N339*48271,2147483647))</f>
        <v/>
      </c>
      <c r="E340" s="10" t="str">
        <f>IF(OR($A340="",4&gt;Controls!$B$6),"",MOD(O339*48271,2147483647))</f>
        <v/>
      </c>
      <c r="F340" s="10" t="str">
        <f>IF(OR($A340="",5&gt;Controls!$B$6),"",MOD(P339*48271,2147483647))</f>
        <v/>
      </c>
      <c r="G340" s="10" t="str">
        <f>IF(OR($A340="",6&gt;Controls!$B$6),"",MOD(Q339*48271,2147483647))</f>
        <v/>
      </c>
      <c r="H340" s="10" t="str">
        <f>IF(OR($A340="",7&gt;Controls!$B$6),"",MOD(R339*48271,2147483647))</f>
        <v/>
      </c>
      <c r="I340" s="10" t="str">
        <f>IF(OR($A340="",8&gt;Controls!$B$6),"",MOD(S339*48271,2147483647))</f>
        <v/>
      </c>
      <c r="J340" s="10" t="str">
        <f>IF(OR($A340="",9&gt;Controls!$B$6),"",MOD(T339*48271,2147483647))</f>
        <v/>
      </c>
      <c r="K340" s="10" t="str">
        <f>IF(OR($A340="",10&gt;Controls!$B$6),"",MOD(U339*48271,2147483647))</f>
        <v/>
      </c>
      <c r="L340" s="10" t="str">
        <f t="shared" ref="L340:U340" si="339">IF(B340="","",MOD(B340*48271,2147483647))</f>
        <v/>
      </c>
      <c r="M340" s="10" t="str">
        <f t="shared" si="339"/>
        <v/>
      </c>
      <c r="N340" s="10" t="str">
        <f t="shared" si="339"/>
        <v/>
      </c>
      <c r="O340" s="10" t="str">
        <f t="shared" si="339"/>
        <v/>
      </c>
      <c r="P340" s="10" t="str">
        <f t="shared" si="339"/>
        <v/>
      </c>
      <c r="Q340" s="10" t="str">
        <f t="shared" si="339"/>
        <v/>
      </c>
      <c r="R340" s="10" t="str">
        <f t="shared" si="339"/>
        <v/>
      </c>
      <c r="S340" s="10" t="str">
        <f t="shared" si="339"/>
        <v/>
      </c>
      <c r="T340" s="10" t="str">
        <f t="shared" si="339"/>
        <v/>
      </c>
      <c r="U340" s="10" t="str">
        <f t="shared" si="339"/>
        <v/>
      </c>
      <c r="V340" s="10" t="str">
        <f>IF(B340="","",IF(Controls!$B$7="Normal",Controls!$B$8+Controls!$B$9*SQRT(-2*LN(B340/2147483647))*COS(2*PI()*L340/2147483647),Controls!$B$8+(Controls!$B$9-Controls!$B$8)*B340/2147483647))</f>
        <v/>
      </c>
      <c r="W340" s="10" t="str">
        <f>IF(C340="","",IF(Controls!$B$7="Normal",Controls!$B$8+Controls!$B$9*SQRT(-2*LN(C340/2147483647))*COS(2*PI()*M340/2147483647),Controls!$B$8+(Controls!$B$9-Controls!$B$8)*C340/2147483647))</f>
        <v/>
      </c>
      <c r="X340" s="10" t="str">
        <f>IF(D340="","",IF(Controls!$B$7="Normal",Controls!$B$8+Controls!$B$9*SQRT(-2*LN(D340/2147483647))*COS(2*PI()*N340/2147483647),Controls!$B$8+(Controls!$B$9-Controls!$B$8)*D340/2147483647))</f>
        <v/>
      </c>
      <c r="Y340" s="10" t="str">
        <f>IF(E340="","",IF(Controls!$B$7="Normal",Controls!$B$8+Controls!$B$9*SQRT(-2*LN(E340/2147483647))*COS(2*PI()*O340/2147483647),Controls!$B$8+(Controls!$B$9-Controls!$B$8)*E340/2147483647))</f>
        <v/>
      </c>
      <c r="Z340" s="10" t="str">
        <f>IF(F340="","",IF(Controls!$B$7="Normal",Controls!$B$8+Controls!$B$9*SQRT(-2*LN(F340/2147483647))*COS(2*PI()*P340/2147483647),Controls!$B$8+(Controls!$B$9-Controls!$B$8)*F340/2147483647))</f>
        <v/>
      </c>
      <c r="AA340" s="10" t="str">
        <f>IF(G340="","",IF(Controls!$B$7="Normal",Controls!$B$8+Controls!$B$9*SQRT(-2*LN(G340/2147483647))*COS(2*PI()*Q340/2147483647),Controls!$B$8+(Controls!$B$9-Controls!$B$8)*G340/2147483647))</f>
        <v/>
      </c>
      <c r="AB340" s="10" t="str">
        <f>IF(H340="","",IF(Controls!$B$7="Normal",Controls!$B$8+Controls!$B$9*SQRT(-2*LN(H340/2147483647))*COS(2*PI()*R340/2147483647),Controls!$B$8+(Controls!$B$9-Controls!$B$8)*H340/2147483647))</f>
        <v/>
      </c>
      <c r="AC340" s="10" t="str">
        <f>IF(I340="","",IF(Controls!$B$7="Normal",Controls!$B$8+Controls!$B$9*SQRT(-2*LN(I340/2147483647))*COS(2*PI()*S340/2147483647),Controls!$B$8+(Controls!$B$9-Controls!$B$8)*I340/2147483647))</f>
        <v/>
      </c>
      <c r="AD340" s="10" t="str">
        <f>IF(J340="","",IF(Controls!$B$7="Normal",Controls!$B$8+Controls!$B$9*SQRT(-2*LN(J340/2147483647))*COS(2*PI()*T340/2147483647),Controls!$B$8+(Controls!$B$9-Controls!$B$8)*J340/2147483647))</f>
        <v/>
      </c>
      <c r="AE340" s="10" t="str">
        <f>IF(K340="","",IF(Controls!$B$7="Normal",Controls!$B$8+Controls!$B$9*SQRT(-2*LN(K340/2147483647))*COS(2*PI()*U340/2147483647),Controls!$B$8+(Controls!$B$9-Controls!$B$8)*K340/2147483647))</f>
        <v/>
      </c>
    </row>
    <row r="341" ht="21.0" customHeight="1">
      <c r="A341" s="7" t="str">
        <f>IF(340&lt;=Controls!$B$5,Controls!$B$4+339,"")</f>
        <v/>
      </c>
      <c r="B341" s="10" t="str">
        <f>IF(OR($A341="",1&gt;Controls!$B$6),"",MOD(L340*48271,2147483647))</f>
        <v/>
      </c>
      <c r="C341" s="10" t="str">
        <f>IF(OR($A341="",2&gt;Controls!$B$6),"",MOD(M340*48271,2147483647))</f>
        <v/>
      </c>
      <c r="D341" s="10" t="str">
        <f>IF(OR($A341="",3&gt;Controls!$B$6),"",MOD(N340*48271,2147483647))</f>
        <v/>
      </c>
      <c r="E341" s="10" t="str">
        <f>IF(OR($A341="",4&gt;Controls!$B$6),"",MOD(O340*48271,2147483647))</f>
        <v/>
      </c>
      <c r="F341" s="10" t="str">
        <f>IF(OR($A341="",5&gt;Controls!$B$6),"",MOD(P340*48271,2147483647))</f>
        <v/>
      </c>
      <c r="G341" s="10" t="str">
        <f>IF(OR($A341="",6&gt;Controls!$B$6),"",MOD(Q340*48271,2147483647))</f>
        <v/>
      </c>
      <c r="H341" s="10" t="str">
        <f>IF(OR($A341="",7&gt;Controls!$B$6),"",MOD(R340*48271,2147483647))</f>
        <v/>
      </c>
      <c r="I341" s="10" t="str">
        <f>IF(OR($A341="",8&gt;Controls!$B$6),"",MOD(S340*48271,2147483647))</f>
        <v/>
      </c>
      <c r="J341" s="10" t="str">
        <f>IF(OR($A341="",9&gt;Controls!$B$6),"",MOD(T340*48271,2147483647))</f>
        <v/>
      </c>
      <c r="K341" s="10" t="str">
        <f>IF(OR($A341="",10&gt;Controls!$B$6),"",MOD(U340*48271,2147483647))</f>
        <v/>
      </c>
      <c r="L341" s="10" t="str">
        <f t="shared" ref="L341:U341" si="340">IF(B341="","",MOD(B341*48271,2147483647))</f>
        <v/>
      </c>
      <c r="M341" s="10" t="str">
        <f t="shared" si="340"/>
        <v/>
      </c>
      <c r="N341" s="10" t="str">
        <f t="shared" si="340"/>
        <v/>
      </c>
      <c r="O341" s="10" t="str">
        <f t="shared" si="340"/>
        <v/>
      </c>
      <c r="P341" s="10" t="str">
        <f t="shared" si="340"/>
        <v/>
      </c>
      <c r="Q341" s="10" t="str">
        <f t="shared" si="340"/>
        <v/>
      </c>
      <c r="R341" s="10" t="str">
        <f t="shared" si="340"/>
        <v/>
      </c>
      <c r="S341" s="10" t="str">
        <f t="shared" si="340"/>
        <v/>
      </c>
      <c r="T341" s="10" t="str">
        <f t="shared" si="340"/>
        <v/>
      </c>
      <c r="U341" s="10" t="str">
        <f t="shared" si="340"/>
        <v/>
      </c>
      <c r="V341" s="10" t="str">
        <f>IF(B341="","",IF(Controls!$B$7="Normal",Controls!$B$8+Controls!$B$9*SQRT(-2*LN(B341/2147483647))*COS(2*PI()*L341/2147483647),Controls!$B$8+(Controls!$B$9-Controls!$B$8)*B341/2147483647))</f>
        <v/>
      </c>
      <c r="W341" s="10" t="str">
        <f>IF(C341="","",IF(Controls!$B$7="Normal",Controls!$B$8+Controls!$B$9*SQRT(-2*LN(C341/2147483647))*COS(2*PI()*M341/2147483647),Controls!$B$8+(Controls!$B$9-Controls!$B$8)*C341/2147483647))</f>
        <v/>
      </c>
      <c r="X341" s="10" t="str">
        <f>IF(D341="","",IF(Controls!$B$7="Normal",Controls!$B$8+Controls!$B$9*SQRT(-2*LN(D341/2147483647))*COS(2*PI()*N341/2147483647),Controls!$B$8+(Controls!$B$9-Controls!$B$8)*D341/2147483647))</f>
        <v/>
      </c>
      <c r="Y341" s="10" t="str">
        <f>IF(E341="","",IF(Controls!$B$7="Normal",Controls!$B$8+Controls!$B$9*SQRT(-2*LN(E341/2147483647))*COS(2*PI()*O341/2147483647),Controls!$B$8+(Controls!$B$9-Controls!$B$8)*E341/2147483647))</f>
        <v/>
      </c>
      <c r="Z341" s="10" t="str">
        <f>IF(F341="","",IF(Controls!$B$7="Normal",Controls!$B$8+Controls!$B$9*SQRT(-2*LN(F341/2147483647))*COS(2*PI()*P341/2147483647),Controls!$B$8+(Controls!$B$9-Controls!$B$8)*F341/2147483647))</f>
        <v/>
      </c>
      <c r="AA341" s="10" t="str">
        <f>IF(G341="","",IF(Controls!$B$7="Normal",Controls!$B$8+Controls!$B$9*SQRT(-2*LN(G341/2147483647))*COS(2*PI()*Q341/2147483647),Controls!$B$8+(Controls!$B$9-Controls!$B$8)*G341/2147483647))</f>
        <v/>
      </c>
      <c r="AB341" s="10" t="str">
        <f>IF(H341="","",IF(Controls!$B$7="Normal",Controls!$B$8+Controls!$B$9*SQRT(-2*LN(H341/2147483647))*COS(2*PI()*R341/2147483647),Controls!$B$8+(Controls!$B$9-Controls!$B$8)*H341/2147483647))</f>
        <v/>
      </c>
      <c r="AC341" s="10" t="str">
        <f>IF(I341="","",IF(Controls!$B$7="Normal",Controls!$B$8+Controls!$B$9*SQRT(-2*LN(I341/2147483647))*COS(2*PI()*S341/2147483647),Controls!$B$8+(Controls!$B$9-Controls!$B$8)*I341/2147483647))</f>
        <v/>
      </c>
      <c r="AD341" s="10" t="str">
        <f>IF(J341="","",IF(Controls!$B$7="Normal",Controls!$B$8+Controls!$B$9*SQRT(-2*LN(J341/2147483647))*COS(2*PI()*T341/2147483647),Controls!$B$8+(Controls!$B$9-Controls!$B$8)*J341/2147483647))</f>
        <v/>
      </c>
      <c r="AE341" s="10" t="str">
        <f>IF(K341="","",IF(Controls!$B$7="Normal",Controls!$B$8+Controls!$B$9*SQRT(-2*LN(K341/2147483647))*COS(2*PI()*U341/2147483647),Controls!$B$8+(Controls!$B$9-Controls!$B$8)*K341/2147483647))</f>
        <v/>
      </c>
    </row>
    <row r="342" ht="21.0" customHeight="1">
      <c r="A342" s="7" t="str">
        <f>IF(341&lt;=Controls!$B$5,Controls!$B$4+340,"")</f>
        <v/>
      </c>
      <c r="B342" s="10" t="str">
        <f>IF(OR($A342="",1&gt;Controls!$B$6),"",MOD(L341*48271,2147483647))</f>
        <v/>
      </c>
      <c r="C342" s="10" t="str">
        <f>IF(OR($A342="",2&gt;Controls!$B$6),"",MOD(M341*48271,2147483647))</f>
        <v/>
      </c>
      <c r="D342" s="10" t="str">
        <f>IF(OR($A342="",3&gt;Controls!$B$6),"",MOD(N341*48271,2147483647))</f>
        <v/>
      </c>
      <c r="E342" s="10" t="str">
        <f>IF(OR($A342="",4&gt;Controls!$B$6),"",MOD(O341*48271,2147483647))</f>
        <v/>
      </c>
      <c r="F342" s="10" t="str">
        <f>IF(OR($A342="",5&gt;Controls!$B$6),"",MOD(P341*48271,2147483647))</f>
        <v/>
      </c>
      <c r="G342" s="10" t="str">
        <f>IF(OR($A342="",6&gt;Controls!$B$6),"",MOD(Q341*48271,2147483647))</f>
        <v/>
      </c>
      <c r="H342" s="10" t="str">
        <f>IF(OR($A342="",7&gt;Controls!$B$6),"",MOD(R341*48271,2147483647))</f>
        <v/>
      </c>
      <c r="I342" s="10" t="str">
        <f>IF(OR($A342="",8&gt;Controls!$B$6),"",MOD(S341*48271,2147483647))</f>
        <v/>
      </c>
      <c r="J342" s="10" t="str">
        <f>IF(OR($A342="",9&gt;Controls!$B$6),"",MOD(T341*48271,2147483647))</f>
        <v/>
      </c>
      <c r="K342" s="10" t="str">
        <f>IF(OR($A342="",10&gt;Controls!$B$6),"",MOD(U341*48271,2147483647))</f>
        <v/>
      </c>
      <c r="L342" s="10" t="str">
        <f t="shared" ref="L342:U342" si="341">IF(B342="","",MOD(B342*48271,2147483647))</f>
        <v/>
      </c>
      <c r="M342" s="10" t="str">
        <f t="shared" si="341"/>
        <v/>
      </c>
      <c r="N342" s="10" t="str">
        <f t="shared" si="341"/>
        <v/>
      </c>
      <c r="O342" s="10" t="str">
        <f t="shared" si="341"/>
        <v/>
      </c>
      <c r="P342" s="10" t="str">
        <f t="shared" si="341"/>
        <v/>
      </c>
      <c r="Q342" s="10" t="str">
        <f t="shared" si="341"/>
        <v/>
      </c>
      <c r="R342" s="10" t="str">
        <f t="shared" si="341"/>
        <v/>
      </c>
      <c r="S342" s="10" t="str">
        <f t="shared" si="341"/>
        <v/>
      </c>
      <c r="T342" s="10" t="str">
        <f t="shared" si="341"/>
        <v/>
      </c>
      <c r="U342" s="10" t="str">
        <f t="shared" si="341"/>
        <v/>
      </c>
      <c r="V342" s="10" t="str">
        <f>IF(B342="","",IF(Controls!$B$7="Normal",Controls!$B$8+Controls!$B$9*SQRT(-2*LN(B342/2147483647))*COS(2*PI()*L342/2147483647),Controls!$B$8+(Controls!$B$9-Controls!$B$8)*B342/2147483647))</f>
        <v/>
      </c>
      <c r="W342" s="10" t="str">
        <f>IF(C342="","",IF(Controls!$B$7="Normal",Controls!$B$8+Controls!$B$9*SQRT(-2*LN(C342/2147483647))*COS(2*PI()*M342/2147483647),Controls!$B$8+(Controls!$B$9-Controls!$B$8)*C342/2147483647))</f>
        <v/>
      </c>
      <c r="X342" s="10" t="str">
        <f>IF(D342="","",IF(Controls!$B$7="Normal",Controls!$B$8+Controls!$B$9*SQRT(-2*LN(D342/2147483647))*COS(2*PI()*N342/2147483647),Controls!$B$8+(Controls!$B$9-Controls!$B$8)*D342/2147483647))</f>
        <v/>
      </c>
      <c r="Y342" s="10" t="str">
        <f>IF(E342="","",IF(Controls!$B$7="Normal",Controls!$B$8+Controls!$B$9*SQRT(-2*LN(E342/2147483647))*COS(2*PI()*O342/2147483647),Controls!$B$8+(Controls!$B$9-Controls!$B$8)*E342/2147483647))</f>
        <v/>
      </c>
      <c r="Z342" s="10" t="str">
        <f>IF(F342="","",IF(Controls!$B$7="Normal",Controls!$B$8+Controls!$B$9*SQRT(-2*LN(F342/2147483647))*COS(2*PI()*P342/2147483647),Controls!$B$8+(Controls!$B$9-Controls!$B$8)*F342/2147483647))</f>
        <v/>
      </c>
      <c r="AA342" s="10" t="str">
        <f>IF(G342="","",IF(Controls!$B$7="Normal",Controls!$B$8+Controls!$B$9*SQRT(-2*LN(G342/2147483647))*COS(2*PI()*Q342/2147483647),Controls!$B$8+(Controls!$B$9-Controls!$B$8)*G342/2147483647))</f>
        <v/>
      </c>
      <c r="AB342" s="10" t="str">
        <f>IF(H342="","",IF(Controls!$B$7="Normal",Controls!$B$8+Controls!$B$9*SQRT(-2*LN(H342/2147483647))*COS(2*PI()*R342/2147483647),Controls!$B$8+(Controls!$B$9-Controls!$B$8)*H342/2147483647))</f>
        <v/>
      </c>
      <c r="AC342" s="10" t="str">
        <f>IF(I342="","",IF(Controls!$B$7="Normal",Controls!$B$8+Controls!$B$9*SQRT(-2*LN(I342/2147483647))*COS(2*PI()*S342/2147483647),Controls!$B$8+(Controls!$B$9-Controls!$B$8)*I342/2147483647))</f>
        <v/>
      </c>
      <c r="AD342" s="10" t="str">
        <f>IF(J342="","",IF(Controls!$B$7="Normal",Controls!$B$8+Controls!$B$9*SQRT(-2*LN(J342/2147483647))*COS(2*PI()*T342/2147483647),Controls!$B$8+(Controls!$B$9-Controls!$B$8)*J342/2147483647))</f>
        <v/>
      </c>
      <c r="AE342" s="10" t="str">
        <f>IF(K342="","",IF(Controls!$B$7="Normal",Controls!$B$8+Controls!$B$9*SQRT(-2*LN(K342/2147483647))*COS(2*PI()*U342/2147483647),Controls!$B$8+(Controls!$B$9-Controls!$B$8)*K342/2147483647))</f>
        <v/>
      </c>
    </row>
    <row r="343" ht="21.0" customHeight="1">
      <c r="A343" s="7" t="str">
        <f>IF(342&lt;=Controls!$B$5,Controls!$B$4+341,"")</f>
        <v/>
      </c>
      <c r="B343" s="10" t="str">
        <f>IF(OR($A343="",1&gt;Controls!$B$6),"",MOD(L342*48271,2147483647))</f>
        <v/>
      </c>
      <c r="C343" s="10" t="str">
        <f>IF(OR($A343="",2&gt;Controls!$B$6),"",MOD(M342*48271,2147483647))</f>
        <v/>
      </c>
      <c r="D343" s="10" t="str">
        <f>IF(OR($A343="",3&gt;Controls!$B$6),"",MOD(N342*48271,2147483647))</f>
        <v/>
      </c>
      <c r="E343" s="10" t="str">
        <f>IF(OR($A343="",4&gt;Controls!$B$6),"",MOD(O342*48271,2147483647))</f>
        <v/>
      </c>
      <c r="F343" s="10" t="str">
        <f>IF(OR($A343="",5&gt;Controls!$B$6),"",MOD(P342*48271,2147483647))</f>
        <v/>
      </c>
      <c r="G343" s="10" t="str">
        <f>IF(OR($A343="",6&gt;Controls!$B$6),"",MOD(Q342*48271,2147483647))</f>
        <v/>
      </c>
      <c r="H343" s="10" t="str">
        <f>IF(OR($A343="",7&gt;Controls!$B$6),"",MOD(R342*48271,2147483647))</f>
        <v/>
      </c>
      <c r="I343" s="10" t="str">
        <f>IF(OR($A343="",8&gt;Controls!$B$6),"",MOD(S342*48271,2147483647))</f>
        <v/>
      </c>
      <c r="J343" s="10" t="str">
        <f>IF(OR($A343="",9&gt;Controls!$B$6),"",MOD(T342*48271,2147483647))</f>
        <v/>
      </c>
      <c r="K343" s="10" t="str">
        <f>IF(OR($A343="",10&gt;Controls!$B$6),"",MOD(U342*48271,2147483647))</f>
        <v/>
      </c>
      <c r="L343" s="10" t="str">
        <f t="shared" ref="L343:U343" si="342">IF(B343="","",MOD(B343*48271,2147483647))</f>
        <v/>
      </c>
      <c r="M343" s="10" t="str">
        <f t="shared" si="342"/>
        <v/>
      </c>
      <c r="N343" s="10" t="str">
        <f t="shared" si="342"/>
        <v/>
      </c>
      <c r="O343" s="10" t="str">
        <f t="shared" si="342"/>
        <v/>
      </c>
      <c r="P343" s="10" t="str">
        <f t="shared" si="342"/>
        <v/>
      </c>
      <c r="Q343" s="10" t="str">
        <f t="shared" si="342"/>
        <v/>
      </c>
      <c r="R343" s="10" t="str">
        <f t="shared" si="342"/>
        <v/>
      </c>
      <c r="S343" s="10" t="str">
        <f t="shared" si="342"/>
        <v/>
      </c>
      <c r="T343" s="10" t="str">
        <f t="shared" si="342"/>
        <v/>
      </c>
      <c r="U343" s="10" t="str">
        <f t="shared" si="342"/>
        <v/>
      </c>
      <c r="V343" s="10" t="str">
        <f>IF(B343="","",IF(Controls!$B$7="Normal",Controls!$B$8+Controls!$B$9*SQRT(-2*LN(B343/2147483647))*COS(2*PI()*L343/2147483647),Controls!$B$8+(Controls!$B$9-Controls!$B$8)*B343/2147483647))</f>
        <v/>
      </c>
      <c r="W343" s="10" t="str">
        <f>IF(C343="","",IF(Controls!$B$7="Normal",Controls!$B$8+Controls!$B$9*SQRT(-2*LN(C343/2147483647))*COS(2*PI()*M343/2147483647),Controls!$B$8+(Controls!$B$9-Controls!$B$8)*C343/2147483647))</f>
        <v/>
      </c>
      <c r="X343" s="10" t="str">
        <f>IF(D343="","",IF(Controls!$B$7="Normal",Controls!$B$8+Controls!$B$9*SQRT(-2*LN(D343/2147483647))*COS(2*PI()*N343/2147483647),Controls!$B$8+(Controls!$B$9-Controls!$B$8)*D343/2147483647))</f>
        <v/>
      </c>
      <c r="Y343" s="10" t="str">
        <f>IF(E343="","",IF(Controls!$B$7="Normal",Controls!$B$8+Controls!$B$9*SQRT(-2*LN(E343/2147483647))*COS(2*PI()*O343/2147483647),Controls!$B$8+(Controls!$B$9-Controls!$B$8)*E343/2147483647))</f>
        <v/>
      </c>
      <c r="Z343" s="10" t="str">
        <f>IF(F343="","",IF(Controls!$B$7="Normal",Controls!$B$8+Controls!$B$9*SQRT(-2*LN(F343/2147483647))*COS(2*PI()*P343/2147483647),Controls!$B$8+(Controls!$B$9-Controls!$B$8)*F343/2147483647))</f>
        <v/>
      </c>
      <c r="AA343" s="10" t="str">
        <f>IF(G343="","",IF(Controls!$B$7="Normal",Controls!$B$8+Controls!$B$9*SQRT(-2*LN(G343/2147483647))*COS(2*PI()*Q343/2147483647),Controls!$B$8+(Controls!$B$9-Controls!$B$8)*G343/2147483647))</f>
        <v/>
      </c>
      <c r="AB343" s="10" t="str">
        <f>IF(H343="","",IF(Controls!$B$7="Normal",Controls!$B$8+Controls!$B$9*SQRT(-2*LN(H343/2147483647))*COS(2*PI()*R343/2147483647),Controls!$B$8+(Controls!$B$9-Controls!$B$8)*H343/2147483647))</f>
        <v/>
      </c>
      <c r="AC343" s="10" t="str">
        <f>IF(I343="","",IF(Controls!$B$7="Normal",Controls!$B$8+Controls!$B$9*SQRT(-2*LN(I343/2147483647))*COS(2*PI()*S343/2147483647),Controls!$B$8+(Controls!$B$9-Controls!$B$8)*I343/2147483647))</f>
        <v/>
      </c>
      <c r="AD343" s="10" t="str">
        <f>IF(J343="","",IF(Controls!$B$7="Normal",Controls!$B$8+Controls!$B$9*SQRT(-2*LN(J343/2147483647))*COS(2*PI()*T343/2147483647),Controls!$B$8+(Controls!$B$9-Controls!$B$8)*J343/2147483647))</f>
        <v/>
      </c>
      <c r="AE343" s="10" t="str">
        <f>IF(K343="","",IF(Controls!$B$7="Normal",Controls!$B$8+Controls!$B$9*SQRT(-2*LN(K343/2147483647))*COS(2*PI()*U343/2147483647),Controls!$B$8+(Controls!$B$9-Controls!$B$8)*K343/2147483647))</f>
        <v/>
      </c>
    </row>
    <row r="344" ht="21.0" customHeight="1">
      <c r="A344" s="7" t="str">
        <f>IF(343&lt;=Controls!$B$5,Controls!$B$4+342,"")</f>
        <v/>
      </c>
      <c r="B344" s="10" t="str">
        <f>IF(OR($A344="",1&gt;Controls!$B$6),"",MOD(L343*48271,2147483647))</f>
        <v/>
      </c>
      <c r="C344" s="10" t="str">
        <f>IF(OR($A344="",2&gt;Controls!$B$6),"",MOD(M343*48271,2147483647))</f>
        <v/>
      </c>
      <c r="D344" s="10" t="str">
        <f>IF(OR($A344="",3&gt;Controls!$B$6),"",MOD(N343*48271,2147483647))</f>
        <v/>
      </c>
      <c r="E344" s="10" t="str">
        <f>IF(OR($A344="",4&gt;Controls!$B$6),"",MOD(O343*48271,2147483647))</f>
        <v/>
      </c>
      <c r="F344" s="10" t="str">
        <f>IF(OR($A344="",5&gt;Controls!$B$6),"",MOD(P343*48271,2147483647))</f>
        <v/>
      </c>
      <c r="G344" s="10" t="str">
        <f>IF(OR($A344="",6&gt;Controls!$B$6),"",MOD(Q343*48271,2147483647))</f>
        <v/>
      </c>
      <c r="H344" s="10" t="str">
        <f>IF(OR($A344="",7&gt;Controls!$B$6),"",MOD(R343*48271,2147483647))</f>
        <v/>
      </c>
      <c r="I344" s="10" t="str">
        <f>IF(OR($A344="",8&gt;Controls!$B$6),"",MOD(S343*48271,2147483647))</f>
        <v/>
      </c>
      <c r="J344" s="10" t="str">
        <f>IF(OR($A344="",9&gt;Controls!$B$6),"",MOD(T343*48271,2147483647))</f>
        <v/>
      </c>
      <c r="K344" s="10" t="str">
        <f>IF(OR($A344="",10&gt;Controls!$B$6),"",MOD(U343*48271,2147483647))</f>
        <v/>
      </c>
      <c r="L344" s="10" t="str">
        <f t="shared" ref="L344:U344" si="343">IF(B344="","",MOD(B344*48271,2147483647))</f>
        <v/>
      </c>
      <c r="M344" s="10" t="str">
        <f t="shared" si="343"/>
        <v/>
      </c>
      <c r="N344" s="10" t="str">
        <f t="shared" si="343"/>
        <v/>
      </c>
      <c r="O344" s="10" t="str">
        <f t="shared" si="343"/>
        <v/>
      </c>
      <c r="P344" s="10" t="str">
        <f t="shared" si="343"/>
        <v/>
      </c>
      <c r="Q344" s="10" t="str">
        <f t="shared" si="343"/>
        <v/>
      </c>
      <c r="R344" s="10" t="str">
        <f t="shared" si="343"/>
        <v/>
      </c>
      <c r="S344" s="10" t="str">
        <f t="shared" si="343"/>
        <v/>
      </c>
      <c r="T344" s="10" t="str">
        <f t="shared" si="343"/>
        <v/>
      </c>
      <c r="U344" s="10" t="str">
        <f t="shared" si="343"/>
        <v/>
      </c>
      <c r="V344" s="10" t="str">
        <f>IF(B344="","",IF(Controls!$B$7="Normal",Controls!$B$8+Controls!$B$9*SQRT(-2*LN(B344/2147483647))*COS(2*PI()*L344/2147483647),Controls!$B$8+(Controls!$B$9-Controls!$B$8)*B344/2147483647))</f>
        <v/>
      </c>
      <c r="W344" s="10" t="str">
        <f>IF(C344="","",IF(Controls!$B$7="Normal",Controls!$B$8+Controls!$B$9*SQRT(-2*LN(C344/2147483647))*COS(2*PI()*M344/2147483647),Controls!$B$8+(Controls!$B$9-Controls!$B$8)*C344/2147483647))</f>
        <v/>
      </c>
      <c r="X344" s="10" t="str">
        <f>IF(D344="","",IF(Controls!$B$7="Normal",Controls!$B$8+Controls!$B$9*SQRT(-2*LN(D344/2147483647))*COS(2*PI()*N344/2147483647),Controls!$B$8+(Controls!$B$9-Controls!$B$8)*D344/2147483647))</f>
        <v/>
      </c>
      <c r="Y344" s="10" t="str">
        <f>IF(E344="","",IF(Controls!$B$7="Normal",Controls!$B$8+Controls!$B$9*SQRT(-2*LN(E344/2147483647))*COS(2*PI()*O344/2147483647),Controls!$B$8+(Controls!$B$9-Controls!$B$8)*E344/2147483647))</f>
        <v/>
      </c>
      <c r="Z344" s="10" t="str">
        <f>IF(F344="","",IF(Controls!$B$7="Normal",Controls!$B$8+Controls!$B$9*SQRT(-2*LN(F344/2147483647))*COS(2*PI()*P344/2147483647),Controls!$B$8+(Controls!$B$9-Controls!$B$8)*F344/2147483647))</f>
        <v/>
      </c>
      <c r="AA344" s="10" t="str">
        <f>IF(G344="","",IF(Controls!$B$7="Normal",Controls!$B$8+Controls!$B$9*SQRT(-2*LN(G344/2147483647))*COS(2*PI()*Q344/2147483647),Controls!$B$8+(Controls!$B$9-Controls!$B$8)*G344/2147483647))</f>
        <v/>
      </c>
      <c r="AB344" s="10" t="str">
        <f>IF(H344="","",IF(Controls!$B$7="Normal",Controls!$B$8+Controls!$B$9*SQRT(-2*LN(H344/2147483647))*COS(2*PI()*R344/2147483647),Controls!$B$8+(Controls!$B$9-Controls!$B$8)*H344/2147483647))</f>
        <v/>
      </c>
      <c r="AC344" s="10" t="str">
        <f>IF(I344="","",IF(Controls!$B$7="Normal",Controls!$B$8+Controls!$B$9*SQRT(-2*LN(I344/2147483647))*COS(2*PI()*S344/2147483647),Controls!$B$8+(Controls!$B$9-Controls!$B$8)*I344/2147483647))</f>
        <v/>
      </c>
      <c r="AD344" s="10" t="str">
        <f>IF(J344="","",IF(Controls!$B$7="Normal",Controls!$B$8+Controls!$B$9*SQRT(-2*LN(J344/2147483647))*COS(2*PI()*T344/2147483647),Controls!$B$8+(Controls!$B$9-Controls!$B$8)*J344/2147483647))</f>
        <v/>
      </c>
      <c r="AE344" s="10" t="str">
        <f>IF(K344="","",IF(Controls!$B$7="Normal",Controls!$B$8+Controls!$B$9*SQRT(-2*LN(K344/2147483647))*COS(2*PI()*U344/2147483647),Controls!$B$8+(Controls!$B$9-Controls!$B$8)*K344/2147483647))</f>
        <v/>
      </c>
    </row>
    <row r="345" ht="21.0" customHeight="1">
      <c r="A345" s="7" t="str">
        <f>IF(344&lt;=Controls!$B$5,Controls!$B$4+343,"")</f>
        <v/>
      </c>
      <c r="B345" s="10" t="str">
        <f>IF(OR($A345="",1&gt;Controls!$B$6),"",MOD(L344*48271,2147483647))</f>
        <v/>
      </c>
      <c r="C345" s="10" t="str">
        <f>IF(OR($A345="",2&gt;Controls!$B$6),"",MOD(M344*48271,2147483647))</f>
        <v/>
      </c>
      <c r="D345" s="10" t="str">
        <f>IF(OR($A345="",3&gt;Controls!$B$6),"",MOD(N344*48271,2147483647))</f>
        <v/>
      </c>
      <c r="E345" s="10" t="str">
        <f>IF(OR($A345="",4&gt;Controls!$B$6),"",MOD(O344*48271,2147483647))</f>
        <v/>
      </c>
      <c r="F345" s="10" t="str">
        <f>IF(OR($A345="",5&gt;Controls!$B$6),"",MOD(P344*48271,2147483647))</f>
        <v/>
      </c>
      <c r="G345" s="10" t="str">
        <f>IF(OR($A345="",6&gt;Controls!$B$6),"",MOD(Q344*48271,2147483647))</f>
        <v/>
      </c>
      <c r="H345" s="10" t="str">
        <f>IF(OR($A345="",7&gt;Controls!$B$6),"",MOD(R344*48271,2147483647))</f>
        <v/>
      </c>
      <c r="I345" s="10" t="str">
        <f>IF(OR($A345="",8&gt;Controls!$B$6),"",MOD(S344*48271,2147483647))</f>
        <v/>
      </c>
      <c r="J345" s="10" t="str">
        <f>IF(OR($A345="",9&gt;Controls!$B$6),"",MOD(T344*48271,2147483647))</f>
        <v/>
      </c>
      <c r="K345" s="10" t="str">
        <f>IF(OR($A345="",10&gt;Controls!$B$6),"",MOD(U344*48271,2147483647))</f>
        <v/>
      </c>
      <c r="L345" s="10" t="str">
        <f t="shared" ref="L345:U345" si="344">IF(B345="","",MOD(B345*48271,2147483647))</f>
        <v/>
      </c>
      <c r="M345" s="10" t="str">
        <f t="shared" si="344"/>
        <v/>
      </c>
      <c r="N345" s="10" t="str">
        <f t="shared" si="344"/>
        <v/>
      </c>
      <c r="O345" s="10" t="str">
        <f t="shared" si="344"/>
        <v/>
      </c>
      <c r="P345" s="10" t="str">
        <f t="shared" si="344"/>
        <v/>
      </c>
      <c r="Q345" s="10" t="str">
        <f t="shared" si="344"/>
        <v/>
      </c>
      <c r="R345" s="10" t="str">
        <f t="shared" si="344"/>
        <v/>
      </c>
      <c r="S345" s="10" t="str">
        <f t="shared" si="344"/>
        <v/>
      </c>
      <c r="T345" s="10" t="str">
        <f t="shared" si="344"/>
        <v/>
      </c>
      <c r="U345" s="10" t="str">
        <f t="shared" si="344"/>
        <v/>
      </c>
      <c r="V345" s="10" t="str">
        <f>IF(B345="","",IF(Controls!$B$7="Normal",Controls!$B$8+Controls!$B$9*SQRT(-2*LN(B345/2147483647))*COS(2*PI()*L345/2147483647),Controls!$B$8+(Controls!$B$9-Controls!$B$8)*B345/2147483647))</f>
        <v/>
      </c>
      <c r="W345" s="10" t="str">
        <f>IF(C345="","",IF(Controls!$B$7="Normal",Controls!$B$8+Controls!$B$9*SQRT(-2*LN(C345/2147483647))*COS(2*PI()*M345/2147483647),Controls!$B$8+(Controls!$B$9-Controls!$B$8)*C345/2147483647))</f>
        <v/>
      </c>
      <c r="X345" s="10" t="str">
        <f>IF(D345="","",IF(Controls!$B$7="Normal",Controls!$B$8+Controls!$B$9*SQRT(-2*LN(D345/2147483647))*COS(2*PI()*N345/2147483647),Controls!$B$8+(Controls!$B$9-Controls!$B$8)*D345/2147483647))</f>
        <v/>
      </c>
      <c r="Y345" s="10" t="str">
        <f>IF(E345="","",IF(Controls!$B$7="Normal",Controls!$B$8+Controls!$B$9*SQRT(-2*LN(E345/2147483647))*COS(2*PI()*O345/2147483647),Controls!$B$8+(Controls!$B$9-Controls!$B$8)*E345/2147483647))</f>
        <v/>
      </c>
      <c r="Z345" s="10" t="str">
        <f>IF(F345="","",IF(Controls!$B$7="Normal",Controls!$B$8+Controls!$B$9*SQRT(-2*LN(F345/2147483647))*COS(2*PI()*P345/2147483647),Controls!$B$8+(Controls!$B$9-Controls!$B$8)*F345/2147483647))</f>
        <v/>
      </c>
      <c r="AA345" s="10" t="str">
        <f>IF(G345="","",IF(Controls!$B$7="Normal",Controls!$B$8+Controls!$B$9*SQRT(-2*LN(G345/2147483647))*COS(2*PI()*Q345/2147483647),Controls!$B$8+(Controls!$B$9-Controls!$B$8)*G345/2147483647))</f>
        <v/>
      </c>
      <c r="AB345" s="10" t="str">
        <f>IF(H345="","",IF(Controls!$B$7="Normal",Controls!$B$8+Controls!$B$9*SQRT(-2*LN(H345/2147483647))*COS(2*PI()*R345/2147483647),Controls!$B$8+(Controls!$B$9-Controls!$B$8)*H345/2147483647))</f>
        <v/>
      </c>
      <c r="AC345" s="10" t="str">
        <f>IF(I345="","",IF(Controls!$B$7="Normal",Controls!$B$8+Controls!$B$9*SQRT(-2*LN(I345/2147483647))*COS(2*PI()*S345/2147483647),Controls!$B$8+(Controls!$B$9-Controls!$B$8)*I345/2147483647))</f>
        <v/>
      </c>
      <c r="AD345" s="10" t="str">
        <f>IF(J345="","",IF(Controls!$B$7="Normal",Controls!$B$8+Controls!$B$9*SQRT(-2*LN(J345/2147483647))*COS(2*PI()*T345/2147483647),Controls!$B$8+(Controls!$B$9-Controls!$B$8)*J345/2147483647))</f>
        <v/>
      </c>
      <c r="AE345" s="10" t="str">
        <f>IF(K345="","",IF(Controls!$B$7="Normal",Controls!$B$8+Controls!$B$9*SQRT(-2*LN(K345/2147483647))*COS(2*PI()*U345/2147483647),Controls!$B$8+(Controls!$B$9-Controls!$B$8)*K345/2147483647))</f>
        <v/>
      </c>
    </row>
    <row r="346" ht="21.0" customHeight="1">
      <c r="A346" s="7" t="str">
        <f>IF(345&lt;=Controls!$B$5,Controls!$B$4+344,"")</f>
        <v/>
      </c>
      <c r="B346" s="10" t="str">
        <f>IF(OR($A346="",1&gt;Controls!$B$6),"",MOD(L345*48271,2147483647))</f>
        <v/>
      </c>
      <c r="C346" s="10" t="str">
        <f>IF(OR($A346="",2&gt;Controls!$B$6),"",MOD(M345*48271,2147483647))</f>
        <v/>
      </c>
      <c r="D346" s="10" t="str">
        <f>IF(OR($A346="",3&gt;Controls!$B$6),"",MOD(N345*48271,2147483647))</f>
        <v/>
      </c>
      <c r="E346" s="10" t="str">
        <f>IF(OR($A346="",4&gt;Controls!$B$6),"",MOD(O345*48271,2147483647))</f>
        <v/>
      </c>
      <c r="F346" s="10" t="str">
        <f>IF(OR($A346="",5&gt;Controls!$B$6),"",MOD(P345*48271,2147483647))</f>
        <v/>
      </c>
      <c r="G346" s="10" t="str">
        <f>IF(OR($A346="",6&gt;Controls!$B$6),"",MOD(Q345*48271,2147483647))</f>
        <v/>
      </c>
      <c r="H346" s="10" t="str">
        <f>IF(OR($A346="",7&gt;Controls!$B$6),"",MOD(R345*48271,2147483647))</f>
        <v/>
      </c>
      <c r="I346" s="10" t="str">
        <f>IF(OR($A346="",8&gt;Controls!$B$6),"",MOD(S345*48271,2147483647))</f>
        <v/>
      </c>
      <c r="J346" s="10" t="str">
        <f>IF(OR($A346="",9&gt;Controls!$B$6),"",MOD(T345*48271,2147483647))</f>
        <v/>
      </c>
      <c r="K346" s="10" t="str">
        <f>IF(OR($A346="",10&gt;Controls!$B$6),"",MOD(U345*48271,2147483647))</f>
        <v/>
      </c>
      <c r="L346" s="10" t="str">
        <f t="shared" ref="L346:U346" si="345">IF(B346="","",MOD(B346*48271,2147483647))</f>
        <v/>
      </c>
      <c r="M346" s="10" t="str">
        <f t="shared" si="345"/>
        <v/>
      </c>
      <c r="N346" s="10" t="str">
        <f t="shared" si="345"/>
        <v/>
      </c>
      <c r="O346" s="10" t="str">
        <f t="shared" si="345"/>
        <v/>
      </c>
      <c r="P346" s="10" t="str">
        <f t="shared" si="345"/>
        <v/>
      </c>
      <c r="Q346" s="10" t="str">
        <f t="shared" si="345"/>
        <v/>
      </c>
      <c r="R346" s="10" t="str">
        <f t="shared" si="345"/>
        <v/>
      </c>
      <c r="S346" s="10" t="str">
        <f t="shared" si="345"/>
        <v/>
      </c>
      <c r="T346" s="10" t="str">
        <f t="shared" si="345"/>
        <v/>
      </c>
      <c r="U346" s="10" t="str">
        <f t="shared" si="345"/>
        <v/>
      </c>
      <c r="V346" s="10" t="str">
        <f>IF(B346="","",IF(Controls!$B$7="Normal",Controls!$B$8+Controls!$B$9*SQRT(-2*LN(B346/2147483647))*COS(2*PI()*L346/2147483647),Controls!$B$8+(Controls!$B$9-Controls!$B$8)*B346/2147483647))</f>
        <v/>
      </c>
      <c r="W346" s="10" t="str">
        <f>IF(C346="","",IF(Controls!$B$7="Normal",Controls!$B$8+Controls!$B$9*SQRT(-2*LN(C346/2147483647))*COS(2*PI()*M346/2147483647),Controls!$B$8+(Controls!$B$9-Controls!$B$8)*C346/2147483647))</f>
        <v/>
      </c>
      <c r="X346" s="10" t="str">
        <f>IF(D346="","",IF(Controls!$B$7="Normal",Controls!$B$8+Controls!$B$9*SQRT(-2*LN(D346/2147483647))*COS(2*PI()*N346/2147483647),Controls!$B$8+(Controls!$B$9-Controls!$B$8)*D346/2147483647))</f>
        <v/>
      </c>
      <c r="Y346" s="10" t="str">
        <f>IF(E346="","",IF(Controls!$B$7="Normal",Controls!$B$8+Controls!$B$9*SQRT(-2*LN(E346/2147483647))*COS(2*PI()*O346/2147483647),Controls!$B$8+(Controls!$B$9-Controls!$B$8)*E346/2147483647))</f>
        <v/>
      </c>
      <c r="Z346" s="10" t="str">
        <f>IF(F346="","",IF(Controls!$B$7="Normal",Controls!$B$8+Controls!$B$9*SQRT(-2*LN(F346/2147483647))*COS(2*PI()*P346/2147483647),Controls!$B$8+(Controls!$B$9-Controls!$B$8)*F346/2147483647))</f>
        <v/>
      </c>
      <c r="AA346" s="10" t="str">
        <f>IF(G346="","",IF(Controls!$B$7="Normal",Controls!$B$8+Controls!$B$9*SQRT(-2*LN(G346/2147483647))*COS(2*PI()*Q346/2147483647),Controls!$B$8+(Controls!$B$9-Controls!$B$8)*G346/2147483647))</f>
        <v/>
      </c>
      <c r="AB346" s="10" t="str">
        <f>IF(H346="","",IF(Controls!$B$7="Normal",Controls!$B$8+Controls!$B$9*SQRT(-2*LN(H346/2147483647))*COS(2*PI()*R346/2147483647),Controls!$B$8+(Controls!$B$9-Controls!$B$8)*H346/2147483647))</f>
        <v/>
      </c>
      <c r="AC346" s="10" t="str">
        <f>IF(I346="","",IF(Controls!$B$7="Normal",Controls!$B$8+Controls!$B$9*SQRT(-2*LN(I346/2147483647))*COS(2*PI()*S346/2147483647),Controls!$B$8+(Controls!$B$9-Controls!$B$8)*I346/2147483647))</f>
        <v/>
      </c>
      <c r="AD346" s="10" t="str">
        <f>IF(J346="","",IF(Controls!$B$7="Normal",Controls!$B$8+Controls!$B$9*SQRT(-2*LN(J346/2147483647))*COS(2*PI()*T346/2147483647),Controls!$B$8+(Controls!$B$9-Controls!$B$8)*J346/2147483647))</f>
        <v/>
      </c>
      <c r="AE346" s="10" t="str">
        <f>IF(K346="","",IF(Controls!$B$7="Normal",Controls!$B$8+Controls!$B$9*SQRT(-2*LN(K346/2147483647))*COS(2*PI()*U346/2147483647),Controls!$B$8+(Controls!$B$9-Controls!$B$8)*K346/2147483647))</f>
        <v/>
      </c>
    </row>
    <row r="347" ht="21.0" customHeight="1">
      <c r="A347" s="7" t="str">
        <f>IF(346&lt;=Controls!$B$5,Controls!$B$4+345,"")</f>
        <v/>
      </c>
      <c r="B347" s="10" t="str">
        <f>IF(OR($A347="",1&gt;Controls!$B$6),"",MOD(L346*48271,2147483647))</f>
        <v/>
      </c>
      <c r="C347" s="10" t="str">
        <f>IF(OR($A347="",2&gt;Controls!$B$6),"",MOD(M346*48271,2147483647))</f>
        <v/>
      </c>
      <c r="D347" s="10" t="str">
        <f>IF(OR($A347="",3&gt;Controls!$B$6),"",MOD(N346*48271,2147483647))</f>
        <v/>
      </c>
      <c r="E347" s="10" t="str">
        <f>IF(OR($A347="",4&gt;Controls!$B$6),"",MOD(O346*48271,2147483647))</f>
        <v/>
      </c>
      <c r="F347" s="10" t="str">
        <f>IF(OR($A347="",5&gt;Controls!$B$6),"",MOD(P346*48271,2147483647))</f>
        <v/>
      </c>
      <c r="G347" s="10" t="str">
        <f>IF(OR($A347="",6&gt;Controls!$B$6),"",MOD(Q346*48271,2147483647))</f>
        <v/>
      </c>
      <c r="H347" s="10" t="str">
        <f>IF(OR($A347="",7&gt;Controls!$B$6),"",MOD(R346*48271,2147483647))</f>
        <v/>
      </c>
      <c r="I347" s="10" t="str">
        <f>IF(OR($A347="",8&gt;Controls!$B$6),"",MOD(S346*48271,2147483647))</f>
        <v/>
      </c>
      <c r="J347" s="10" t="str">
        <f>IF(OR($A347="",9&gt;Controls!$B$6),"",MOD(T346*48271,2147483647))</f>
        <v/>
      </c>
      <c r="K347" s="10" t="str">
        <f>IF(OR($A347="",10&gt;Controls!$B$6),"",MOD(U346*48271,2147483647))</f>
        <v/>
      </c>
      <c r="L347" s="10" t="str">
        <f t="shared" ref="L347:U347" si="346">IF(B347="","",MOD(B347*48271,2147483647))</f>
        <v/>
      </c>
      <c r="M347" s="10" t="str">
        <f t="shared" si="346"/>
        <v/>
      </c>
      <c r="N347" s="10" t="str">
        <f t="shared" si="346"/>
        <v/>
      </c>
      <c r="O347" s="10" t="str">
        <f t="shared" si="346"/>
        <v/>
      </c>
      <c r="P347" s="10" t="str">
        <f t="shared" si="346"/>
        <v/>
      </c>
      <c r="Q347" s="10" t="str">
        <f t="shared" si="346"/>
        <v/>
      </c>
      <c r="R347" s="10" t="str">
        <f t="shared" si="346"/>
        <v/>
      </c>
      <c r="S347" s="10" t="str">
        <f t="shared" si="346"/>
        <v/>
      </c>
      <c r="T347" s="10" t="str">
        <f t="shared" si="346"/>
        <v/>
      </c>
      <c r="U347" s="10" t="str">
        <f t="shared" si="346"/>
        <v/>
      </c>
      <c r="V347" s="10" t="str">
        <f>IF(B347="","",IF(Controls!$B$7="Normal",Controls!$B$8+Controls!$B$9*SQRT(-2*LN(B347/2147483647))*COS(2*PI()*L347/2147483647),Controls!$B$8+(Controls!$B$9-Controls!$B$8)*B347/2147483647))</f>
        <v/>
      </c>
      <c r="W347" s="10" t="str">
        <f>IF(C347="","",IF(Controls!$B$7="Normal",Controls!$B$8+Controls!$B$9*SQRT(-2*LN(C347/2147483647))*COS(2*PI()*M347/2147483647),Controls!$B$8+(Controls!$B$9-Controls!$B$8)*C347/2147483647))</f>
        <v/>
      </c>
      <c r="X347" s="10" t="str">
        <f>IF(D347="","",IF(Controls!$B$7="Normal",Controls!$B$8+Controls!$B$9*SQRT(-2*LN(D347/2147483647))*COS(2*PI()*N347/2147483647),Controls!$B$8+(Controls!$B$9-Controls!$B$8)*D347/2147483647))</f>
        <v/>
      </c>
      <c r="Y347" s="10" t="str">
        <f>IF(E347="","",IF(Controls!$B$7="Normal",Controls!$B$8+Controls!$B$9*SQRT(-2*LN(E347/2147483647))*COS(2*PI()*O347/2147483647),Controls!$B$8+(Controls!$B$9-Controls!$B$8)*E347/2147483647))</f>
        <v/>
      </c>
      <c r="Z347" s="10" t="str">
        <f>IF(F347="","",IF(Controls!$B$7="Normal",Controls!$B$8+Controls!$B$9*SQRT(-2*LN(F347/2147483647))*COS(2*PI()*P347/2147483647),Controls!$B$8+(Controls!$B$9-Controls!$B$8)*F347/2147483647))</f>
        <v/>
      </c>
      <c r="AA347" s="10" t="str">
        <f>IF(G347="","",IF(Controls!$B$7="Normal",Controls!$B$8+Controls!$B$9*SQRT(-2*LN(G347/2147483647))*COS(2*PI()*Q347/2147483647),Controls!$B$8+(Controls!$B$9-Controls!$B$8)*G347/2147483647))</f>
        <v/>
      </c>
      <c r="AB347" s="10" t="str">
        <f>IF(H347="","",IF(Controls!$B$7="Normal",Controls!$B$8+Controls!$B$9*SQRT(-2*LN(H347/2147483647))*COS(2*PI()*R347/2147483647),Controls!$B$8+(Controls!$B$9-Controls!$B$8)*H347/2147483647))</f>
        <v/>
      </c>
      <c r="AC347" s="10" t="str">
        <f>IF(I347="","",IF(Controls!$B$7="Normal",Controls!$B$8+Controls!$B$9*SQRT(-2*LN(I347/2147483647))*COS(2*PI()*S347/2147483647),Controls!$B$8+(Controls!$B$9-Controls!$B$8)*I347/2147483647))</f>
        <v/>
      </c>
      <c r="AD347" s="10" t="str">
        <f>IF(J347="","",IF(Controls!$B$7="Normal",Controls!$B$8+Controls!$B$9*SQRT(-2*LN(J347/2147483647))*COS(2*PI()*T347/2147483647),Controls!$B$8+(Controls!$B$9-Controls!$B$8)*J347/2147483647))</f>
        <v/>
      </c>
      <c r="AE347" s="10" t="str">
        <f>IF(K347="","",IF(Controls!$B$7="Normal",Controls!$B$8+Controls!$B$9*SQRT(-2*LN(K347/2147483647))*COS(2*PI()*U347/2147483647),Controls!$B$8+(Controls!$B$9-Controls!$B$8)*K347/2147483647))</f>
        <v/>
      </c>
    </row>
    <row r="348" ht="21.0" customHeight="1">
      <c r="A348" s="7" t="str">
        <f>IF(347&lt;=Controls!$B$5,Controls!$B$4+346,"")</f>
        <v/>
      </c>
      <c r="B348" s="10" t="str">
        <f>IF(OR($A348="",1&gt;Controls!$B$6),"",MOD(L347*48271,2147483647))</f>
        <v/>
      </c>
      <c r="C348" s="10" t="str">
        <f>IF(OR($A348="",2&gt;Controls!$B$6),"",MOD(M347*48271,2147483647))</f>
        <v/>
      </c>
      <c r="D348" s="10" t="str">
        <f>IF(OR($A348="",3&gt;Controls!$B$6),"",MOD(N347*48271,2147483647))</f>
        <v/>
      </c>
      <c r="E348" s="10" t="str">
        <f>IF(OR($A348="",4&gt;Controls!$B$6),"",MOD(O347*48271,2147483647))</f>
        <v/>
      </c>
      <c r="F348" s="10" t="str">
        <f>IF(OR($A348="",5&gt;Controls!$B$6),"",MOD(P347*48271,2147483647))</f>
        <v/>
      </c>
      <c r="G348" s="10" t="str">
        <f>IF(OR($A348="",6&gt;Controls!$B$6),"",MOD(Q347*48271,2147483647))</f>
        <v/>
      </c>
      <c r="H348" s="10" t="str">
        <f>IF(OR($A348="",7&gt;Controls!$B$6),"",MOD(R347*48271,2147483647))</f>
        <v/>
      </c>
      <c r="I348" s="10" t="str">
        <f>IF(OR($A348="",8&gt;Controls!$B$6),"",MOD(S347*48271,2147483647))</f>
        <v/>
      </c>
      <c r="J348" s="10" t="str">
        <f>IF(OR($A348="",9&gt;Controls!$B$6),"",MOD(T347*48271,2147483647))</f>
        <v/>
      </c>
      <c r="K348" s="10" t="str">
        <f>IF(OR($A348="",10&gt;Controls!$B$6),"",MOD(U347*48271,2147483647))</f>
        <v/>
      </c>
      <c r="L348" s="10" t="str">
        <f t="shared" ref="L348:U348" si="347">IF(B348="","",MOD(B348*48271,2147483647))</f>
        <v/>
      </c>
      <c r="M348" s="10" t="str">
        <f t="shared" si="347"/>
        <v/>
      </c>
      <c r="N348" s="10" t="str">
        <f t="shared" si="347"/>
        <v/>
      </c>
      <c r="O348" s="10" t="str">
        <f t="shared" si="347"/>
        <v/>
      </c>
      <c r="P348" s="10" t="str">
        <f t="shared" si="347"/>
        <v/>
      </c>
      <c r="Q348" s="10" t="str">
        <f t="shared" si="347"/>
        <v/>
      </c>
      <c r="R348" s="10" t="str">
        <f t="shared" si="347"/>
        <v/>
      </c>
      <c r="S348" s="10" t="str">
        <f t="shared" si="347"/>
        <v/>
      </c>
      <c r="T348" s="10" t="str">
        <f t="shared" si="347"/>
        <v/>
      </c>
      <c r="U348" s="10" t="str">
        <f t="shared" si="347"/>
        <v/>
      </c>
      <c r="V348" s="10" t="str">
        <f>IF(B348="","",IF(Controls!$B$7="Normal",Controls!$B$8+Controls!$B$9*SQRT(-2*LN(B348/2147483647))*COS(2*PI()*L348/2147483647),Controls!$B$8+(Controls!$B$9-Controls!$B$8)*B348/2147483647))</f>
        <v/>
      </c>
      <c r="W348" s="10" t="str">
        <f>IF(C348="","",IF(Controls!$B$7="Normal",Controls!$B$8+Controls!$B$9*SQRT(-2*LN(C348/2147483647))*COS(2*PI()*M348/2147483647),Controls!$B$8+(Controls!$B$9-Controls!$B$8)*C348/2147483647))</f>
        <v/>
      </c>
      <c r="X348" s="10" t="str">
        <f>IF(D348="","",IF(Controls!$B$7="Normal",Controls!$B$8+Controls!$B$9*SQRT(-2*LN(D348/2147483647))*COS(2*PI()*N348/2147483647),Controls!$B$8+(Controls!$B$9-Controls!$B$8)*D348/2147483647))</f>
        <v/>
      </c>
      <c r="Y348" s="10" t="str">
        <f>IF(E348="","",IF(Controls!$B$7="Normal",Controls!$B$8+Controls!$B$9*SQRT(-2*LN(E348/2147483647))*COS(2*PI()*O348/2147483647),Controls!$B$8+(Controls!$B$9-Controls!$B$8)*E348/2147483647))</f>
        <v/>
      </c>
      <c r="Z348" s="10" t="str">
        <f>IF(F348="","",IF(Controls!$B$7="Normal",Controls!$B$8+Controls!$B$9*SQRT(-2*LN(F348/2147483647))*COS(2*PI()*P348/2147483647),Controls!$B$8+(Controls!$B$9-Controls!$B$8)*F348/2147483647))</f>
        <v/>
      </c>
      <c r="AA348" s="10" t="str">
        <f>IF(G348="","",IF(Controls!$B$7="Normal",Controls!$B$8+Controls!$B$9*SQRT(-2*LN(G348/2147483647))*COS(2*PI()*Q348/2147483647),Controls!$B$8+(Controls!$B$9-Controls!$B$8)*G348/2147483647))</f>
        <v/>
      </c>
      <c r="AB348" s="10" t="str">
        <f>IF(H348="","",IF(Controls!$B$7="Normal",Controls!$B$8+Controls!$B$9*SQRT(-2*LN(H348/2147483647))*COS(2*PI()*R348/2147483647),Controls!$B$8+(Controls!$B$9-Controls!$B$8)*H348/2147483647))</f>
        <v/>
      </c>
      <c r="AC348" s="10" t="str">
        <f>IF(I348="","",IF(Controls!$B$7="Normal",Controls!$B$8+Controls!$B$9*SQRT(-2*LN(I348/2147483647))*COS(2*PI()*S348/2147483647),Controls!$B$8+(Controls!$B$9-Controls!$B$8)*I348/2147483647))</f>
        <v/>
      </c>
      <c r="AD348" s="10" t="str">
        <f>IF(J348="","",IF(Controls!$B$7="Normal",Controls!$B$8+Controls!$B$9*SQRT(-2*LN(J348/2147483647))*COS(2*PI()*T348/2147483647),Controls!$B$8+(Controls!$B$9-Controls!$B$8)*J348/2147483647))</f>
        <v/>
      </c>
      <c r="AE348" s="10" t="str">
        <f>IF(K348="","",IF(Controls!$B$7="Normal",Controls!$B$8+Controls!$B$9*SQRT(-2*LN(K348/2147483647))*COS(2*PI()*U348/2147483647),Controls!$B$8+(Controls!$B$9-Controls!$B$8)*K348/2147483647))</f>
        <v/>
      </c>
    </row>
    <row r="349" ht="21.0" customHeight="1">
      <c r="A349" s="7" t="str">
        <f>IF(348&lt;=Controls!$B$5,Controls!$B$4+347,"")</f>
        <v/>
      </c>
      <c r="B349" s="10" t="str">
        <f>IF(OR($A349="",1&gt;Controls!$B$6),"",MOD(L348*48271,2147483647))</f>
        <v/>
      </c>
      <c r="C349" s="10" t="str">
        <f>IF(OR($A349="",2&gt;Controls!$B$6),"",MOD(M348*48271,2147483647))</f>
        <v/>
      </c>
      <c r="D349" s="10" t="str">
        <f>IF(OR($A349="",3&gt;Controls!$B$6),"",MOD(N348*48271,2147483647))</f>
        <v/>
      </c>
      <c r="E349" s="10" t="str">
        <f>IF(OR($A349="",4&gt;Controls!$B$6),"",MOD(O348*48271,2147483647))</f>
        <v/>
      </c>
      <c r="F349" s="10" t="str">
        <f>IF(OR($A349="",5&gt;Controls!$B$6),"",MOD(P348*48271,2147483647))</f>
        <v/>
      </c>
      <c r="G349" s="10" t="str">
        <f>IF(OR($A349="",6&gt;Controls!$B$6),"",MOD(Q348*48271,2147483647))</f>
        <v/>
      </c>
      <c r="H349" s="10" t="str">
        <f>IF(OR($A349="",7&gt;Controls!$B$6),"",MOD(R348*48271,2147483647))</f>
        <v/>
      </c>
      <c r="I349" s="10" t="str">
        <f>IF(OR($A349="",8&gt;Controls!$B$6),"",MOD(S348*48271,2147483647))</f>
        <v/>
      </c>
      <c r="J349" s="10" t="str">
        <f>IF(OR($A349="",9&gt;Controls!$B$6),"",MOD(T348*48271,2147483647))</f>
        <v/>
      </c>
      <c r="K349" s="10" t="str">
        <f>IF(OR($A349="",10&gt;Controls!$B$6),"",MOD(U348*48271,2147483647))</f>
        <v/>
      </c>
      <c r="L349" s="10" t="str">
        <f t="shared" ref="L349:U349" si="348">IF(B349="","",MOD(B349*48271,2147483647))</f>
        <v/>
      </c>
      <c r="M349" s="10" t="str">
        <f t="shared" si="348"/>
        <v/>
      </c>
      <c r="N349" s="10" t="str">
        <f t="shared" si="348"/>
        <v/>
      </c>
      <c r="O349" s="10" t="str">
        <f t="shared" si="348"/>
        <v/>
      </c>
      <c r="P349" s="10" t="str">
        <f t="shared" si="348"/>
        <v/>
      </c>
      <c r="Q349" s="10" t="str">
        <f t="shared" si="348"/>
        <v/>
      </c>
      <c r="R349" s="10" t="str">
        <f t="shared" si="348"/>
        <v/>
      </c>
      <c r="S349" s="10" t="str">
        <f t="shared" si="348"/>
        <v/>
      </c>
      <c r="T349" s="10" t="str">
        <f t="shared" si="348"/>
        <v/>
      </c>
      <c r="U349" s="10" t="str">
        <f t="shared" si="348"/>
        <v/>
      </c>
      <c r="V349" s="10" t="str">
        <f>IF(B349="","",IF(Controls!$B$7="Normal",Controls!$B$8+Controls!$B$9*SQRT(-2*LN(B349/2147483647))*COS(2*PI()*L349/2147483647),Controls!$B$8+(Controls!$B$9-Controls!$B$8)*B349/2147483647))</f>
        <v/>
      </c>
      <c r="W349" s="10" t="str">
        <f>IF(C349="","",IF(Controls!$B$7="Normal",Controls!$B$8+Controls!$B$9*SQRT(-2*LN(C349/2147483647))*COS(2*PI()*M349/2147483647),Controls!$B$8+(Controls!$B$9-Controls!$B$8)*C349/2147483647))</f>
        <v/>
      </c>
      <c r="X349" s="10" t="str">
        <f>IF(D349="","",IF(Controls!$B$7="Normal",Controls!$B$8+Controls!$B$9*SQRT(-2*LN(D349/2147483647))*COS(2*PI()*N349/2147483647),Controls!$B$8+(Controls!$B$9-Controls!$B$8)*D349/2147483647))</f>
        <v/>
      </c>
      <c r="Y349" s="10" t="str">
        <f>IF(E349="","",IF(Controls!$B$7="Normal",Controls!$B$8+Controls!$B$9*SQRT(-2*LN(E349/2147483647))*COS(2*PI()*O349/2147483647),Controls!$B$8+(Controls!$B$9-Controls!$B$8)*E349/2147483647))</f>
        <v/>
      </c>
      <c r="Z349" s="10" t="str">
        <f>IF(F349="","",IF(Controls!$B$7="Normal",Controls!$B$8+Controls!$B$9*SQRT(-2*LN(F349/2147483647))*COS(2*PI()*P349/2147483647),Controls!$B$8+(Controls!$B$9-Controls!$B$8)*F349/2147483647))</f>
        <v/>
      </c>
      <c r="AA349" s="10" t="str">
        <f>IF(G349="","",IF(Controls!$B$7="Normal",Controls!$B$8+Controls!$B$9*SQRT(-2*LN(G349/2147483647))*COS(2*PI()*Q349/2147483647),Controls!$B$8+(Controls!$B$9-Controls!$B$8)*G349/2147483647))</f>
        <v/>
      </c>
      <c r="AB349" s="10" t="str">
        <f>IF(H349="","",IF(Controls!$B$7="Normal",Controls!$B$8+Controls!$B$9*SQRT(-2*LN(H349/2147483647))*COS(2*PI()*R349/2147483647),Controls!$B$8+(Controls!$B$9-Controls!$B$8)*H349/2147483647))</f>
        <v/>
      </c>
      <c r="AC349" s="10" t="str">
        <f>IF(I349="","",IF(Controls!$B$7="Normal",Controls!$B$8+Controls!$B$9*SQRT(-2*LN(I349/2147483647))*COS(2*PI()*S349/2147483647),Controls!$B$8+(Controls!$B$9-Controls!$B$8)*I349/2147483647))</f>
        <v/>
      </c>
      <c r="AD349" s="10" t="str">
        <f>IF(J349="","",IF(Controls!$B$7="Normal",Controls!$B$8+Controls!$B$9*SQRT(-2*LN(J349/2147483647))*COS(2*PI()*T349/2147483647),Controls!$B$8+(Controls!$B$9-Controls!$B$8)*J349/2147483647))</f>
        <v/>
      </c>
      <c r="AE349" s="10" t="str">
        <f>IF(K349="","",IF(Controls!$B$7="Normal",Controls!$B$8+Controls!$B$9*SQRT(-2*LN(K349/2147483647))*COS(2*PI()*U349/2147483647),Controls!$B$8+(Controls!$B$9-Controls!$B$8)*K349/2147483647))</f>
        <v/>
      </c>
    </row>
    <row r="350" ht="21.0" customHeight="1">
      <c r="A350" s="7" t="str">
        <f>IF(349&lt;=Controls!$B$5,Controls!$B$4+348,"")</f>
        <v/>
      </c>
      <c r="B350" s="10" t="str">
        <f>IF(OR($A350="",1&gt;Controls!$B$6),"",MOD(L349*48271,2147483647))</f>
        <v/>
      </c>
      <c r="C350" s="10" t="str">
        <f>IF(OR($A350="",2&gt;Controls!$B$6),"",MOD(M349*48271,2147483647))</f>
        <v/>
      </c>
      <c r="D350" s="10" t="str">
        <f>IF(OR($A350="",3&gt;Controls!$B$6),"",MOD(N349*48271,2147483647))</f>
        <v/>
      </c>
      <c r="E350" s="10" t="str">
        <f>IF(OR($A350="",4&gt;Controls!$B$6),"",MOD(O349*48271,2147483647))</f>
        <v/>
      </c>
      <c r="F350" s="10" t="str">
        <f>IF(OR($A350="",5&gt;Controls!$B$6),"",MOD(P349*48271,2147483647))</f>
        <v/>
      </c>
      <c r="G350" s="10" t="str">
        <f>IF(OR($A350="",6&gt;Controls!$B$6),"",MOD(Q349*48271,2147483647))</f>
        <v/>
      </c>
      <c r="H350" s="10" t="str">
        <f>IF(OR($A350="",7&gt;Controls!$B$6),"",MOD(R349*48271,2147483647))</f>
        <v/>
      </c>
      <c r="I350" s="10" t="str">
        <f>IF(OR($A350="",8&gt;Controls!$B$6),"",MOD(S349*48271,2147483647))</f>
        <v/>
      </c>
      <c r="J350" s="10" t="str">
        <f>IF(OR($A350="",9&gt;Controls!$B$6),"",MOD(T349*48271,2147483647))</f>
        <v/>
      </c>
      <c r="K350" s="10" t="str">
        <f>IF(OR($A350="",10&gt;Controls!$B$6),"",MOD(U349*48271,2147483647))</f>
        <v/>
      </c>
      <c r="L350" s="10" t="str">
        <f t="shared" ref="L350:U350" si="349">IF(B350="","",MOD(B350*48271,2147483647))</f>
        <v/>
      </c>
      <c r="M350" s="10" t="str">
        <f t="shared" si="349"/>
        <v/>
      </c>
      <c r="N350" s="10" t="str">
        <f t="shared" si="349"/>
        <v/>
      </c>
      <c r="O350" s="10" t="str">
        <f t="shared" si="349"/>
        <v/>
      </c>
      <c r="P350" s="10" t="str">
        <f t="shared" si="349"/>
        <v/>
      </c>
      <c r="Q350" s="10" t="str">
        <f t="shared" si="349"/>
        <v/>
      </c>
      <c r="R350" s="10" t="str">
        <f t="shared" si="349"/>
        <v/>
      </c>
      <c r="S350" s="10" t="str">
        <f t="shared" si="349"/>
        <v/>
      </c>
      <c r="T350" s="10" t="str">
        <f t="shared" si="349"/>
        <v/>
      </c>
      <c r="U350" s="10" t="str">
        <f t="shared" si="349"/>
        <v/>
      </c>
      <c r="V350" s="10" t="str">
        <f>IF(B350="","",IF(Controls!$B$7="Normal",Controls!$B$8+Controls!$B$9*SQRT(-2*LN(B350/2147483647))*COS(2*PI()*L350/2147483647),Controls!$B$8+(Controls!$B$9-Controls!$B$8)*B350/2147483647))</f>
        <v/>
      </c>
      <c r="W350" s="10" t="str">
        <f>IF(C350="","",IF(Controls!$B$7="Normal",Controls!$B$8+Controls!$B$9*SQRT(-2*LN(C350/2147483647))*COS(2*PI()*M350/2147483647),Controls!$B$8+(Controls!$B$9-Controls!$B$8)*C350/2147483647))</f>
        <v/>
      </c>
      <c r="X350" s="10" t="str">
        <f>IF(D350="","",IF(Controls!$B$7="Normal",Controls!$B$8+Controls!$B$9*SQRT(-2*LN(D350/2147483647))*COS(2*PI()*N350/2147483647),Controls!$B$8+(Controls!$B$9-Controls!$B$8)*D350/2147483647))</f>
        <v/>
      </c>
      <c r="Y350" s="10" t="str">
        <f>IF(E350="","",IF(Controls!$B$7="Normal",Controls!$B$8+Controls!$B$9*SQRT(-2*LN(E350/2147483647))*COS(2*PI()*O350/2147483647),Controls!$B$8+(Controls!$B$9-Controls!$B$8)*E350/2147483647))</f>
        <v/>
      </c>
      <c r="Z350" s="10" t="str">
        <f>IF(F350="","",IF(Controls!$B$7="Normal",Controls!$B$8+Controls!$B$9*SQRT(-2*LN(F350/2147483647))*COS(2*PI()*P350/2147483647),Controls!$B$8+(Controls!$B$9-Controls!$B$8)*F350/2147483647))</f>
        <v/>
      </c>
      <c r="AA350" s="10" t="str">
        <f>IF(G350="","",IF(Controls!$B$7="Normal",Controls!$B$8+Controls!$B$9*SQRT(-2*LN(G350/2147483647))*COS(2*PI()*Q350/2147483647),Controls!$B$8+(Controls!$B$9-Controls!$B$8)*G350/2147483647))</f>
        <v/>
      </c>
      <c r="AB350" s="10" t="str">
        <f>IF(H350="","",IF(Controls!$B$7="Normal",Controls!$B$8+Controls!$B$9*SQRT(-2*LN(H350/2147483647))*COS(2*PI()*R350/2147483647),Controls!$B$8+(Controls!$B$9-Controls!$B$8)*H350/2147483647))</f>
        <v/>
      </c>
      <c r="AC350" s="10" t="str">
        <f>IF(I350="","",IF(Controls!$B$7="Normal",Controls!$B$8+Controls!$B$9*SQRT(-2*LN(I350/2147483647))*COS(2*PI()*S350/2147483647),Controls!$B$8+(Controls!$B$9-Controls!$B$8)*I350/2147483647))</f>
        <v/>
      </c>
      <c r="AD350" s="10" t="str">
        <f>IF(J350="","",IF(Controls!$B$7="Normal",Controls!$B$8+Controls!$B$9*SQRT(-2*LN(J350/2147483647))*COS(2*PI()*T350/2147483647),Controls!$B$8+(Controls!$B$9-Controls!$B$8)*J350/2147483647))</f>
        <v/>
      </c>
      <c r="AE350" s="10" t="str">
        <f>IF(K350="","",IF(Controls!$B$7="Normal",Controls!$B$8+Controls!$B$9*SQRT(-2*LN(K350/2147483647))*COS(2*PI()*U350/2147483647),Controls!$B$8+(Controls!$B$9-Controls!$B$8)*K350/2147483647))</f>
        <v/>
      </c>
    </row>
    <row r="351" ht="21.0" customHeight="1">
      <c r="A351" s="7" t="str">
        <f>IF(350&lt;=Controls!$B$5,Controls!$B$4+349,"")</f>
        <v/>
      </c>
      <c r="B351" s="10" t="str">
        <f>IF(OR($A351="",1&gt;Controls!$B$6),"",MOD(L350*48271,2147483647))</f>
        <v/>
      </c>
      <c r="C351" s="10" t="str">
        <f>IF(OR($A351="",2&gt;Controls!$B$6),"",MOD(M350*48271,2147483647))</f>
        <v/>
      </c>
      <c r="D351" s="10" t="str">
        <f>IF(OR($A351="",3&gt;Controls!$B$6),"",MOD(N350*48271,2147483647))</f>
        <v/>
      </c>
      <c r="E351" s="10" t="str">
        <f>IF(OR($A351="",4&gt;Controls!$B$6),"",MOD(O350*48271,2147483647))</f>
        <v/>
      </c>
      <c r="F351" s="10" t="str">
        <f>IF(OR($A351="",5&gt;Controls!$B$6),"",MOD(P350*48271,2147483647))</f>
        <v/>
      </c>
      <c r="G351" s="10" t="str">
        <f>IF(OR($A351="",6&gt;Controls!$B$6),"",MOD(Q350*48271,2147483647))</f>
        <v/>
      </c>
      <c r="H351" s="10" t="str">
        <f>IF(OR($A351="",7&gt;Controls!$B$6),"",MOD(R350*48271,2147483647))</f>
        <v/>
      </c>
      <c r="I351" s="10" t="str">
        <f>IF(OR($A351="",8&gt;Controls!$B$6),"",MOD(S350*48271,2147483647))</f>
        <v/>
      </c>
      <c r="J351" s="10" t="str">
        <f>IF(OR($A351="",9&gt;Controls!$B$6),"",MOD(T350*48271,2147483647))</f>
        <v/>
      </c>
      <c r="K351" s="10" t="str">
        <f>IF(OR($A351="",10&gt;Controls!$B$6),"",MOD(U350*48271,2147483647))</f>
        <v/>
      </c>
      <c r="L351" s="10" t="str">
        <f t="shared" ref="L351:U351" si="350">IF(B351="","",MOD(B351*48271,2147483647))</f>
        <v/>
      </c>
      <c r="M351" s="10" t="str">
        <f t="shared" si="350"/>
        <v/>
      </c>
      <c r="N351" s="10" t="str">
        <f t="shared" si="350"/>
        <v/>
      </c>
      <c r="O351" s="10" t="str">
        <f t="shared" si="350"/>
        <v/>
      </c>
      <c r="P351" s="10" t="str">
        <f t="shared" si="350"/>
        <v/>
      </c>
      <c r="Q351" s="10" t="str">
        <f t="shared" si="350"/>
        <v/>
      </c>
      <c r="R351" s="10" t="str">
        <f t="shared" si="350"/>
        <v/>
      </c>
      <c r="S351" s="10" t="str">
        <f t="shared" si="350"/>
        <v/>
      </c>
      <c r="T351" s="10" t="str">
        <f t="shared" si="350"/>
        <v/>
      </c>
      <c r="U351" s="10" t="str">
        <f t="shared" si="350"/>
        <v/>
      </c>
      <c r="V351" s="10" t="str">
        <f>IF(B351="","",IF(Controls!$B$7="Normal",Controls!$B$8+Controls!$B$9*SQRT(-2*LN(B351/2147483647))*COS(2*PI()*L351/2147483647),Controls!$B$8+(Controls!$B$9-Controls!$B$8)*B351/2147483647))</f>
        <v/>
      </c>
      <c r="W351" s="10" t="str">
        <f>IF(C351="","",IF(Controls!$B$7="Normal",Controls!$B$8+Controls!$B$9*SQRT(-2*LN(C351/2147483647))*COS(2*PI()*M351/2147483647),Controls!$B$8+(Controls!$B$9-Controls!$B$8)*C351/2147483647))</f>
        <v/>
      </c>
      <c r="X351" s="10" t="str">
        <f>IF(D351="","",IF(Controls!$B$7="Normal",Controls!$B$8+Controls!$B$9*SQRT(-2*LN(D351/2147483647))*COS(2*PI()*N351/2147483647),Controls!$B$8+(Controls!$B$9-Controls!$B$8)*D351/2147483647))</f>
        <v/>
      </c>
      <c r="Y351" s="10" t="str">
        <f>IF(E351="","",IF(Controls!$B$7="Normal",Controls!$B$8+Controls!$B$9*SQRT(-2*LN(E351/2147483647))*COS(2*PI()*O351/2147483647),Controls!$B$8+(Controls!$B$9-Controls!$B$8)*E351/2147483647))</f>
        <v/>
      </c>
      <c r="Z351" s="10" t="str">
        <f>IF(F351="","",IF(Controls!$B$7="Normal",Controls!$B$8+Controls!$B$9*SQRT(-2*LN(F351/2147483647))*COS(2*PI()*P351/2147483647),Controls!$B$8+(Controls!$B$9-Controls!$B$8)*F351/2147483647))</f>
        <v/>
      </c>
      <c r="AA351" s="10" t="str">
        <f>IF(G351="","",IF(Controls!$B$7="Normal",Controls!$B$8+Controls!$B$9*SQRT(-2*LN(G351/2147483647))*COS(2*PI()*Q351/2147483647),Controls!$B$8+(Controls!$B$9-Controls!$B$8)*G351/2147483647))</f>
        <v/>
      </c>
      <c r="AB351" s="10" t="str">
        <f>IF(H351="","",IF(Controls!$B$7="Normal",Controls!$B$8+Controls!$B$9*SQRT(-2*LN(H351/2147483647))*COS(2*PI()*R351/2147483647),Controls!$B$8+(Controls!$B$9-Controls!$B$8)*H351/2147483647))</f>
        <v/>
      </c>
      <c r="AC351" s="10" t="str">
        <f>IF(I351="","",IF(Controls!$B$7="Normal",Controls!$B$8+Controls!$B$9*SQRT(-2*LN(I351/2147483647))*COS(2*PI()*S351/2147483647),Controls!$B$8+(Controls!$B$9-Controls!$B$8)*I351/2147483647))</f>
        <v/>
      </c>
      <c r="AD351" s="10" t="str">
        <f>IF(J351="","",IF(Controls!$B$7="Normal",Controls!$B$8+Controls!$B$9*SQRT(-2*LN(J351/2147483647))*COS(2*PI()*T351/2147483647),Controls!$B$8+(Controls!$B$9-Controls!$B$8)*J351/2147483647))</f>
        <v/>
      </c>
      <c r="AE351" s="10" t="str">
        <f>IF(K351="","",IF(Controls!$B$7="Normal",Controls!$B$8+Controls!$B$9*SQRT(-2*LN(K351/2147483647))*COS(2*PI()*U351/2147483647),Controls!$B$8+(Controls!$B$9-Controls!$B$8)*K351/2147483647))</f>
        <v/>
      </c>
    </row>
    <row r="352" ht="21.0" customHeight="1">
      <c r="A352" s="7" t="str">
        <f>IF(351&lt;=Controls!$B$5,Controls!$B$4+350,"")</f>
        <v/>
      </c>
      <c r="B352" s="10" t="str">
        <f>IF(OR($A352="",1&gt;Controls!$B$6),"",MOD(L351*48271,2147483647))</f>
        <v/>
      </c>
      <c r="C352" s="10" t="str">
        <f>IF(OR($A352="",2&gt;Controls!$B$6),"",MOD(M351*48271,2147483647))</f>
        <v/>
      </c>
      <c r="D352" s="10" t="str">
        <f>IF(OR($A352="",3&gt;Controls!$B$6),"",MOD(N351*48271,2147483647))</f>
        <v/>
      </c>
      <c r="E352" s="10" t="str">
        <f>IF(OR($A352="",4&gt;Controls!$B$6),"",MOD(O351*48271,2147483647))</f>
        <v/>
      </c>
      <c r="F352" s="10" t="str">
        <f>IF(OR($A352="",5&gt;Controls!$B$6),"",MOD(P351*48271,2147483647))</f>
        <v/>
      </c>
      <c r="G352" s="10" t="str">
        <f>IF(OR($A352="",6&gt;Controls!$B$6),"",MOD(Q351*48271,2147483647))</f>
        <v/>
      </c>
      <c r="H352" s="10" t="str">
        <f>IF(OR($A352="",7&gt;Controls!$B$6),"",MOD(R351*48271,2147483647))</f>
        <v/>
      </c>
      <c r="I352" s="10" t="str">
        <f>IF(OR($A352="",8&gt;Controls!$B$6),"",MOD(S351*48271,2147483647))</f>
        <v/>
      </c>
      <c r="J352" s="10" t="str">
        <f>IF(OR($A352="",9&gt;Controls!$B$6),"",MOD(T351*48271,2147483647))</f>
        <v/>
      </c>
      <c r="K352" s="10" t="str">
        <f>IF(OR($A352="",10&gt;Controls!$B$6),"",MOD(U351*48271,2147483647))</f>
        <v/>
      </c>
      <c r="L352" s="10" t="str">
        <f t="shared" ref="L352:U352" si="351">IF(B352="","",MOD(B352*48271,2147483647))</f>
        <v/>
      </c>
      <c r="M352" s="10" t="str">
        <f t="shared" si="351"/>
        <v/>
      </c>
      <c r="N352" s="10" t="str">
        <f t="shared" si="351"/>
        <v/>
      </c>
      <c r="O352" s="10" t="str">
        <f t="shared" si="351"/>
        <v/>
      </c>
      <c r="P352" s="10" t="str">
        <f t="shared" si="351"/>
        <v/>
      </c>
      <c r="Q352" s="10" t="str">
        <f t="shared" si="351"/>
        <v/>
      </c>
      <c r="R352" s="10" t="str">
        <f t="shared" si="351"/>
        <v/>
      </c>
      <c r="S352" s="10" t="str">
        <f t="shared" si="351"/>
        <v/>
      </c>
      <c r="T352" s="10" t="str">
        <f t="shared" si="351"/>
        <v/>
      </c>
      <c r="U352" s="10" t="str">
        <f t="shared" si="351"/>
        <v/>
      </c>
      <c r="V352" s="10" t="str">
        <f>IF(B352="","",IF(Controls!$B$7="Normal",Controls!$B$8+Controls!$B$9*SQRT(-2*LN(B352/2147483647))*COS(2*PI()*L352/2147483647),Controls!$B$8+(Controls!$B$9-Controls!$B$8)*B352/2147483647))</f>
        <v/>
      </c>
      <c r="W352" s="10" t="str">
        <f>IF(C352="","",IF(Controls!$B$7="Normal",Controls!$B$8+Controls!$B$9*SQRT(-2*LN(C352/2147483647))*COS(2*PI()*M352/2147483647),Controls!$B$8+(Controls!$B$9-Controls!$B$8)*C352/2147483647))</f>
        <v/>
      </c>
      <c r="X352" s="10" t="str">
        <f>IF(D352="","",IF(Controls!$B$7="Normal",Controls!$B$8+Controls!$B$9*SQRT(-2*LN(D352/2147483647))*COS(2*PI()*N352/2147483647),Controls!$B$8+(Controls!$B$9-Controls!$B$8)*D352/2147483647))</f>
        <v/>
      </c>
      <c r="Y352" s="10" t="str">
        <f>IF(E352="","",IF(Controls!$B$7="Normal",Controls!$B$8+Controls!$B$9*SQRT(-2*LN(E352/2147483647))*COS(2*PI()*O352/2147483647),Controls!$B$8+(Controls!$B$9-Controls!$B$8)*E352/2147483647))</f>
        <v/>
      </c>
      <c r="Z352" s="10" t="str">
        <f>IF(F352="","",IF(Controls!$B$7="Normal",Controls!$B$8+Controls!$B$9*SQRT(-2*LN(F352/2147483647))*COS(2*PI()*P352/2147483647),Controls!$B$8+(Controls!$B$9-Controls!$B$8)*F352/2147483647))</f>
        <v/>
      </c>
      <c r="AA352" s="10" t="str">
        <f>IF(G352="","",IF(Controls!$B$7="Normal",Controls!$B$8+Controls!$B$9*SQRT(-2*LN(G352/2147483647))*COS(2*PI()*Q352/2147483647),Controls!$B$8+(Controls!$B$9-Controls!$B$8)*G352/2147483647))</f>
        <v/>
      </c>
      <c r="AB352" s="10" t="str">
        <f>IF(H352="","",IF(Controls!$B$7="Normal",Controls!$B$8+Controls!$B$9*SQRT(-2*LN(H352/2147483647))*COS(2*PI()*R352/2147483647),Controls!$B$8+(Controls!$B$9-Controls!$B$8)*H352/2147483647))</f>
        <v/>
      </c>
      <c r="AC352" s="10" t="str">
        <f>IF(I352="","",IF(Controls!$B$7="Normal",Controls!$B$8+Controls!$B$9*SQRT(-2*LN(I352/2147483647))*COS(2*PI()*S352/2147483647),Controls!$B$8+(Controls!$B$9-Controls!$B$8)*I352/2147483647))</f>
        <v/>
      </c>
      <c r="AD352" s="10" t="str">
        <f>IF(J352="","",IF(Controls!$B$7="Normal",Controls!$B$8+Controls!$B$9*SQRT(-2*LN(J352/2147483647))*COS(2*PI()*T352/2147483647),Controls!$B$8+(Controls!$B$9-Controls!$B$8)*J352/2147483647))</f>
        <v/>
      </c>
      <c r="AE352" s="10" t="str">
        <f>IF(K352="","",IF(Controls!$B$7="Normal",Controls!$B$8+Controls!$B$9*SQRT(-2*LN(K352/2147483647))*COS(2*PI()*U352/2147483647),Controls!$B$8+(Controls!$B$9-Controls!$B$8)*K352/2147483647))</f>
        <v/>
      </c>
    </row>
    <row r="353" ht="21.0" customHeight="1">
      <c r="A353" s="7" t="str">
        <f>IF(352&lt;=Controls!$B$5,Controls!$B$4+351,"")</f>
        <v/>
      </c>
      <c r="B353" s="10" t="str">
        <f>IF(OR($A353="",1&gt;Controls!$B$6),"",MOD(L352*48271,2147483647))</f>
        <v/>
      </c>
      <c r="C353" s="10" t="str">
        <f>IF(OR($A353="",2&gt;Controls!$B$6),"",MOD(M352*48271,2147483647))</f>
        <v/>
      </c>
      <c r="D353" s="10" t="str">
        <f>IF(OR($A353="",3&gt;Controls!$B$6),"",MOD(N352*48271,2147483647))</f>
        <v/>
      </c>
      <c r="E353" s="10" t="str">
        <f>IF(OR($A353="",4&gt;Controls!$B$6),"",MOD(O352*48271,2147483647))</f>
        <v/>
      </c>
      <c r="F353" s="10" t="str">
        <f>IF(OR($A353="",5&gt;Controls!$B$6),"",MOD(P352*48271,2147483647))</f>
        <v/>
      </c>
      <c r="G353" s="10" t="str">
        <f>IF(OR($A353="",6&gt;Controls!$B$6),"",MOD(Q352*48271,2147483647))</f>
        <v/>
      </c>
      <c r="H353" s="10" t="str">
        <f>IF(OR($A353="",7&gt;Controls!$B$6),"",MOD(R352*48271,2147483647))</f>
        <v/>
      </c>
      <c r="I353" s="10" t="str">
        <f>IF(OR($A353="",8&gt;Controls!$B$6),"",MOD(S352*48271,2147483647))</f>
        <v/>
      </c>
      <c r="J353" s="10" t="str">
        <f>IF(OR($A353="",9&gt;Controls!$B$6),"",MOD(T352*48271,2147483647))</f>
        <v/>
      </c>
      <c r="K353" s="10" t="str">
        <f>IF(OR($A353="",10&gt;Controls!$B$6),"",MOD(U352*48271,2147483647))</f>
        <v/>
      </c>
      <c r="L353" s="10" t="str">
        <f t="shared" ref="L353:U353" si="352">IF(B353="","",MOD(B353*48271,2147483647))</f>
        <v/>
      </c>
      <c r="M353" s="10" t="str">
        <f t="shared" si="352"/>
        <v/>
      </c>
      <c r="N353" s="10" t="str">
        <f t="shared" si="352"/>
        <v/>
      </c>
      <c r="O353" s="10" t="str">
        <f t="shared" si="352"/>
        <v/>
      </c>
      <c r="P353" s="10" t="str">
        <f t="shared" si="352"/>
        <v/>
      </c>
      <c r="Q353" s="10" t="str">
        <f t="shared" si="352"/>
        <v/>
      </c>
      <c r="R353" s="10" t="str">
        <f t="shared" si="352"/>
        <v/>
      </c>
      <c r="S353" s="10" t="str">
        <f t="shared" si="352"/>
        <v/>
      </c>
      <c r="T353" s="10" t="str">
        <f t="shared" si="352"/>
        <v/>
      </c>
      <c r="U353" s="10" t="str">
        <f t="shared" si="352"/>
        <v/>
      </c>
      <c r="V353" s="10" t="str">
        <f>IF(B353="","",IF(Controls!$B$7="Normal",Controls!$B$8+Controls!$B$9*SQRT(-2*LN(B353/2147483647))*COS(2*PI()*L353/2147483647),Controls!$B$8+(Controls!$B$9-Controls!$B$8)*B353/2147483647))</f>
        <v/>
      </c>
      <c r="W353" s="10" t="str">
        <f>IF(C353="","",IF(Controls!$B$7="Normal",Controls!$B$8+Controls!$B$9*SQRT(-2*LN(C353/2147483647))*COS(2*PI()*M353/2147483647),Controls!$B$8+(Controls!$B$9-Controls!$B$8)*C353/2147483647))</f>
        <v/>
      </c>
      <c r="X353" s="10" t="str">
        <f>IF(D353="","",IF(Controls!$B$7="Normal",Controls!$B$8+Controls!$B$9*SQRT(-2*LN(D353/2147483647))*COS(2*PI()*N353/2147483647),Controls!$B$8+(Controls!$B$9-Controls!$B$8)*D353/2147483647))</f>
        <v/>
      </c>
      <c r="Y353" s="10" t="str">
        <f>IF(E353="","",IF(Controls!$B$7="Normal",Controls!$B$8+Controls!$B$9*SQRT(-2*LN(E353/2147483647))*COS(2*PI()*O353/2147483647),Controls!$B$8+(Controls!$B$9-Controls!$B$8)*E353/2147483647))</f>
        <v/>
      </c>
      <c r="Z353" s="10" t="str">
        <f>IF(F353="","",IF(Controls!$B$7="Normal",Controls!$B$8+Controls!$B$9*SQRT(-2*LN(F353/2147483647))*COS(2*PI()*P353/2147483647),Controls!$B$8+(Controls!$B$9-Controls!$B$8)*F353/2147483647))</f>
        <v/>
      </c>
      <c r="AA353" s="10" t="str">
        <f>IF(G353="","",IF(Controls!$B$7="Normal",Controls!$B$8+Controls!$B$9*SQRT(-2*LN(G353/2147483647))*COS(2*PI()*Q353/2147483647),Controls!$B$8+(Controls!$B$9-Controls!$B$8)*G353/2147483647))</f>
        <v/>
      </c>
      <c r="AB353" s="10" t="str">
        <f>IF(H353="","",IF(Controls!$B$7="Normal",Controls!$B$8+Controls!$B$9*SQRT(-2*LN(H353/2147483647))*COS(2*PI()*R353/2147483647),Controls!$B$8+(Controls!$B$9-Controls!$B$8)*H353/2147483647))</f>
        <v/>
      </c>
      <c r="AC353" s="10" t="str">
        <f>IF(I353="","",IF(Controls!$B$7="Normal",Controls!$B$8+Controls!$B$9*SQRT(-2*LN(I353/2147483647))*COS(2*PI()*S353/2147483647),Controls!$B$8+(Controls!$B$9-Controls!$B$8)*I353/2147483647))</f>
        <v/>
      </c>
      <c r="AD353" s="10" t="str">
        <f>IF(J353="","",IF(Controls!$B$7="Normal",Controls!$B$8+Controls!$B$9*SQRT(-2*LN(J353/2147483647))*COS(2*PI()*T353/2147483647),Controls!$B$8+(Controls!$B$9-Controls!$B$8)*J353/2147483647))</f>
        <v/>
      </c>
      <c r="AE353" s="10" t="str">
        <f>IF(K353="","",IF(Controls!$B$7="Normal",Controls!$B$8+Controls!$B$9*SQRT(-2*LN(K353/2147483647))*COS(2*PI()*U353/2147483647),Controls!$B$8+(Controls!$B$9-Controls!$B$8)*K353/2147483647))</f>
        <v/>
      </c>
    </row>
    <row r="354" ht="21.0" customHeight="1">
      <c r="A354" s="7" t="str">
        <f>IF(353&lt;=Controls!$B$5,Controls!$B$4+352,"")</f>
        <v/>
      </c>
      <c r="B354" s="10" t="str">
        <f>IF(OR($A354="",1&gt;Controls!$B$6),"",MOD(L353*48271,2147483647))</f>
        <v/>
      </c>
      <c r="C354" s="10" t="str">
        <f>IF(OR($A354="",2&gt;Controls!$B$6),"",MOD(M353*48271,2147483647))</f>
        <v/>
      </c>
      <c r="D354" s="10" t="str">
        <f>IF(OR($A354="",3&gt;Controls!$B$6),"",MOD(N353*48271,2147483647))</f>
        <v/>
      </c>
      <c r="E354" s="10" t="str">
        <f>IF(OR($A354="",4&gt;Controls!$B$6),"",MOD(O353*48271,2147483647))</f>
        <v/>
      </c>
      <c r="F354" s="10" t="str">
        <f>IF(OR($A354="",5&gt;Controls!$B$6),"",MOD(P353*48271,2147483647))</f>
        <v/>
      </c>
      <c r="G354" s="10" t="str">
        <f>IF(OR($A354="",6&gt;Controls!$B$6),"",MOD(Q353*48271,2147483647))</f>
        <v/>
      </c>
      <c r="H354" s="10" t="str">
        <f>IF(OR($A354="",7&gt;Controls!$B$6),"",MOD(R353*48271,2147483647))</f>
        <v/>
      </c>
      <c r="I354" s="10" t="str">
        <f>IF(OR($A354="",8&gt;Controls!$B$6),"",MOD(S353*48271,2147483647))</f>
        <v/>
      </c>
      <c r="J354" s="10" t="str">
        <f>IF(OR($A354="",9&gt;Controls!$B$6),"",MOD(T353*48271,2147483647))</f>
        <v/>
      </c>
      <c r="K354" s="10" t="str">
        <f>IF(OR($A354="",10&gt;Controls!$B$6),"",MOD(U353*48271,2147483647))</f>
        <v/>
      </c>
      <c r="L354" s="10" t="str">
        <f t="shared" ref="L354:U354" si="353">IF(B354="","",MOD(B354*48271,2147483647))</f>
        <v/>
      </c>
      <c r="M354" s="10" t="str">
        <f t="shared" si="353"/>
        <v/>
      </c>
      <c r="N354" s="10" t="str">
        <f t="shared" si="353"/>
        <v/>
      </c>
      <c r="O354" s="10" t="str">
        <f t="shared" si="353"/>
        <v/>
      </c>
      <c r="P354" s="10" t="str">
        <f t="shared" si="353"/>
        <v/>
      </c>
      <c r="Q354" s="10" t="str">
        <f t="shared" si="353"/>
        <v/>
      </c>
      <c r="R354" s="10" t="str">
        <f t="shared" si="353"/>
        <v/>
      </c>
      <c r="S354" s="10" t="str">
        <f t="shared" si="353"/>
        <v/>
      </c>
      <c r="T354" s="10" t="str">
        <f t="shared" si="353"/>
        <v/>
      </c>
      <c r="U354" s="10" t="str">
        <f t="shared" si="353"/>
        <v/>
      </c>
      <c r="V354" s="10" t="str">
        <f>IF(B354="","",IF(Controls!$B$7="Normal",Controls!$B$8+Controls!$B$9*SQRT(-2*LN(B354/2147483647))*COS(2*PI()*L354/2147483647),Controls!$B$8+(Controls!$B$9-Controls!$B$8)*B354/2147483647))</f>
        <v/>
      </c>
      <c r="W354" s="10" t="str">
        <f>IF(C354="","",IF(Controls!$B$7="Normal",Controls!$B$8+Controls!$B$9*SQRT(-2*LN(C354/2147483647))*COS(2*PI()*M354/2147483647),Controls!$B$8+(Controls!$B$9-Controls!$B$8)*C354/2147483647))</f>
        <v/>
      </c>
      <c r="X354" s="10" t="str">
        <f>IF(D354="","",IF(Controls!$B$7="Normal",Controls!$B$8+Controls!$B$9*SQRT(-2*LN(D354/2147483647))*COS(2*PI()*N354/2147483647),Controls!$B$8+(Controls!$B$9-Controls!$B$8)*D354/2147483647))</f>
        <v/>
      </c>
      <c r="Y354" s="10" t="str">
        <f>IF(E354="","",IF(Controls!$B$7="Normal",Controls!$B$8+Controls!$B$9*SQRT(-2*LN(E354/2147483647))*COS(2*PI()*O354/2147483647),Controls!$B$8+(Controls!$B$9-Controls!$B$8)*E354/2147483647))</f>
        <v/>
      </c>
      <c r="Z354" s="10" t="str">
        <f>IF(F354="","",IF(Controls!$B$7="Normal",Controls!$B$8+Controls!$B$9*SQRT(-2*LN(F354/2147483647))*COS(2*PI()*P354/2147483647),Controls!$B$8+(Controls!$B$9-Controls!$B$8)*F354/2147483647))</f>
        <v/>
      </c>
      <c r="AA354" s="10" t="str">
        <f>IF(G354="","",IF(Controls!$B$7="Normal",Controls!$B$8+Controls!$B$9*SQRT(-2*LN(G354/2147483647))*COS(2*PI()*Q354/2147483647),Controls!$B$8+(Controls!$B$9-Controls!$B$8)*G354/2147483647))</f>
        <v/>
      </c>
      <c r="AB354" s="10" t="str">
        <f>IF(H354="","",IF(Controls!$B$7="Normal",Controls!$B$8+Controls!$B$9*SQRT(-2*LN(H354/2147483647))*COS(2*PI()*R354/2147483647),Controls!$B$8+(Controls!$B$9-Controls!$B$8)*H354/2147483647))</f>
        <v/>
      </c>
      <c r="AC354" s="10" t="str">
        <f>IF(I354="","",IF(Controls!$B$7="Normal",Controls!$B$8+Controls!$B$9*SQRT(-2*LN(I354/2147483647))*COS(2*PI()*S354/2147483647),Controls!$B$8+(Controls!$B$9-Controls!$B$8)*I354/2147483647))</f>
        <v/>
      </c>
      <c r="AD354" s="10" t="str">
        <f>IF(J354="","",IF(Controls!$B$7="Normal",Controls!$B$8+Controls!$B$9*SQRT(-2*LN(J354/2147483647))*COS(2*PI()*T354/2147483647),Controls!$B$8+(Controls!$B$9-Controls!$B$8)*J354/2147483647))</f>
        <v/>
      </c>
      <c r="AE354" s="10" t="str">
        <f>IF(K354="","",IF(Controls!$B$7="Normal",Controls!$B$8+Controls!$B$9*SQRT(-2*LN(K354/2147483647))*COS(2*PI()*U354/2147483647),Controls!$B$8+(Controls!$B$9-Controls!$B$8)*K354/2147483647))</f>
        <v/>
      </c>
    </row>
    <row r="355" ht="21.0" customHeight="1">
      <c r="A355" s="7" t="str">
        <f>IF(354&lt;=Controls!$B$5,Controls!$B$4+353,"")</f>
        <v/>
      </c>
      <c r="B355" s="10" t="str">
        <f>IF(OR($A355="",1&gt;Controls!$B$6),"",MOD(L354*48271,2147483647))</f>
        <v/>
      </c>
      <c r="C355" s="10" t="str">
        <f>IF(OR($A355="",2&gt;Controls!$B$6),"",MOD(M354*48271,2147483647))</f>
        <v/>
      </c>
      <c r="D355" s="10" t="str">
        <f>IF(OR($A355="",3&gt;Controls!$B$6),"",MOD(N354*48271,2147483647))</f>
        <v/>
      </c>
      <c r="E355" s="10" t="str">
        <f>IF(OR($A355="",4&gt;Controls!$B$6),"",MOD(O354*48271,2147483647))</f>
        <v/>
      </c>
      <c r="F355" s="10" t="str">
        <f>IF(OR($A355="",5&gt;Controls!$B$6),"",MOD(P354*48271,2147483647))</f>
        <v/>
      </c>
      <c r="G355" s="10" t="str">
        <f>IF(OR($A355="",6&gt;Controls!$B$6),"",MOD(Q354*48271,2147483647))</f>
        <v/>
      </c>
      <c r="H355" s="10" t="str">
        <f>IF(OR($A355="",7&gt;Controls!$B$6),"",MOD(R354*48271,2147483647))</f>
        <v/>
      </c>
      <c r="I355" s="10" t="str">
        <f>IF(OR($A355="",8&gt;Controls!$B$6),"",MOD(S354*48271,2147483647))</f>
        <v/>
      </c>
      <c r="J355" s="10" t="str">
        <f>IF(OR($A355="",9&gt;Controls!$B$6),"",MOD(T354*48271,2147483647))</f>
        <v/>
      </c>
      <c r="K355" s="10" t="str">
        <f>IF(OR($A355="",10&gt;Controls!$B$6),"",MOD(U354*48271,2147483647))</f>
        <v/>
      </c>
      <c r="L355" s="10" t="str">
        <f t="shared" ref="L355:U355" si="354">IF(B355="","",MOD(B355*48271,2147483647))</f>
        <v/>
      </c>
      <c r="M355" s="10" t="str">
        <f t="shared" si="354"/>
        <v/>
      </c>
      <c r="N355" s="10" t="str">
        <f t="shared" si="354"/>
        <v/>
      </c>
      <c r="O355" s="10" t="str">
        <f t="shared" si="354"/>
        <v/>
      </c>
      <c r="P355" s="10" t="str">
        <f t="shared" si="354"/>
        <v/>
      </c>
      <c r="Q355" s="10" t="str">
        <f t="shared" si="354"/>
        <v/>
      </c>
      <c r="R355" s="10" t="str">
        <f t="shared" si="354"/>
        <v/>
      </c>
      <c r="S355" s="10" t="str">
        <f t="shared" si="354"/>
        <v/>
      </c>
      <c r="T355" s="10" t="str">
        <f t="shared" si="354"/>
        <v/>
      </c>
      <c r="U355" s="10" t="str">
        <f t="shared" si="354"/>
        <v/>
      </c>
      <c r="V355" s="10" t="str">
        <f>IF(B355="","",IF(Controls!$B$7="Normal",Controls!$B$8+Controls!$B$9*SQRT(-2*LN(B355/2147483647))*COS(2*PI()*L355/2147483647),Controls!$B$8+(Controls!$B$9-Controls!$B$8)*B355/2147483647))</f>
        <v/>
      </c>
      <c r="W355" s="10" t="str">
        <f>IF(C355="","",IF(Controls!$B$7="Normal",Controls!$B$8+Controls!$B$9*SQRT(-2*LN(C355/2147483647))*COS(2*PI()*M355/2147483647),Controls!$B$8+(Controls!$B$9-Controls!$B$8)*C355/2147483647))</f>
        <v/>
      </c>
      <c r="X355" s="10" t="str">
        <f>IF(D355="","",IF(Controls!$B$7="Normal",Controls!$B$8+Controls!$B$9*SQRT(-2*LN(D355/2147483647))*COS(2*PI()*N355/2147483647),Controls!$B$8+(Controls!$B$9-Controls!$B$8)*D355/2147483647))</f>
        <v/>
      </c>
      <c r="Y355" s="10" t="str">
        <f>IF(E355="","",IF(Controls!$B$7="Normal",Controls!$B$8+Controls!$B$9*SQRT(-2*LN(E355/2147483647))*COS(2*PI()*O355/2147483647),Controls!$B$8+(Controls!$B$9-Controls!$B$8)*E355/2147483647))</f>
        <v/>
      </c>
      <c r="Z355" s="10" t="str">
        <f>IF(F355="","",IF(Controls!$B$7="Normal",Controls!$B$8+Controls!$B$9*SQRT(-2*LN(F355/2147483647))*COS(2*PI()*P355/2147483647),Controls!$B$8+(Controls!$B$9-Controls!$B$8)*F355/2147483647))</f>
        <v/>
      </c>
      <c r="AA355" s="10" t="str">
        <f>IF(G355="","",IF(Controls!$B$7="Normal",Controls!$B$8+Controls!$B$9*SQRT(-2*LN(G355/2147483647))*COS(2*PI()*Q355/2147483647),Controls!$B$8+(Controls!$B$9-Controls!$B$8)*G355/2147483647))</f>
        <v/>
      </c>
      <c r="AB355" s="10" t="str">
        <f>IF(H355="","",IF(Controls!$B$7="Normal",Controls!$B$8+Controls!$B$9*SQRT(-2*LN(H355/2147483647))*COS(2*PI()*R355/2147483647),Controls!$B$8+(Controls!$B$9-Controls!$B$8)*H355/2147483647))</f>
        <v/>
      </c>
      <c r="AC355" s="10" t="str">
        <f>IF(I355="","",IF(Controls!$B$7="Normal",Controls!$B$8+Controls!$B$9*SQRT(-2*LN(I355/2147483647))*COS(2*PI()*S355/2147483647),Controls!$B$8+(Controls!$B$9-Controls!$B$8)*I355/2147483647))</f>
        <v/>
      </c>
      <c r="AD355" s="10" t="str">
        <f>IF(J355="","",IF(Controls!$B$7="Normal",Controls!$B$8+Controls!$B$9*SQRT(-2*LN(J355/2147483647))*COS(2*PI()*T355/2147483647),Controls!$B$8+(Controls!$B$9-Controls!$B$8)*J355/2147483647))</f>
        <v/>
      </c>
      <c r="AE355" s="10" t="str">
        <f>IF(K355="","",IF(Controls!$B$7="Normal",Controls!$B$8+Controls!$B$9*SQRT(-2*LN(K355/2147483647))*COS(2*PI()*U355/2147483647),Controls!$B$8+(Controls!$B$9-Controls!$B$8)*K355/2147483647))</f>
        <v/>
      </c>
    </row>
    <row r="356" ht="21.0" customHeight="1">
      <c r="A356" s="7" t="str">
        <f>IF(355&lt;=Controls!$B$5,Controls!$B$4+354,"")</f>
        <v/>
      </c>
      <c r="B356" s="10" t="str">
        <f>IF(OR($A356="",1&gt;Controls!$B$6),"",MOD(L355*48271,2147483647))</f>
        <v/>
      </c>
      <c r="C356" s="10" t="str">
        <f>IF(OR($A356="",2&gt;Controls!$B$6),"",MOD(M355*48271,2147483647))</f>
        <v/>
      </c>
      <c r="D356" s="10" t="str">
        <f>IF(OR($A356="",3&gt;Controls!$B$6),"",MOD(N355*48271,2147483647))</f>
        <v/>
      </c>
      <c r="E356" s="10" t="str">
        <f>IF(OR($A356="",4&gt;Controls!$B$6),"",MOD(O355*48271,2147483647))</f>
        <v/>
      </c>
      <c r="F356" s="10" t="str">
        <f>IF(OR($A356="",5&gt;Controls!$B$6),"",MOD(P355*48271,2147483647))</f>
        <v/>
      </c>
      <c r="G356" s="10" t="str">
        <f>IF(OR($A356="",6&gt;Controls!$B$6),"",MOD(Q355*48271,2147483647))</f>
        <v/>
      </c>
      <c r="H356" s="10" t="str">
        <f>IF(OR($A356="",7&gt;Controls!$B$6),"",MOD(R355*48271,2147483647))</f>
        <v/>
      </c>
      <c r="I356" s="10" t="str">
        <f>IF(OR($A356="",8&gt;Controls!$B$6),"",MOD(S355*48271,2147483647))</f>
        <v/>
      </c>
      <c r="J356" s="10" t="str">
        <f>IF(OR($A356="",9&gt;Controls!$B$6),"",MOD(T355*48271,2147483647))</f>
        <v/>
      </c>
      <c r="K356" s="10" t="str">
        <f>IF(OR($A356="",10&gt;Controls!$B$6),"",MOD(U355*48271,2147483647))</f>
        <v/>
      </c>
      <c r="L356" s="10" t="str">
        <f t="shared" ref="L356:U356" si="355">IF(B356="","",MOD(B356*48271,2147483647))</f>
        <v/>
      </c>
      <c r="M356" s="10" t="str">
        <f t="shared" si="355"/>
        <v/>
      </c>
      <c r="N356" s="10" t="str">
        <f t="shared" si="355"/>
        <v/>
      </c>
      <c r="O356" s="10" t="str">
        <f t="shared" si="355"/>
        <v/>
      </c>
      <c r="P356" s="10" t="str">
        <f t="shared" si="355"/>
        <v/>
      </c>
      <c r="Q356" s="10" t="str">
        <f t="shared" si="355"/>
        <v/>
      </c>
      <c r="R356" s="10" t="str">
        <f t="shared" si="355"/>
        <v/>
      </c>
      <c r="S356" s="10" t="str">
        <f t="shared" si="355"/>
        <v/>
      </c>
      <c r="T356" s="10" t="str">
        <f t="shared" si="355"/>
        <v/>
      </c>
      <c r="U356" s="10" t="str">
        <f t="shared" si="355"/>
        <v/>
      </c>
      <c r="V356" s="10" t="str">
        <f>IF(B356="","",IF(Controls!$B$7="Normal",Controls!$B$8+Controls!$B$9*SQRT(-2*LN(B356/2147483647))*COS(2*PI()*L356/2147483647),Controls!$B$8+(Controls!$B$9-Controls!$B$8)*B356/2147483647))</f>
        <v/>
      </c>
      <c r="W356" s="10" t="str">
        <f>IF(C356="","",IF(Controls!$B$7="Normal",Controls!$B$8+Controls!$B$9*SQRT(-2*LN(C356/2147483647))*COS(2*PI()*M356/2147483647),Controls!$B$8+(Controls!$B$9-Controls!$B$8)*C356/2147483647))</f>
        <v/>
      </c>
      <c r="X356" s="10" t="str">
        <f>IF(D356="","",IF(Controls!$B$7="Normal",Controls!$B$8+Controls!$B$9*SQRT(-2*LN(D356/2147483647))*COS(2*PI()*N356/2147483647),Controls!$B$8+(Controls!$B$9-Controls!$B$8)*D356/2147483647))</f>
        <v/>
      </c>
      <c r="Y356" s="10" t="str">
        <f>IF(E356="","",IF(Controls!$B$7="Normal",Controls!$B$8+Controls!$B$9*SQRT(-2*LN(E356/2147483647))*COS(2*PI()*O356/2147483647),Controls!$B$8+(Controls!$B$9-Controls!$B$8)*E356/2147483647))</f>
        <v/>
      </c>
      <c r="Z356" s="10" t="str">
        <f>IF(F356="","",IF(Controls!$B$7="Normal",Controls!$B$8+Controls!$B$9*SQRT(-2*LN(F356/2147483647))*COS(2*PI()*P356/2147483647),Controls!$B$8+(Controls!$B$9-Controls!$B$8)*F356/2147483647))</f>
        <v/>
      </c>
      <c r="AA356" s="10" t="str">
        <f>IF(G356="","",IF(Controls!$B$7="Normal",Controls!$B$8+Controls!$B$9*SQRT(-2*LN(G356/2147483647))*COS(2*PI()*Q356/2147483647),Controls!$B$8+(Controls!$B$9-Controls!$B$8)*G356/2147483647))</f>
        <v/>
      </c>
      <c r="AB356" s="10" t="str">
        <f>IF(H356="","",IF(Controls!$B$7="Normal",Controls!$B$8+Controls!$B$9*SQRT(-2*LN(H356/2147483647))*COS(2*PI()*R356/2147483647),Controls!$B$8+(Controls!$B$9-Controls!$B$8)*H356/2147483647))</f>
        <v/>
      </c>
      <c r="AC356" s="10" t="str">
        <f>IF(I356="","",IF(Controls!$B$7="Normal",Controls!$B$8+Controls!$B$9*SQRT(-2*LN(I356/2147483647))*COS(2*PI()*S356/2147483647),Controls!$B$8+(Controls!$B$9-Controls!$B$8)*I356/2147483647))</f>
        <v/>
      </c>
      <c r="AD356" s="10" t="str">
        <f>IF(J356="","",IF(Controls!$B$7="Normal",Controls!$B$8+Controls!$B$9*SQRT(-2*LN(J356/2147483647))*COS(2*PI()*T356/2147483647),Controls!$B$8+(Controls!$B$9-Controls!$B$8)*J356/2147483647))</f>
        <v/>
      </c>
      <c r="AE356" s="10" t="str">
        <f>IF(K356="","",IF(Controls!$B$7="Normal",Controls!$B$8+Controls!$B$9*SQRT(-2*LN(K356/2147483647))*COS(2*PI()*U356/2147483647),Controls!$B$8+(Controls!$B$9-Controls!$B$8)*K356/2147483647))</f>
        <v/>
      </c>
    </row>
    <row r="357" ht="21.0" customHeight="1">
      <c r="A357" s="7" t="str">
        <f>IF(356&lt;=Controls!$B$5,Controls!$B$4+355,"")</f>
        <v/>
      </c>
      <c r="B357" s="10" t="str">
        <f>IF(OR($A357="",1&gt;Controls!$B$6),"",MOD(L356*48271,2147483647))</f>
        <v/>
      </c>
      <c r="C357" s="10" t="str">
        <f>IF(OR($A357="",2&gt;Controls!$B$6),"",MOD(M356*48271,2147483647))</f>
        <v/>
      </c>
      <c r="D357" s="10" t="str">
        <f>IF(OR($A357="",3&gt;Controls!$B$6),"",MOD(N356*48271,2147483647))</f>
        <v/>
      </c>
      <c r="E357" s="10" t="str">
        <f>IF(OR($A357="",4&gt;Controls!$B$6),"",MOD(O356*48271,2147483647))</f>
        <v/>
      </c>
      <c r="F357" s="10" t="str">
        <f>IF(OR($A357="",5&gt;Controls!$B$6),"",MOD(P356*48271,2147483647))</f>
        <v/>
      </c>
      <c r="G357" s="10" t="str">
        <f>IF(OR($A357="",6&gt;Controls!$B$6),"",MOD(Q356*48271,2147483647))</f>
        <v/>
      </c>
      <c r="H357" s="10" t="str">
        <f>IF(OR($A357="",7&gt;Controls!$B$6),"",MOD(R356*48271,2147483647))</f>
        <v/>
      </c>
      <c r="I357" s="10" t="str">
        <f>IF(OR($A357="",8&gt;Controls!$B$6),"",MOD(S356*48271,2147483647))</f>
        <v/>
      </c>
      <c r="J357" s="10" t="str">
        <f>IF(OR($A357="",9&gt;Controls!$B$6),"",MOD(T356*48271,2147483647))</f>
        <v/>
      </c>
      <c r="K357" s="10" t="str">
        <f>IF(OR($A357="",10&gt;Controls!$B$6),"",MOD(U356*48271,2147483647))</f>
        <v/>
      </c>
      <c r="L357" s="10" t="str">
        <f t="shared" ref="L357:U357" si="356">IF(B357="","",MOD(B357*48271,2147483647))</f>
        <v/>
      </c>
      <c r="M357" s="10" t="str">
        <f t="shared" si="356"/>
        <v/>
      </c>
      <c r="N357" s="10" t="str">
        <f t="shared" si="356"/>
        <v/>
      </c>
      <c r="O357" s="10" t="str">
        <f t="shared" si="356"/>
        <v/>
      </c>
      <c r="P357" s="10" t="str">
        <f t="shared" si="356"/>
        <v/>
      </c>
      <c r="Q357" s="10" t="str">
        <f t="shared" si="356"/>
        <v/>
      </c>
      <c r="R357" s="10" t="str">
        <f t="shared" si="356"/>
        <v/>
      </c>
      <c r="S357" s="10" t="str">
        <f t="shared" si="356"/>
        <v/>
      </c>
      <c r="T357" s="10" t="str">
        <f t="shared" si="356"/>
        <v/>
      </c>
      <c r="U357" s="10" t="str">
        <f t="shared" si="356"/>
        <v/>
      </c>
      <c r="V357" s="10" t="str">
        <f>IF(B357="","",IF(Controls!$B$7="Normal",Controls!$B$8+Controls!$B$9*SQRT(-2*LN(B357/2147483647))*COS(2*PI()*L357/2147483647),Controls!$B$8+(Controls!$B$9-Controls!$B$8)*B357/2147483647))</f>
        <v/>
      </c>
      <c r="W357" s="10" t="str">
        <f>IF(C357="","",IF(Controls!$B$7="Normal",Controls!$B$8+Controls!$B$9*SQRT(-2*LN(C357/2147483647))*COS(2*PI()*M357/2147483647),Controls!$B$8+(Controls!$B$9-Controls!$B$8)*C357/2147483647))</f>
        <v/>
      </c>
      <c r="X357" s="10" t="str">
        <f>IF(D357="","",IF(Controls!$B$7="Normal",Controls!$B$8+Controls!$B$9*SQRT(-2*LN(D357/2147483647))*COS(2*PI()*N357/2147483647),Controls!$B$8+(Controls!$B$9-Controls!$B$8)*D357/2147483647))</f>
        <v/>
      </c>
      <c r="Y357" s="10" t="str">
        <f>IF(E357="","",IF(Controls!$B$7="Normal",Controls!$B$8+Controls!$B$9*SQRT(-2*LN(E357/2147483647))*COS(2*PI()*O357/2147483647),Controls!$B$8+(Controls!$B$9-Controls!$B$8)*E357/2147483647))</f>
        <v/>
      </c>
      <c r="Z357" s="10" t="str">
        <f>IF(F357="","",IF(Controls!$B$7="Normal",Controls!$B$8+Controls!$B$9*SQRT(-2*LN(F357/2147483647))*COS(2*PI()*P357/2147483647),Controls!$B$8+(Controls!$B$9-Controls!$B$8)*F357/2147483647))</f>
        <v/>
      </c>
      <c r="AA357" s="10" t="str">
        <f>IF(G357="","",IF(Controls!$B$7="Normal",Controls!$B$8+Controls!$B$9*SQRT(-2*LN(G357/2147483647))*COS(2*PI()*Q357/2147483647),Controls!$B$8+(Controls!$B$9-Controls!$B$8)*G357/2147483647))</f>
        <v/>
      </c>
      <c r="AB357" s="10" t="str">
        <f>IF(H357="","",IF(Controls!$B$7="Normal",Controls!$B$8+Controls!$B$9*SQRT(-2*LN(H357/2147483647))*COS(2*PI()*R357/2147483647),Controls!$B$8+(Controls!$B$9-Controls!$B$8)*H357/2147483647))</f>
        <v/>
      </c>
      <c r="AC357" s="10" t="str">
        <f>IF(I357="","",IF(Controls!$B$7="Normal",Controls!$B$8+Controls!$B$9*SQRT(-2*LN(I357/2147483647))*COS(2*PI()*S357/2147483647),Controls!$B$8+(Controls!$B$9-Controls!$B$8)*I357/2147483647))</f>
        <v/>
      </c>
      <c r="AD357" s="10" t="str">
        <f>IF(J357="","",IF(Controls!$B$7="Normal",Controls!$B$8+Controls!$B$9*SQRT(-2*LN(J357/2147483647))*COS(2*PI()*T357/2147483647),Controls!$B$8+(Controls!$B$9-Controls!$B$8)*J357/2147483647))</f>
        <v/>
      </c>
      <c r="AE357" s="10" t="str">
        <f>IF(K357="","",IF(Controls!$B$7="Normal",Controls!$B$8+Controls!$B$9*SQRT(-2*LN(K357/2147483647))*COS(2*PI()*U357/2147483647),Controls!$B$8+(Controls!$B$9-Controls!$B$8)*K357/2147483647))</f>
        <v/>
      </c>
    </row>
    <row r="358" ht="21.0" customHeight="1">
      <c r="A358" s="7" t="str">
        <f>IF(357&lt;=Controls!$B$5,Controls!$B$4+356,"")</f>
        <v/>
      </c>
      <c r="B358" s="10" t="str">
        <f>IF(OR($A358="",1&gt;Controls!$B$6),"",MOD(L357*48271,2147483647))</f>
        <v/>
      </c>
      <c r="C358" s="10" t="str">
        <f>IF(OR($A358="",2&gt;Controls!$B$6),"",MOD(M357*48271,2147483647))</f>
        <v/>
      </c>
      <c r="D358" s="10" t="str">
        <f>IF(OR($A358="",3&gt;Controls!$B$6),"",MOD(N357*48271,2147483647))</f>
        <v/>
      </c>
      <c r="E358" s="10" t="str">
        <f>IF(OR($A358="",4&gt;Controls!$B$6),"",MOD(O357*48271,2147483647))</f>
        <v/>
      </c>
      <c r="F358" s="10" t="str">
        <f>IF(OR($A358="",5&gt;Controls!$B$6),"",MOD(P357*48271,2147483647))</f>
        <v/>
      </c>
      <c r="G358" s="10" t="str">
        <f>IF(OR($A358="",6&gt;Controls!$B$6),"",MOD(Q357*48271,2147483647))</f>
        <v/>
      </c>
      <c r="H358" s="10" t="str">
        <f>IF(OR($A358="",7&gt;Controls!$B$6),"",MOD(R357*48271,2147483647))</f>
        <v/>
      </c>
      <c r="I358" s="10" t="str">
        <f>IF(OR($A358="",8&gt;Controls!$B$6),"",MOD(S357*48271,2147483647))</f>
        <v/>
      </c>
      <c r="J358" s="10" t="str">
        <f>IF(OR($A358="",9&gt;Controls!$B$6),"",MOD(T357*48271,2147483647))</f>
        <v/>
      </c>
      <c r="K358" s="10" t="str">
        <f>IF(OR($A358="",10&gt;Controls!$B$6),"",MOD(U357*48271,2147483647))</f>
        <v/>
      </c>
      <c r="L358" s="10" t="str">
        <f t="shared" ref="L358:U358" si="357">IF(B358="","",MOD(B358*48271,2147483647))</f>
        <v/>
      </c>
      <c r="M358" s="10" t="str">
        <f t="shared" si="357"/>
        <v/>
      </c>
      <c r="N358" s="10" t="str">
        <f t="shared" si="357"/>
        <v/>
      </c>
      <c r="O358" s="10" t="str">
        <f t="shared" si="357"/>
        <v/>
      </c>
      <c r="P358" s="10" t="str">
        <f t="shared" si="357"/>
        <v/>
      </c>
      <c r="Q358" s="10" t="str">
        <f t="shared" si="357"/>
        <v/>
      </c>
      <c r="R358" s="10" t="str">
        <f t="shared" si="357"/>
        <v/>
      </c>
      <c r="S358" s="10" t="str">
        <f t="shared" si="357"/>
        <v/>
      </c>
      <c r="T358" s="10" t="str">
        <f t="shared" si="357"/>
        <v/>
      </c>
      <c r="U358" s="10" t="str">
        <f t="shared" si="357"/>
        <v/>
      </c>
      <c r="V358" s="10" t="str">
        <f>IF(B358="","",IF(Controls!$B$7="Normal",Controls!$B$8+Controls!$B$9*SQRT(-2*LN(B358/2147483647))*COS(2*PI()*L358/2147483647),Controls!$B$8+(Controls!$B$9-Controls!$B$8)*B358/2147483647))</f>
        <v/>
      </c>
      <c r="W358" s="10" t="str">
        <f>IF(C358="","",IF(Controls!$B$7="Normal",Controls!$B$8+Controls!$B$9*SQRT(-2*LN(C358/2147483647))*COS(2*PI()*M358/2147483647),Controls!$B$8+(Controls!$B$9-Controls!$B$8)*C358/2147483647))</f>
        <v/>
      </c>
      <c r="X358" s="10" t="str">
        <f>IF(D358="","",IF(Controls!$B$7="Normal",Controls!$B$8+Controls!$B$9*SQRT(-2*LN(D358/2147483647))*COS(2*PI()*N358/2147483647),Controls!$B$8+(Controls!$B$9-Controls!$B$8)*D358/2147483647))</f>
        <v/>
      </c>
      <c r="Y358" s="10" t="str">
        <f>IF(E358="","",IF(Controls!$B$7="Normal",Controls!$B$8+Controls!$B$9*SQRT(-2*LN(E358/2147483647))*COS(2*PI()*O358/2147483647),Controls!$B$8+(Controls!$B$9-Controls!$B$8)*E358/2147483647))</f>
        <v/>
      </c>
      <c r="Z358" s="10" t="str">
        <f>IF(F358="","",IF(Controls!$B$7="Normal",Controls!$B$8+Controls!$B$9*SQRT(-2*LN(F358/2147483647))*COS(2*PI()*P358/2147483647),Controls!$B$8+(Controls!$B$9-Controls!$B$8)*F358/2147483647))</f>
        <v/>
      </c>
      <c r="AA358" s="10" t="str">
        <f>IF(G358="","",IF(Controls!$B$7="Normal",Controls!$B$8+Controls!$B$9*SQRT(-2*LN(G358/2147483647))*COS(2*PI()*Q358/2147483647),Controls!$B$8+(Controls!$B$9-Controls!$B$8)*G358/2147483647))</f>
        <v/>
      </c>
      <c r="AB358" s="10" t="str">
        <f>IF(H358="","",IF(Controls!$B$7="Normal",Controls!$B$8+Controls!$B$9*SQRT(-2*LN(H358/2147483647))*COS(2*PI()*R358/2147483647),Controls!$B$8+(Controls!$B$9-Controls!$B$8)*H358/2147483647))</f>
        <v/>
      </c>
      <c r="AC358" s="10" t="str">
        <f>IF(I358="","",IF(Controls!$B$7="Normal",Controls!$B$8+Controls!$B$9*SQRT(-2*LN(I358/2147483647))*COS(2*PI()*S358/2147483647),Controls!$B$8+(Controls!$B$9-Controls!$B$8)*I358/2147483647))</f>
        <v/>
      </c>
      <c r="AD358" s="10" t="str">
        <f>IF(J358="","",IF(Controls!$B$7="Normal",Controls!$B$8+Controls!$B$9*SQRT(-2*LN(J358/2147483647))*COS(2*PI()*T358/2147483647),Controls!$B$8+(Controls!$B$9-Controls!$B$8)*J358/2147483647))</f>
        <v/>
      </c>
      <c r="AE358" s="10" t="str">
        <f>IF(K358="","",IF(Controls!$B$7="Normal",Controls!$B$8+Controls!$B$9*SQRT(-2*LN(K358/2147483647))*COS(2*PI()*U358/2147483647),Controls!$B$8+(Controls!$B$9-Controls!$B$8)*K358/2147483647))</f>
        <v/>
      </c>
    </row>
    <row r="359" ht="21.0" customHeight="1">
      <c r="A359" s="7" t="str">
        <f>IF(358&lt;=Controls!$B$5,Controls!$B$4+357,"")</f>
        <v/>
      </c>
      <c r="B359" s="10" t="str">
        <f>IF(OR($A359="",1&gt;Controls!$B$6),"",MOD(L358*48271,2147483647))</f>
        <v/>
      </c>
      <c r="C359" s="10" t="str">
        <f>IF(OR($A359="",2&gt;Controls!$B$6),"",MOD(M358*48271,2147483647))</f>
        <v/>
      </c>
      <c r="D359" s="10" t="str">
        <f>IF(OR($A359="",3&gt;Controls!$B$6),"",MOD(N358*48271,2147483647))</f>
        <v/>
      </c>
      <c r="E359" s="10" t="str">
        <f>IF(OR($A359="",4&gt;Controls!$B$6),"",MOD(O358*48271,2147483647))</f>
        <v/>
      </c>
      <c r="F359" s="10" t="str">
        <f>IF(OR($A359="",5&gt;Controls!$B$6),"",MOD(P358*48271,2147483647))</f>
        <v/>
      </c>
      <c r="G359" s="10" t="str">
        <f>IF(OR($A359="",6&gt;Controls!$B$6),"",MOD(Q358*48271,2147483647))</f>
        <v/>
      </c>
      <c r="H359" s="10" t="str">
        <f>IF(OR($A359="",7&gt;Controls!$B$6),"",MOD(R358*48271,2147483647))</f>
        <v/>
      </c>
      <c r="I359" s="10" t="str">
        <f>IF(OR($A359="",8&gt;Controls!$B$6),"",MOD(S358*48271,2147483647))</f>
        <v/>
      </c>
      <c r="J359" s="10" t="str">
        <f>IF(OR($A359="",9&gt;Controls!$B$6),"",MOD(T358*48271,2147483647))</f>
        <v/>
      </c>
      <c r="K359" s="10" t="str">
        <f>IF(OR($A359="",10&gt;Controls!$B$6),"",MOD(U358*48271,2147483647))</f>
        <v/>
      </c>
      <c r="L359" s="10" t="str">
        <f t="shared" ref="L359:U359" si="358">IF(B359="","",MOD(B359*48271,2147483647))</f>
        <v/>
      </c>
      <c r="M359" s="10" t="str">
        <f t="shared" si="358"/>
        <v/>
      </c>
      <c r="N359" s="10" t="str">
        <f t="shared" si="358"/>
        <v/>
      </c>
      <c r="O359" s="10" t="str">
        <f t="shared" si="358"/>
        <v/>
      </c>
      <c r="P359" s="10" t="str">
        <f t="shared" si="358"/>
        <v/>
      </c>
      <c r="Q359" s="10" t="str">
        <f t="shared" si="358"/>
        <v/>
      </c>
      <c r="R359" s="10" t="str">
        <f t="shared" si="358"/>
        <v/>
      </c>
      <c r="S359" s="10" t="str">
        <f t="shared" si="358"/>
        <v/>
      </c>
      <c r="T359" s="10" t="str">
        <f t="shared" si="358"/>
        <v/>
      </c>
      <c r="U359" s="10" t="str">
        <f t="shared" si="358"/>
        <v/>
      </c>
      <c r="V359" s="10" t="str">
        <f>IF(B359="","",IF(Controls!$B$7="Normal",Controls!$B$8+Controls!$B$9*SQRT(-2*LN(B359/2147483647))*COS(2*PI()*L359/2147483647),Controls!$B$8+(Controls!$B$9-Controls!$B$8)*B359/2147483647))</f>
        <v/>
      </c>
      <c r="W359" s="10" t="str">
        <f>IF(C359="","",IF(Controls!$B$7="Normal",Controls!$B$8+Controls!$B$9*SQRT(-2*LN(C359/2147483647))*COS(2*PI()*M359/2147483647),Controls!$B$8+(Controls!$B$9-Controls!$B$8)*C359/2147483647))</f>
        <v/>
      </c>
      <c r="X359" s="10" t="str">
        <f>IF(D359="","",IF(Controls!$B$7="Normal",Controls!$B$8+Controls!$B$9*SQRT(-2*LN(D359/2147483647))*COS(2*PI()*N359/2147483647),Controls!$B$8+(Controls!$B$9-Controls!$B$8)*D359/2147483647))</f>
        <v/>
      </c>
      <c r="Y359" s="10" t="str">
        <f>IF(E359="","",IF(Controls!$B$7="Normal",Controls!$B$8+Controls!$B$9*SQRT(-2*LN(E359/2147483647))*COS(2*PI()*O359/2147483647),Controls!$B$8+(Controls!$B$9-Controls!$B$8)*E359/2147483647))</f>
        <v/>
      </c>
      <c r="Z359" s="10" t="str">
        <f>IF(F359="","",IF(Controls!$B$7="Normal",Controls!$B$8+Controls!$B$9*SQRT(-2*LN(F359/2147483647))*COS(2*PI()*P359/2147483647),Controls!$B$8+(Controls!$B$9-Controls!$B$8)*F359/2147483647))</f>
        <v/>
      </c>
      <c r="AA359" s="10" t="str">
        <f>IF(G359="","",IF(Controls!$B$7="Normal",Controls!$B$8+Controls!$B$9*SQRT(-2*LN(G359/2147483647))*COS(2*PI()*Q359/2147483647),Controls!$B$8+(Controls!$B$9-Controls!$B$8)*G359/2147483647))</f>
        <v/>
      </c>
      <c r="AB359" s="10" t="str">
        <f>IF(H359="","",IF(Controls!$B$7="Normal",Controls!$B$8+Controls!$B$9*SQRT(-2*LN(H359/2147483647))*COS(2*PI()*R359/2147483647),Controls!$B$8+(Controls!$B$9-Controls!$B$8)*H359/2147483647))</f>
        <v/>
      </c>
      <c r="AC359" s="10" t="str">
        <f>IF(I359="","",IF(Controls!$B$7="Normal",Controls!$B$8+Controls!$B$9*SQRT(-2*LN(I359/2147483647))*COS(2*PI()*S359/2147483647),Controls!$B$8+(Controls!$B$9-Controls!$B$8)*I359/2147483647))</f>
        <v/>
      </c>
      <c r="AD359" s="10" t="str">
        <f>IF(J359="","",IF(Controls!$B$7="Normal",Controls!$B$8+Controls!$B$9*SQRT(-2*LN(J359/2147483647))*COS(2*PI()*T359/2147483647),Controls!$B$8+(Controls!$B$9-Controls!$B$8)*J359/2147483647))</f>
        <v/>
      </c>
      <c r="AE359" s="10" t="str">
        <f>IF(K359="","",IF(Controls!$B$7="Normal",Controls!$B$8+Controls!$B$9*SQRT(-2*LN(K359/2147483647))*COS(2*PI()*U359/2147483647),Controls!$B$8+(Controls!$B$9-Controls!$B$8)*K359/2147483647))</f>
        <v/>
      </c>
    </row>
    <row r="360" ht="21.0" customHeight="1">
      <c r="A360" s="7" t="str">
        <f>IF(359&lt;=Controls!$B$5,Controls!$B$4+358,"")</f>
        <v/>
      </c>
      <c r="B360" s="10" t="str">
        <f>IF(OR($A360="",1&gt;Controls!$B$6),"",MOD(L359*48271,2147483647))</f>
        <v/>
      </c>
      <c r="C360" s="10" t="str">
        <f>IF(OR($A360="",2&gt;Controls!$B$6),"",MOD(M359*48271,2147483647))</f>
        <v/>
      </c>
      <c r="D360" s="10" t="str">
        <f>IF(OR($A360="",3&gt;Controls!$B$6),"",MOD(N359*48271,2147483647))</f>
        <v/>
      </c>
      <c r="E360" s="10" t="str">
        <f>IF(OR($A360="",4&gt;Controls!$B$6),"",MOD(O359*48271,2147483647))</f>
        <v/>
      </c>
      <c r="F360" s="10" t="str">
        <f>IF(OR($A360="",5&gt;Controls!$B$6),"",MOD(P359*48271,2147483647))</f>
        <v/>
      </c>
      <c r="G360" s="10" t="str">
        <f>IF(OR($A360="",6&gt;Controls!$B$6),"",MOD(Q359*48271,2147483647))</f>
        <v/>
      </c>
      <c r="H360" s="10" t="str">
        <f>IF(OR($A360="",7&gt;Controls!$B$6),"",MOD(R359*48271,2147483647))</f>
        <v/>
      </c>
      <c r="I360" s="10" t="str">
        <f>IF(OR($A360="",8&gt;Controls!$B$6),"",MOD(S359*48271,2147483647))</f>
        <v/>
      </c>
      <c r="J360" s="10" t="str">
        <f>IF(OR($A360="",9&gt;Controls!$B$6),"",MOD(T359*48271,2147483647))</f>
        <v/>
      </c>
      <c r="K360" s="10" t="str">
        <f>IF(OR($A360="",10&gt;Controls!$B$6),"",MOD(U359*48271,2147483647))</f>
        <v/>
      </c>
      <c r="L360" s="10" t="str">
        <f t="shared" ref="L360:U360" si="359">IF(B360="","",MOD(B360*48271,2147483647))</f>
        <v/>
      </c>
      <c r="M360" s="10" t="str">
        <f t="shared" si="359"/>
        <v/>
      </c>
      <c r="N360" s="10" t="str">
        <f t="shared" si="359"/>
        <v/>
      </c>
      <c r="O360" s="10" t="str">
        <f t="shared" si="359"/>
        <v/>
      </c>
      <c r="P360" s="10" t="str">
        <f t="shared" si="359"/>
        <v/>
      </c>
      <c r="Q360" s="10" t="str">
        <f t="shared" si="359"/>
        <v/>
      </c>
      <c r="R360" s="10" t="str">
        <f t="shared" si="359"/>
        <v/>
      </c>
      <c r="S360" s="10" t="str">
        <f t="shared" si="359"/>
        <v/>
      </c>
      <c r="T360" s="10" t="str">
        <f t="shared" si="359"/>
        <v/>
      </c>
      <c r="U360" s="10" t="str">
        <f t="shared" si="359"/>
        <v/>
      </c>
      <c r="V360" s="10" t="str">
        <f>IF(B360="","",IF(Controls!$B$7="Normal",Controls!$B$8+Controls!$B$9*SQRT(-2*LN(B360/2147483647))*COS(2*PI()*L360/2147483647),Controls!$B$8+(Controls!$B$9-Controls!$B$8)*B360/2147483647))</f>
        <v/>
      </c>
      <c r="W360" s="10" t="str">
        <f>IF(C360="","",IF(Controls!$B$7="Normal",Controls!$B$8+Controls!$B$9*SQRT(-2*LN(C360/2147483647))*COS(2*PI()*M360/2147483647),Controls!$B$8+(Controls!$B$9-Controls!$B$8)*C360/2147483647))</f>
        <v/>
      </c>
      <c r="X360" s="10" t="str">
        <f>IF(D360="","",IF(Controls!$B$7="Normal",Controls!$B$8+Controls!$B$9*SQRT(-2*LN(D360/2147483647))*COS(2*PI()*N360/2147483647),Controls!$B$8+(Controls!$B$9-Controls!$B$8)*D360/2147483647))</f>
        <v/>
      </c>
      <c r="Y360" s="10" t="str">
        <f>IF(E360="","",IF(Controls!$B$7="Normal",Controls!$B$8+Controls!$B$9*SQRT(-2*LN(E360/2147483647))*COS(2*PI()*O360/2147483647),Controls!$B$8+(Controls!$B$9-Controls!$B$8)*E360/2147483647))</f>
        <v/>
      </c>
      <c r="Z360" s="10" t="str">
        <f>IF(F360="","",IF(Controls!$B$7="Normal",Controls!$B$8+Controls!$B$9*SQRT(-2*LN(F360/2147483647))*COS(2*PI()*P360/2147483647),Controls!$B$8+(Controls!$B$9-Controls!$B$8)*F360/2147483647))</f>
        <v/>
      </c>
      <c r="AA360" s="10" t="str">
        <f>IF(G360="","",IF(Controls!$B$7="Normal",Controls!$B$8+Controls!$B$9*SQRT(-2*LN(G360/2147483647))*COS(2*PI()*Q360/2147483647),Controls!$B$8+(Controls!$B$9-Controls!$B$8)*G360/2147483647))</f>
        <v/>
      </c>
      <c r="AB360" s="10" t="str">
        <f>IF(H360="","",IF(Controls!$B$7="Normal",Controls!$B$8+Controls!$B$9*SQRT(-2*LN(H360/2147483647))*COS(2*PI()*R360/2147483647),Controls!$B$8+(Controls!$B$9-Controls!$B$8)*H360/2147483647))</f>
        <v/>
      </c>
      <c r="AC360" s="10" t="str">
        <f>IF(I360="","",IF(Controls!$B$7="Normal",Controls!$B$8+Controls!$B$9*SQRT(-2*LN(I360/2147483647))*COS(2*PI()*S360/2147483647),Controls!$B$8+(Controls!$B$9-Controls!$B$8)*I360/2147483647))</f>
        <v/>
      </c>
      <c r="AD360" s="10" t="str">
        <f>IF(J360="","",IF(Controls!$B$7="Normal",Controls!$B$8+Controls!$B$9*SQRT(-2*LN(J360/2147483647))*COS(2*PI()*T360/2147483647),Controls!$B$8+(Controls!$B$9-Controls!$B$8)*J360/2147483647))</f>
        <v/>
      </c>
      <c r="AE360" s="10" t="str">
        <f>IF(K360="","",IF(Controls!$B$7="Normal",Controls!$B$8+Controls!$B$9*SQRT(-2*LN(K360/2147483647))*COS(2*PI()*U360/2147483647),Controls!$B$8+(Controls!$B$9-Controls!$B$8)*K360/2147483647))</f>
        <v/>
      </c>
    </row>
    <row r="361" ht="21.0" customHeight="1">
      <c r="A361" s="7" t="str">
        <f>IF(360&lt;=Controls!$B$5,Controls!$B$4+359,"")</f>
        <v/>
      </c>
      <c r="B361" s="10" t="str">
        <f>IF(OR($A361="",1&gt;Controls!$B$6),"",MOD(L360*48271,2147483647))</f>
        <v/>
      </c>
      <c r="C361" s="10" t="str">
        <f>IF(OR($A361="",2&gt;Controls!$B$6),"",MOD(M360*48271,2147483647))</f>
        <v/>
      </c>
      <c r="D361" s="10" t="str">
        <f>IF(OR($A361="",3&gt;Controls!$B$6),"",MOD(N360*48271,2147483647))</f>
        <v/>
      </c>
      <c r="E361" s="10" t="str">
        <f>IF(OR($A361="",4&gt;Controls!$B$6),"",MOD(O360*48271,2147483647))</f>
        <v/>
      </c>
      <c r="F361" s="10" t="str">
        <f>IF(OR($A361="",5&gt;Controls!$B$6),"",MOD(P360*48271,2147483647))</f>
        <v/>
      </c>
      <c r="G361" s="10" t="str">
        <f>IF(OR($A361="",6&gt;Controls!$B$6),"",MOD(Q360*48271,2147483647))</f>
        <v/>
      </c>
      <c r="H361" s="10" t="str">
        <f>IF(OR($A361="",7&gt;Controls!$B$6),"",MOD(R360*48271,2147483647))</f>
        <v/>
      </c>
      <c r="I361" s="10" t="str">
        <f>IF(OR($A361="",8&gt;Controls!$B$6),"",MOD(S360*48271,2147483647))</f>
        <v/>
      </c>
      <c r="J361" s="10" t="str">
        <f>IF(OR($A361="",9&gt;Controls!$B$6),"",MOD(T360*48271,2147483647))</f>
        <v/>
      </c>
      <c r="K361" s="10" t="str">
        <f>IF(OR($A361="",10&gt;Controls!$B$6),"",MOD(U360*48271,2147483647))</f>
        <v/>
      </c>
      <c r="L361" s="10" t="str">
        <f t="shared" ref="L361:U361" si="360">IF(B361="","",MOD(B361*48271,2147483647))</f>
        <v/>
      </c>
      <c r="M361" s="10" t="str">
        <f t="shared" si="360"/>
        <v/>
      </c>
      <c r="N361" s="10" t="str">
        <f t="shared" si="360"/>
        <v/>
      </c>
      <c r="O361" s="10" t="str">
        <f t="shared" si="360"/>
        <v/>
      </c>
      <c r="P361" s="10" t="str">
        <f t="shared" si="360"/>
        <v/>
      </c>
      <c r="Q361" s="10" t="str">
        <f t="shared" si="360"/>
        <v/>
      </c>
      <c r="R361" s="10" t="str">
        <f t="shared" si="360"/>
        <v/>
      </c>
      <c r="S361" s="10" t="str">
        <f t="shared" si="360"/>
        <v/>
      </c>
      <c r="T361" s="10" t="str">
        <f t="shared" si="360"/>
        <v/>
      </c>
      <c r="U361" s="10" t="str">
        <f t="shared" si="360"/>
        <v/>
      </c>
      <c r="V361" s="10" t="str">
        <f>IF(B361="","",IF(Controls!$B$7="Normal",Controls!$B$8+Controls!$B$9*SQRT(-2*LN(B361/2147483647))*COS(2*PI()*L361/2147483647),Controls!$B$8+(Controls!$B$9-Controls!$B$8)*B361/2147483647))</f>
        <v/>
      </c>
      <c r="W361" s="10" t="str">
        <f>IF(C361="","",IF(Controls!$B$7="Normal",Controls!$B$8+Controls!$B$9*SQRT(-2*LN(C361/2147483647))*COS(2*PI()*M361/2147483647),Controls!$B$8+(Controls!$B$9-Controls!$B$8)*C361/2147483647))</f>
        <v/>
      </c>
      <c r="X361" s="10" t="str">
        <f>IF(D361="","",IF(Controls!$B$7="Normal",Controls!$B$8+Controls!$B$9*SQRT(-2*LN(D361/2147483647))*COS(2*PI()*N361/2147483647),Controls!$B$8+(Controls!$B$9-Controls!$B$8)*D361/2147483647))</f>
        <v/>
      </c>
      <c r="Y361" s="10" t="str">
        <f>IF(E361="","",IF(Controls!$B$7="Normal",Controls!$B$8+Controls!$B$9*SQRT(-2*LN(E361/2147483647))*COS(2*PI()*O361/2147483647),Controls!$B$8+(Controls!$B$9-Controls!$B$8)*E361/2147483647))</f>
        <v/>
      </c>
      <c r="Z361" s="10" t="str">
        <f>IF(F361="","",IF(Controls!$B$7="Normal",Controls!$B$8+Controls!$B$9*SQRT(-2*LN(F361/2147483647))*COS(2*PI()*P361/2147483647),Controls!$B$8+(Controls!$B$9-Controls!$B$8)*F361/2147483647))</f>
        <v/>
      </c>
      <c r="AA361" s="10" t="str">
        <f>IF(G361="","",IF(Controls!$B$7="Normal",Controls!$B$8+Controls!$B$9*SQRT(-2*LN(G361/2147483647))*COS(2*PI()*Q361/2147483647),Controls!$B$8+(Controls!$B$9-Controls!$B$8)*G361/2147483647))</f>
        <v/>
      </c>
      <c r="AB361" s="10" t="str">
        <f>IF(H361="","",IF(Controls!$B$7="Normal",Controls!$B$8+Controls!$B$9*SQRT(-2*LN(H361/2147483647))*COS(2*PI()*R361/2147483647),Controls!$B$8+(Controls!$B$9-Controls!$B$8)*H361/2147483647))</f>
        <v/>
      </c>
      <c r="AC361" s="10" t="str">
        <f>IF(I361="","",IF(Controls!$B$7="Normal",Controls!$B$8+Controls!$B$9*SQRT(-2*LN(I361/2147483647))*COS(2*PI()*S361/2147483647),Controls!$B$8+(Controls!$B$9-Controls!$B$8)*I361/2147483647))</f>
        <v/>
      </c>
      <c r="AD361" s="10" t="str">
        <f>IF(J361="","",IF(Controls!$B$7="Normal",Controls!$B$8+Controls!$B$9*SQRT(-2*LN(J361/2147483647))*COS(2*PI()*T361/2147483647),Controls!$B$8+(Controls!$B$9-Controls!$B$8)*J361/2147483647))</f>
        <v/>
      </c>
      <c r="AE361" s="10" t="str">
        <f>IF(K361="","",IF(Controls!$B$7="Normal",Controls!$B$8+Controls!$B$9*SQRT(-2*LN(K361/2147483647))*COS(2*PI()*U361/2147483647),Controls!$B$8+(Controls!$B$9-Controls!$B$8)*K361/2147483647))</f>
        <v/>
      </c>
    </row>
    <row r="362" ht="21.0" customHeight="1">
      <c r="A362" s="7" t="str">
        <f>IF(361&lt;=Controls!$B$5,Controls!$B$4+360,"")</f>
        <v/>
      </c>
      <c r="B362" s="10" t="str">
        <f>IF(OR($A362="",1&gt;Controls!$B$6),"",MOD(L361*48271,2147483647))</f>
        <v/>
      </c>
      <c r="C362" s="10" t="str">
        <f>IF(OR($A362="",2&gt;Controls!$B$6),"",MOD(M361*48271,2147483647))</f>
        <v/>
      </c>
      <c r="D362" s="10" t="str">
        <f>IF(OR($A362="",3&gt;Controls!$B$6),"",MOD(N361*48271,2147483647))</f>
        <v/>
      </c>
      <c r="E362" s="10" t="str">
        <f>IF(OR($A362="",4&gt;Controls!$B$6),"",MOD(O361*48271,2147483647))</f>
        <v/>
      </c>
      <c r="F362" s="10" t="str">
        <f>IF(OR($A362="",5&gt;Controls!$B$6),"",MOD(P361*48271,2147483647))</f>
        <v/>
      </c>
      <c r="G362" s="10" t="str">
        <f>IF(OR($A362="",6&gt;Controls!$B$6),"",MOD(Q361*48271,2147483647))</f>
        <v/>
      </c>
      <c r="H362" s="10" t="str">
        <f>IF(OR($A362="",7&gt;Controls!$B$6),"",MOD(R361*48271,2147483647))</f>
        <v/>
      </c>
      <c r="I362" s="10" t="str">
        <f>IF(OR($A362="",8&gt;Controls!$B$6),"",MOD(S361*48271,2147483647))</f>
        <v/>
      </c>
      <c r="J362" s="10" t="str">
        <f>IF(OR($A362="",9&gt;Controls!$B$6),"",MOD(T361*48271,2147483647))</f>
        <v/>
      </c>
      <c r="K362" s="10" t="str">
        <f>IF(OR($A362="",10&gt;Controls!$B$6),"",MOD(U361*48271,2147483647))</f>
        <v/>
      </c>
      <c r="L362" s="10" t="str">
        <f t="shared" ref="L362:U362" si="361">IF(B362="","",MOD(B362*48271,2147483647))</f>
        <v/>
      </c>
      <c r="M362" s="10" t="str">
        <f t="shared" si="361"/>
        <v/>
      </c>
      <c r="N362" s="10" t="str">
        <f t="shared" si="361"/>
        <v/>
      </c>
      <c r="O362" s="10" t="str">
        <f t="shared" si="361"/>
        <v/>
      </c>
      <c r="P362" s="10" t="str">
        <f t="shared" si="361"/>
        <v/>
      </c>
      <c r="Q362" s="10" t="str">
        <f t="shared" si="361"/>
        <v/>
      </c>
      <c r="R362" s="10" t="str">
        <f t="shared" si="361"/>
        <v/>
      </c>
      <c r="S362" s="10" t="str">
        <f t="shared" si="361"/>
        <v/>
      </c>
      <c r="T362" s="10" t="str">
        <f t="shared" si="361"/>
        <v/>
      </c>
      <c r="U362" s="10" t="str">
        <f t="shared" si="361"/>
        <v/>
      </c>
      <c r="V362" s="10" t="str">
        <f>IF(B362="","",IF(Controls!$B$7="Normal",Controls!$B$8+Controls!$B$9*SQRT(-2*LN(B362/2147483647))*COS(2*PI()*L362/2147483647),Controls!$B$8+(Controls!$B$9-Controls!$B$8)*B362/2147483647))</f>
        <v/>
      </c>
      <c r="W362" s="10" t="str">
        <f>IF(C362="","",IF(Controls!$B$7="Normal",Controls!$B$8+Controls!$B$9*SQRT(-2*LN(C362/2147483647))*COS(2*PI()*M362/2147483647),Controls!$B$8+(Controls!$B$9-Controls!$B$8)*C362/2147483647))</f>
        <v/>
      </c>
      <c r="X362" s="10" t="str">
        <f>IF(D362="","",IF(Controls!$B$7="Normal",Controls!$B$8+Controls!$B$9*SQRT(-2*LN(D362/2147483647))*COS(2*PI()*N362/2147483647),Controls!$B$8+(Controls!$B$9-Controls!$B$8)*D362/2147483647))</f>
        <v/>
      </c>
      <c r="Y362" s="10" t="str">
        <f>IF(E362="","",IF(Controls!$B$7="Normal",Controls!$B$8+Controls!$B$9*SQRT(-2*LN(E362/2147483647))*COS(2*PI()*O362/2147483647),Controls!$B$8+(Controls!$B$9-Controls!$B$8)*E362/2147483647))</f>
        <v/>
      </c>
      <c r="Z362" s="10" t="str">
        <f>IF(F362="","",IF(Controls!$B$7="Normal",Controls!$B$8+Controls!$B$9*SQRT(-2*LN(F362/2147483647))*COS(2*PI()*P362/2147483647),Controls!$B$8+(Controls!$B$9-Controls!$B$8)*F362/2147483647))</f>
        <v/>
      </c>
      <c r="AA362" s="10" t="str">
        <f>IF(G362="","",IF(Controls!$B$7="Normal",Controls!$B$8+Controls!$B$9*SQRT(-2*LN(G362/2147483647))*COS(2*PI()*Q362/2147483647),Controls!$B$8+(Controls!$B$9-Controls!$B$8)*G362/2147483647))</f>
        <v/>
      </c>
      <c r="AB362" s="10" t="str">
        <f>IF(H362="","",IF(Controls!$B$7="Normal",Controls!$B$8+Controls!$B$9*SQRT(-2*LN(H362/2147483647))*COS(2*PI()*R362/2147483647),Controls!$B$8+(Controls!$B$9-Controls!$B$8)*H362/2147483647))</f>
        <v/>
      </c>
      <c r="AC362" s="10" t="str">
        <f>IF(I362="","",IF(Controls!$B$7="Normal",Controls!$B$8+Controls!$B$9*SQRT(-2*LN(I362/2147483647))*COS(2*PI()*S362/2147483647),Controls!$B$8+(Controls!$B$9-Controls!$B$8)*I362/2147483647))</f>
        <v/>
      </c>
      <c r="AD362" s="10" t="str">
        <f>IF(J362="","",IF(Controls!$B$7="Normal",Controls!$B$8+Controls!$B$9*SQRT(-2*LN(J362/2147483647))*COS(2*PI()*T362/2147483647),Controls!$B$8+(Controls!$B$9-Controls!$B$8)*J362/2147483647))</f>
        <v/>
      </c>
      <c r="AE362" s="10" t="str">
        <f>IF(K362="","",IF(Controls!$B$7="Normal",Controls!$B$8+Controls!$B$9*SQRT(-2*LN(K362/2147483647))*COS(2*PI()*U362/2147483647),Controls!$B$8+(Controls!$B$9-Controls!$B$8)*K362/2147483647))</f>
        <v/>
      </c>
    </row>
    <row r="363" ht="21.0" customHeight="1">
      <c r="A363" s="7" t="str">
        <f>IF(362&lt;=Controls!$B$5,Controls!$B$4+361,"")</f>
        <v/>
      </c>
      <c r="B363" s="10" t="str">
        <f>IF(OR($A363="",1&gt;Controls!$B$6),"",MOD(L362*48271,2147483647))</f>
        <v/>
      </c>
      <c r="C363" s="10" t="str">
        <f>IF(OR($A363="",2&gt;Controls!$B$6),"",MOD(M362*48271,2147483647))</f>
        <v/>
      </c>
      <c r="D363" s="10" t="str">
        <f>IF(OR($A363="",3&gt;Controls!$B$6),"",MOD(N362*48271,2147483647))</f>
        <v/>
      </c>
      <c r="E363" s="10" t="str">
        <f>IF(OR($A363="",4&gt;Controls!$B$6),"",MOD(O362*48271,2147483647))</f>
        <v/>
      </c>
      <c r="F363" s="10" t="str">
        <f>IF(OR($A363="",5&gt;Controls!$B$6),"",MOD(P362*48271,2147483647))</f>
        <v/>
      </c>
      <c r="G363" s="10" t="str">
        <f>IF(OR($A363="",6&gt;Controls!$B$6),"",MOD(Q362*48271,2147483647))</f>
        <v/>
      </c>
      <c r="H363" s="10" t="str">
        <f>IF(OR($A363="",7&gt;Controls!$B$6),"",MOD(R362*48271,2147483647))</f>
        <v/>
      </c>
      <c r="I363" s="10" t="str">
        <f>IF(OR($A363="",8&gt;Controls!$B$6),"",MOD(S362*48271,2147483647))</f>
        <v/>
      </c>
      <c r="J363" s="10" t="str">
        <f>IF(OR($A363="",9&gt;Controls!$B$6),"",MOD(T362*48271,2147483647))</f>
        <v/>
      </c>
      <c r="K363" s="10" t="str">
        <f>IF(OR($A363="",10&gt;Controls!$B$6),"",MOD(U362*48271,2147483647))</f>
        <v/>
      </c>
      <c r="L363" s="10" t="str">
        <f t="shared" ref="L363:U363" si="362">IF(B363="","",MOD(B363*48271,2147483647))</f>
        <v/>
      </c>
      <c r="M363" s="10" t="str">
        <f t="shared" si="362"/>
        <v/>
      </c>
      <c r="N363" s="10" t="str">
        <f t="shared" si="362"/>
        <v/>
      </c>
      <c r="O363" s="10" t="str">
        <f t="shared" si="362"/>
        <v/>
      </c>
      <c r="P363" s="10" t="str">
        <f t="shared" si="362"/>
        <v/>
      </c>
      <c r="Q363" s="10" t="str">
        <f t="shared" si="362"/>
        <v/>
      </c>
      <c r="R363" s="10" t="str">
        <f t="shared" si="362"/>
        <v/>
      </c>
      <c r="S363" s="10" t="str">
        <f t="shared" si="362"/>
        <v/>
      </c>
      <c r="T363" s="10" t="str">
        <f t="shared" si="362"/>
        <v/>
      </c>
      <c r="U363" s="10" t="str">
        <f t="shared" si="362"/>
        <v/>
      </c>
      <c r="V363" s="10" t="str">
        <f>IF(B363="","",IF(Controls!$B$7="Normal",Controls!$B$8+Controls!$B$9*SQRT(-2*LN(B363/2147483647))*COS(2*PI()*L363/2147483647),Controls!$B$8+(Controls!$B$9-Controls!$B$8)*B363/2147483647))</f>
        <v/>
      </c>
      <c r="W363" s="10" t="str">
        <f>IF(C363="","",IF(Controls!$B$7="Normal",Controls!$B$8+Controls!$B$9*SQRT(-2*LN(C363/2147483647))*COS(2*PI()*M363/2147483647),Controls!$B$8+(Controls!$B$9-Controls!$B$8)*C363/2147483647))</f>
        <v/>
      </c>
      <c r="X363" s="10" t="str">
        <f>IF(D363="","",IF(Controls!$B$7="Normal",Controls!$B$8+Controls!$B$9*SQRT(-2*LN(D363/2147483647))*COS(2*PI()*N363/2147483647),Controls!$B$8+(Controls!$B$9-Controls!$B$8)*D363/2147483647))</f>
        <v/>
      </c>
      <c r="Y363" s="10" t="str">
        <f>IF(E363="","",IF(Controls!$B$7="Normal",Controls!$B$8+Controls!$B$9*SQRT(-2*LN(E363/2147483647))*COS(2*PI()*O363/2147483647),Controls!$B$8+(Controls!$B$9-Controls!$B$8)*E363/2147483647))</f>
        <v/>
      </c>
      <c r="Z363" s="10" t="str">
        <f>IF(F363="","",IF(Controls!$B$7="Normal",Controls!$B$8+Controls!$B$9*SQRT(-2*LN(F363/2147483647))*COS(2*PI()*P363/2147483647),Controls!$B$8+(Controls!$B$9-Controls!$B$8)*F363/2147483647))</f>
        <v/>
      </c>
      <c r="AA363" s="10" t="str">
        <f>IF(G363="","",IF(Controls!$B$7="Normal",Controls!$B$8+Controls!$B$9*SQRT(-2*LN(G363/2147483647))*COS(2*PI()*Q363/2147483647),Controls!$B$8+(Controls!$B$9-Controls!$B$8)*G363/2147483647))</f>
        <v/>
      </c>
      <c r="AB363" s="10" t="str">
        <f>IF(H363="","",IF(Controls!$B$7="Normal",Controls!$B$8+Controls!$B$9*SQRT(-2*LN(H363/2147483647))*COS(2*PI()*R363/2147483647),Controls!$B$8+(Controls!$B$9-Controls!$B$8)*H363/2147483647))</f>
        <v/>
      </c>
      <c r="AC363" s="10" t="str">
        <f>IF(I363="","",IF(Controls!$B$7="Normal",Controls!$B$8+Controls!$B$9*SQRT(-2*LN(I363/2147483647))*COS(2*PI()*S363/2147483647),Controls!$B$8+(Controls!$B$9-Controls!$B$8)*I363/2147483647))</f>
        <v/>
      </c>
      <c r="AD363" s="10" t="str">
        <f>IF(J363="","",IF(Controls!$B$7="Normal",Controls!$B$8+Controls!$B$9*SQRT(-2*LN(J363/2147483647))*COS(2*PI()*T363/2147483647),Controls!$B$8+(Controls!$B$9-Controls!$B$8)*J363/2147483647))</f>
        <v/>
      </c>
      <c r="AE363" s="10" t="str">
        <f>IF(K363="","",IF(Controls!$B$7="Normal",Controls!$B$8+Controls!$B$9*SQRT(-2*LN(K363/2147483647))*COS(2*PI()*U363/2147483647),Controls!$B$8+(Controls!$B$9-Controls!$B$8)*K363/2147483647))</f>
        <v/>
      </c>
    </row>
    <row r="364" ht="21.0" customHeight="1">
      <c r="A364" s="7" t="str">
        <f>IF(363&lt;=Controls!$B$5,Controls!$B$4+362,"")</f>
        <v/>
      </c>
      <c r="B364" s="10" t="str">
        <f>IF(OR($A364="",1&gt;Controls!$B$6),"",MOD(L363*48271,2147483647))</f>
        <v/>
      </c>
      <c r="C364" s="10" t="str">
        <f>IF(OR($A364="",2&gt;Controls!$B$6),"",MOD(M363*48271,2147483647))</f>
        <v/>
      </c>
      <c r="D364" s="10" t="str">
        <f>IF(OR($A364="",3&gt;Controls!$B$6),"",MOD(N363*48271,2147483647))</f>
        <v/>
      </c>
      <c r="E364" s="10" t="str">
        <f>IF(OR($A364="",4&gt;Controls!$B$6),"",MOD(O363*48271,2147483647))</f>
        <v/>
      </c>
      <c r="F364" s="10" t="str">
        <f>IF(OR($A364="",5&gt;Controls!$B$6),"",MOD(P363*48271,2147483647))</f>
        <v/>
      </c>
      <c r="G364" s="10" t="str">
        <f>IF(OR($A364="",6&gt;Controls!$B$6),"",MOD(Q363*48271,2147483647))</f>
        <v/>
      </c>
      <c r="H364" s="10" t="str">
        <f>IF(OR($A364="",7&gt;Controls!$B$6),"",MOD(R363*48271,2147483647))</f>
        <v/>
      </c>
      <c r="I364" s="10" t="str">
        <f>IF(OR($A364="",8&gt;Controls!$B$6),"",MOD(S363*48271,2147483647))</f>
        <v/>
      </c>
      <c r="J364" s="10" t="str">
        <f>IF(OR($A364="",9&gt;Controls!$B$6),"",MOD(T363*48271,2147483647))</f>
        <v/>
      </c>
      <c r="K364" s="10" t="str">
        <f>IF(OR($A364="",10&gt;Controls!$B$6),"",MOD(U363*48271,2147483647))</f>
        <v/>
      </c>
      <c r="L364" s="10" t="str">
        <f t="shared" ref="L364:U364" si="363">IF(B364="","",MOD(B364*48271,2147483647))</f>
        <v/>
      </c>
      <c r="M364" s="10" t="str">
        <f t="shared" si="363"/>
        <v/>
      </c>
      <c r="N364" s="10" t="str">
        <f t="shared" si="363"/>
        <v/>
      </c>
      <c r="O364" s="10" t="str">
        <f t="shared" si="363"/>
        <v/>
      </c>
      <c r="P364" s="10" t="str">
        <f t="shared" si="363"/>
        <v/>
      </c>
      <c r="Q364" s="10" t="str">
        <f t="shared" si="363"/>
        <v/>
      </c>
      <c r="R364" s="10" t="str">
        <f t="shared" si="363"/>
        <v/>
      </c>
      <c r="S364" s="10" t="str">
        <f t="shared" si="363"/>
        <v/>
      </c>
      <c r="T364" s="10" t="str">
        <f t="shared" si="363"/>
        <v/>
      </c>
      <c r="U364" s="10" t="str">
        <f t="shared" si="363"/>
        <v/>
      </c>
      <c r="V364" s="10" t="str">
        <f>IF(B364="","",IF(Controls!$B$7="Normal",Controls!$B$8+Controls!$B$9*SQRT(-2*LN(B364/2147483647))*COS(2*PI()*L364/2147483647),Controls!$B$8+(Controls!$B$9-Controls!$B$8)*B364/2147483647))</f>
        <v/>
      </c>
      <c r="W364" s="10" t="str">
        <f>IF(C364="","",IF(Controls!$B$7="Normal",Controls!$B$8+Controls!$B$9*SQRT(-2*LN(C364/2147483647))*COS(2*PI()*M364/2147483647),Controls!$B$8+(Controls!$B$9-Controls!$B$8)*C364/2147483647))</f>
        <v/>
      </c>
      <c r="X364" s="10" t="str">
        <f>IF(D364="","",IF(Controls!$B$7="Normal",Controls!$B$8+Controls!$B$9*SQRT(-2*LN(D364/2147483647))*COS(2*PI()*N364/2147483647),Controls!$B$8+(Controls!$B$9-Controls!$B$8)*D364/2147483647))</f>
        <v/>
      </c>
      <c r="Y364" s="10" t="str">
        <f>IF(E364="","",IF(Controls!$B$7="Normal",Controls!$B$8+Controls!$B$9*SQRT(-2*LN(E364/2147483647))*COS(2*PI()*O364/2147483647),Controls!$B$8+(Controls!$B$9-Controls!$B$8)*E364/2147483647))</f>
        <v/>
      </c>
      <c r="Z364" s="10" t="str">
        <f>IF(F364="","",IF(Controls!$B$7="Normal",Controls!$B$8+Controls!$B$9*SQRT(-2*LN(F364/2147483647))*COS(2*PI()*P364/2147483647),Controls!$B$8+(Controls!$B$9-Controls!$B$8)*F364/2147483647))</f>
        <v/>
      </c>
      <c r="AA364" s="10" t="str">
        <f>IF(G364="","",IF(Controls!$B$7="Normal",Controls!$B$8+Controls!$B$9*SQRT(-2*LN(G364/2147483647))*COS(2*PI()*Q364/2147483647),Controls!$B$8+(Controls!$B$9-Controls!$B$8)*G364/2147483647))</f>
        <v/>
      </c>
      <c r="AB364" s="10" t="str">
        <f>IF(H364="","",IF(Controls!$B$7="Normal",Controls!$B$8+Controls!$B$9*SQRT(-2*LN(H364/2147483647))*COS(2*PI()*R364/2147483647),Controls!$B$8+(Controls!$B$9-Controls!$B$8)*H364/2147483647))</f>
        <v/>
      </c>
      <c r="AC364" s="10" t="str">
        <f>IF(I364="","",IF(Controls!$B$7="Normal",Controls!$B$8+Controls!$B$9*SQRT(-2*LN(I364/2147483647))*COS(2*PI()*S364/2147483647),Controls!$B$8+(Controls!$B$9-Controls!$B$8)*I364/2147483647))</f>
        <v/>
      </c>
      <c r="AD364" s="10" t="str">
        <f>IF(J364="","",IF(Controls!$B$7="Normal",Controls!$B$8+Controls!$B$9*SQRT(-2*LN(J364/2147483647))*COS(2*PI()*T364/2147483647),Controls!$B$8+(Controls!$B$9-Controls!$B$8)*J364/2147483647))</f>
        <v/>
      </c>
      <c r="AE364" s="10" t="str">
        <f>IF(K364="","",IF(Controls!$B$7="Normal",Controls!$B$8+Controls!$B$9*SQRT(-2*LN(K364/2147483647))*COS(2*PI()*U364/2147483647),Controls!$B$8+(Controls!$B$9-Controls!$B$8)*K364/2147483647))</f>
        <v/>
      </c>
    </row>
    <row r="365" ht="21.0" customHeight="1">
      <c r="A365" s="7" t="str">
        <f>IF(364&lt;=Controls!$B$5,Controls!$B$4+363,"")</f>
        <v/>
      </c>
      <c r="B365" s="10" t="str">
        <f>IF(OR($A365="",1&gt;Controls!$B$6),"",MOD(L364*48271,2147483647))</f>
        <v/>
      </c>
      <c r="C365" s="10" t="str">
        <f>IF(OR($A365="",2&gt;Controls!$B$6),"",MOD(M364*48271,2147483647))</f>
        <v/>
      </c>
      <c r="D365" s="10" t="str">
        <f>IF(OR($A365="",3&gt;Controls!$B$6),"",MOD(N364*48271,2147483647))</f>
        <v/>
      </c>
      <c r="E365" s="10" t="str">
        <f>IF(OR($A365="",4&gt;Controls!$B$6),"",MOD(O364*48271,2147483647))</f>
        <v/>
      </c>
      <c r="F365" s="10" t="str">
        <f>IF(OR($A365="",5&gt;Controls!$B$6),"",MOD(P364*48271,2147483647))</f>
        <v/>
      </c>
      <c r="G365" s="10" t="str">
        <f>IF(OR($A365="",6&gt;Controls!$B$6),"",MOD(Q364*48271,2147483647))</f>
        <v/>
      </c>
      <c r="H365" s="10" t="str">
        <f>IF(OR($A365="",7&gt;Controls!$B$6),"",MOD(R364*48271,2147483647))</f>
        <v/>
      </c>
      <c r="I365" s="10" t="str">
        <f>IF(OR($A365="",8&gt;Controls!$B$6),"",MOD(S364*48271,2147483647))</f>
        <v/>
      </c>
      <c r="J365" s="10" t="str">
        <f>IF(OR($A365="",9&gt;Controls!$B$6),"",MOD(T364*48271,2147483647))</f>
        <v/>
      </c>
      <c r="K365" s="10" t="str">
        <f>IF(OR($A365="",10&gt;Controls!$B$6),"",MOD(U364*48271,2147483647))</f>
        <v/>
      </c>
      <c r="L365" s="10" t="str">
        <f t="shared" ref="L365:U365" si="364">IF(B365="","",MOD(B365*48271,2147483647))</f>
        <v/>
      </c>
      <c r="M365" s="10" t="str">
        <f t="shared" si="364"/>
        <v/>
      </c>
      <c r="N365" s="10" t="str">
        <f t="shared" si="364"/>
        <v/>
      </c>
      <c r="O365" s="10" t="str">
        <f t="shared" si="364"/>
        <v/>
      </c>
      <c r="P365" s="10" t="str">
        <f t="shared" si="364"/>
        <v/>
      </c>
      <c r="Q365" s="10" t="str">
        <f t="shared" si="364"/>
        <v/>
      </c>
      <c r="R365" s="10" t="str">
        <f t="shared" si="364"/>
        <v/>
      </c>
      <c r="S365" s="10" t="str">
        <f t="shared" si="364"/>
        <v/>
      </c>
      <c r="T365" s="10" t="str">
        <f t="shared" si="364"/>
        <v/>
      </c>
      <c r="U365" s="10" t="str">
        <f t="shared" si="364"/>
        <v/>
      </c>
      <c r="V365" s="10" t="str">
        <f>IF(B365="","",IF(Controls!$B$7="Normal",Controls!$B$8+Controls!$B$9*SQRT(-2*LN(B365/2147483647))*COS(2*PI()*L365/2147483647),Controls!$B$8+(Controls!$B$9-Controls!$B$8)*B365/2147483647))</f>
        <v/>
      </c>
      <c r="W365" s="10" t="str">
        <f>IF(C365="","",IF(Controls!$B$7="Normal",Controls!$B$8+Controls!$B$9*SQRT(-2*LN(C365/2147483647))*COS(2*PI()*M365/2147483647),Controls!$B$8+(Controls!$B$9-Controls!$B$8)*C365/2147483647))</f>
        <v/>
      </c>
      <c r="X365" s="10" t="str">
        <f>IF(D365="","",IF(Controls!$B$7="Normal",Controls!$B$8+Controls!$B$9*SQRT(-2*LN(D365/2147483647))*COS(2*PI()*N365/2147483647),Controls!$B$8+(Controls!$B$9-Controls!$B$8)*D365/2147483647))</f>
        <v/>
      </c>
      <c r="Y365" s="10" t="str">
        <f>IF(E365="","",IF(Controls!$B$7="Normal",Controls!$B$8+Controls!$B$9*SQRT(-2*LN(E365/2147483647))*COS(2*PI()*O365/2147483647),Controls!$B$8+(Controls!$B$9-Controls!$B$8)*E365/2147483647))</f>
        <v/>
      </c>
      <c r="Z365" s="10" t="str">
        <f>IF(F365="","",IF(Controls!$B$7="Normal",Controls!$B$8+Controls!$B$9*SQRT(-2*LN(F365/2147483647))*COS(2*PI()*P365/2147483647),Controls!$B$8+(Controls!$B$9-Controls!$B$8)*F365/2147483647))</f>
        <v/>
      </c>
      <c r="AA365" s="10" t="str">
        <f>IF(G365="","",IF(Controls!$B$7="Normal",Controls!$B$8+Controls!$B$9*SQRT(-2*LN(G365/2147483647))*COS(2*PI()*Q365/2147483647),Controls!$B$8+(Controls!$B$9-Controls!$B$8)*G365/2147483647))</f>
        <v/>
      </c>
      <c r="AB365" s="10" t="str">
        <f>IF(H365="","",IF(Controls!$B$7="Normal",Controls!$B$8+Controls!$B$9*SQRT(-2*LN(H365/2147483647))*COS(2*PI()*R365/2147483647),Controls!$B$8+(Controls!$B$9-Controls!$B$8)*H365/2147483647))</f>
        <v/>
      </c>
      <c r="AC365" s="10" t="str">
        <f>IF(I365="","",IF(Controls!$B$7="Normal",Controls!$B$8+Controls!$B$9*SQRT(-2*LN(I365/2147483647))*COS(2*PI()*S365/2147483647),Controls!$B$8+(Controls!$B$9-Controls!$B$8)*I365/2147483647))</f>
        <v/>
      </c>
      <c r="AD365" s="10" t="str">
        <f>IF(J365="","",IF(Controls!$B$7="Normal",Controls!$B$8+Controls!$B$9*SQRT(-2*LN(J365/2147483647))*COS(2*PI()*T365/2147483647),Controls!$B$8+(Controls!$B$9-Controls!$B$8)*J365/2147483647))</f>
        <v/>
      </c>
      <c r="AE365" s="10" t="str">
        <f>IF(K365="","",IF(Controls!$B$7="Normal",Controls!$B$8+Controls!$B$9*SQRT(-2*LN(K365/2147483647))*COS(2*PI()*U365/2147483647),Controls!$B$8+(Controls!$B$9-Controls!$B$8)*K365/2147483647))</f>
        <v/>
      </c>
    </row>
    <row r="366" ht="21.0" customHeight="1">
      <c r="A366" s="7" t="str">
        <f>IF(365&lt;=Controls!$B$5,Controls!$B$4+364,"")</f>
        <v/>
      </c>
      <c r="B366" s="10" t="str">
        <f>IF(OR($A366="",1&gt;Controls!$B$6),"",MOD(L365*48271,2147483647))</f>
        <v/>
      </c>
      <c r="C366" s="10" t="str">
        <f>IF(OR($A366="",2&gt;Controls!$B$6),"",MOD(M365*48271,2147483647))</f>
        <v/>
      </c>
      <c r="D366" s="10" t="str">
        <f>IF(OR($A366="",3&gt;Controls!$B$6),"",MOD(N365*48271,2147483647))</f>
        <v/>
      </c>
      <c r="E366" s="10" t="str">
        <f>IF(OR($A366="",4&gt;Controls!$B$6),"",MOD(O365*48271,2147483647))</f>
        <v/>
      </c>
      <c r="F366" s="10" t="str">
        <f>IF(OR($A366="",5&gt;Controls!$B$6),"",MOD(P365*48271,2147483647))</f>
        <v/>
      </c>
      <c r="G366" s="10" t="str">
        <f>IF(OR($A366="",6&gt;Controls!$B$6),"",MOD(Q365*48271,2147483647))</f>
        <v/>
      </c>
      <c r="H366" s="10" t="str">
        <f>IF(OR($A366="",7&gt;Controls!$B$6),"",MOD(R365*48271,2147483647))</f>
        <v/>
      </c>
      <c r="I366" s="10" t="str">
        <f>IF(OR($A366="",8&gt;Controls!$B$6),"",MOD(S365*48271,2147483647))</f>
        <v/>
      </c>
      <c r="J366" s="10" t="str">
        <f>IF(OR($A366="",9&gt;Controls!$B$6),"",MOD(T365*48271,2147483647))</f>
        <v/>
      </c>
      <c r="K366" s="10" t="str">
        <f>IF(OR($A366="",10&gt;Controls!$B$6),"",MOD(U365*48271,2147483647))</f>
        <v/>
      </c>
      <c r="L366" s="10" t="str">
        <f t="shared" ref="L366:U366" si="365">IF(B366="","",MOD(B366*48271,2147483647))</f>
        <v/>
      </c>
      <c r="M366" s="10" t="str">
        <f t="shared" si="365"/>
        <v/>
      </c>
      <c r="N366" s="10" t="str">
        <f t="shared" si="365"/>
        <v/>
      </c>
      <c r="O366" s="10" t="str">
        <f t="shared" si="365"/>
        <v/>
      </c>
      <c r="P366" s="10" t="str">
        <f t="shared" si="365"/>
        <v/>
      </c>
      <c r="Q366" s="10" t="str">
        <f t="shared" si="365"/>
        <v/>
      </c>
      <c r="R366" s="10" t="str">
        <f t="shared" si="365"/>
        <v/>
      </c>
      <c r="S366" s="10" t="str">
        <f t="shared" si="365"/>
        <v/>
      </c>
      <c r="T366" s="10" t="str">
        <f t="shared" si="365"/>
        <v/>
      </c>
      <c r="U366" s="10" t="str">
        <f t="shared" si="365"/>
        <v/>
      </c>
      <c r="V366" s="10" t="str">
        <f>IF(B366="","",IF(Controls!$B$7="Normal",Controls!$B$8+Controls!$B$9*SQRT(-2*LN(B366/2147483647))*COS(2*PI()*L366/2147483647),Controls!$B$8+(Controls!$B$9-Controls!$B$8)*B366/2147483647))</f>
        <v/>
      </c>
      <c r="W366" s="10" t="str">
        <f>IF(C366="","",IF(Controls!$B$7="Normal",Controls!$B$8+Controls!$B$9*SQRT(-2*LN(C366/2147483647))*COS(2*PI()*M366/2147483647),Controls!$B$8+(Controls!$B$9-Controls!$B$8)*C366/2147483647))</f>
        <v/>
      </c>
      <c r="X366" s="10" t="str">
        <f>IF(D366="","",IF(Controls!$B$7="Normal",Controls!$B$8+Controls!$B$9*SQRT(-2*LN(D366/2147483647))*COS(2*PI()*N366/2147483647),Controls!$B$8+(Controls!$B$9-Controls!$B$8)*D366/2147483647))</f>
        <v/>
      </c>
      <c r="Y366" s="10" t="str">
        <f>IF(E366="","",IF(Controls!$B$7="Normal",Controls!$B$8+Controls!$B$9*SQRT(-2*LN(E366/2147483647))*COS(2*PI()*O366/2147483647),Controls!$B$8+(Controls!$B$9-Controls!$B$8)*E366/2147483647))</f>
        <v/>
      </c>
      <c r="Z366" s="10" t="str">
        <f>IF(F366="","",IF(Controls!$B$7="Normal",Controls!$B$8+Controls!$B$9*SQRT(-2*LN(F366/2147483647))*COS(2*PI()*P366/2147483647),Controls!$B$8+(Controls!$B$9-Controls!$B$8)*F366/2147483647))</f>
        <v/>
      </c>
      <c r="AA366" s="10" t="str">
        <f>IF(G366="","",IF(Controls!$B$7="Normal",Controls!$B$8+Controls!$B$9*SQRT(-2*LN(G366/2147483647))*COS(2*PI()*Q366/2147483647),Controls!$B$8+(Controls!$B$9-Controls!$B$8)*G366/2147483647))</f>
        <v/>
      </c>
      <c r="AB366" s="10" t="str">
        <f>IF(H366="","",IF(Controls!$B$7="Normal",Controls!$B$8+Controls!$B$9*SQRT(-2*LN(H366/2147483647))*COS(2*PI()*R366/2147483647),Controls!$B$8+(Controls!$B$9-Controls!$B$8)*H366/2147483647))</f>
        <v/>
      </c>
      <c r="AC366" s="10" t="str">
        <f>IF(I366="","",IF(Controls!$B$7="Normal",Controls!$B$8+Controls!$B$9*SQRT(-2*LN(I366/2147483647))*COS(2*PI()*S366/2147483647),Controls!$B$8+(Controls!$B$9-Controls!$B$8)*I366/2147483647))</f>
        <v/>
      </c>
      <c r="AD366" s="10" t="str">
        <f>IF(J366="","",IF(Controls!$B$7="Normal",Controls!$B$8+Controls!$B$9*SQRT(-2*LN(J366/2147483647))*COS(2*PI()*T366/2147483647),Controls!$B$8+(Controls!$B$9-Controls!$B$8)*J366/2147483647))</f>
        <v/>
      </c>
      <c r="AE366" s="10" t="str">
        <f>IF(K366="","",IF(Controls!$B$7="Normal",Controls!$B$8+Controls!$B$9*SQRT(-2*LN(K366/2147483647))*COS(2*PI()*U366/2147483647),Controls!$B$8+(Controls!$B$9-Controls!$B$8)*K366/2147483647))</f>
        <v/>
      </c>
    </row>
    <row r="367" ht="21.0" customHeight="1">
      <c r="A367" s="7" t="str">
        <f>IF(366&lt;=Controls!$B$5,Controls!$B$4+365,"")</f>
        <v/>
      </c>
      <c r="B367" s="10" t="str">
        <f>IF(OR($A367="",1&gt;Controls!$B$6),"",MOD(L366*48271,2147483647))</f>
        <v/>
      </c>
      <c r="C367" s="10" t="str">
        <f>IF(OR($A367="",2&gt;Controls!$B$6),"",MOD(M366*48271,2147483647))</f>
        <v/>
      </c>
      <c r="D367" s="10" t="str">
        <f>IF(OR($A367="",3&gt;Controls!$B$6),"",MOD(N366*48271,2147483647))</f>
        <v/>
      </c>
      <c r="E367" s="10" t="str">
        <f>IF(OR($A367="",4&gt;Controls!$B$6),"",MOD(O366*48271,2147483647))</f>
        <v/>
      </c>
      <c r="F367" s="10" t="str">
        <f>IF(OR($A367="",5&gt;Controls!$B$6),"",MOD(P366*48271,2147483647))</f>
        <v/>
      </c>
      <c r="G367" s="10" t="str">
        <f>IF(OR($A367="",6&gt;Controls!$B$6),"",MOD(Q366*48271,2147483647))</f>
        <v/>
      </c>
      <c r="H367" s="10" t="str">
        <f>IF(OR($A367="",7&gt;Controls!$B$6),"",MOD(R366*48271,2147483647))</f>
        <v/>
      </c>
      <c r="I367" s="10" t="str">
        <f>IF(OR($A367="",8&gt;Controls!$B$6),"",MOD(S366*48271,2147483647))</f>
        <v/>
      </c>
      <c r="J367" s="10" t="str">
        <f>IF(OR($A367="",9&gt;Controls!$B$6),"",MOD(T366*48271,2147483647))</f>
        <v/>
      </c>
      <c r="K367" s="10" t="str">
        <f>IF(OR($A367="",10&gt;Controls!$B$6),"",MOD(U366*48271,2147483647))</f>
        <v/>
      </c>
      <c r="L367" s="10" t="str">
        <f t="shared" ref="L367:U367" si="366">IF(B367="","",MOD(B367*48271,2147483647))</f>
        <v/>
      </c>
      <c r="M367" s="10" t="str">
        <f t="shared" si="366"/>
        <v/>
      </c>
      <c r="N367" s="10" t="str">
        <f t="shared" si="366"/>
        <v/>
      </c>
      <c r="O367" s="10" t="str">
        <f t="shared" si="366"/>
        <v/>
      </c>
      <c r="P367" s="10" t="str">
        <f t="shared" si="366"/>
        <v/>
      </c>
      <c r="Q367" s="10" t="str">
        <f t="shared" si="366"/>
        <v/>
      </c>
      <c r="R367" s="10" t="str">
        <f t="shared" si="366"/>
        <v/>
      </c>
      <c r="S367" s="10" t="str">
        <f t="shared" si="366"/>
        <v/>
      </c>
      <c r="T367" s="10" t="str">
        <f t="shared" si="366"/>
        <v/>
      </c>
      <c r="U367" s="10" t="str">
        <f t="shared" si="366"/>
        <v/>
      </c>
      <c r="V367" s="10" t="str">
        <f>IF(B367="","",IF(Controls!$B$7="Normal",Controls!$B$8+Controls!$B$9*SQRT(-2*LN(B367/2147483647))*COS(2*PI()*L367/2147483647),Controls!$B$8+(Controls!$B$9-Controls!$B$8)*B367/2147483647))</f>
        <v/>
      </c>
      <c r="W367" s="10" t="str">
        <f>IF(C367="","",IF(Controls!$B$7="Normal",Controls!$B$8+Controls!$B$9*SQRT(-2*LN(C367/2147483647))*COS(2*PI()*M367/2147483647),Controls!$B$8+(Controls!$B$9-Controls!$B$8)*C367/2147483647))</f>
        <v/>
      </c>
      <c r="X367" s="10" t="str">
        <f>IF(D367="","",IF(Controls!$B$7="Normal",Controls!$B$8+Controls!$B$9*SQRT(-2*LN(D367/2147483647))*COS(2*PI()*N367/2147483647),Controls!$B$8+(Controls!$B$9-Controls!$B$8)*D367/2147483647))</f>
        <v/>
      </c>
      <c r="Y367" s="10" t="str">
        <f>IF(E367="","",IF(Controls!$B$7="Normal",Controls!$B$8+Controls!$B$9*SQRT(-2*LN(E367/2147483647))*COS(2*PI()*O367/2147483647),Controls!$B$8+(Controls!$B$9-Controls!$B$8)*E367/2147483647))</f>
        <v/>
      </c>
      <c r="Z367" s="10" t="str">
        <f>IF(F367="","",IF(Controls!$B$7="Normal",Controls!$B$8+Controls!$B$9*SQRT(-2*LN(F367/2147483647))*COS(2*PI()*P367/2147483647),Controls!$B$8+(Controls!$B$9-Controls!$B$8)*F367/2147483647))</f>
        <v/>
      </c>
      <c r="AA367" s="10" t="str">
        <f>IF(G367="","",IF(Controls!$B$7="Normal",Controls!$B$8+Controls!$B$9*SQRT(-2*LN(G367/2147483647))*COS(2*PI()*Q367/2147483647),Controls!$B$8+(Controls!$B$9-Controls!$B$8)*G367/2147483647))</f>
        <v/>
      </c>
      <c r="AB367" s="10" t="str">
        <f>IF(H367="","",IF(Controls!$B$7="Normal",Controls!$B$8+Controls!$B$9*SQRT(-2*LN(H367/2147483647))*COS(2*PI()*R367/2147483647),Controls!$B$8+(Controls!$B$9-Controls!$B$8)*H367/2147483647))</f>
        <v/>
      </c>
      <c r="AC367" s="10" t="str">
        <f>IF(I367="","",IF(Controls!$B$7="Normal",Controls!$B$8+Controls!$B$9*SQRT(-2*LN(I367/2147483647))*COS(2*PI()*S367/2147483647),Controls!$B$8+(Controls!$B$9-Controls!$B$8)*I367/2147483647))</f>
        <v/>
      </c>
      <c r="AD367" s="10" t="str">
        <f>IF(J367="","",IF(Controls!$B$7="Normal",Controls!$B$8+Controls!$B$9*SQRT(-2*LN(J367/2147483647))*COS(2*PI()*T367/2147483647),Controls!$B$8+(Controls!$B$9-Controls!$B$8)*J367/2147483647))</f>
        <v/>
      </c>
      <c r="AE367" s="10" t="str">
        <f>IF(K367="","",IF(Controls!$B$7="Normal",Controls!$B$8+Controls!$B$9*SQRT(-2*LN(K367/2147483647))*COS(2*PI()*U367/2147483647),Controls!$B$8+(Controls!$B$9-Controls!$B$8)*K367/2147483647))</f>
        <v/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